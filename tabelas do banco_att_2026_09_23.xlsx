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3BB5F455-92D8-4627-A1F0-233CA01D6B63}" xr6:coauthVersionLast="47" xr6:coauthVersionMax="47" xr10:uidLastSave="{00000000-0000-0000-0000-000000000000}"/>
  <bookViews>
    <workbookView xWindow="-108" yWindow="-108" windowWidth="20376" windowHeight="12216" tabRatio="644" firstSheet="4" activeTab="9" xr2:uid="{00000000-000D-0000-FFFF-FFFF00000000}"/>
  </bookViews>
  <sheets>
    <sheet name="Boletins Nuppa Site" sheetId="1" r:id="rId1"/>
    <sheet name="Planilha11" sheetId="2" r:id="rId2"/>
    <sheet name="GRUPO_ALIMENTAR" sheetId="4" r:id="rId3"/>
    <sheet name="UNIDADE_MEDIDA" sheetId="7" r:id="rId4"/>
    <sheet name="BOLETIM" sheetId="9" r:id="rId5"/>
    <sheet name="TIPO_APRESENTACAO" sheetId="8" r:id="rId6"/>
    <sheet name="CATEGORIA" sheetId="5" r:id="rId7"/>
    <sheet name="PRODUTO" sheetId="6" r:id="rId8"/>
    <sheet name="PRODUTO_APRESENTACAO" sheetId="10" r:id="rId9"/>
    <sheet name="COTACAO" sheetId="3" r:id="rId10"/>
  </sheets>
  <definedNames>
    <definedName name="_xlnm._FilterDatabase" localSheetId="0" hidden="1">'Boletins Nuppa Site'!$C$1:$O$1</definedName>
    <definedName name="_xlnm._FilterDatabase" localSheetId="9" hidden="1">COTACAO!$A$1:$H$2471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M991" i="1"/>
  <c r="L992" i="1"/>
  <c r="M992" i="1"/>
  <c r="L993" i="1"/>
  <c r="M993" i="1"/>
  <c r="L994" i="1"/>
  <c r="M994" i="1"/>
  <c r="L995" i="1"/>
  <c r="M995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2" i="1"/>
  <c r="M1012" i="1"/>
  <c r="L1013" i="1"/>
  <c r="M1013" i="1"/>
  <c r="L1014" i="1"/>
  <c r="M1014" i="1"/>
  <c r="L1015" i="1"/>
  <c r="M1015" i="1"/>
  <c r="L1016" i="1"/>
  <c r="M1016" i="1"/>
  <c r="L1017" i="1"/>
  <c r="M1017" i="1"/>
  <c r="L1018" i="1"/>
  <c r="M1018" i="1"/>
  <c r="L1019" i="1"/>
  <c r="M1019" i="1"/>
  <c r="L1020" i="1"/>
  <c r="M1020" i="1"/>
  <c r="L1021" i="1"/>
  <c r="M1021" i="1"/>
  <c r="L1022" i="1"/>
  <c r="M1022" i="1"/>
  <c r="L1023" i="1"/>
  <c r="M1023" i="1"/>
  <c r="L1024" i="1"/>
  <c r="M1024" i="1"/>
  <c r="L1025" i="1"/>
  <c r="M1025" i="1"/>
  <c r="L1026" i="1"/>
  <c r="M1026" i="1"/>
  <c r="L1027" i="1"/>
  <c r="M1027" i="1"/>
  <c r="L1028" i="1"/>
  <c r="M1028" i="1"/>
  <c r="L1029" i="1"/>
  <c r="M1029" i="1"/>
  <c r="L1030" i="1"/>
  <c r="M1030" i="1"/>
  <c r="L1031" i="1"/>
  <c r="M1031" i="1"/>
  <c r="L1032" i="1"/>
  <c r="M1032" i="1"/>
  <c r="L1033" i="1"/>
  <c r="M1033" i="1"/>
  <c r="L1034" i="1"/>
  <c r="M1034" i="1"/>
  <c r="L1035" i="1"/>
  <c r="M1035" i="1"/>
  <c r="L1036" i="1"/>
  <c r="M1036" i="1"/>
  <c r="L1037" i="1"/>
  <c r="M1037" i="1"/>
  <c r="L1038" i="1"/>
  <c r="M1038" i="1"/>
  <c r="L1039" i="1"/>
  <c r="M1039" i="1"/>
  <c r="L1040" i="1"/>
  <c r="M1040" i="1"/>
  <c r="L1041" i="1"/>
  <c r="M1041" i="1"/>
  <c r="L1042" i="1"/>
  <c r="M1042" i="1"/>
  <c r="L1043" i="1"/>
  <c r="M1043" i="1"/>
  <c r="L1044" i="1"/>
  <c r="M1044" i="1"/>
  <c r="L1045" i="1"/>
  <c r="M1045" i="1"/>
  <c r="L1046" i="1"/>
  <c r="M1046" i="1"/>
  <c r="L1047" i="1"/>
  <c r="M1047" i="1"/>
  <c r="L1048" i="1"/>
  <c r="M1048" i="1"/>
  <c r="L1049" i="1"/>
  <c r="M1049" i="1"/>
  <c r="L1050" i="1"/>
  <c r="M1050" i="1"/>
  <c r="L1051" i="1"/>
  <c r="M1051" i="1"/>
  <c r="L1052" i="1"/>
  <c r="M1052" i="1"/>
  <c r="L1053" i="1"/>
  <c r="M1053" i="1"/>
  <c r="L1054" i="1"/>
  <c r="M1054" i="1"/>
  <c r="L1055" i="1"/>
  <c r="M1055" i="1"/>
  <c r="L1056" i="1"/>
  <c r="M1056" i="1"/>
  <c r="L1057" i="1"/>
  <c r="M1057" i="1"/>
  <c r="L1058" i="1"/>
  <c r="M1058" i="1"/>
  <c r="L1059" i="1"/>
  <c r="M1059" i="1"/>
  <c r="L1060" i="1"/>
  <c r="M1060" i="1"/>
  <c r="L1061" i="1"/>
  <c r="M1061" i="1"/>
  <c r="L1062" i="1"/>
  <c r="M1062" i="1"/>
  <c r="L1063" i="1"/>
  <c r="M1063" i="1"/>
  <c r="L1064" i="1"/>
  <c r="M1064" i="1"/>
  <c r="L1065" i="1"/>
  <c r="M1065" i="1"/>
  <c r="L1066" i="1"/>
  <c r="M1066" i="1"/>
  <c r="L1067" i="1"/>
  <c r="M1067" i="1"/>
  <c r="L1068" i="1"/>
  <c r="M1068" i="1"/>
  <c r="L1069" i="1"/>
  <c r="M1069" i="1"/>
  <c r="L1070" i="1"/>
  <c r="M1070" i="1"/>
  <c r="L1071" i="1"/>
  <c r="M1071" i="1"/>
  <c r="L1072" i="1"/>
  <c r="M1072" i="1"/>
  <c r="L1073" i="1"/>
  <c r="M1073" i="1"/>
  <c r="L1074" i="1"/>
  <c r="M1074" i="1"/>
  <c r="L1075" i="1"/>
  <c r="M1075" i="1"/>
  <c r="L1076" i="1"/>
  <c r="M1076" i="1"/>
  <c r="L1077" i="1"/>
  <c r="M1077" i="1"/>
  <c r="L1078" i="1"/>
  <c r="M1078" i="1"/>
  <c r="L1079" i="1"/>
  <c r="M1079" i="1"/>
  <c r="L1080" i="1"/>
  <c r="M1080" i="1"/>
  <c r="L1081" i="1"/>
  <c r="M1081" i="1"/>
  <c r="L1082" i="1"/>
  <c r="M1082" i="1"/>
  <c r="L1083" i="1"/>
  <c r="M1083" i="1"/>
  <c r="L1084" i="1"/>
  <c r="M1084" i="1"/>
  <c r="L1085" i="1"/>
  <c r="M1085" i="1"/>
  <c r="L1086" i="1"/>
  <c r="M1086" i="1"/>
  <c r="L1087" i="1"/>
  <c r="M1087" i="1"/>
  <c r="L1088" i="1"/>
  <c r="M1088" i="1"/>
  <c r="L1089" i="1"/>
  <c r="M1089" i="1"/>
  <c r="L1090" i="1"/>
  <c r="M1090" i="1"/>
  <c r="L1091" i="1"/>
  <c r="M1091" i="1"/>
  <c r="L1092" i="1"/>
  <c r="M1092" i="1"/>
  <c r="L1093" i="1"/>
  <c r="M1093" i="1"/>
  <c r="L1094" i="1"/>
  <c r="M1094" i="1"/>
  <c r="L1095" i="1"/>
  <c r="M1095" i="1"/>
  <c r="L1096" i="1"/>
  <c r="M1096" i="1"/>
  <c r="L1097" i="1"/>
  <c r="M1097" i="1"/>
  <c r="L1098" i="1"/>
  <c r="M1098" i="1"/>
  <c r="L1099" i="1"/>
  <c r="M1099" i="1"/>
  <c r="L1100" i="1"/>
  <c r="M1100" i="1"/>
  <c r="L1101" i="1"/>
  <c r="M1101" i="1"/>
  <c r="L1102" i="1"/>
  <c r="M1102" i="1"/>
  <c r="L1103" i="1"/>
  <c r="M1103" i="1"/>
  <c r="L1104" i="1"/>
  <c r="M1104" i="1"/>
  <c r="L1105" i="1"/>
  <c r="M1105" i="1"/>
  <c r="L1106" i="1"/>
  <c r="M1106" i="1"/>
  <c r="L1107" i="1"/>
  <c r="M1107" i="1"/>
  <c r="L1108" i="1"/>
  <c r="M1108" i="1"/>
  <c r="L1109" i="1"/>
  <c r="M1109" i="1"/>
  <c r="L1110" i="1"/>
  <c r="M1110" i="1"/>
  <c r="L1111" i="1"/>
  <c r="M1111" i="1"/>
  <c r="L1112" i="1"/>
  <c r="M1112" i="1"/>
  <c r="L1113" i="1"/>
  <c r="M1113" i="1"/>
  <c r="L1114" i="1"/>
  <c r="M1114" i="1"/>
  <c r="L1115" i="1"/>
  <c r="M1115" i="1"/>
  <c r="L1116" i="1"/>
  <c r="M1116" i="1"/>
  <c r="L1117" i="1"/>
  <c r="M1117" i="1"/>
  <c r="L1118" i="1"/>
  <c r="M1118" i="1"/>
  <c r="L1119" i="1"/>
  <c r="M1119" i="1"/>
  <c r="L1120" i="1"/>
  <c r="M1120" i="1"/>
  <c r="L1121" i="1"/>
  <c r="M1121" i="1"/>
  <c r="L1122" i="1"/>
  <c r="M1122" i="1"/>
  <c r="L1123" i="1"/>
  <c r="M1123" i="1"/>
  <c r="L1124" i="1"/>
  <c r="M1124" i="1"/>
  <c r="L1125" i="1"/>
  <c r="M1125" i="1"/>
  <c r="L1126" i="1"/>
  <c r="M1126" i="1"/>
  <c r="L1127" i="1"/>
  <c r="M1127" i="1"/>
  <c r="L1128" i="1"/>
  <c r="M1128" i="1"/>
  <c r="L1129" i="1"/>
  <c r="M1129" i="1"/>
  <c r="L1130" i="1"/>
  <c r="M1130" i="1"/>
  <c r="L1131" i="1"/>
  <c r="M1131" i="1"/>
  <c r="L1132" i="1"/>
  <c r="M1132" i="1"/>
  <c r="L1133" i="1"/>
  <c r="M1133" i="1"/>
  <c r="L1134" i="1"/>
  <c r="M1134" i="1"/>
  <c r="L1135" i="1"/>
  <c r="M1135" i="1"/>
  <c r="L1136" i="1"/>
  <c r="M1136" i="1"/>
  <c r="L1137" i="1"/>
  <c r="M1137" i="1"/>
  <c r="L1138" i="1"/>
  <c r="M1138" i="1"/>
  <c r="L1139" i="1"/>
  <c r="M1139" i="1"/>
  <c r="L1140" i="1"/>
  <c r="M1140" i="1"/>
  <c r="L1141" i="1"/>
  <c r="M1141" i="1"/>
  <c r="L1142" i="1"/>
  <c r="M1142" i="1"/>
  <c r="L1143" i="1"/>
  <c r="M1143" i="1"/>
  <c r="L1144" i="1"/>
  <c r="M1144" i="1"/>
  <c r="L1145" i="1"/>
  <c r="M1145" i="1"/>
  <c r="L1146" i="1"/>
  <c r="M1146" i="1"/>
  <c r="L1147" i="1"/>
  <c r="M1147" i="1"/>
  <c r="L1148" i="1"/>
  <c r="M1148" i="1"/>
  <c r="L1149" i="1"/>
  <c r="M1149" i="1"/>
  <c r="L1150" i="1"/>
  <c r="M1150" i="1"/>
  <c r="L1151" i="1"/>
  <c r="M1151" i="1"/>
  <c r="L1152" i="1"/>
  <c r="M1152" i="1"/>
  <c r="L1153" i="1"/>
  <c r="M1153" i="1"/>
  <c r="L1154" i="1"/>
  <c r="M1154" i="1"/>
  <c r="L1155" i="1"/>
  <c r="M1155" i="1"/>
  <c r="L1156" i="1"/>
  <c r="M1156" i="1"/>
  <c r="L1157" i="1"/>
  <c r="M1157" i="1"/>
  <c r="L1158" i="1"/>
  <c r="M1158" i="1"/>
  <c r="L1159" i="1"/>
  <c r="M1159" i="1"/>
  <c r="L1160" i="1"/>
  <c r="M1160" i="1"/>
  <c r="L1161" i="1"/>
  <c r="M1161" i="1"/>
  <c r="L1162" i="1"/>
  <c r="M1162" i="1"/>
  <c r="L1163" i="1"/>
  <c r="M1163" i="1"/>
  <c r="L1164" i="1"/>
  <c r="M1164" i="1"/>
  <c r="L1165" i="1"/>
  <c r="M1165" i="1"/>
  <c r="L1166" i="1"/>
  <c r="M1166" i="1"/>
  <c r="L1167" i="1"/>
  <c r="M1167" i="1"/>
  <c r="L1168" i="1"/>
  <c r="M1168" i="1"/>
  <c r="L1169" i="1"/>
  <c r="M1169" i="1"/>
  <c r="L1170" i="1"/>
  <c r="M1170" i="1"/>
  <c r="L1171" i="1"/>
  <c r="M1171" i="1"/>
  <c r="L1172" i="1"/>
  <c r="M1172" i="1"/>
  <c r="L1173" i="1"/>
  <c r="M1173" i="1"/>
  <c r="L1174" i="1"/>
  <c r="M1174" i="1"/>
  <c r="L1175" i="1"/>
  <c r="M1175" i="1"/>
  <c r="L1176" i="1"/>
  <c r="M1176" i="1"/>
  <c r="L1177" i="1"/>
  <c r="M1177" i="1"/>
  <c r="L1178" i="1"/>
  <c r="M1178" i="1"/>
  <c r="L1179" i="1"/>
  <c r="M1179" i="1"/>
  <c r="L1180" i="1"/>
  <c r="M1180" i="1"/>
  <c r="L1181" i="1"/>
  <c r="M1181" i="1"/>
  <c r="L1182" i="1"/>
  <c r="M1182" i="1"/>
  <c r="L1183" i="1"/>
  <c r="M1183" i="1"/>
  <c r="L1184" i="1"/>
  <c r="M1184" i="1"/>
  <c r="L1185" i="1"/>
  <c r="M1185" i="1"/>
  <c r="L1186" i="1"/>
  <c r="M1186" i="1"/>
  <c r="L1187" i="1"/>
  <c r="M1187" i="1"/>
  <c r="L1188" i="1"/>
  <c r="M1188" i="1"/>
  <c r="L1189" i="1"/>
  <c r="M1189" i="1"/>
  <c r="L1190" i="1"/>
  <c r="M1190" i="1"/>
  <c r="L1191" i="1"/>
  <c r="M1191" i="1"/>
  <c r="L1192" i="1"/>
  <c r="M1192" i="1"/>
  <c r="L1193" i="1"/>
  <c r="M1193" i="1"/>
  <c r="L1194" i="1"/>
  <c r="M1194" i="1"/>
  <c r="L1195" i="1"/>
  <c r="M1195" i="1"/>
  <c r="L1196" i="1"/>
  <c r="M1196" i="1"/>
  <c r="L1197" i="1"/>
  <c r="M1197" i="1"/>
  <c r="L1198" i="1"/>
  <c r="M1198" i="1"/>
  <c r="L1199" i="1"/>
  <c r="M1199" i="1"/>
  <c r="L1200" i="1"/>
  <c r="M1200" i="1"/>
  <c r="L1201" i="1"/>
  <c r="M1201" i="1"/>
  <c r="L1202" i="1"/>
  <c r="M1202" i="1"/>
  <c r="L1203" i="1"/>
  <c r="M1203" i="1"/>
  <c r="L1204" i="1"/>
  <c r="M1204" i="1"/>
  <c r="L1205" i="1"/>
  <c r="M1205" i="1"/>
  <c r="L1206" i="1"/>
  <c r="M1206" i="1"/>
  <c r="L1207" i="1"/>
  <c r="M1207" i="1"/>
  <c r="L1208" i="1"/>
  <c r="M1208" i="1"/>
  <c r="L1209" i="1"/>
  <c r="M1209" i="1"/>
  <c r="L1210" i="1"/>
  <c r="M1210" i="1"/>
  <c r="L1211" i="1"/>
  <c r="M1211" i="1"/>
  <c r="L1212" i="1"/>
  <c r="M1212" i="1"/>
  <c r="L1213" i="1"/>
  <c r="M1213" i="1"/>
  <c r="L1214" i="1"/>
  <c r="M1214" i="1"/>
  <c r="L1215" i="1"/>
  <c r="M1215" i="1"/>
  <c r="L1216" i="1"/>
  <c r="M1216" i="1"/>
  <c r="L1217" i="1"/>
  <c r="M1217" i="1"/>
  <c r="L1218" i="1"/>
  <c r="M1218" i="1"/>
  <c r="L1219" i="1"/>
  <c r="M1219" i="1"/>
  <c r="L1220" i="1"/>
  <c r="M1220" i="1"/>
  <c r="L1221" i="1"/>
  <c r="M1221" i="1"/>
  <c r="L1222" i="1"/>
  <c r="M1222" i="1"/>
  <c r="L1223" i="1"/>
  <c r="M1223" i="1"/>
  <c r="L1224" i="1"/>
  <c r="M1224" i="1"/>
  <c r="L1225" i="1"/>
  <c r="M1225" i="1"/>
  <c r="L1226" i="1"/>
  <c r="M1226" i="1"/>
  <c r="L1227" i="1"/>
  <c r="M1227" i="1"/>
  <c r="L1228" i="1"/>
  <c r="M1228" i="1"/>
  <c r="L1229" i="1"/>
  <c r="M1229" i="1"/>
  <c r="L1230" i="1"/>
  <c r="M1230" i="1"/>
  <c r="L1231" i="1"/>
  <c r="M1231" i="1"/>
  <c r="L1232" i="1"/>
  <c r="M1232" i="1"/>
  <c r="L1233" i="1"/>
  <c r="M1233" i="1"/>
  <c r="L1234" i="1"/>
  <c r="M1234" i="1"/>
  <c r="L1235" i="1"/>
  <c r="M1235" i="1"/>
  <c r="L1236" i="1"/>
  <c r="M1236" i="1"/>
  <c r="L1237" i="1"/>
  <c r="M1237" i="1"/>
  <c r="L1238" i="1"/>
  <c r="M1238" i="1"/>
  <c r="L1239" i="1"/>
  <c r="M1239" i="1"/>
  <c r="L1240" i="1"/>
  <c r="M1240" i="1"/>
  <c r="L1241" i="1"/>
  <c r="M1241" i="1"/>
  <c r="L1242" i="1"/>
  <c r="M1242" i="1"/>
  <c r="L1243" i="1"/>
  <c r="M1243" i="1"/>
  <c r="L1244" i="1"/>
  <c r="M1244" i="1"/>
  <c r="L1245" i="1"/>
  <c r="M1245" i="1"/>
  <c r="L1246" i="1"/>
  <c r="M1246" i="1"/>
  <c r="L1247" i="1"/>
  <c r="M1247" i="1"/>
  <c r="L1248" i="1"/>
  <c r="M1248" i="1"/>
  <c r="L1249" i="1"/>
  <c r="M1249" i="1"/>
  <c r="L1250" i="1"/>
  <c r="M1250" i="1"/>
  <c r="L1251" i="1"/>
  <c r="M1251" i="1"/>
  <c r="L1252" i="1"/>
  <c r="M1252" i="1"/>
  <c r="L1253" i="1"/>
  <c r="M1253" i="1"/>
  <c r="L1254" i="1"/>
  <c r="M1254" i="1"/>
  <c r="L1255" i="1"/>
  <c r="M1255" i="1"/>
  <c r="L1256" i="1"/>
  <c r="M1256" i="1"/>
  <c r="L1257" i="1"/>
  <c r="M1257" i="1"/>
  <c r="L1258" i="1"/>
  <c r="M1258" i="1"/>
  <c r="L1259" i="1"/>
  <c r="M1259" i="1"/>
  <c r="L1260" i="1"/>
  <c r="M1260" i="1"/>
  <c r="L1261" i="1"/>
  <c r="M1261" i="1"/>
  <c r="L1262" i="1"/>
  <c r="M1262" i="1"/>
  <c r="L1263" i="1"/>
  <c r="M1263" i="1"/>
  <c r="L1264" i="1"/>
  <c r="M1264" i="1"/>
  <c r="L1265" i="1"/>
  <c r="M1265" i="1"/>
  <c r="L1266" i="1"/>
  <c r="M1266" i="1"/>
  <c r="L1267" i="1"/>
  <c r="M1267" i="1"/>
  <c r="L1268" i="1"/>
  <c r="M1268" i="1"/>
  <c r="L1269" i="1"/>
  <c r="M1269" i="1"/>
  <c r="L1270" i="1"/>
  <c r="M1270" i="1"/>
  <c r="L1271" i="1"/>
  <c r="M1271" i="1"/>
  <c r="L1272" i="1"/>
  <c r="M1272" i="1"/>
  <c r="L1273" i="1"/>
  <c r="M1273" i="1"/>
  <c r="L1274" i="1"/>
  <c r="M1274" i="1"/>
  <c r="L1275" i="1"/>
  <c r="M1275" i="1"/>
  <c r="L1276" i="1"/>
  <c r="M1276" i="1"/>
  <c r="L1277" i="1"/>
  <c r="M1277" i="1"/>
  <c r="L1278" i="1"/>
  <c r="M1278" i="1"/>
  <c r="L1279" i="1"/>
  <c r="M1279" i="1"/>
  <c r="L1280" i="1"/>
  <c r="M1280" i="1"/>
  <c r="L1281" i="1"/>
  <c r="M1281" i="1"/>
  <c r="L1282" i="1"/>
  <c r="M1282" i="1"/>
  <c r="L1283" i="1"/>
  <c r="M1283" i="1"/>
  <c r="L1284" i="1"/>
  <c r="M1284" i="1"/>
  <c r="L1285" i="1"/>
  <c r="M1285" i="1"/>
  <c r="L1286" i="1"/>
  <c r="M1286" i="1"/>
  <c r="L1287" i="1"/>
  <c r="M1287" i="1"/>
  <c r="L1288" i="1"/>
  <c r="M1288" i="1"/>
  <c r="L1289" i="1"/>
  <c r="M1289" i="1"/>
  <c r="L1290" i="1"/>
  <c r="M1290" i="1"/>
  <c r="L1291" i="1"/>
  <c r="M1291" i="1"/>
  <c r="L1292" i="1"/>
  <c r="M1292" i="1"/>
  <c r="L1293" i="1"/>
  <c r="M1293" i="1"/>
  <c r="L1294" i="1"/>
  <c r="M1294" i="1"/>
  <c r="L1295" i="1"/>
  <c r="M1295" i="1"/>
  <c r="L1296" i="1"/>
  <c r="M1296" i="1"/>
  <c r="L1297" i="1"/>
  <c r="M1297" i="1"/>
  <c r="L1298" i="1"/>
  <c r="M1298" i="1"/>
  <c r="L1299" i="1"/>
  <c r="M1299" i="1"/>
  <c r="L1300" i="1"/>
  <c r="M1300" i="1"/>
  <c r="L1301" i="1"/>
  <c r="M1301" i="1"/>
  <c r="L1302" i="1"/>
  <c r="M1302" i="1"/>
  <c r="L1303" i="1"/>
  <c r="M1303" i="1"/>
  <c r="L1304" i="1"/>
  <c r="M1304" i="1"/>
  <c r="L1305" i="1"/>
  <c r="M1305" i="1"/>
  <c r="L1306" i="1"/>
  <c r="M1306" i="1"/>
  <c r="L1307" i="1"/>
  <c r="M1307" i="1"/>
  <c r="L1308" i="1"/>
  <c r="M1308" i="1"/>
  <c r="L1309" i="1"/>
  <c r="M1309" i="1"/>
  <c r="L1310" i="1"/>
  <c r="M1310" i="1"/>
  <c r="L1311" i="1"/>
  <c r="M1311" i="1"/>
  <c r="L1312" i="1"/>
  <c r="M1312" i="1"/>
  <c r="L1313" i="1"/>
  <c r="M1313" i="1"/>
  <c r="L1314" i="1"/>
  <c r="M1314" i="1"/>
  <c r="L1315" i="1"/>
  <c r="M1315" i="1"/>
  <c r="L1316" i="1"/>
  <c r="M1316" i="1"/>
  <c r="L1317" i="1"/>
  <c r="M1317" i="1"/>
  <c r="L1318" i="1"/>
  <c r="M1318" i="1"/>
  <c r="L1319" i="1"/>
  <c r="M1319" i="1"/>
  <c r="L1320" i="1"/>
  <c r="M1320" i="1"/>
  <c r="L1321" i="1"/>
  <c r="M1321" i="1"/>
  <c r="L1322" i="1"/>
  <c r="M1322" i="1"/>
  <c r="L1323" i="1"/>
  <c r="M1323" i="1"/>
  <c r="L1324" i="1"/>
  <c r="M1324" i="1"/>
  <c r="L1325" i="1"/>
  <c r="M1325" i="1"/>
  <c r="L1326" i="1"/>
  <c r="M1326" i="1"/>
  <c r="L1327" i="1"/>
  <c r="M1327" i="1"/>
  <c r="L1328" i="1"/>
  <c r="M1328" i="1"/>
  <c r="L1329" i="1"/>
  <c r="M1329" i="1"/>
  <c r="L1330" i="1"/>
  <c r="M1330" i="1"/>
  <c r="L1331" i="1"/>
  <c r="M1331" i="1"/>
  <c r="L1332" i="1"/>
  <c r="M1332" i="1"/>
  <c r="L1333" i="1"/>
  <c r="M1333" i="1"/>
  <c r="L1334" i="1"/>
  <c r="M1334" i="1"/>
  <c r="L1335" i="1"/>
  <c r="M1335" i="1"/>
  <c r="L1336" i="1"/>
  <c r="M1336" i="1"/>
  <c r="L1337" i="1"/>
  <c r="M1337" i="1"/>
  <c r="L1338" i="1"/>
  <c r="M1338" i="1"/>
  <c r="L1339" i="1"/>
  <c r="M1339" i="1"/>
  <c r="L1340" i="1"/>
  <c r="M1340" i="1"/>
  <c r="L1341" i="1"/>
  <c r="M1341" i="1"/>
  <c r="L1342" i="1"/>
  <c r="M1342" i="1"/>
  <c r="L1343" i="1"/>
  <c r="M1343" i="1"/>
  <c r="L1344" i="1"/>
  <c r="M1344" i="1"/>
  <c r="L1345" i="1"/>
  <c r="M1345" i="1"/>
  <c r="L1346" i="1"/>
  <c r="M1346" i="1"/>
  <c r="L1347" i="1"/>
  <c r="M1347" i="1"/>
  <c r="L1348" i="1"/>
  <c r="M1348" i="1"/>
  <c r="L1349" i="1"/>
  <c r="M1349" i="1"/>
  <c r="L1350" i="1"/>
  <c r="M1350" i="1"/>
  <c r="L1351" i="1"/>
  <c r="M1351" i="1"/>
  <c r="L1352" i="1"/>
  <c r="M1352" i="1"/>
  <c r="L1353" i="1"/>
  <c r="M1353" i="1"/>
  <c r="L1354" i="1"/>
  <c r="M1354" i="1"/>
  <c r="L1355" i="1"/>
  <c r="M1355" i="1"/>
  <c r="L1356" i="1"/>
  <c r="M1356" i="1"/>
  <c r="L1357" i="1"/>
  <c r="M1357" i="1"/>
  <c r="L1358" i="1"/>
  <c r="M1358" i="1"/>
  <c r="L1359" i="1"/>
  <c r="M1359" i="1"/>
  <c r="L1360" i="1"/>
  <c r="M1360" i="1"/>
  <c r="L1361" i="1"/>
  <c r="M1361" i="1"/>
  <c r="L1362" i="1"/>
  <c r="M1362" i="1"/>
  <c r="L1363" i="1"/>
  <c r="M1363" i="1"/>
  <c r="L1364" i="1"/>
  <c r="M1364" i="1"/>
  <c r="L1365" i="1"/>
  <c r="M1365" i="1"/>
  <c r="L1366" i="1"/>
  <c r="M1366" i="1"/>
  <c r="L1367" i="1"/>
  <c r="M1367" i="1"/>
  <c r="L1368" i="1"/>
  <c r="M1368" i="1"/>
  <c r="L1369" i="1"/>
  <c r="M1369" i="1"/>
  <c r="L1370" i="1"/>
  <c r="M1370" i="1"/>
  <c r="L1371" i="1"/>
  <c r="M1371" i="1"/>
  <c r="L1372" i="1"/>
  <c r="M1372" i="1"/>
  <c r="L1373" i="1"/>
  <c r="M1373" i="1"/>
  <c r="L1374" i="1"/>
  <c r="M1374" i="1"/>
  <c r="L1375" i="1"/>
  <c r="M1375" i="1"/>
  <c r="L1376" i="1"/>
  <c r="M1376" i="1"/>
  <c r="L1377" i="1"/>
  <c r="M1377" i="1"/>
  <c r="L1378" i="1"/>
  <c r="M1378" i="1"/>
  <c r="L1379" i="1"/>
  <c r="M1379" i="1"/>
  <c r="L1380" i="1"/>
  <c r="M1380" i="1"/>
  <c r="L1381" i="1"/>
  <c r="M1381" i="1"/>
  <c r="L1382" i="1"/>
  <c r="M1382" i="1"/>
  <c r="L1383" i="1"/>
  <c r="M1383" i="1"/>
  <c r="L1384" i="1"/>
  <c r="M1384" i="1"/>
  <c r="L1385" i="1"/>
  <c r="M1385" i="1"/>
  <c r="L1386" i="1"/>
  <c r="M1386" i="1"/>
  <c r="L1387" i="1"/>
  <c r="M1387" i="1"/>
  <c r="L1388" i="1"/>
  <c r="M1388" i="1"/>
  <c r="L1389" i="1"/>
  <c r="M1389" i="1"/>
  <c r="L1390" i="1"/>
  <c r="M1390" i="1"/>
  <c r="L1391" i="1"/>
  <c r="M1391" i="1"/>
  <c r="L1392" i="1"/>
  <c r="M1392" i="1"/>
  <c r="L1393" i="1"/>
  <c r="M1393" i="1"/>
  <c r="L1394" i="1"/>
  <c r="M1394" i="1"/>
  <c r="L1395" i="1"/>
  <c r="M1395" i="1"/>
  <c r="L1396" i="1"/>
  <c r="M1396" i="1"/>
  <c r="L1397" i="1"/>
  <c r="M1397" i="1"/>
  <c r="L1398" i="1"/>
  <c r="M1398" i="1"/>
  <c r="L1399" i="1"/>
  <c r="M1399" i="1"/>
  <c r="L1400" i="1"/>
  <c r="M1400" i="1"/>
  <c r="L1401" i="1"/>
  <c r="M1401" i="1"/>
  <c r="L1402" i="1"/>
  <c r="M1402" i="1"/>
  <c r="L1403" i="1"/>
  <c r="M1403" i="1"/>
  <c r="L1404" i="1"/>
  <c r="M1404" i="1"/>
  <c r="L1405" i="1"/>
  <c r="M1405" i="1"/>
  <c r="L1406" i="1"/>
  <c r="M1406" i="1"/>
  <c r="L1407" i="1"/>
  <c r="M1407" i="1"/>
  <c r="L1408" i="1"/>
  <c r="M1408" i="1"/>
  <c r="L1409" i="1"/>
  <c r="M1409" i="1"/>
  <c r="L1410" i="1"/>
  <c r="M1410" i="1"/>
  <c r="L1411" i="1"/>
  <c r="M1411" i="1"/>
  <c r="L1412" i="1"/>
  <c r="M1412" i="1"/>
  <c r="L1413" i="1"/>
  <c r="M1413" i="1"/>
  <c r="L1414" i="1"/>
  <c r="M1414" i="1"/>
  <c r="L1415" i="1"/>
  <c r="M1415" i="1"/>
  <c r="L1416" i="1"/>
  <c r="M1416" i="1"/>
  <c r="L1417" i="1"/>
  <c r="M1417" i="1"/>
  <c r="L1418" i="1"/>
  <c r="M1418" i="1"/>
  <c r="L1419" i="1"/>
  <c r="M1419" i="1"/>
  <c r="L1420" i="1"/>
  <c r="M1420" i="1"/>
  <c r="L1421" i="1"/>
  <c r="M1421" i="1"/>
  <c r="L1422" i="1"/>
  <c r="M1422" i="1"/>
  <c r="L1423" i="1"/>
  <c r="M1423" i="1"/>
  <c r="L1424" i="1"/>
  <c r="M1424" i="1"/>
  <c r="L1425" i="1"/>
  <c r="M1425" i="1"/>
  <c r="L1426" i="1"/>
  <c r="M1426" i="1"/>
  <c r="L1427" i="1"/>
  <c r="M1427" i="1"/>
  <c r="L1428" i="1"/>
  <c r="M1428" i="1"/>
  <c r="L1429" i="1"/>
  <c r="M1429" i="1"/>
  <c r="L1430" i="1"/>
  <c r="M1430" i="1"/>
  <c r="L1431" i="1"/>
  <c r="M1431" i="1"/>
  <c r="L1432" i="1"/>
  <c r="M1432" i="1"/>
  <c r="L1433" i="1"/>
  <c r="M1433" i="1"/>
  <c r="L1434" i="1"/>
  <c r="M1434" i="1"/>
  <c r="L1435" i="1"/>
  <c r="M1435" i="1"/>
  <c r="L1436" i="1"/>
  <c r="M1436" i="1"/>
  <c r="L1437" i="1"/>
  <c r="M1437" i="1"/>
  <c r="L1438" i="1"/>
  <c r="M1438" i="1"/>
  <c r="L1439" i="1"/>
  <c r="M1439" i="1"/>
  <c r="L1440" i="1"/>
  <c r="M1440" i="1"/>
  <c r="L1441" i="1"/>
  <c r="M1441" i="1"/>
  <c r="L1442" i="1"/>
  <c r="M1442" i="1"/>
  <c r="L1443" i="1"/>
  <c r="M1443" i="1"/>
  <c r="L1444" i="1"/>
  <c r="M1444" i="1"/>
  <c r="L1445" i="1"/>
  <c r="M1445" i="1"/>
  <c r="L1446" i="1"/>
  <c r="M1446" i="1"/>
  <c r="L1447" i="1"/>
  <c r="M1447" i="1"/>
  <c r="L1448" i="1"/>
  <c r="M1448" i="1"/>
  <c r="L1449" i="1"/>
  <c r="M1449" i="1"/>
  <c r="L1450" i="1"/>
  <c r="M1450" i="1"/>
  <c r="L1451" i="1"/>
  <c r="M1451" i="1"/>
  <c r="L1452" i="1"/>
  <c r="M1452" i="1"/>
  <c r="L1453" i="1"/>
  <c r="M1453" i="1"/>
  <c r="L1454" i="1"/>
  <c r="M1454" i="1"/>
  <c r="L1455" i="1"/>
  <c r="M1455" i="1"/>
  <c r="L1456" i="1"/>
  <c r="M1456" i="1"/>
  <c r="L1457" i="1"/>
  <c r="M1457" i="1"/>
  <c r="L1458" i="1"/>
  <c r="M1458" i="1"/>
  <c r="L1459" i="1"/>
  <c r="M1459" i="1"/>
  <c r="L1460" i="1"/>
  <c r="M1460" i="1"/>
  <c r="L1461" i="1"/>
  <c r="M1461" i="1"/>
  <c r="L1462" i="1"/>
  <c r="M1462" i="1"/>
  <c r="L1463" i="1"/>
  <c r="M1463" i="1"/>
  <c r="L1464" i="1"/>
  <c r="M1464" i="1"/>
  <c r="L1465" i="1"/>
  <c r="M1465" i="1"/>
  <c r="L1466" i="1"/>
  <c r="M1466" i="1"/>
  <c r="L1467" i="1"/>
  <c r="M1467" i="1"/>
  <c r="L1468" i="1"/>
  <c r="M1468" i="1"/>
  <c r="L1469" i="1"/>
  <c r="M1469" i="1"/>
  <c r="L1470" i="1"/>
  <c r="M1470" i="1"/>
  <c r="L1471" i="1"/>
  <c r="M1471" i="1"/>
  <c r="L1472" i="1"/>
  <c r="M1472" i="1"/>
  <c r="L1473" i="1"/>
  <c r="M1473" i="1"/>
  <c r="L1474" i="1"/>
  <c r="M1474" i="1"/>
  <c r="L1475" i="1"/>
  <c r="M1475" i="1"/>
  <c r="L1476" i="1"/>
  <c r="M1476" i="1"/>
  <c r="L1477" i="1"/>
  <c r="M1477" i="1"/>
  <c r="L1478" i="1"/>
  <c r="M1478" i="1"/>
  <c r="L1479" i="1"/>
  <c r="M1479" i="1"/>
  <c r="L1480" i="1"/>
  <c r="M1480" i="1"/>
  <c r="L1481" i="1"/>
  <c r="M1481" i="1"/>
  <c r="L1482" i="1"/>
  <c r="M1482" i="1"/>
  <c r="L1483" i="1"/>
  <c r="M1483" i="1"/>
  <c r="L1484" i="1"/>
  <c r="M1484" i="1"/>
  <c r="L1485" i="1"/>
  <c r="M1485" i="1"/>
  <c r="L1486" i="1"/>
  <c r="M1486" i="1"/>
  <c r="L1487" i="1"/>
  <c r="M1487" i="1"/>
  <c r="L1488" i="1"/>
  <c r="M1488" i="1"/>
  <c r="L1489" i="1"/>
  <c r="M1489" i="1"/>
  <c r="L1490" i="1"/>
  <c r="M1490" i="1"/>
  <c r="L1491" i="1"/>
  <c r="M1491" i="1"/>
  <c r="L1492" i="1"/>
  <c r="M1492" i="1"/>
  <c r="L1493" i="1"/>
  <c r="M1493" i="1"/>
  <c r="L1494" i="1"/>
  <c r="M1494" i="1"/>
  <c r="L1495" i="1"/>
  <c r="M1495" i="1"/>
  <c r="L1496" i="1"/>
  <c r="M1496" i="1"/>
  <c r="L1497" i="1"/>
  <c r="M1497" i="1"/>
  <c r="L1498" i="1"/>
  <c r="M1498" i="1"/>
  <c r="L1499" i="1"/>
  <c r="M1499" i="1"/>
  <c r="L1500" i="1"/>
  <c r="M1500" i="1"/>
  <c r="L1501" i="1"/>
  <c r="M1501" i="1"/>
  <c r="L1502" i="1"/>
  <c r="M1502" i="1"/>
  <c r="L1503" i="1"/>
  <c r="M1503" i="1"/>
  <c r="L1504" i="1"/>
  <c r="M1504" i="1"/>
  <c r="L1505" i="1"/>
  <c r="M1505" i="1"/>
  <c r="L1506" i="1"/>
  <c r="M1506" i="1"/>
  <c r="L1507" i="1"/>
  <c r="M1507" i="1"/>
  <c r="L1508" i="1"/>
  <c r="M1508" i="1"/>
  <c r="L1509" i="1"/>
  <c r="M1509" i="1"/>
  <c r="L1510" i="1"/>
  <c r="M1510" i="1"/>
  <c r="L1511" i="1"/>
  <c r="M1511" i="1"/>
  <c r="L1512" i="1"/>
  <c r="M1512" i="1"/>
  <c r="L1513" i="1"/>
  <c r="M1513" i="1"/>
  <c r="L1514" i="1"/>
  <c r="M1514" i="1"/>
  <c r="L1515" i="1"/>
  <c r="M1515" i="1"/>
  <c r="L1516" i="1"/>
  <c r="M1516" i="1"/>
  <c r="L1517" i="1"/>
  <c r="M1517" i="1"/>
  <c r="L1518" i="1"/>
  <c r="M1518" i="1"/>
  <c r="L1519" i="1"/>
  <c r="M1519" i="1"/>
  <c r="L1520" i="1"/>
  <c r="M1520" i="1"/>
  <c r="L1521" i="1"/>
  <c r="M1521" i="1"/>
  <c r="L1522" i="1"/>
  <c r="M1522" i="1"/>
  <c r="L1523" i="1"/>
  <c r="M1523" i="1"/>
  <c r="L1524" i="1"/>
  <c r="M1524" i="1"/>
  <c r="L1525" i="1"/>
  <c r="M1525" i="1"/>
  <c r="L1526" i="1"/>
  <c r="M1526" i="1"/>
  <c r="L1527" i="1"/>
  <c r="M1527" i="1"/>
  <c r="L1528" i="1"/>
  <c r="M1528" i="1"/>
  <c r="L1529" i="1"/>
  <c r="M1529" i="1"/>
  <c r="L1530" i="1"/>
  <c r="M1530" i="1"/>
  <c r="L1531" i="1"/>
  <c r="M1531" i="1"/>
  <c r="L1532" i="1"/>
  <c r="M1532" i="1"/>
  <c r="L1533" i="1"/>
  <c r="M1533" i="1"/>
  <c r="L1534" i="1"/>
  <c r="M1534" i="1"/>
  <c r="L1535" i="1"/>
  <c r="M1535" i="1"/>
  <c r="L1536" i="1"/>
  <c r="M1536" i="1"/>
  <c r="L1537" i="1"/>
  <c r="M1537" i="1"/>
  <c r="L1538" i="1"/>
  <c r="M1538" i="1"/>
  <c r="L1539" i="1"/>
  <c r="M1539" i="1"/>
  <c r="L1540" i="1"/>
  <c r="M1540" i="1"/>
  <c r="L1541" i="1"/>
  <c r="M1541" i="1"/>
  <c r="L1542" i="1"/>
  <c r="M1542" i="1"/>
  <c r="L1543" i="1"/>
  <c r="M1543" i="1"/>
  <c r="L1544" i="1"/>
  <c r="M1544" i="1"/>
  <c r="L1545" i="1"/>
  <c r="M1545" i="1"/>
  <c r="L1546" i="1"/>
  <c r="M1546" i="1"/>
  <c r="L1547" i="1"/>
  <c r="M1547" i="1"/>
  <c r="L1548" i="1"/>
  <c r="M1548" i="1"/>
  <c r="L1549" i="1"/>
  <c r="M1549" i="1"/>
  <c r="L1550" i="1"/>
  <c r="M1550" i="1"/>
  <c r="L1551" i="1"/>
  <c r="M1551" i="1"/>
  <c r="L1552" i="1"/>
  <c r="M1552" i="1"/>
  <c r="L1553" i="1"/>
  <c r="M1553" i="1"/>
  <c r="L1554" i="1"/>
  <c r="M1554" i="1"/>
  <c r="L1555" i="1"/>
  <c r="M1555" i="1"/>
  <c r="L1556" i="1"/>
  <c r="M1556" i="1"/>
  <c r="L1557" i="1"/>
  <c r="M1557" i="1"/>
  <c r="L1558" i="1"/>
  <c r="M1558" i="1"/>
  <c r="L1559" i="1"/>
  <c r="M1559" i="1"/>
  <c r="L1560" i="1"/>
  <c r="M1560" i="1"/>
  <c r="L1561" i="1"/>
  <c r="M1561" i="1"/>
  <c r="L1562" i="1"/>
  <c r="M1562" i="1"/>
  <c r="L1563" i="1"/>
  <c r="M1563" i="1"/>
  <c r="L1564" i="1"/>
  <c r="M1564" i="1"/>
  <c r="L1565" i="1"/>
  <c r="M1565" i="1"/>
  <c r="L1566" i="1"/>
  <c r="M1566" i="1"/>
  <c r="L1567" i="1"/>
  <c r="M1567" i="1"/>
  <c r="L1568" i="1"/>
  <c r="M1568" i="1"/>
  <c r="L1569" i="1"/>
  <c r="M1569" i="1"/>
  <c r="L1570" i="1"/>
  <c r="M1570" i="1"/>
  <c r="L1571" i="1"/>
  <c r="M1571" i="1"/>
  <c r="L1572" i="1"/>
  <c r="M1572" i="1"/>
  <c r="L1573" i="1"/>
  <c r="M1573" i="1"/>
  <c r="L1574" i="1"/>
  <c r="M1574" i="1"/>
  <c r="L1575" i="1"/>
  <c r="M1575" i="1"/>
  <c r="L1576" i="1"/>
  <c r="M1576" i="1"/>
  <c r="L1577" i="1"/>
  <c r="M1577" i="1"/>
  <c r="L1578" i="1"/>
  <c r="M1578" i="1"/>
  <c r="L1579" i="1"/>
  <c r="M1579" i="1"/>
  <c r="L1580" i="1"/>
  <c r="M1580" i="1"/>
  <c r="L1581" i="1"/>
  <c r="M1581" i="1"/>
  <c r="L1582" i="1"/>
  <c r="M1582" i="1"/>
  <c r="L1583" i="1"/>
  <c r="M1583" i="1"/>
  <c r="L1584" i="1"/>
  <c r="M1584" i="1"/>
  <c r="L1585" i="1"/>
  <c r="M1585" i="1"/>
  <c r="L1586" i="1"/>
  <c r="M1586" i="1"/>
  <c r="L1587" i="1"/>
  <c r="M1587" i="1"/>
  <c r="L1588" i="1"/>
  <c r="M1588" i="1"/>
  <c r="L1589" i="1"/>
  <c r="M1589" i="1"/>
  <c r="L1590" i="1"/>
  <c r="M1590" i="1"/>
  <c r="L1591" i="1"/>
  <c r="M1591" i="1"/>
  <c r="L1592" i="1"/>
  <c r="M1592" i="1"/>
  <c r="L1593" i="1"/>
  <c r="M1593" i="1"/>
  <c r="L1594" i="1"/>
  <c r="M1594" i="1"/>
  <c r="L1595" i="1"/>
  <c r="M1595" i="1"/>
  <c r="L1596" i="1"/>
  <c r="M1596" i="1"/>
  <c r="L1597" i="1"/>
  <c r="M1597" i="1"/>
  <c r="L1598" i="1"/>
  <c r="M1598" i="1"/>
  <c r="L1599" i="1"/>
  <c r="M1599" i="1"/>
  <c r="L1600" i="1"/>
  <c r="M1600" i="1"/>
  <c r="L1601" i="1"/>
  <c r="M1601" i="1"/>
  <c r="L1602" i="1"/>
  <c r="M1602" i="1"/>
  <c r="L1603" i="1"/>
  <c r="M1603" i="1"/>
  <c r="L1604" i="1"/>
  <c r="M1604" i="1"/>
  <c r="L1605" i="1"/>
  <c r="M1605" i="1"/>
  <c r="L1606" i="1"/>
  <c r="M1606" i="1"/>
  <c r="L1607" i="1"/>
  <c r="M1607" i="1"/>
  <c r="L1608" i="1"/>
  <c r="M1608" i="1"/>
  <c r="L1609" i="1"/>
  <c r="M1609" i="1"/>
  <c r="L1610" i="1"/>
  <c r="M1610" i="1"/>
  <c r="L1611" i="1"/>
  <c r="M1611" i="1"/>
  <c r="L1612" i="1"/>
  <c r="M1612" i="1"/>
  <c r="L1613" i="1"/>
  <c r="M1613" i="1"/>
  <c r="L1614" i="1"/>
  <c r="M1614" i="1"/>
  <c r="L1615" i="1"/>
  <c r="M1615" i="1"/>
  <c r="L1616" i="1"/>
  <c r="M1616" i="1"/>
  <c r="L1617" i="1"/>
  <c r="M1617" i="1"/>
  <c r="L1618" i="1"/>
  <c r="M1618" i="1"/>
  <c r="L1619" i="1"/>
  <c r="M1619" i="1"/>
  <c r="L1620" i="1"/>
  <c r="M1620" i="1"/>
  <c r="L1621" i="1"/>
  <c r="M1621" i="1"/>
  <c r="L1622" i="1"/>
  <c r="M1622" i="1"/>
  <c r="L1623" i="1"/>
  <c r="M1623" i="1"/>
  <c r="L1624" i="1"/>
  <c r="M1624" i="1"/>
  <c r="L1625" i="1"/>
  <c r="M1625" i="1"/>
  <c r="L1626" i="1"/>
  <c r="M1626" i="1"/>
  <c r="L1627" i="1"/>
  <c r="M1627" i="1"/>
  <c r="L1628" i="1"/>
  <c r="M1628" i="1"/>
  <c r="L1629" i="1"/>
  <c r="M1629" i="1"/>
  <c r="L1630" i="1"/>
  <c r="M1630" i="1"/>
  <c r="L1631" i="1"/>
  <c r="M1631" i="1"/>
  <c r="L1632" i="1"/>
  <c r="M1632" i="1"/>
  <c r="L1633" i="1"/>
  <c r="M1633" i="1"/>
  <c r="L1634" i="1"/>
  <c r="M1634" i="1"/>
  <c r="L1635" i="1"/>
  <c r="M1635" i="1"/>
  <c r="L1636" i="1"/>
  <c r="M1636" i="1"/>
  <c r="L1637" i="1"/>
  <c r="M1637" i="1"/>
  <c r="L1638" i="1"/>
  <c r="M1638" i="1"/>
  <c r="L1639" i="1"/>
  <c r="M1639" i="1"/>
  <c r="L1640" i="1"/>
  <c r="M1640" i="1"/>
  <c r="L1641" i="1"/>
  <c r="M1641" i="1"/>
  <c r="L1642" i="1"/>
  <c r="M1642" i="1"/>
  <c r="L1643" i="1"/>
  <c r="M1643" i="1"/>
  <c r="L1644" i="1"/>
  <c r="M1644" i="1"/>
  <c r="L1645" i="1"/>
  <c r="M1645" i="1"/>
  <c r="L1646" i="1"/>
  <c r="M1646" i="1"/>
  <c r="L1647" i="1"/>
  <c r="M1647" i="1"/>
  <c r="L1648" i="1"/>
  <c r="M1648" i="1"/>
  <c r="L1649" i="1"/>
  <c r="M1649" i="1"/>
  <c r="L1650" i="1"/>
  <c r="M1650" i="1"/>
  <c r="L1651" i="1"/>
  <c r="M1651" i="1"/>
  <c r="L1652" i="1"/>
  <c r="M1652" i="1"/>
  <c r="L1653" i="1"/>
  <c r="M1653" i="1"/>
  <c r="L1654" i="1"/>
  <c r="M1654" i="1"/>
  <c r="L1655" i="1"/>
  <c r="M1655" i="1"/>
  <c r="L1656" i="1"/>
  <c r="M1656" i="1"/>
  <c r="L1657" i="1"/>
  <c r="M1657" i="1"/>
  <c r="L1658" i="1"/>
  <c r="M1658" i="1"/>
  <c r="L1659" i="1"/>
  <c r="M1659" i="1"/>
  <c r="L1660" i="1"/>
  <c r="M1660" i="1"/>
  <c r="L1661" i="1"/>
  <c r="M1661" i="1"/>
  <c r="L1662" i="1"/>
  <c r="M1662" i="1"/>
  <c r="L1663" i="1"/>
  <c r="M1663" i="1"/>
  <c r="L1664" i="1"/>
  <c r="M1664" i="1"/>
  <c r="L1665" i="1"/>
  <c r="M1665" i="1"/>
  <c r="L1666" i="1"/>
  <c r="M1666" i="1"/>
  <c r="L1667" i="1"/>
  <c r="M1667" i="1"/>
  <c r="L1668" i="1"/>
  <c r="M1668" i="1"/>
  <c r="L1669" i="1"/>
  <c r="M1669" i="1"/>
  <c r="L1670" i="1"/>
  <c r="M1670" i="1"/>
  <c r="L1671" i="1"/>
  <c r="M1671" i="1"/>
  <c r="L1672" i="1"/>
  <c r="M1672" i="1"/>
  <c r="L1673" i="1"/>
  <c r="M1673" i="1"/>
  <c r="L1674" i="1"/>
  <c r="M1674" i="1"/>
  <c r="L1675" i="1"/>
  <c r="M1675" i="1"/>
  <c r="L1676" i="1"/>
  <c r="M1676" i="1"/>
  <c r="L1677" i="1"/>
  <c r="M1677" i="1"/>
  <c r="L1678" i="1"/>
  <c r="M1678" i="1"/>
  <c r="L1679" i="1"/>
  <c r="M1679" i="1"/>
  <c r="L1680" i="1"/>
  <c r="M1680" i="1"/>
  <c r="L1681" i="1"/>
  <c r="M1681" i="1"/>
  <c r="L1682" i="1"/>
  <c r="M1682" i="1"/>
  <c r="L1683" i="1"/>
  <c r="M1683" i="1"/>
  <c r="L1684" i="1"/>
  <c r="M1684" i="1"/>
  <c r="L1685" i="1"/>
  <c r="M1685" i="1"/>
  <c r="L1686" i="1"/>
  <c r="M1686" i="1"/>
  <c r="L1687" i="1"/>
  <c r="M1687" i="1"/>
  <c r="L1688" i="1"/>
  <c r="M1688" i="1"/>
  <c r="L1689" i="1"/>
  <c r="M1689" i="1"/>
  <c r="L1690" i="1"/>
  <c r="M1690" i="1"/>
  <c r="L1691" i="1"/>
  <c r="M1691" i="1"/>
  <c r="L1692" i="1"/>
  <c r="M1692" i="1"/>
  <c r="L1693" i="1"/>
  <c r="M1693" i="1"/>
  <c r="L1694" i="1"/>
  <c r="M1694" i="1"/>
  <c r="L1695" i="1"/>
  <c r="M1695" i="1"/>
  <c r="L1696" i="1"/>
  <c r="M1696" i="1"/>
  <c r="L1697" i="1"/>
  <c r="M1697" i="1"/>
  <c r="L1698" i="1"/>
  <c r="M1698" i="1"/>
  <c r="L1699" i="1"/>
  <c r="M1699" i="1"/>
  <c r="L1700" i="1"/>
  <c r="M1700" i="1"/>
  <c r="L1701" i="1"/>
  <c r="M1701" i="1"/>
  <c r="L1702" i="1"/>
  <c r="M1702" i="1"/>
  <c r="L1703" i="1"/>
  <c r="M1703" i="1"/>
  <c r="L1704" i="1"/>
  <c r="M1704" i="1"/>
  <c r="L1705" i="1"/>
  <c r="M1705" i="1"/>
  <c r="L1706" i="1"/>
  <c r="M1706" i="1"/>
  <c r="L1707" i="1"/>
  <c r="M1707" i="1"/>
  <c r="L1708" i="1"/>
  <c r="M1708" i="1"/>
  <c r="L1709" i="1"/>
  <c r="M1709" i="1"/>
  <c r="L1710" i="1"/>
  <c r="M1710" i="1"/>
  <c r="L1711" i="1"/>
  <c r="M1711" i="1"/>
  <c r="L1712" i="1"/>
  <c r="M1712" i="1"/>
  <c r="L1713" i="1"/>
  <c r="M1713" i="1"/>
  <c r="L1714" i="1"/>
  <c r="M1714" i="1"/>
  <c r="L1715" i="1"/>
  <c r="M1715" i="1"/>
  <c r="L1716" i="1"/>
  <c r="M1716" i="1"/>
  <c r="L1717" i="1"/>
  <c r="M1717" i="1"/>
  <c r="L1718" i="1"/>
  <c r="M1718" i="1"/>
  <c r="L1719" i="1"/>
  <c r="M1719" i="1"/>
  <c r="L1720" i="1"/>
  <c r="M1720" i="1"/>
  <c r="L1721" i="1"/>
  <c r="M1721" i="1"/>
  <c r="L1722" i="1"/>
  <c r="M1722" i="1"/>
  <c r="L1723" i="1"/>
  <c r="M1723" i="1"/>
  <c r="L1724" i="1"/>
  <c r="M1724" i="1"/>
  <c r="L1725" i="1"/>
  <c r="M1725" i="1"/>
  <c r="L1726" i="1"/>
  <c r="M1726" i="1"/>
  <c r="L1727" i="1"/>
  <c r="M1727" i="1"/>
  <c r="L1728" i="1"/>
  <c r="M1728" i="1"/>
  <c r="L1729" i="1"/>
  <c r="M1729" i="1"/>
  <c r="L1730" i="1"/>
  <c r="M1730" i="1"/>
  <c r="L1731" i="1"/>
  <c r="M1731" i="1"/>
  <c r="L1732" i="1"/>
  <c r="M1732" i="1"/>
  <c r="L1733" i="1"/>
  <c r="M1733" i="1"/>
  <c r="L1734" i="1"/>
  <c r="M1734" i="1"/>
  <c r="L1735" i="1"/>
  <c r="M1735" i="1"/>
  <c r="L1736" i="1"/>
  <c r="M1736" i="1"/>
  <c r="L1737" i="1"/>
  <c r="M1737" i="1"/>
  <c r="L1738" i="1"/>
  <c r="M1738" i="1"/>
  <c r="L1739" i="1"/>
  <c r="M1739" i="1"/>
  <c r="L1740" i="1"/>
  <c r="M1740" i="1"/>
  <c r="L1741" i="1"/>
  <c r="M1741" i="1"/>
  <c r="L1742" i="1"/>
  <c r="M1742" i="1"/>
  <c r="L1743" i="1"/>
  <c r="M1743" i="1"/>
  <c r="L1744" i="1"/>
  <c r="M1744" i="1"/>
  <c r="L1745" i="1"/>
  <c r="M1745" i="1"/>
  <c r="L1746" i="1"/>
  <c r="M1746" i="1"/>
  <c r="L1747" i="1"/>
  <c r="M1747" i="1"/>
  <c r="L1748" i="1"/>
  <c r="M1748" i="1"/>
  <c r="L1749" i="1"/>
  <c r="M1749" i="1"/>
  <c r="L1750" i="1"/>
  <c r="M1750" i="1"/>
  <c r="L1751" i="1"/>
  <c r="M1751" i="1"/>
  <c r="L1752" i="1"/>
  <c r="M1752" i="1"/>
  <c r="L1753" i="1"/>
  <c r="M1753" i="1"/>
  <c r="L1754" i="1"/>
  <c r="M1754" i="1"/>
  <c r="L1755" i="1"/>
  <c r="M1755" i="1"/>
  <c r="L1756" i="1"/>
  <c r="M1756" i="1"/>
  <c r="L1757" i="1"/>
  <c r="M1757" i="1"/>
  <c r="L1758" i="1"/>
  <c r="M1758" i="1"/>
  <c r="L1759" i="1"/>
  <c r="M1759" i="1"/>
  <c r="L1760" i="1"/>
  <c r="M1760" i="1"/>
  <c r="L1761" i="1"/>
  <c r="M1761" i="1"/>
  <c r="L1762" i="1"/>
  <c r="M1762" i="1"/>
  <c r="L1763" i="1"/>
  <c r="M1763" i="1"/>
  <c r="L1764" i="1"/>
  <c r="M1764" i="1"/>
  <c r="L1765" i="1"/>
  <c r="M1765" i="1"/>
  <c r="L1766" i="1"/>
  <c r="M1766" i="1"/>
  <c r="L1767" i="1"/>
  <c r="M1767" i="1"/>
  <c r="L1768" i="1"/>
  <c r="M1768" i="1"/>
  <c r="L1769" i="1"/>
  <c r="M1769" i="1"/>
  <c r="L1770" i="1"/>
  <c r="M1770" i="1"/>
  <c r="L1771" i="1"/>
  <c r="M1771" i="1"/>
  <c r="L1772" i="1"/>
  <c r="M1772" i="1"/>
  <c r="L1773" i="1"/>
  <c r="M1773" i="1"/>
  <c r="L1774" i="1"/>
  <c r="M1774" i="1"/>
  <c r="L1775" i="1"/>
  <c r="M1775" i="1"/>
  <c r="L1776" i="1"/>
  <c r="M1776" i="1"/>
  <c r="L1777" i="1"/>
  <c r="M1777" i="1"/>
  <c r="L1778" i="1"/>
  <c r="M1778" i="1"/>
  <c r="L1779" i="1"/>
  <c r="M1779" i="1"/>
  <c r="L1780" i="1"/>
  <c r="M1780" i="1"/>
  <c r="L1781" i="1"/>
  <c r="M1781" i="1"/>
  <c r="L1782" i="1"/>
  <c r="M1782" i="1"/>
  <c r="L1783" i="1"/>
  <c r="M1783" i="1"/>
  <c r="L1784" i="1"/>
  <c r="M1784" i="1"/>
  <c r="L1785" i="1"/>
  <c r="M1785" i="1"/>
  <c r="L1786" i="1"/>
  <c r="M1786" i="1"/>
  <c r="L1787" i="1"/>
  <c r="M1787" i="1"/>
  <c r="L1788" i="1"/>
  <c r="M1788" i="1"/>
  <c r="L1789" i="1"/>
  <c r="M1789" i="1"/>
  <c r="L1790" i="1"/>
  <c r="M1790" i="1"/>
  <c r="L1791" i="1"/>
  <c r="M1791" i="1"/>
  <c r="L1792" i="1"/>
  <c r="M1792" i="1"/>
  <c r="L1793" i="1"/>
  <c r="M1793" i="1"/>
  <c r="L1794" i="1"/>
  <c r="M1794" i="1"/>
  <c r="L1795" i="1"/>
  <c r="M1795" i="1"/>
  <c r="L1796" i="1"/>
  <c r="M1796" i="1"/>
  <c r="L1797" i="1"/>
  <c r="M1797" i="1"/>
  <c r="L1798" i="1"/>
  <c r="M1798" i="1"/>
  <c r="L1799" i="1"/>
  <c r="M1799" i="1"/>
  <c r="L1800" i="1"/>
  <c r="M1800" i="1"/>
  <c r="L1801" i="1"/>
  <c r="M1801" i="1"/>
  <c r="L1802" i="1"/>
  <c r="M1802" i="1"/>
  <c r="L1803" i="1"/>
  <c r="M1803" i="1"/>
  <c r="L1804" i="1"/>
  <c r="M1804" i="1"/>
  <c r="L1805" i="1"/>
  <c r="M1805" i="1"/>
  <c r="L1806" i="1"/>
  <c r="M1806" i="1"/>
  <c r="L1807" i="1"/>
  <c r="M1807" i="1"/>
  <c r="L1808" i="1"/>
  <c r="M1808" i="1"/>
  <c r="L1809" i="1"/>
  <c r="M1809" i="1"/>
  <c r="L1810" i="1"/>
  <c r="M1810" i="1"/>
  <c r="L1811" i="1"/>
  <c r="M1811" i="1"/>
  <c r="L1812" i="1"/>
  <c r="M1812" i="1"/>
  <c r="L1813" i="1"/>
  <c r="M1813" i="1"/>
  <c r="L1814" i="1"/>
  <c r="M1814" i="1"/>
  <c r="L1815" i="1"/>
  <c r="M1815" i="1"/>
  <c r="L1816" i="1"/>
  <c r="M1816" i="1"/>
  <c r="L1817" i="1"/>
  <c r="M1817" i="1"/>
  <c r="L1818" i="1"/>
  <c r="M1818" i="1"/>
  <c r="L1819" i="1"/>
  <c r="M1819" i="1"/>
  <c r="L1820" i="1"/>
  <c r="M1820" i="1"/>
  <c r="L1821" i="1"/>
  <c r="M1821" i="1"/>
  <c r="L1822" i="1"/>
  <c r="M1822" i="1"/>
  <c r="L1823" i="1"/>
  <c r="M1823" i="1"/>
  <c r="L1824" i="1"/>
  <c r="M1824" i="1"/>
  <c r="L1825" i="1"/>
  <c r="M1825" i="1"/>
  <c r="L1826" i="1"/>
  <c r="M1826" i="1"/>
  <c r="L1827" i="1"/>
  <c r="M1827" i="1"/>
  <c r="L1828" i="1"/>
  <c r="M1828" i="1"/>
  <c r="L1829" i="1"/>
  <c r="M1829" i="1"/>
  <c r="L1830" i="1"/>
  <c r="M1830" i="1"/>
  <c r="L1831" i="1"/>
  <c r="M1831" i="1"/>
  <c r="L1832" i="1"/>
  <c r="M1832" i="1"/>
  <c r="L1833" i="1"/>
  <c r="M1833" i="1"/>
  <c r="L1834" i="1"/>
  <c r="M1834" i="1"/>
  <c r="L1835" i="1"/>
  <c r="M1835" i="1"/>
  <c r="L1836" i="1"/>
  <c r="M1836" i="1"/>
  <c r="L1837" i="1"/>
  <c r="M1837" i="1"/>
  <c r="L1838" i="1"/>
  <c r="M1838" i="1"/>
  <c r="L1839" i="1"/>
  <c r="M1839" i="1"/>
  <c r="L1840" i="1"/>
  <c r="M1840" i="1"/>
  <c r="L1841" i="1"/>
  <c r="M1841" i="1"/>
  <c r="L1842" i="1"/>
  <c r="M1842" i="1"/>
  <c r="L1843" i="1"/>
  <c r="M1843" i="1"/>
  <c r="L1844" i="1"/>
  <c r="M1844" i="1"/>
  <c r="L1845" i="1"/>
  <c r="M1845" i="1"/>
  <c r="L1846" i="1"/>
  <c r="M1846" i="1"/>
  <c r="L1847" i="1"/>
  <c r="M1847" i="1"/>
  <c r="L1848" i="1"/>
  <c r="M1848" i="1"/>
  <c r="L1849" i="1"/>
  <c r="M1849" i="1"/>
  <c r="L1850" i="1"/>
  <c r="M1850" i="1"/>
  <c r="L1851" i="1"/>
  <c r="M1851" i="1"/>
  <c r="L1852" i="1"/>
  <c r="M1852" i="1"/>
  <c r="L1853" i="1"/>
  <c r="M1853" i="1"/>
  <c r="L1854" i="1"/>
  <c r="M1854" i="1"/>
  <c r="L1855" i="1"/>
  <c r="M1855" i="1"/>
  <c r="L1856" i="1"/>
  <c r="M1856" i="1"/>
  <c r="L1857" i="1"/>
  <c r="M1857" i="1"/>
  <c r="L1858" i="1"/>
  <c r="M1858" i="1"/>
  <c r="L1859" i="1"/>
  <c r="M1859" i="1"/>
  <c r="L1860" i="1"/>
  <c r="M1860" i="1"/>
  <c r="L1861" i="1"/>
  <c r="M1861" i="1"/>
  <c r="L1862" i="1"/>
  <c r="M1862" i="1"/>
  <c r="L1863" i="1"/>
  <c r="M1863" i="1"/>
  <c r="L1864" i="1"/>
  <c r="M1864" i="1"/>
  <c r="L1865" i="1"/>
  <c r="M1865" i="1"/>
  <c r="L1866" i="1"/>
  <c r="M1866" i="1"/>
  <c r="L1867" i="1"/>
  <c r="M1867" i="1"/>
  <c r="L1868" i="1"/>
  <c r="M1868" i="1"/>
  <c r="L1869" i="1"/>
  <c r="M1869" i="1"/>
  <c r="L1870" i="1"/>
  <c r="M1870" i="1"/>
  <c r="L1871" i="1"/>
  <c r="M1871" i="1"/>
  <c r="L1872" i="1"/>
  <c r="M1872" i="1"/>
  <c r="L1873" i="1"/>
  <c r="M1873" i="1"/>
  <c r="L1874" i="1"/>
  <c r="M1874" i="1"/>
  <c r="L1875" i="1"/>
  <c r="M1875" i="1"/>
  <c r="L1876" i="1"/>
  <c r="M1876" i="1"/>
  <c r="L1877" i="1"/>
  <c r="M1877" i="1"/>
  <c r="L1878" i="1"/>
  <c r="M1878" i="1"/>
  <c r="L1879" i="1"/>
  <c r="M1879" i="1"/>
  <c r="L1880" i="1"/>
  <c r="M1880" i="1"/>
  <c r="L1881" i="1"/>
  <c r="M1881" i="1"/>
  <c r="L1882" i="1"/>
  <c r="M1882" i="1"/>
  <c r="L1883" i="1"/>
  <c r="M1883" i="1"/>
  <c r="L1884" i="1"/>
  <c r="M1884" i="1"/>
  <c r="L1885" i="1"/>
  <c r="M1885" i="1"/>
  <c r="L1886" i="1"/>
  <c r="M1886" i="1"/>
  <c r="L1887" i="1"/>
  <c r="M1887" i="1"/>
  <c r="L1888" i="1"/>
  <c r="M1888" i="1"/>
  <c r="L1889" i="1"/>
  <c r="M1889" i="1"/>
  <c r="L1890" i="1"/>
  <c r="M1890" i="1"/>
  <c r="L1891" i="1"/>
  <c r="M1891" i="1"/>
  <c r="L1892" i="1"/>
  <c r="M1892" i="1"/>
  <c r="L1893" i="1"/>
  <c r="M1893" i="1"/>
  <c r="L1894" i="1"/>
  <c r="M1894" i="1"/>
  <c r="L1895" i="1"/>
  <c r="M1895" i="1"/>
  <c r="L1896" i="1"/>
  <c r="M1896" i="1"/>
  <c r="L1897" i="1"/>
  <c r="M1897" i="1"/>
  <c r="L1898" i="1"/>
  <c r="M1898" i="1"/>
  <c r="L1899" i="1"/>
  <c r="M1899" i="1"/>
  <c r="L1900" i="1"/>
  <c r="M1900" i="1"/>
  <c r="L1901" i="1"/>
  <c r="M1901" i="1"/>
  <c r="L1902" i="1"/>
  <c r="M1902" i="1"/>
  <c r="L1903" i="1"/>
  <c r="M1903" i="1"/>
  <c r="L1904" i="1"/>
  <c r="M1904" i="1"/>
  <c r="L1905" i="1"/>
  <c r="M1905" i="1"/>
  <c r="L1906" i="1"/>
  <c r="M1906" i="1"/>
  <c r="L1907" i="1"/>
  <c r="M1907" i="1"/>
  <c r="L1908" i="1"/>
  <c r="M1908" i="1"/>
  <c r="L1909" i="1"/>
  <c r="M1909" i="1"/>
  <c r="L1910" i="1"/>
  <c r="M1910" i="1"/>
  <c r="L1911" i="1"/>
  <c r="M1911" i="1"/>
  <c r="L1912" i="1"/>
  <c r="M1912" i="1"/>
  <c r="L1913" i="1"/>
  <c r="M1913" i="1"/>
  <c r="L1914" i="1"/>
  <c r="M1914" i="1"/>
  <c r="L1915" i="1"/>
  <c r="M1915" i="1"/>
  <c r="L1916" i="1"/>
  <c r="M1916" i="1"/>
  <c r="L1917" i="1"/>
  <c r="M1917" i="1"/>
  <c r="L1918" i="1"/>
  <c r="M1918" i="1"/>
  <c r="L1919" i="1"/>
  <c r="M1919" i="1"/>
  <c r="L1920" i="1"/>
  <c r="M1920" i="1"/>
  <c r="L1921" i="1"/>
  <c r="M1921" i="1"/>
  <c r="L1922" i="1"/>
  <c r="M1922" i="1"/>
  <c r="L1923" i="1"/>
  <c r="M1923" i="1"/>
  <c r="L1924" i="1"/>
  <c r="M1924" i="1"/>
  <c r="L1925" i="1"/>
  <c r="M1925" i="1"/>
  <c r="L1926" i="1"/>
  <c r="M1926" i="1"/>
  <c r="L1927" i="1"/>
  <c r="M1927" i="1"/>
  <c r="L1928" i="1"/>
  <c r="M1928" i="1"/>
  <c r="L1929" i="1"/>
  <c r="M1929" i="1"/>
  <c r="L1930" i="1"/>
  <c r="M1930" i="1"/>
  <c r="L1931" i="1"/>
  <c r="M1931" i="1"/>
  <c r="L1932" i="1"/>
  <c r="M1932" i="1"/>
  <c r="L1933" i="1"/>
  <c r="M1933" i="1"/>
  <c r="L1934" i="1"/>
  <c r="M1934" i="1"/>
  <c r="L1935" i="1"/>
  <c r="M1935" i="1"/>
  <c r="L1936" i="1"/>
  <c r="M1936" i="1"/>
  <c r="L1937" i="1"/>
  <c r="M1937" i="1"/>
  <c r="L1938" i="1"/>
  <c r="M1938" i="1"/>
  <c r="L1939" i="1"/>
  <c r="M1939" i="1"/>
  <c r="L1940" i="1"/>
  <c r="M1940" i="1"/>
  <c r="L1941" i="1"/>
  <c r="M1941" i="1"/>
  <c r="L1942" i="1"/>
  <c r="M1942" i="1"/>
  <c r="L1943" i="1"/>
  <c r="M1943" i="1"/>
  <c r="L1944" i="1"/>
  <c r="M1944" i="1"/>
  <c r="L1945" i="1"/>
  <c r="M1945" i="1"/>
  <c r="L1946" i="1"/>
  <c r="M1946" i="1"/>
  <c r="L1947" i="1"/>
  <c r="M1947" i="1"/>
  <c r="L1948" i="1"/>
  <c r="M1948" i="1"/>
  <c r="L1949" i="1"/>
  <c r="M1949" i="1"/>
  <c r="L1950" i="1"/>
  <c r="M1950" i="1"/>
  <c r="L1951" i="1"/>
  <c r="M1951" i="1"/>
  <c r="L1952" i="1"/>
  <c r="M1952" i="1"/>
  <c r="L1953" i="1"/>
  <c r="M1953" i="1"/>
  <c r="L1954" i="1"/>
  <c r="M1954" i="1"/>
  <c r="L1955" i="1"/>
  <c r="M1955" i="1"/>
  <c r="L1956" i="1"/>
  <c r="M1956" i="1"/>
  <c r="L1957" i="1"/>
  <c r="M1957" i="1"/>
  <c r="L1958" i="1"/>
  <c r="M1958" i="1"/>
  <c r="L1959" i="1"/>
  <c r="M1959" i="1"/>
  <c r="L1960" i="1"/>
  <c r="M1960" i="1"/>
  <c r="L1961" i="1"/>
  <c r="M1961" i="1"/>
  <c r="L1962" i="1"/>
  <c r="M1962" i="1"/>
  <c r="L1963" i="1"/>
  <c r="M1963" i="1"/>
  <c r="L1964" i="1"/>
  <c r="M1964" i="1"/>
  <c r="L1965" i="1"/>
  <c r="M1965" i="1"/>
  <c r="L1966" i="1"/>
  <c r="M1966" i="1"/>
  <c r="L1967" i="1"/>
  <c r="M1967" i="1"/>
  <c r="L1968" i="1"/>
  <c r="M1968" i="1"/>
  <c r="L1969" i="1"/>
  <c r="M1969" i="1"/>
  <c r="L1970" i="1"/>
  <c r="M1970" i="1"/>
  <c r="L1971" i="1"/>
  <c r="M1971" i="1"/>
  <c r="L1972" i="1"/>
  <c r="M1972" i="1"/>
  <c r="L1973" i="1"/>
  <c r="M1973" i="1"/>
  <c r="L1974" i="1"/>
  <c r="M1974" i="1"/>
  <c r="L1975" i="1"/>
  <c r="M1975" i="1"/>
  <c r="L1976" i="1"/>
  <c r="M1976" i="1"/>
  <c r="L1977" i="1"/>
  <c r="M1977" i="1"/>
  <c r="L1978" i="1"/>
  <c r="M1978" i="1"/>
  <c r="L1979" i="1"/>
  <c r="M1979" i="1"/>
  <c r="L1980" i="1"/>
  <c r="M1980" i="1"/>
  <c r="L1981" i="1"/>
  <c r="M1981" i="1"/>
  <c r="L1982" i="1"/>
  <c r="M1982" i="1"/>
  <c r="L1983" i="1"/>
  <c r="M1983" i="1"/>
  <c r="L1984" i="1"/>
  <c r="M1984" i="1"/>
  <c r="L1985" i="1"/>
  <c r="M1985" i="1"/>
  <c r="L1986" i="1"/>
  <c r="M1986" i="1"/>
  <c r="L1987" i="1"/>
  <c r="M1987" i="1"/>
  <c r="L1988" i="1"/>
  <c r="M1988" i="1"/>
  <c r="L1989" i="1"/>
  <c r="M1989" i="1"/>
  <c r="L1990" i="1"/>
  <c r="M1990" i="1"/>
  <c r="L1991" i="1"/>
  <c r="M1991" i="1"/>
  <c r="L1992" i="1"/>
  <c r="M1992" i="1"/>
  <c r="L1993" i="1"/>
  <c r="M1993" i="1"/>
  <c r="L1994" i="1"/>
  <c r="M1994" i="1"/>
  <c r="L1995" i="1"/>
  <c r="M1995" i="1"/>
  <c r="L1996" i="1"/>
  <c r="M1996" i="1"/>
  <c r="L1997" i="1"/>
  <c r="M1997" i="1"/>
  <c r="L1998" i="1"/>
  <c r="M1998" i="1"/>
  <c r="L1999" i="1"/>
  <c r="M1999" i="1"/>
  <c r="L2000" i="1"/>
  <c r="M2000" i="1"/>
  <c r="L2001" i="1"/>
  <c r="M2001" i="1"/>
  <c r="L2002" i="1"/>
  <c r="M2002" i="1"/>
  <c r="L2003" i="1"/>
  <c r="M2003" i="1"/>
  <c r="L2004" i="1"/>
  <c r="M2004" i="1"/>
  <c r="L2005" i="1"/>
  <c r="M2005" i="1"/>
  <c r="L2006" i="1"/>
  <c r="M2006" i="1"/>
  <c r="L2007" i="1"/>
  <c r="M2007" i="1"/>
  <c r="L2008" i="1"/>
  <c r="M2008" i="1"/>
  <c r="L2009" i="1"/>
  <c r="M2009" i="1"/>
  <c r="L2010" i="1"/>
  <c r="M2010" i="1"/>
  <c r="L2011" i="1"/>
  <c r="M2011" i="1"/>
  <c r="L2012" i="1"/>
  <c r="M2012" i="1"/>
  <c r="L2013" i="1"/>
  <c r="M2013" i="1"/>
  <c r="L2014" i="1"/>
  <c r="M2014" i="1"/>
  <c r="L2015" i="1"/>
  <c r="M2015" i="1"/>
  <c r="L2016" i="1"/>
  <c r="M2016" i="1"/>
  <c r="L2017" i="1"/>
  <c r="M2017" i="1"/>
  <c r="L2018" i="1"/>
  <c r="M2018" i="1"/>
  <c r="L2019" i="1"/>
  <c r="M2019" i="1"/>
  <c r="L2020" i="1"/>
  <c r="M2020" i="1"/>
  <c r="L2021" i="1"/>
  <c r="M2021" i="1"/>
  <c r="L2022" i="1"/>
  <c r="M2022" i="1"/>
  <c r="L2023" i="1"/>
  <c r="M2023" i="1"/>
  <c r="L2024" i="1"/>
  <c r="M2024" i="1"/>
  <c r="L2025" i="1"/>
  <c r="M2025" i="1"/>
  <c r="L2026" i="1"/>
  <c r="M2026" i="1"/>
  <c r="L2027" i="1"/>
  <c r="M2027" i="1"/>
  <c r="L2028" i="1"/>
  <c r="M2028" i="1"/>
  <c r="L2029" i="1"/>
  <c r="M2029" i="1"/>
  <c r="L2030" i="1"/>
  <c r="M2030" i="1"/>
  <c r="L2031" i="1"/>
  <c r="M2031" i="1"/>
  <c r="L2032" i="1"/>
  <c r="M2032" i="1"/>
  <c r="L2033" i="1"/>
  <c r="M2033" i="1"/>
  <c r="L2034" i="1"/>
  <c r="M2034" i="1"/>
  <c r="L2035" i="1"/>
  <c r="M2035" i="1"/>
  <c r="L2036" i="1"/>
  <c r="M2036" i="1"/>
  <c r="L2037" i="1"/>
  <c r="M2037" i="1"/>
  <c r="L2038" i="1"/>
  <c r="M2038" i="1"/>
  <c r="L2039" i="1"/>
  <c r="M2039" i="1"/>
  <c r="L2040" i="1"/>
  <c r="M2040" i="1"/>
  <c r="L2041" i="1"/>
  <c r="M2041" i="1"/>
  <c r="L2042" i="1"/>
  <c r="M2042" i="1"/>
  <c r="L2043" i="1"/>
  <c r="M2043" i="1"/>
  <c r="L2044" i="1"/>
  <c r="M2044" i="1"/>
  <c r="L2045" i="1"/>
  <c r="M2045" i="1"/>
  <c r="L2046" i="1"/>
  <c r="M2046" i="1"/>
  <c r="L2047" i="1"/>
  <c r="M2047" i="1"/>
  <c r="L2048" i="1"/>
  <c r="M2048" i="1"/>
  <c r="L2049" i="1"/>
  <c r="M2049" i="1"/>
  <c r="L2050" i="1"/>
  <c r="M2050" i="1"/>
  <c r="L2051" i="1"/>
  <c r="M2051" i="1"/>
  <c r="L2052" i="1"/>
  <c r="M2052" i="1"/>
  <c r="L2053" i="1"/>
  <c r="M2053" i="1"/>
  <c r="L2054" i="1"/>
  <c r="M2054" i="1"/>
  <c r="L2055" i="1"/>
  <c r="M2055" i="1"/>
  <c r="L2056" i="1"/>
  <c r="M2056" i="1"/>
  <c r="L2057" i="1"/>
  <c r="M2057" i="1"/>
  <c r="L2058" i="1"/>
  <c r="M2058" i="1"/>
  <c r="L2059" i="1"/>
  <c r="M2059" i="1"/>
  <c r="L2060" i="1"/>
  <c r="M2060" i="1"/>
  <c r="L2061" i="1"/>
  <c r="M2061" i="1"/>
  <c r="L2062" i="1"/>
  <c r="M2062" i="1"/>
  <c r="L2063" i="1"/>
  <c r="M2063" i="1"/>
  <c r="L2064" i="1"/>
  <c r="M2064" i="1"/>
  <c r="L2065" i="1"/>
  <c r="M2065" i="1"/>
  <c r="L2066" i="1"/>
  <c r="M2066" i="1"/>
  <c r="L2067" i="1"/>
  <c r="M2067" i="1"/>
  <c r="L2068" i="1"/>
  <c r="M2068" i="1"/>
  <c r="L2069" i="1"/>
  <c r="M2069" i="1"/>
  <c r="L2070" i="1"/>
  <c r="M2070" i="1"/>
  <c r="L2071" i="1"/>
  <c r="M2071" i="1"/>
  <c r="L2072" i="1"/>
  <c r="M2072" i="1"/>
  <c r="L2073" i="1"/>
  <c r="M2073" i="1"/>
  <c r="L2074" i="1"/>
  <c r="M2074" i="1"/>
  <c r="L2075" i="1"/>
  <c r="M2075" i="1"/>
  <c r="L2076" i="1"/>
  <c r="M2076" i="1"/>
  <c r="L2077" i="1"/>
  <c r="M2077" i="1"/>
  <c r="L2078" i="1"/>
  <c r="M2078" i="1"/>
  <c r="L2079" i="1"/>
  <c r="M2079" i="1"/>
  <c r="L2080" i="1"/>
  <c r="M2080" i="1"/>
  <c r="L2081" i="1"/>
  <c r="M2081" i="1"/>
  <c r="L2082" i="1"/>
  <c r="M2082" i="1"/>
  <c r="L2083" i="1"/>
  <c r="M2083" i="1"/>
  <c r="L2084" i="1"/>
  <c r="M2084" i="1"/>
  <c r="L2085" i="1"/>
  <c r="M2085" i="1"/>
  <c r="L2086" i="1"/>
  <c r="M2086" i="1"/>
  <c r="L2087" i="1"/>
  <c r="M2087" i="1"/>
  <c r="L2088" i="1"/>
  <c r="M2088" i="1"/>
  <c r="L2089" i="1"/>
  <c r="M2089" i="1"/>
  <c r="L2090" i="1"/>
  <c r="M2090" i="1"/>
  <c r="L2091" i="1"/>
  <c r="M2091" i="1"/>
  <c r="L2092" i="1"/>
  <c r="M2092" i="1"/>
  <c r="L2093" i="1"/>
  <c r="M2093" i="1"/>
  <c r="L2094" i="1"/>
  <c r="M2094" i="1"/>
  <c r="L2095" i="1"/>
  <c r="M2095" i="1"/>
  <c r="L2096" i="1"/>
  <c r="M2096" i="1"/>
  <c r="L2097" i="1"/>
  <c r="M2097" i="1"/>
  <c r="L2098" i="1"/>
  <c r="M2098" i="1"/>
  <c r="L2099" i="1"/>
  <c r="M2099" i="1"/>
  <c r="L2100" i="1"/>
  <c r="M2100" i="1"/>
  <c r="L2101" i="1"/>
  <c r="M2101" i="1"/>
  <c r="L2102" i="1"/>
  <c r="M2102" i="1"/>
  <c r="L2103" i="1"/>
  <c r="M2103" i="1"/>
  <c r="L2104" i="1"/>
  <c r="M2104" i="1"/>
  <c r="L2105" i="1"/>
  <c r="M2105" i="1"/>
  <c r="L2106" i="1"/>
  <c r="M2106" i="1"/>
  <c r="L2107" i="1"/>
  <c r="M2107" i="1"/>
  <c r="L2108" i="1"/>
  <c r="M2108" i="1"/>
  <c r="L2109" i="1"/>
  <c r="M2109" i="1"/>
  <c r="L2110" i="1"/>
  <c r="M2110" i="1"/>
  <c r="L2111" i="1"/>
  <c r="M2111" i="1"/>
  <c r="L2112" i="1"/>
  <c r="M2112" i="1"/>
  <c r="L2113" i="1"/>
  <c r="M2113" i="1"/>
  <c r="L2114" i="1"/>
  <c r="M2114" i="1"/>
  <c r="L2115" i="1"/>
  <c r="M2115" i="1"/>
  <c r="L2116" i="1"/>
  <c r="M2116" i="1"/>
  <c r="L2117" i="1"/>
  <c r="M2117" i="1"/>
  <c r="L2118" i="1"/>
  <c r="M2118" i="1"/>
  <c r="L2119" i="1"/>
  <c r="M2119" i="1"/>
  <c r="L2120" i="1"/>
  <c r="M2120" i="1"/>
  <c r="L2121" i="1"/>
  <c r="M2121" i="1"/>
  <c r="L2122" i="1"/>
  <c r="M2122" i="1"/>
  <c r="L2123" i="1"/>
  <c r="M2123" i="1"/>
  <c r="L2124" i="1"/>
  <c r="M2124" i="1"/>
  <c r="L2125" i="1"/>
  <c r="M2125" i="1"/>
  <c r="L2126" i="1"/>
  <c r="M2126" i="1"/>
  <c r="L2127" i="1"/>
  <c r="M2127" i="1"/>
  <c r="L2128" i="1"/>
  <c r="M2128" i="1"/>
  <c r="L2129" i="1"/>
  <c r="M2129" i="1"/>
  <c r="L2130" i="1"/>
  <c r="M2130" i="1"/>
  <c r="L2131" i="1"/>
  <c r="M2131" i="1"/>
  <c r="L2132" i="1"/>
  <c r="M2132" i="1"/>
  <c r="L2133" i="1"/>
  <c r="M2133" i="1"/>
  <c r="L2134" i="1"/>
  <c r="M2134" i="1"/>
  <c r="L2135" i="1"/>
  <c r="M2135" i="1"/>
  <c r="L2136" i="1"/>
  <c r="M2136" i="1"/>
  <c r="L2137" i="1"/>
  <c r="M2137" i="1"/>
  <c r="L2138" i="1"/>
  <c r="M2138" i="1"/>
  <c r="L2139" i="1"/>
  <c r="M2139" i="1"/>
  <c r="L2140" i="1"/>
  <c r="M2140" i="1"/>
  <c r="L2141" i="1"/>
  <c r="M2141" i="1"/>
  <c r="L2142" i="1"/>
  <c r="M2142" i="1"/>
  <c r="L2143" i="1"/>
  <c r="M2143" i="1"/>
  <c r="L2144" i="1"/>
  <c r="M2144" i="1"/>
  <c r="L2145" i="1"/>
  <c r="M2145" i="1"/>
  <c r="L2146" i="1"/>
  <c r="M2146" i="1"/>
  <c r="L2147" i="1"/>
  <c r="M2147" i="1"/>
  <c r="L2148" i="1"/>
  <c r="M2148" i="1"/>
  <c r="L2149" i="1"/>
  <c r="M2149" i="1"/>
  <c r="L2150" i="1"/>
  <c r="M2150" i="1"/>
  <c r="L2151" i="1"/>
  <c r="M2151" i="1"/>
  <c r="L2152" i="1"/>
  <c r="M2152" i="1"/>
  <c r="L2153" i="1"/>
  <c r="M2153" i="1"/>
  <c r="L2154" i="1"/>
  <c r="M2154" i="1"/>
  <c r="L2155" i="1"/>
  <c r="M2155" i="1"/>
  <c r="L2156" i="1"/>
  <c r="M2156" i="1"/>
  <c r="L2157" i="1"/>
  <c r="M2157" i="1"/>
  <c r="L2158" i="1"/>
  <c r="M2158" i="1"/>
  <c r="L2159" i="1"/>
  <c r="M2159" i="1"/>
  <c r="L2160" i="1"/>
  <c r="M2160" i="1"/>
  <c r="L2161" i="1"/>
  <c r="M2161" i="1"/>
  <c r="L2162" i="1"/>
  <c r="M2162" i="1"/>
  <c r="L2163" i="1"/>
  <c r="M2163" i="1"/>
  <c r="L2164" i="1"/>
  <c r="M2164" i="1"/>
  <c r="L2165" i="1"/>
  <c r="M2165" i="1"/>
  <c r="L2166" i="1"/>
  <c r="M2166" i="1"/>
  <c r="L2167" i="1"/>
  <c r="M2167" i="1"/>
  <c r="L2168" i="1"/>
  <c r="M2168" i="1"/>
  <c r="L2169" i="1"/>
  <c r="M2169" i="1"/>
  <c r="L2170" i="1"/>
  <c r="M2170" i="1"/>
  <c r="L2171" i="1"/>
  <c r="M2171" i="1"/>
  <c r="L2172" i="1"/>
  <c r="M2172" i="1"/>
  <c r="L2173" i="1"/>
  <c r="M2173" i="1"/>
  <c r="L2174" i="1"/>
  <c r="M2174" i="1"/>
  <c r="L2175" i="1"/>
  <c r="M2175" i="1"/>
  <c r="L2176" i="1"/>
  <c r="M2176" i="1"/>
  <c r="L2177" i="1"/>
  <c r="M2177" i="1"/>
  <c r="L2178" i="1"/>
  <c r="M2178" i="1"/>
  <c r="L2179" i="1"/>
  <c r="M2179" i="1"/>
  <c r="L2180" i="1"/>
  <c r="M2180" i="1"/>
  <c r="L2181" i="1"/>
  <c r="M2181" i="1"/>
  <c r="L2182" i="1"/>
  <c r="M2182" i="1"/>
  <c r="L2183" i="1"/>
  <c r="M2183" i="1"/>
  <c r="L2184" i="1"/>
  <c r="M2184" i="1"/>
  <c r="L2185" i="1"/>
  <c r="M2185" i="1"/>
  <c r="L2186" i="1"/>
  <c r="M2186" i="1"/>
  <c r="L2187" i="1"/>
  <c r="M2187" i="1"/>
  <c r="L2188" i="1"/>
  <c r="M2188" i="1"/>
  <c r="L2189" i="1"/>
  <c r="M2189" i="1"/>
  <c r="L2190" i="1"/>
  <c r="M2190" i="1"/>
  <c r="L2191" i="1"/>
  <c r="M2191" i="1"/>
  <c r="L2192" i="1"/>
  <c r="M2192" i="1"/>
  <c r="L2193" i="1"/>
  <c r="M2193" i="1"/>
  <c r="L2194" i="1"/>
  <c r="M2194" i="1"/>
  <c r="L2195" i="1"/>
  <c r="M2195" i="1"/>
  <c r="L2196" i="1"/>
  <c r="M2196" i="1"/>
  <c r="L2197" i="1"/>
  <c r="M2197" i="1"/>
  <c r="L2198" i="1"/>
  <c r="M2198" i="1"/>
  <c r="L2199" i="1"/>
  <c r="M2199" i="1"/>
  <c r="L2200" i="1"/>
  <c r="M2200" i="1"/>
  <c r="L2201" i="1"/>
  <c r="M2201" i="1"/>
  <c r="L2202" i="1"/>
  <c r="M2202" i="1"/>
  <c r="L2203" i="1"/>
  <c r="M2203" i="1"/>
  <c r="L2204" i="1"/>
  <c r="M2204" i="1"/>
  <c r="L2205" i="1"/>
  <c r="M2205" i="1"/>
  <c r="L2206" i="1"/>
  <c r="M2206" i="1"/>
  <c r="L2207" i="1"/>
  <c r="M2207" i="1"/>
  <c r="L2208" i="1"/>
  <c r="M2208" i="1"/>
  <c r="L2209" i="1"/>
  <c r="M2209" i="1"/>
  <c r="L2210" i="1"/>
  <c r="M2210" i="1"/>
  <c r="L2211" i="1"/>
  <c r="M2211" i="1"/>
  <c r="L2212" i="1"/>
  <c r="M2212" i="1"/>
  <c r="L2213" i="1"/>
  <c r="M2213" i="1"/>
  <c r="L2214" i="1"/>
  <c r="M2214" i="1"/>
  <c r="L2215" i="1"/>
  <c r="M2215" i="1"/>
  <c r="L2216" i="1"/>
  <c r="M2216" i="1"/>
  <c r="L2217" i="1"/>
  <c r="M2217" i="1"/>
  <c r="L2218" i="1"/>
  <c r="M2218" i="1"/>
  <c r="L2219" i="1"/>
  <c r="M2219" i="1"/>
  <c r="L2220" i="1"/>
  <c r="M2220" i="1"/>
  <c r="L2221" i="1"/>
  <c r="M2221" i="1"/>
  <c r="L2222" i="1"/>
  <c r="M2222" i="1"/>
  <c r="L2223" i="1"/>
  <c r="M2223" i="1"/>
  <c r="L2224" i="1"/>
  <c r="M2224" i="1"/>
  <c r="L2225" i="1"/>
  <c r="M2225" i="1"/>
  <c r="L2226" i="1"/>
  <c r="M2226" i="1"/>
  <c r="L2227" i="1"/>
  <c r="M2227" i="1"/>
  <c r="L2228" i="1"/>
  <c r="M2228" i="1"/>
  <c r="L2229" i="1"/>
  <c r="M2229" i="1"/>
  <c r="L2230" i="1"/>
  <c r="M2230" i="1"/>
  <c r="L2231" i="1"/>
  <c r="M2231" i="1"/>
  <c r="L2232" i="1"/>
  <c r="M2232" i="1"/>
  <c r="L2233" i="1"/>
  <c r="M2233" i="1"/>
  <c r="L2234" i="1"/>
  <c r="M2234" i="1"/>
  <c r="L2235" i="1"/>
  <c r="M2235" i="1"/>
  <c r="L2236" i="1"/>
  <c r="M2236" i="1"/>
  <c r="L2237" i="1"/>
  <c r="M2237" i="1"/>
  <c r="L2238" i="1"/>
  <c r="M2238" i="1"/>
  <c r="L2239" i="1"/>
  <c r="M2239" i="1"/>
  <c r="L2240" i="1"/>
  <c r="M2240" i="1"/>
  <c r="L2241" i="1"/>
  <c r="M2241" i="1"/>
  <c r="L2242" i="1"/>
  <c r="M2242" i="1"/>
  <c r="L2243" i="1"/>
  <c r="M2243" i="1"/>
  <c r="L2244" i="1"/>
  <c r="M2244" i="1"/>
  <c r="L2245" i="1"/>
  <c r="M2245" i="1"/>
  <c r="L2246" i="1"/>
  <c r="M2246" i="1"/>
  <c r="L2247" i="1"/>
  <c r="M2247" i="1"/>
  <c r="L2248" i="1"/>
  <c r="M2248" i="1"/>
  <c r="L2249" i="1"/>
  <c r="M2249" i="1"/>
  <c r="L2250" i="1"/>
  <c r="M2250" i="1"/>
  <c r="L2251" i="1"/>
  <c r="M2251" i="1"/>
  <c r="L2252" i="1"/>
  <c r="M2252" i="1"/>
  <c r="L2253" i="1"/>
  <c r="M2253" i="1"/>
  <c r="L2254" i="1"/>
  <c r="M2254" i="1"/>
  <c r="L2255" i="1"/>
  <c r="M2255" i="1"/>
  <c r="L2256" i="1"/>
  <c r="M2256" i="1"/>
  <c r="L2257" i="1"/>
  <c r="M2257" i="1"/>
  <c r="L2258" i="1"/>
  <c r="M2258" i="1"/>
  <c r="L2259" i="1"/>
  <c r="M2259" i="1"/>
  <c r="L2260" i="1"/>
  <c r="M2260" i="1"/>
  <c r="L2261" i="1"/>
  <c r="M2261" i="1"/>
  <c r="L2262" i="1"/>
  <c r="M2262" i="1"/>
  <c r="L2263" i="1"/>
  <c r="M2263" i="1"/>
  <c r="L2264" i="1"/>
  <c r="M2264" i="1"/>
  <c r="L2265" i="1"/>
  <c r="M2265" i="1"/>
  <c r="L2266" i="1"/>
  <c r="M2266" i="1"/>
  <c r="L2267" i="1"/>
  <c r="M2267" i="1"/>
  <c r="L2268" i="1"/>
  <c r="M2268" i="1"/>
  <c r="L2269" i="1"/>
  <c r="M2269" i="1"/>
  <c r="L2270" i="1"/>
  <c r="M2270" i="1"/>
  <c r="L2271" i="1"/>
  <c r="M2271" i="1"/>
  <c r="L2272" i="1"/>
  <c r="M2272" i="1"/>
  <c r="L2273" i="1"/>
  <c r="M2273" i="1"/>
  <c r="L2274" i="1"/>
  <c r="M2274" i="1"/>
  <c r="L2275" i="1"/>
  <c r="M2275" i="1"/>
  <c r="L2276" i="1"/>
  <c r="M2276" i="1"/>
  <c r="L2277" i="1"/>
  <c r="M2277" i="1"/>
  <c r="L2278" i="1"/>
  <c r="M2278" i="1"/>
  <c r="L2279" i="1"/>
  <c r="M2279" i="1"/>
  <c r="L2280" i="1"/>
  <c r="M2280" i="1"/>
  <c r="L2281" i="1"/>
  <c r="M2281" i="1"/>
  <c r="L2282" i="1"/>
  <c r="M2282" i="1"/>
  <c r="L2283" i="1"/>
  <c r="M2283" i="1"/>
  <c r="L2284" i="1"/>
  <c r="M2284" i="1"/>
  <c r="L2285" i="1"/>
  <c r="M2285" i="1"/>
  <c r="L2286" i="1"/>
  <c r="M2286" i="1"/>
  <c r="L2287" i="1"/>
  <c r="M2287" i="1"/>
  <c r="L2288" i="1"/>
  <c r="M2288" i="1"/>
  <c r="L2289" i="1"/>
  <c r="M2289" i="1"/>
  <c r="L2290" i="1"/>
  <c r="M2290" i="1"/>
  <c r="L2291" i="1"/>
  <c r="M2291" i="1"/>
  <c r="L2292" i="1"/>
  <c r="M2292" i="1"/>
  <c r="L2293" i="1"/>
  <c r="M2293" i="1"/>
  <c r="L2294" i="1"/>
  <c r="M2294" i="1"/>
  <c r="L2295" i="1"/>
  <c r="M2295" i="1"/>
  <c r="L2296" i="1"/>
  <c r="M2296" i="1"/>
  <c r="L2297" i="1"/>
  <c r="M2297" i="1"/>
  <c r="L2298" i="1"/>
  <c r="M2298" i="1"/>
  <c r="L2299" i="1"/>
  <c r="M2299" i="1"/>
  <c r="L2300" i="1"/>
  <c r="M2300" i="1"/>
  <c r="L2301" i="1"/>
  <c r="M2301" i="1"/>
  <c r="L2302" i="1"/>
  <c r="M2302" i="1"/>
  <c r="L2303" i="1"/>
  <c r="M2303" i="1"/>
  <c r="L2304" i="1"/>
  <c r="M2304" i="1"/>
  <c r="L2305" i="1"/>
  <c r="M2305" i="1"/>
  <c r="L2306" i="1"/>
  <c r="M2306" i="1"/>
  <c r="L2307" i="1"/>
  <c r="M2307" i="1"/>
  <c r="L2308" i="1"/>
  <c r="M2308" i="1"/>
  <c r="L2309" i="1"/>
  <c r="M2309" i="1"/>
  <c r="L2310" i="1"/>
  <c r="M2310" i="1"/>
  <c r="L2311" i="1"/>
  <c r="M2311" i="1"/>
  <c r="L2312" i="1"/>
  <c r="M2312" i="1"/>
  <c r="L2313" i="1"/>
  <c r="M2313" i="1"/>
  <c r="L2314" i="1"/>
  <c r="M2314" i="1"/>
  <c r="L2315" i="1"/>
  <c r="M2315" i="1"/>
  <c r="L2316" i="1"/>
  <c r="M2316" i="1"/>
  <c r="L2317" i="1"/>
  <c r="M2317" i="1"/>
  <c r="L2318" i="1"/>
  <c r="M2318" i="1"/>
  <c r="L2319" i="1"/>
  <c r="M2319" i="1"/>
  <c r="L2320" i="1"/>
  <c r="M2320" i="1"/>
  <c r="L2321" i="1"/>
  <c r="M2321" i="1"/>
  <c r="L2322" i="1"/>
  <c r="M2322" i="1"/>
  <c r="L2323" i="1"/>
  <c r="M2323" i="1"/>
  <c r="L2324" i="1"/>
  <c r="M2324" i="1"/>
  <c r="L2325" i="1"/>
  <c r="M2325" i="1"/>
  <c r="L2326" i="1"/>
  <c r="M2326" i="1"/>
  <c r="L2327" i="1"/>
  <c r="M2327" i="1"/>
  <c r="L2328" i="1"/>
  <c r="M2328" i="1"/>
  <c r="L2329" i="1"/>
  <c r="M2329" i="1"/>
  <c r="L2330" i="1"/>
  <c r="M2330" i="1"/>
  <c r="L2331" i="1"/>
  <c r="M2331" i="1"/>
  <c r="L2332" i="1"/>
  <c r="M2332" i="1"/>
  <c r="L2333" i="1"/>
  <c r="M2333" i="1"/>
  <c r="L2334" i="1"/>
  <c r="M2334" i="1"/>
  <c r="L2335" i="1"/>
  <c r="M2335" i="1"/>
  <c r="L2336" i="1"/>
  <c r="M2336" i="1"/>
  <c r="L2337" i="1"/>
  <c r="M2337" i="1"/>
  <c r="L2338" i="1"/>
  <c r="M2338" i="1"/>
  <c r="L2339" i="1"/>
  <c r="M2339" i="1"/>
  <c r="L2340" i="1"/>
  <c r="M2340" i="1"/>
  <c r="L2341" i="1"/>
  <c r="M2341" i="1"/>
  <c r="L2342" i="1"/>
  <c r="M2342" i="1"/>
  <c r="L2343" i="1"/>
  <c r="M2343" i="1"/>
  <c r="L2344" i="1"/>
  <c r="M2344" i="1"/>
  <c r="L2345" i="1"/>
  <c r="M2345" i="1"/>
  <c r="L2346" i="1"/>
  <c r="M2346" i="1"/>
  <c r="L2347" i="1"/>
  <c r="M2347" i="1"/>
  <c r="L2348" i="1"/>
  <c r="M2348" i="1"/>
  <c r="L2349" i="1"/>
  <c r="M2349" i="1"/>
  <c r="L2350" i="1"/>
  <c r="M2350" i="1"/>
  <c r="L2351" i="1"/>
  <c r="M2351" i="1"/>
  <c r="L2352" i="1"/>
  <c r="M2352" i="1"/>
  <c r="L2353" i="1"/>
  <c r="M2353" i="1"/>
  <c r="L2354" i="1"/>
  <c r="M2354" i="1"/>
  <c r="L2355" i="1"/>
  <c r="M2355" i="1"/>
  <c r="L2356" i="1"/>
  <c r="M2356" i="1"/>
  <c r="L2357" i="1"/>
  <c r="M2357" i="1"/>
  <c r="L2358" i="1"/>
  <c r="M2358" i="1"/>
  <c r="L2359" i="1"/>
  <c r="M2359" i="1"/>
  <c r="L2360" i="1"/>
  <c r="M2360" i="1"/>
  <c r="L2361" i="1"/>
  <c r="M2361" i="1"/>
  <c r="L2362" i="1"/>
  <c r="M2362" i="1"/>
  <c r="L2363" i="1"/>
  <c r="M2363" i="1"/>
  <c r="L2364" i="1"/>
  <c r="M2364" i="1"/>
  <c r="L2365" i="1"/>
  <c r="M2365" i="1"/>
  <c r="L2366" i="1"/>
  <c r="M2366" i="1"/>
  <c r="L2367" i="1"/>
  <c r="M2367" i="1"/>
  <c r="L2368" i="1"/>
  <c r="M2368" i="1"/>
  <c r="L2369" i="1"/>
  <c r="M2369" i="1"/>
  <c r="L2370" i="1"/>
  <c r="M2370" i="1"/>
  <c r="L2371" i="1"/>
  <c r="M2371" i="1"/>
  <c r="L2372" i="1"/>
  <c r="M2372" i="1"/>
  <c r="L2373" i="1"/>
  <c r="M2373" i="1"/>
  <c r="L2374" i="1"/>
  <c r="M2374" i="1"/>
  <c r="L2375" i="1"/>
  <c r="M2375" i="1"/>
  <c r="L2376" i="1"/>
  <c r="M2376" i="1"/>
  <c r="L2377" i="1"/>
  <c r="M2377" i="1"/>
  <c r="L2378" i="1"/>
  <c r="M2378" i="1"/>
  <c r="L2379" i="1"/>
  <c r="M2379" i="1"/>
  <c r="L2380" i="1"/>
  <c r="M2380" i="1"/>
  <c r="L2381" i="1"/>
  <c r="M2381" i="1"/>
  <c r="L2382" i="1"/>
  <c r="M2382" i="1"/>
  <c r="L2383" i="1"/>
  <c r="M2383" i="1"/>
  <c r="L2384" i="1"/>
  <c r="M2384" i="1"/>
  <c r="L2385" i="1"/>
  <c r="M2385" i="1"/>
  <c r="L2386" i="1"/>
  <c r="M2386" i="1"/>
  <c r="L2387" i="1"/>
  <c r="M2387" i="1"/>
  <c r="L2388" i="1"/>
  <c r="M2388" i="1"/>
  <c r="L2389" i="1"/>
  <c r="M2389" i="1"/>
  <c r="L2390" i="1"/>
  <c r="M2390" i="1"/>
  <c r="L2391" i="1"/>
  <c r="M2391" i="1"/>
  <c r="L2392" i="1"/>
  <c r="M2392" i="1"/>
  <c r="L2393" i="1"/>
  <c r="M2393" i="1"/>
  <c r="L2394" i="1"/>
  <c r="M2394" i="1"/>
  <c r="L2395" i="1"/>
  <c r="M2395" i="1"/>
  <c r="L2396" i="1"/>
  <c r="M2396" i="1"/>
  <c r="L2397" i="1"/>
  <c r="M2397" i="1"/>
  <c r="L2398" i="1"/>
  <c r="M2398" i="1"/>
  <c r="L2399" i="1"/>
  <c r="M2399" i="1"/>
  <c r="L2400" i="1"/>
  <c r="M2400" i="1"/>
  <c r="L2401" i="1"/>
  <c r="M2401" i="1"/>
  <c r="L2402" i="1"/>
  <c r="M2402" i="1"/>
  <c r="L2403" i="1"/>
  <c r="M2403" i="1"/>
  <c r="L2404" i="1"/>
  <c r="M2404" i="1"/>
  <c r="L2405" i="1"/>
  <c r="M2405" i="1"/>
  <c r="L2406" i="1"/>
  <c r="M2406" i="1"/>
  <c r="L2407" i="1"/>
  <c r="M2407" i="1"/>
  <c r="L2408" i="1"/>
  <c r="M2408" i="1"/>
  <c r="L2409" i="1"/>
  <c r="M2409" i="1"/>
  <c r="L2410" i="1"/>
  <c r="M2410" i="1"/>
  <c r="L2411" i="1"/>
  <c r="M2411" i="1"/>
  <c r="L2412" i="1"/>
  <c r="M2412" i="1"/>
  <c r="L2413" i="1"/>
  <c r="M2413" i="1"/>
  <c r="L2414" i="1"/>
  <c r="M2414" i="1"/>
  <c r="L2415" i="1"/>
  <c r="M2415" i="1"/>
  <c r="L2416" i="1"/>
  <c r="M2416" i="1"/>
  <c r="L2417" i="1"/>
  <c r="M2417" i="1"/>
  <c r="L2418" i="1"/>
  <c r="M2418" i="1"/>
  <c r="L2419" i="1"/>
  <c r="M2419" i="1"/>
  <c r="L2420" i="1"/>
  <c r="M2420" i="1"/>
  <c r="L2421" i="1"/>
  <c r="M2421" i="1"/>
  <c r="L2422" i="1"/>
  <c r="M2422" i="1"/>
  <c r="L2423" i="1"/>
  <c r="M2423" i="1"/>
  <c r="L2424" i="1"/>
  <c r="M2424" i="1"/>
  <c r="L2425" i="1"/>
  <c r="M2425" i="1"/>
  <c r="L2426" i="1"/>
  <c r="M2426" i="1"/>
  <c r="L2427" i="1"/>
  <c r="M2427" i="1"/>
  <c r="L2428" i="1"/>
  <c r="M2428" i="1"/>
  <c r="L2429" i="1"/>
  <c r="M2429" i="1"/>
  <c r="L2430" i="1"/>
  <c r="M2430" i="1"/>
  <c r="L2431" i="1"/>
  <c r="M2431" i="1"/>
  <c r="L2432" i="1"/>
  <c r="M2432" i="1"/>
  <c r="L2433" i="1"/>
  <c r="M2433" i="1"/>
  <c r="L2434" i="1"/>
  <c r="M2434" i="1"/>
  <c r="L2435" i="1"/>
  <c r="M2435" i="1"/>
  <c r="L2436" i="1"/>
  <c r="M2436" i="1"/>
  <c r="L2437" i="1"/>
  <c r="M2437" i="1"/>
  <c r="L2438" i="1"/>
  <c r="M2438" i="1"/>
  <c r="L2439" i="1"/>
  <c r="M2439" i="1"/>
  <c r="L2440" i="1"/>
  <c r="M2440" i="1"/>
  <c r="L2441" i="1"/>
  <c r="M2441" i="1"/>
  <c r="L2442" i="1"/>
  <c r="M2442" i="1"/>
  <c r="L2443" i="1"/>
  <c r="M2443" i="1"/>
  <c r="L2444" i="1"/>
  <c r="M2444" i="1"/>
  <c r="L2445" i="1"/>
  <c r="M2445" i="1"/>
  <c r="L2446" i="1"/>
  <c r="M2446" i="1"/>
  <c r="L2447" i="1"/>
  <c r="M2447" i="1"/>
  <c r="L2448" i="1"/>
  <c r="M2448" i="1"/>
  <c r="L2449" i="1"/>
  <c r="M2449" i="1"/>
  <c r="L2450" i="1"/>
  <c r="M2450" i="1"/>
  <c r="L2451" i="1"/>
  <c r="M2451" i="1"/>
  <c r="L2452" i="1"/>
  <c r="M2452" i="1"/>
  <c r="L2453" i="1"/>
  <c r="M2453" i="1"/>
  <c r="L2454" i="1"/>
  <c r="M2454" i="1"/>
  <c r="L2455" i="1"/>
  <c r="M2455" i="1"/>
  <c r="L2456" i="1"/>
  <c r="M2456" i="1"/>
  <c r="L2457" i="1"/>
  <c r="M2457" i="1"/>
  <c r="L2458" i="1"/>
  <c r="M2458" i="1"/>
  <c r="L2459" i="1"/>
  <c r="M2459" i="1"/>
  <c r="L2460" i="1"/>
  <c r="M2460" i="1"/>
  <c r="L2461" i="1"/>
  <c r="M2461" i="1"/>
  <c r="L2462" i="1"/>
  <c r="M2462" i="1"/>
  <c r="L2463" i="1"/>
  <c r="M2463" i="1"/>
  <c r="L2464" i="1"/>
  <c r="M2464" i="1"/>
  <c r="L2465" i="1"/>
  <c r="M2465" i="1"/>
  <c r="L2466" i="1"/>
  <c r="M2466" i="1"/>
  <c r="L2467" i="1"/>
  <c r="M2467" i="1"/>
  <c r="L2468" i="1"/>
  <c r="M2468" i="1"/>
  <c r="L2469" i="1"/>
  <c r="M2469" i="1"/>
  <c r="L2470" i="1"/>
  <c r="M2470" i="1"/>
  <c r="L2471" i="1"/>
  <c r="M2471" i="1"/>
  <c r="L2" i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2" i="10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2" i="6"/>
  <c r="E3" i="5"/>
  <c r="E4" i="5"/>
  <c r="E5" i="5"/>
  <c r="E6" i="5"/>
  <c r="E7" i="5"/>
  <c r="E8" i="5"/>
  <c r="E9" i="5"/>
  <c r="E10" i="5"/>
  <c r="E11" i="5"/>
  <c r="E2" i="5"/>
  <c r="E3" i="8"/>
  <c r="E4" i="8"/>
  <c r="E5" i="8"/>
  <c r="E2" i="8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2" i="9"/>
  <c r="E3" i="7"/>
  <c r="E4" i="7"/>
  <c r="E5" i="7"/>
  <c r="E6" i="7"/>
  <c r="E2" i="7"/>
  <c r="D3" i="4"/>
  <c r="D4" i="4"/>
  <c r="D5" i="4"/>
  <c r="D2" i="4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2" i="9"/>
  <c r="B1952" i="3"/>
  <c r="D1952" i="3"/>
  <c r="E1952" i="3"/>
  <c r="F1952" i="3"/>
  <c r="G1952" i="3"/>
  <c r="H1952" i="3"/>
  <c r="B1953" i="3"/>
  <c r="D1953" i="3"/>
  <c r="E1953" i="3"/>
  <c r="F1953" i="3"/>
  <c r="G1953" i="3"/>
  <c r="H1953" i="3"/>
  <c r="B1954" i="3"/>
  <c r="D1954" i="3"/>
  <c r="E1954" i="3"/>
  <c r="F1954" i="3"/>
  <c r="G1954" i="3"/>
  <c r="H1954" i="3"/>
  <c r="B1955" i="3"/>
  <c r="D1955" i="3"/>
  <c r="E1955" i="3"/>
  <c r="F1955" i="3"/>
  <c r="G1955" i="3"/>
  <c r="H1955" i="3"/>
  <c r="B1956" i="3"/>
  <c r="D1956" i="3"/>
  <c r="E1956" i="3"/>
  <c r="F1956" i="3"/>
  <c r="G1956" i="3"/>
  <c r="H1956" i="3"/>
  <c r="B1957" i="3"/>
  <c r="D1957" i="3"/>
  <c r="E1957" i="3"/>
  <c r="F1957" i="3"/>
  <c r="G1957" i="3"/>
  <c r="H1957" i="3"/>
  <c r="B1958" i="3"/>
  <c r="D1958" i="3"/>
  <c r="E1958" i="3"/>
  <c r="F1958" i="3"/>
  <c r="G1958" i="3"/>
  <c r="H1958" i="3"/>
  <c r="B1959" i="3"/>
  <c r="D1959" i="3"/>
  <c r="E1959" i="3"/>
  <c r="F1959" i="3"/>
  <c r="G1959" i="3"/>
  <c r="H1959" i="3"/>
  <c r="B1960" i="3"/>
  <c r="D1960" i="3"/>
  <c r="E1960" i="3"/>
  <c r="F1960" i="3"/>
  <c r="G1960" i="3"/>
  <c r="H1960" i="3"/>
  <c r="B1961" i="3"/>
  <c r="D1961" i="3"/>
  <c r="E1961" i="3"/>
  <c r="F1961" i="3"/>
  <c r="G1961" i="3"/>
  <c r="H1961" i="3"/>
  <c r="B1962" i="3"/>
  <c r="D1962" i="3"/>
  <c r="E1962" i="3"/>
  <c r="F1962" i="3"/>
  <c r="G1962" i="3"/>
  <c r="H1962" i="3"/>
  <c r="B1963" i="3"/>
  <c r="D1963" i="3"/>
  <c r="E1963" i="3"/>
  <c r="F1963" i="3"/>
  <c r="G1963" i="3"/>
  <c r="H1963" i="3"/>
  <c r="B1964" i="3"/>
  <c r="D1964" i="3"/>
  <c r="E1964" i="3"/>
  <c r="F1964" i="3"/>
  <c r="G1964" i="3"/>
  <c r="H1964" i="3"/>
  <c r="B1965" i="3"/>
  <c r="D1965" i="3"/>
  <c r="E1965" i="3"/>
  <c r="F1965" i="3"/>
  <c r="G1965" i="3"/>
  <c r="H1965" i="3"/>
  <c r="B1966" i="3"/>
  <c r="D1966" i="3"/>
  <c r="E1966" i="3"/>
  <c r="F1966" i="3"/>
  <c r="G1966" i="3"/>
  <c r="H1966" i="3"/>
  <c r="B1967" i="3"/>
  <c r="D1967" i="3"/>
  <c r="E1967" i="3"/>
  <c r="F1967" i="3"/>
  <c r="G1967" i="3"/>
  <c r="H1967" i="3"/>
  <c r="B1968" i="3"/>
  <c r="D1968" i="3"/>
  <c r="E1968" i="3"/>
  <c r="F1968" i="3"/>
  <c r="G1968" i="3"/>
  <c r="H1968" i="3"/>
  <c r="B1969" i="3"/>
  <c r="D1969" i="3"/>
  <c r="E1969" i="3"/>
  <c r="F1969" i="3"/>
  <c r="G1969" i="3"/>
  <c r="H1969" i="3"/>
  <c r="B1970" i="3"/>
  <c r="D1970" i="3"/>
  <c r="E1970" i="3"/>
  <c r="F1970" i="3"/>
  <c r="G1970" i="3"/>
  <c r="H1970" i="3"/>
  <c r="B1971" i="3"/>
  <c r="D1971" i="3"/>
  <c r="E1971" i="3"/>
  <c r="F1971" i="3"/>
  <c r="G1971" i="3"/>
  <c r="H1971" i="3"/>
  <c r="B1972" i="3"/>
  <c r="D1972" i="3"/>
  <c r="E1972" i="3"/>
  <c r="F1972" i="3"/>
  <c r="G1972" i="3"/>
  <c r="H1972" i="3"/>
  <c r="B1973" i="3"/>
  <c r="D1973" i="3"/>
  <c r="E1973" i="3"/>
  <c r="F1973" i="3"/>
  <c r="G1973" i="3"/>
  <c r="H1973" i="3"/>
  <c r="B1974" i="3"/>
  <c r="D1974" i="3"/>
  <c r="E1974" i="3"/>
  <c r="F1974" i="3"/>
  <c r="G1974" i="3"/>
  <c r="H1974" i="3"/>
  <c r="B1975" i="3"/>
  <c r="D1975" i="3"/>
  <c r="E1975" i="3"/>
  <c r="F1975" i="3"/>
  <c r="G1975" i="3"/>
  <c r="H1975" i="3"/>
  <c r="B1976" i="3"/>
  <c r="D1976" i="3"/>
  <c r="E1976" i="3"/>
  <c r="F1976" i="3"/>
  <c r="G1976" i="3"/>
  <c r="H1976" i="3"/>
  <c r="B1977" i="3"/>
  <c r="D1977" i="3"/>
  <c r="E1977" i="3"/>
  <c r="F1977" i="3"/>
  <c r="G1977" i="3"/>
  <c r="H1977" i="3"/>
  <c r="B1978" i="3"/>
  <c r="D1978" i="3"/>
  <c r="E1978" i="3"/>
  <c r="F1978" i="3"/>
  <c r="G1978" i="3"/>
  <c r="H1978" i="3"/>
  <c r="B1979" i="3"/>
  <c r="D1979" i="3"/>
  <c r="E1979" i="3"/>
  <c r="F1979" i="3"/>
  <c r="G1979" i="3"/>
  <c r="H1979" i="3"/>
  <c r="B1980" i="3"/>
  <c r="D1980" i="3"/>
  <c r="E1980" i="3"/>
  <c r="F1980" i="3"/>
  <c r="G1980" i="3"/>
  <c r="H1980" i="3"/>
  <c r="B1981" i="3"/>
  <c r="D1981" i="3"/>
  <c r="E1981" i="3"/>
  <c r="F1981" i="3"/>
  <c r="G1981" i="3"/>
  <c r="H1981" i="3"/>
  <c r="B1982" i="3"/>
  <c r="D1982" i="3"/>
  <c r="E1982" i="3"/>
  <c r="F1982" i="3"/>
  <c r="G1982" i="3"/>
  <c r="H1982" i="3"/>
  <c r="B1983" i="3"/>
  <c r="D1983" i="3"/>
  <c r="E1983" i="3"/>
  <c r="F1983" i="3"/>
  <c r="G1983" i="3"/>
  <c r="H1983" i="3"/>
  <c r="B1984" i="3"/>
  <c r="D1984" i="3"/>
  <c r="E1984" i="3"/>
  <c r="F1984" i="3"/>
  <c r="G1984" i="3"/>
  <c r="H1984" i="3"/>
  <c r="B1985" i="3"/>
  <c r="D1985" i="3"/>
  <c r="E1985" i="3"/>
  <c r="F1985" i="3"/>
  <c r="G1985" i="3"/>
  <c r="H1985" i="3"/>
  <c r="B1986" i="3"/>
  <c r="D1986" i="3"/>
  <c r="E1986" i="3"/>
  <c r="F1986" i="3"/>
  <c r="G1986" i="3"/>
  <c r="H1986" i="3"/>
  <c r="B1987" i="3"/>
  <c r="D1987" i="3"/>
  <c r="E1987" i="3"/>
  <c r="F1987" i="3"/>
  <c r="G1987" i="3"/>
  <c r="H1987" i="3"/>
  <c r="B1988" i="3"/>
  <c r="D1988" i="3"/>
  <c r="E1988" i="3"/>
  <c r="F1988" i="3"/>
  <c r="G1988" i="3"/>
  <c r="H1988" i="3"/>
  <c r="B1989" i="3"/>
  <c r="D1989" i="3"/>
  <c r="E1989" i="3"/>
  <c r="F1989" i="3"/>
  <c r="G1989" i="3"/>
  <c r="H1989" i="3"/>
  <c r="B1990" i="3"/>
  <c r="D1990" i="3"/>
  <c r="E1990" i="3"/>
  <c r="F1990" i="3"/>
  <c r="G1990" i="3"/>
  <c r="H1990" i="3"/>
  <c r="B1991" i="3"/>
  <c r="D1991" i="3"/>
  <c r="E1991" i="3"/>
  <c r="F1991" i="3"/>
  <c r="G1991" i="3"/>
  <c r="H1991" i="3"/>
  <c r="B1992" i="3"/>
  <c r="D1992" i="3"/>
  <c r="E1992" i="3"/>
  <c r="F1992" i="3"/>
  <c r="G1992" i="3"/>
  <c r="H1992" i="3"/>
  <c r="B1993" i="3"/>
  <c r="D1993" i="3"/>
  <c r="E1993" i="3"/>
  <c r="F1993" i="3"/>
  <c r="G1993" i="3"/>
  <c r="H1993" i="3"/>
  <c r="B1994" i="3"/>
  <c r="D1994" i="3"/>
  <c r="E1994" i="3"/>
  <c r="F1994" i="3"/>
  <c r="G1994" i="3"/>
  <c r="H1994" i="3"/>
  <c r="B1995" i="3"/>
  <c r="D1995" i="3"/>
  <c r="E1995" i="3"/>
  <c r="F1995" i="3"/>
  <c r="G1995" i="3"/>
  <c r="H1995" i="3"/>
  <c r="B1996" i="3"/>
  <c r="D1996" i="3"/>
  <c r="E1996" i="3"/>
  <c r="F1996" i="3"/>
  <c r="G1996" i="3"/>
  <c r="H1996" i="3"/>
  <c r="B1997" i="3"/>
  <c r="D1997" i="3"/>
  <c r="E1997" i="3"/>
  <c r="F1997" i="3"/>
  <c r="G1997" i="3"/>
  <c r="H1997" i="3"/>
  <c r="B1998" i="3"/>
  <c r="D1998" i="3"/>
  <c r="E1998" i="3"/>
  <c r="F1998" i="3"/>
  <c r="G1998" i="3"/>
  <c r="H1998" i="3"/>
  <c r="B1999" i="3"/>
  <c r="D1999" i="3"/>
  <c r="E1999" i="3"/>
  <c r="F1999" i="3"/>
  <c r="G1999" i="3"/>
  <c r="H1999" i="3"/>
  <c r="B2000" i="3"/>
  <c r="D2000" i="3"/>
  <c r="E2000" i="3"/>
  <c r="F2000" i="3"/>
  <c r="G2000" i="3"/>
  <c r="H2000" i="3"/>
  <c r="B2001" i="3"/>
  <c r="D2001" i="3"/>
  <c r="E2001" i="3"/>
  <c r="F2001" i="3"/>
  <c r="G2001" i="3"/>
  <c r="H2001" i="3"/>
  <c r="B2002" i="3"/>
  <c r="D2002" i="3"/>
  <c r="E2002" i="3"/>
  <c r="F2002" i="3"/>
  <c r="G2002" i="3"/>
  <c r="H2002" i="3"/>
  <c r="B2003" i="3"/>
  <c r="D2003" i="3"/>
  <c r="E2003" i="3"/>
  <c r="F2003" i="3"/>
  <c r="G2003" i="3"/>
  <c r="H2003" i="3"/>
  <c r="B2004" i="3"/>
  <c r="D2004" i="3"/>
  <c r="E2004" i="3"/>
  <c r="F2004" i="3"/>
  <c r="G2004" i="3"/>
  <c r="H2004" i="3"/>
  <c r="B2005" i="3"/>
  <c r="D2005" i="3"/>
  <c r="E2005" i="3"/>
  <c r="F2005" i="3"/>
  <c r="G2005" i="3"/>
  <c r="H2005" i="3"/>
  <c r="B2006" i="3"/>
  <c r="D2006" i="3"/>
  <c r="E2006" i="3"/>
  <c r="F2006" i="3"/>
  <c r="G2006" i="3"/>
  <c r="H2006" i="3"/>
  <c r="B2007" i="3"/>
  <c r="D2007" i="3"/>
  <c r="E2007" i="3"/>
  <c r="F2007" i="3"/>
  <c r="G2007" i="3"/>
  <c r="H2007" i="3"/>
  <c r="B2008" i="3"/>
  <c r="D2008" i="3"/>
  <c r="E2008" i="3"/>
  <c r="F2008" i="3"/>
  <c r="G2008" i="3"/>
  <c r="H2008" i="3"/>
  <c r="B2009" i="3"/>
  <c r="D2009" i="3"/>
  <c r="E2009" i="3"/>
  <c r="F2009" i="3"/>
  <c r="G2009" i="3"/>
  <c r="H2009" i="3"/>
  <c r="B2010" i="3"/>
  <c r="D2010" i="3"/>
  <c r="E2010" i="3"/>
  <c r="F2010" i="3"/>
  <c r="G2010" i="3"/>
  <c r="H2010" i="3"/>
  <c r="B2011" i="3"/>
  <c r="D2011" i="3"/>
  <c r="E2011" i="3"/>
  <c r="F2011" i="3"/>
  <c r="G2011" i="3"/>
  <c r="H2011" i="3"/>
  <c r="B2012" i="3"/>
  <c r="D2012" i="3"/>
  <c r="E2012" i="3"/>
  <c r="F2012" i="3"/>
  <c r="G2012" i="3"/>
  <c r="H2012" i="3"/>
  <c r="B2013" i="3"/>
  <c r="D2013" i="3"/>
  <c r="E2013" i="3"/>
  <c r="F2013" i="3"/>
  <c r="G2013" i="3"/>
  <c r="H2013" i="3"/>
  <c r="B2014" i="3"/>
  <c r="D2014" i="3"/>
  <c r="E2014" i="3"/>
  <c r="F2014" i="3"/>
  <c r="G2014" i="3"/>
  <c r="H2014" i="3"/>
  <c r="B2015" i="3"/>
  <c r="D2015" i="3"/>
  <c r="E2015" i="3"/>
  <c r="F2015" i="3"/>
  <c r="G2015" i="3"/>
  <c r="H2015" i="3"/>
  <c r="B2016" i="3"/>
  <c r="D2016" i="3"/>
  <c r="E2016" i="3"/>
  <c r="F2016" i="3"/>
  <c r="G2016" i="3"/>
  <c r="H2016" i="3"/>
  <c r="B2017" i="3"/>
  <c r="D2017" i="3"/>
  <c r="E2017" i="3"/>
  <c r="F2017" i="3"/>
  <c r="G2017" i="3"/>
  <c r="H2017" i="3"/>
  <c r="B2018" i="3"/>
  <c r="D2018" i="3"/>
  <c r="E2018" i="3"/>
  <c r="F2018" i="3"/>
  <c r="G2018" i="3"/>
  <c r="H2018" i="3"/>
  <c r="B2019" i="3"/>
  <c r="D2019" i="3"/>
  <c r="E2019" i="3"/>
  <c r="F2019" i="3"/>
  <c r="G2019" i="3"/>
  <c r="H2019" i="3"/>
  <c r="B2020" i="3"/>
  <c r="D2020" i="3"/>
  <c r="E2020" i="3"/>
  <c r="F2020" i="3"/>
  <c r="G2020" i="3"/>
  <c r="H2020" i="3"/>
  <c r="B2021" i="3"/>
  <c r="D2021" i="3"/>
  <c r="E2021" i="3"/>
  <c r="F2021" i="3"/>
  <c r="G2021" i="3"/>
  <c r="H2021" i="3"/>
  <c r="B2022" i="3"/>
  <c r="D2022" i="3"/>
  <c r="E2022" i="3"/>
  <c r="F2022" i="3"/>
  <c r="G2022" i="3"/>
  <c r="H2022" i="3"/>
  <c r="B2023" i="3"/>
  <c r="D2023" i="3"/>
  <c r="E2023" i="3"/>
  <c r="F2023" i="3"/>
  <c r="G2023" i="3"/>
  <c r="H2023" i="3"/>
  <c r="B2024" i="3"/>
  <c r="D2024" i="3"/>
  <c r="E2024" i="3"/>
  <c r="F2024" i="3"/>
  <c r="G2024" i="3"/>
  <c r="H2024" i="3"/>
  <c r="B2025" i="3"/>
  <c r="D2025" i="3"/>
  <c r="E2025" i="3"/>
  <c r="F2025" i="3"/>
  <c r="G2025" i="3"/>
  <c r="H2025" i="3"/>
  <c r="B2026" i="3"/>
  <c r="D2026" i="3"/>
  <c r="E2026" i="3"/>
  <c r="F2026" i="3"/>
  <c r="G2026" i="3"/>
  <c r="I2026" i="3" s="1"/>
  <c r="H2026" i="3"/>
  <c r="B2027" i="3"/>
  <c r="D2027" i="3"/>
  <c r="E2027" i="3"/>
  <c r="F2027" i="3"/>
  <c r="G2027" i="3"/>
  <c r="H2027" i="3"/>
  <c r="B2028" i="3"/>
  <c r="D2028" i="3"/>
  <c r="E2028" i="3"/>
  <c r="F2028" i="3"/>
  <c r="G2028" i="3"/>
  <c r="H2028" i="3"/>
  <c r="B2029" i="3"/>
  <c r="D2029" i="3"/>
  <c r="E2029" i="3"/>
  <c r="F2029" i="3"/>
  <c r="G2029" i="3"/>
  <c r="H2029" i="3"/>
  <c r="B2030" i="3"/>
  <c r="D2030" i="3"/>
  <c r="E2030" i="3"/>
  <c r="F2030" i="3"/>
  <c r="G2030" i="3"/>
  <c r="H2030" i="3"/>
  <c r="B2031" i="3"/>
  <c r="D2031" i="3"/>
  <c r="E2031" i="3"/>
  <c r="F2031" i="3"/>
  <c r="G2031" i="3"/>
  <c r="H2031" i="3"/>
  <c r="B2032" i="3"/>
  <c r="D2032" i="3"/>
  <c r="E2032" i="3"/>
  <c r="F2032" i="3"/>
  <c r="G2032" i="3"/>
  <c r="H2032" i="3"/>
  <c r="B2033" i="3"/>
  <c r="D2033" i="3"/>
  <c r="E2033" i="3"/>
  <c r="F2033" i="3"/>
  <c r="G2033" i="3"/>
  <c r="H2033" i="3"/>
  <c r="B2034" i="3"/>
  <c r="D2034" i="3"/>
  <c r="E2034" i="3"/>
  <c r="F2034" i="3"/>
  <c r="G2034" i="3"/>
  <c r="H2034" i="3"/>
  <c r="B2035" i="3"/>
  <c r="D2035" i="3"/>
  <c r="E2035" i="3"/>
  <c r="F2035" i="3"/>
  <c r="G2035" i="3"/>
  <c r="H2035" i="3"/>
  <c r="B2036" i="3"/>
  <c r="D2036" i="3"/>
  <c r="E2036" i="3"/>
  <c r="F2036" i="3"/>
  <c r="G2036" i="3"/>
  <c r="H2036" i="3"/>
  <c r="B2037" i="3"/>
  <c r="D2037" i="3"/>
  <c r="E2037" i="3"/>
  <c r="F2037" i="3"/>
  <c r="G2037" i="3"/>
  <c r="H2037" i="3"/>
  <c r="B2038" i="3"/>
  <c r="D2038" i="3"/>
  <c r="E2038" i="3"/>
  <c r="F2038" i="3"/>
  <c r="G2038" i="3"/>
  <c r="H2038" i="3"/>
  <c r="B2039" i="3"/>
  <c r="D2039" i="3"/>
  <c r="E2039" i="3"/>
  <c r="F2039" i="3"/>
  <c r="G2039" i="3"/>
  <c r="H2039" i="3"/>
  <c r="B2040" i="3"/>
  <c r="D2040" i="3"/>
  <c r="E2040" i="3"/>
  <c r="F2040" i="3"/>
  <c r="G2040" i="3"/>
  <c r="H2040" i="3"/>
  <c r="B2041" i="3"/>
  <c r="D2041" i="3"/>
  <c r="E2041" i="3"/>
  <c r="F2041" i="3"/>
  <c r="G2041" i="3"/>
  <c r="H2041" i="3"/>
  <c r="B2042" i="3"/>
  <c r="D2042" i="3"/>
  <c r="E2042" i="3"/>
  <c r="F2042" i="3"/>
  <c r="G2042" i="3"/>
  <c r="H2042" i="3"/>
  <c r="B2043" i="3"/>
  <c r="D2043" i="3"/>
  <c r="E2043" i="3"/>
  <c r="F2043" i="3"/>
  <c r="G2043" i="3"/>
  <c r="H2043" i="3"/>
  <c r="B2044" i="3"/>
  <c r="D2044" i="3"/>
  <c r="E2044" i="3"/>
  <c r="F2044" i="3"/>
  <c r="G2044" i="3"/>
  <c r="H2044" i="3"/>
  <c r="B2045" i="3"/>
  <c r="D2045" i="3"/>
  <c r="E2045" i="3"/>
  <c r="F2045" i="3"/>
  <c r="G2045" i="3"/>
  <c r="H2045" i="3"/>
  <c r="B2046" i="3"/>
  <c r="D2046" i="3"/>
  <c r="E2046" i="3"/>
  <c r="F2046" i="3"/>
  <c r="G2046" i="3"/>
  <c r="H2046" i="3"/>
  <c r="B2047" i="3"/>
  <c r="D2047" i="3"/>
  <c r="E2047" i="3"/>
  <c r="F2047" i="3"/>
  <c r="G2047" i="3"/>
  <c r="H2047" i="3"/>
  <c r="B2048" i="3"/>
  <c r="D2048" i="3"/>
  <c r="E2048" i="3"/>
  <c r="F2048" i="3"/>
  <c r="G2048" i="3"/>
  <c r="H2048" i="3"/>
  <c r="B2049" i="3"/>
  <c r="D2049" i="3"/>
  <c r="E2049" i="3"/>
  <c r="F2049" i="3"/>
  <c r="G2049" i="3"/>
  <c r="H2049" i="3"/>
  <c r="B2050" i="3"/>
  <c r="D2050" i="3"/>
  <c r="E2050" i="3"/>
  <c r="F2050" i="3"/>
  <c r="G2050" i="3"/>
  <c r="H2050" i="3"/>
  <c r="B2051" i="3"/>
  <c r="D2051" i="3"/>
  <c r="E2051" i="3"/>
  <c r="F2051" i="3"/>
  <c r="G2051" i="3"/>
  <c r="H2051" i="3"/>
  <c r="B2052" i="3"/>
  <c r="D2052" i="3"/>
  <c r="E2052" i="3"/>
  <c r="F2052" i="3"/>
  <c r="G2052" i="3"/>
  <c r="H2052" i="3"/>
  <c r="B2053" i="3"/>
  <c r="D2053" i="3"/>
  <c r="E2053" i="3"/>
  <c r="F2053" i="3"/>
  <c r="G2053" i="3"/>
  <c r="H2053" i="3"/>
  <c r="B2054" i="3"/>
  <c r="D2054" i="3"/>
  <c r="E2054" i="3"/>
  <c r="F2054" i="3"/>
  <c r="G2054" i="3"/>
  <c r="H2054" i="3"/>
  <c r="B2055" i="3"/>
  <c r="D2055" i="3"/>
  <c r="E2055" i="3"/>
  <c r="F2055" i="3"/>
  <c r="G2055" i="3"/>
  <c r="H2055" i="3"/>
  <c r="B2056" i="3"/>
  <c r="D2056" i="3"/>
  <c r="E2056" i="3"/>
  <c r="F2056" i="3"/>
  <c r="G2056" i="3"/>
  <c r="H2056" i="3"/>
  <c r="B2057" i="3"/>
  <c r="D2057" i="3"/>
  <c r="E2057" i="3"/>
  <c r="F2057" i="3"/>
  <c r="G2057" i="3"/>
  <c r="H2057" i="3"/>
  <c r="B2058" i="3"/>
  <c r="D2058" i="3"/>
  <c r="E2058" i="3"/>
  <c r="F2058" i="3"/>
  <c r="G2058" i="3"/>
  <c r="H2058" i="3"/>
  <c r="B2059" i="3"/>
  <c r="D2059" i="3"/>
  <c r="E2059" i="3"/>
  <c r="F2059" i="3"/>
  <c r="G2059" i="3"/>
  <c r="H2059" i="3"/>
  <c r="B2060" i="3"/>
  <c r="D2060" i="3"/>
  <c r="E2060" i="3"/>
  <c r="F2060" i="3"/>
  <c r="G2060" i="3"/>
  <c r="H2060" i="3"/>
  <c r="B2061" i="3"/>
  <c r="D2061" i="3"/>
  <c r="E2061" i="3"/>
  <c r="F2061" i="3"/>
  <c r="G2061" i="3"/>
  <c r="H2061" i="3"/>
  <c r="B2062" i="3"/>
  <c r="D2062" i="3"/>
  <c r="E2062" i="3"/>
  <c r="F2062" i="3"/>
  <c r="G2062" i="3"/>
  <c r="H2062" i="3"/>
  <c r="B2063" i="3"/>
  <c r="D2063" i="3"/>
  <c r="E2063" i="3"/>
  <c r="F2063" i="3"/>
  <c r="G2063" i="3"/>
  <c r="H2063" i="3"/>
  <c r="B2064" i="3"/>
  <c r="D2064" i="3"/>
  <c r="E2064" i="3"/>
  <c r="F2064" i="3"/>
  <c r="G2064" i="3"/>
  <c r="H2064" i="3"/>
  <c r="B2065" i="3"/>
  <c r="D2065" i="3"/>
  <c r="E2065" i="3"/>
  <c r="F2065" i="3"/>
  <c r="G2065" i="3"/>
  <c r="H2065" i="3"/>
  <c r="B2066" i="3"/>
  <c r="D2066" i="3"/>
  <c r="E2066" i="3"/>
  <c r="F2066" i="3"/>
  <c r="G2066" i="3"/>
  <c r="H2066" i="3"/>
  <c r="B2067" i="3"/>
  <c r="D2067" i="3"/>
  <c r="E2067" i="3"/>
  <c r="F2067" i="3"/>
  <c r="G2067" i="3"/>
  <c r="H2067" i="3"/>
  <c r="B2068" i="3"/>
  <c r="D2068" i="3"/>
  <c r="E2068" i="3"/>
  <c r="F2068" i="3"/>
  <c r="G2068" i="3"/>
  <c r="H2068" i="3"/>
  <c r="B2069" i="3"/>
  <c r="D2069" i="3"/>
  <c r="E2069" i="3"/>
  <c r="F2069" i="3"/>
  <c r="G2069" i="3"/>
  <c r="H2069" i="3"/>
  <c r="B2070" i="3"/>
  <c r="D2070" i="3"/>
  <c r="E2070" i="3"/>
  <c r="F2070" i="3"/>
  <c r="G2070" i="3"/>
  <c r="H2070" i="3"/>
  <c r="B2071" i="3"/>
  <c r="D2071" i="3"/>
  <c r="E2071" i="3"/>
  <c r="F2071" i="3"/>
  <c r="G2071" i="3"/>
  <c r="H2071" i="3"/>
  <c r="B2072" i="3"/>
  <c r="D2072" i="3"/>
  <c r="E2072" i="3"/>
  <c r="F2072" i="3"/>
  <c r="G2072" i="3"/>
  <c r="H2072" i="3"/>
  <c r="B2073" i="3"/>
  <c r="D2073" i="3"/>
  <c r="E2073" i="3"/>
  <c r="F2073" i="3"/>
  <c r="G2073" i="3"/>
  <c r="H2073" i="3"/>
  <c r="B2074" i="3"/>
  <c r="D2074" i="3"/>
  <c r="E2074" i="3"/>
  <c r="F2074" i="3"/>
  <c r="G2074" i="3"/>
  <c r="H2074" i="3"/>
  <c r="B2075" i="3"/>
  <c r="D2075" i="3"/>
  <c r="E2075" i="3"/>
  <c r="F2075" i="3"/>
  <c r="G2075" i="3"/>
  <c r="H2075" i="3"/>
  <c r="B2076" i="3"/>
  <c r="D2076" i="3"/>
  <c r="E2076" i="3"/>
  <c r="F2076" i="3"/>
  <c r="G2076" i="3"/>
  <c r="H2076" i="3"/>
  <c r="B2077" i="3"/>
  <c r="D2077" i="3"/>
  <c r="E2077" i="3"/>
  <c r="F2077" i="3"/>
  <c r="G2077" i="3"/>
  <c r="H2077" i="3"/>
  <c r="B2078" i="3"/>
  <c r="D2078" i="3"/>
  <c r="E2078" i="3"/>
  <c r="F2078" i="3"/>
  <c r="G2078" i="3"/>
  <c r="H2078" i="3"/>
  <c r="B2079" i="3"/>
  <c r="D2079" i="3"/>
  <c r="E2079" i="3"/>
  <c r="F2079" i="3"/>
  <c r="G2079" i="3"/>
  <c r="H2079" i="3"/>
  <c r="B2080" i="3"/>
  <c r="D2080" i="3"/>
  <c r="E2080" i="3"/>
  <c r="F2080" i="3"/>
  <c r="G2080" i="3"/>
  <c r="H2080" i="3"/>
  <c r="B2081" i="3"/>
  <c r="D2081" i="3"/>
  <c r="E2081" i="3"/>
  <c r="F2081" i="3"/>
  <c r="G2081" i="3"/>
  <c r="H2081" i="3"/>
  <c r="B2082" i="3"/>
  <c r="D2082" i="3"/>
  <c r="E2082" i="3"/>
  <c r="F2082" i="3"/>
  <c r="G2082" i="3"/>
  <c r="H2082" i="3"/>
  <c r="B2083" i="3"/>
  <c r="D2083" i="3"/>
  <c r="E2083" i="3"/>
  <c r="F2083" i="3"/>
  <c r="G2083" i="3"/>
  <c r="H2083" i="3"/>
  <c r="B2084" i="3"/>
  <c r="D2084" i="3"/>
  <c r="E2084" i="3"/>
  <c r="F2084" i="3"/>
  <c r="G2084" i="3"/>
  <c r="H2084" i="3"/>
  <c r="B2085" i="3"/>
  <c r="D2085" i="3"/>
  <c r="E2085" i="3"/>
  <c r="F2085" i="3"/>
  <c r="G2085" i="3"/>
  <c r="H2085" i="3"/>
  <c r="B2086" i="3"/>
  <c r="D2086" i="3"/>
  <c r="E2086" i="3"/>
  <c r="F2086" i="3"/>
  <c r="G2086" i="3"/>
  <c r="H2086" i="3"/>
  <c r="B2087" i="3"/>
  <c r="D2087" i="3"/>
  <c r="E2087" i="3"/>
  <c r="F2087" i="3"/>
  <c r="G2087" i="3"/>
  <c r="H2087" i="3"/>
  <c r="B2088" i="3"/>
  <c r="D2088" i="3"/>
  <c r="E2088" i="3"/>
  <c r="F2088" i="3"/>
  <c r="G2088" i="3"/>
  <c r="H2088" i="3"/>
  <c r="B2089" i="3"/>
  <c r="D2089" i="3"/>
  <c r="E2089" i="3"/>
  <c r="F2089" i="3"/>
  <c r="G2089" i="3"/>
  <c r="H2089" i="3"/>
  <c r="B2090" i="3"/>
  <c r="D2090" i="3"/>
  <c r="E2090" i="3"/>
  <c r="F2090" i="3"/>
  <c r="G2090" i="3"/>
  <c r="H2090" i="3"/>
  <c r="B2091" i="3"/>
  <c r="D2091" i="3"/>
  <c r="E2091" i="3"/>
  <c r="F2091" i="3"/>
  <c r="G2091" i="3"/>
  <c r="H2091" i="3"/>
  <c r="B2092" i="3"/>
  <c r="D2092" i="3"/>
  <c r="E2092" i="3"/>
  <c r="F2092" i="3"/>
  <c r="G2092" i="3"/>
  <c r="H2092" i="3"/>
  <c r="B2093" i="3"/>
  <c r="D2093" i="3"/>
  <c r="E2093" i="3"/>
  <c r="F2093" i="3"/>
  <c r="G2093" i="3"/>
  <c r="H2093" i="3"/>
  <c r="B2094" i="3"/>
  <c r="D2094" i="3"/>
  <c r="E2094" i="3"/>
  <c r="F2094" i="3"/>
  <c r="G2094" i="3"/>
  <c r="H2094" i="3"/>
  <c r="B2095" i="3"/>
  <c r="D2095" i="3"/>
  <c r="E2095" i="3"/>
  <c r="F2095" i="3"/>
  <c r="G2095" i="3"/>
  <c r="H2095" i="3"/>
  <c r="B2096" i="3"/>
  <c r="D2096" i="3"/>
  <c r="E2096" i="3"/>
  <c r="F2096" i="3"/>
  <c r="G2096" i="3"/>
  <c r="H2096" i="3"/>
  <c r="B2097" i="3"/>
  <c r="D2097" i="3"/>
  <c r="E2097" i="3"/>
  <c r="F2097" i="3"/>
  <c r="G2097" i="3"/>
  <c r="H2097" i="3"/>
  <c r="B2098" i="3"/>
  <c r="D2098" i="3"/>
  <c r="E2098" i="3"/>
  <c r="F2098" i="3"/>
  <c r="G2098" i="3"/>
  <c r="H2098" i="3"/>
  <c r="B2099" i="3"/>
  <c r="D2099" i="3"/>
  <c r="E2099" i="3"/>
  <c r="F2099" i="3"/>
  <c r="G2099" i="3"/>
  <c r="H2099" i="3"/>
  <c r="B2100" i="3"/>
  <c r="D2100" i="3"/>
  <c r="E2100" i="3"/>
  <c r="F2100" i="3"/>
  <c r="G2100" i="3"/>
  <c r="H2100" i="3"/>
  <c r="B2101" i="3"/>
  <c r="D2101" i="3"/>
  <c r="E2101" i="3"/>
  <c r="F2101" i="3"/>
  <c r="G2101" i="3"/>
  <c r="H2101" i="3"/>
  <c r="B2102" i="3"/>
  <c r="D2102" i="3"/>
  <c r="E2102" i="3"/>
  <c r="F2102" i="3"/>
  <c r="G2102" i="3"/>
  <c r="H2102" i="3"/>
  <c r="B2103" i="3"/>
  <c r="D2103" i="3"/>
  <c r="E2103" i="3"/>
  <c r="F2103" i="3"/>
  <c r="G2103" i="3"/>
  <c r="H2103" i="3"/>
  <c r="B2104" i="3"/>
  <c r="D2104" i="3"/>
  <c r="E2104" i="3"/>
  <c r="F2104" i="3"/>
  <c r="G2104" i="3"/>
  <c r="H2104" i="3"/>
  <c r="B2105" i="3"/>
  <c r="D2105" i="3"/>
  <c r="E2105" i="3"/>
  <c r="F2105" i="3"/>
  <c r="G2105" i="3"/>
  <c r="H2105" i="3"/>
  <c r="B2106" i="3"/>
  <c r="D2106" i="3"/>
  <c r="E2106" i="3"/>
  <c r="F2106" i="3"/>
  <c r="G2106" i="3"/>
  <c r="H2106" i="3"/>
  <c r="B2107" i="3"/>
  <c r="D2107" i="3"/>
  <c r="E2107" i="3"/>
  <c r="F2107" i="3"/>
  <c r="G2107" i="3"/>
  <c r="H2107" i="3"/>
  <c r="B2108" i="3"/>
  <c r="D2108" i="3"/>
  <c r="E2108" i="3"/>
  <c r="F2108" i="3"/>
  <c r="G2108" i="3"/>
  <c r="H2108" i="3"/>
  <c r="B2109" i="3"/>
  <c r="D2109" i="3"/>
  <c r="E2109" i="3"/>
  <c r="F2109" i="3"/>
  <c r="G2109" i="3"/>
  <c r="H2109" i="3"/>
  <c r="B2110" i="3"/>
  <c r="D2110" i="3"/>
  <c r="E2110" i="3"/>
  <c r="F2110" i="3"/>
  <c r="G2110" i="3"/>
  <c r="H2110" i="3"/>
  <c r="B2111" i="3"/>
  <c r="D2111" i="3"/>
  <c r="E2111" i="3"/>
  <c r="F2111" i="3"/>
  <c r="G2111" i="3"/>
  <c r="H2111" i="3"/>
  <c r="B2112" i="3"/>
  <c r="D2112" i="3"/>
  <c r="E2112" i="3"/>
  <c r="F2112" i="3"/>
  <c r="G2112" i="3"/>
  <c r="H2112" i="3"/>
  <c r="B2113" i="3"/>
  <c r="D2113" i="3"/>
  <c r="E2113" i="3"/>
  <c r="F2113" i="3"/>
  <c r="G2113" i="3"/>
  <c r="H2113" i="3"/>
  <c r="B2114" i="3"/>
  <c r="D2114" i="3"/>
  <c r="E2114" i="3"/>
  <c r="F2114" i="3"/>
  <c r="G2114" i="3"/>
  <c r="H2114" i="3"/>
  <c r="B2115" i="3"/>
  <c r="D2115" i="3"/>
  <c r="E2115" i="3"/>
  <c r="F2115" i="3"/>
  <c r="G2115" i="3"/>
  <c r="H2115" i="3"/>
  <c r="B2116" i="3"/>
  <c r="D2116" i="3"/>
  <c r="E2116" i="3"/>
  <c r="F2116" i="3"/>
  <c r="G2116" i="3"/>
  <c r="H2116" i="3"/>
  <c r="B2117" i="3"/>
  <c r="D2117" i="3"/>
  <c r="E2117" i="3"/>
  <c r="F2117" i="3"/>
  <c r="G2117" i="3"/>
  <c r="H2117" i="3"/>
  <c r="B2118" i="3"/>
  <c r="D2118" i="3"/>
  <c r="E2118" i="3"/>
  <c r="F2118" i="3"/>
  <c r="G2118" i="3"/>
  <c r="H2118" i="3"/>
  <c r="B2119" i="3"/>
  <c r="D2119" i="3"/>
  <c r="E2119" i="3"/>
  <c r="F2119" i="3"/>
  <c r="G2119" i="3"/>
  <c r="H2119" i="3"/>
  <c r="B2120" i="3"/>
  <c r="D2120" i="3"/>
  <c r="E2120" i="3"/>
  <c r="F2120" i="3"/>
  <c r="G2120" i="3"/>
  <c r="H2120" i="3"/>
  <c r="B2121" i="3"/>
  <c r="D2121" i="3"/>
  <c r="E2121" i="3"/>
  <c r="F2121" i="3"/>
  <c r="G2121" i="3"/>
  <c r="H2121" i="3"/>
  <c r="B2122" i="3"/>
  <c r="D2122" i="3"/>
  <c r="E2122" i="3"/>
  <c r="F2122" i="3"/>
  <c r="G2122" i="3"/>
  <c r="H2122" i="3"/>
  <c r="B2123" i="3"/>
  <c r="D2123" i="3"/>
  <c r="E2123" i="3"/>
  <c r="F2123" i="3"/>
  <c r="G2123" i="3"/>
  <c r="H2123" i="3"/>
  <c r="B2124" i="3"/>
  <c r="D2124" i="3"/>
  <c r="E2124" i="3"/>
  <c r="F2124" i="3"/>
  <c r="G2124" i="3"/>
  <c r="H2124" i="3"/>
  <c r="B2125" i="3"/>
  <c r="D2125" i="3"/>
  <c r="E2125" i="3"/>
  <c r="F2125" i="3"/>
  <c r="G2125" i="3"/>
  <c r="H2125" i="3"/>
  <c r="B2126" i="3"/>
  <c r="D2126" i="3"/>
  <c r="E2126" i="3"/>
  <c r="F2126" i="3"/>
  <c r="G2126" i="3"/>
  <c r="H2126" i="3"/>
  <c r="B2127" i="3"/>
  <c r="D2127" i="3"/>
  <c r="E2127" i="3"/>
  <c r="F2127" i="3"/>
  <c r="G2127" i="3"/>
  <c r="H2127" i="3"/>
  <c r="B2128" i="3"/>
  <c r="D2128" i="3"/>
  <c r="E2128" i="3"/>
  <c r="F2128" i="3"/>
  <c r="G2128" i="3"/>
  <c r="H2128" i="3"/>
  <c r="B2129" i="3"/>
  <c r="D2129" i="3"/>
  <c r="E2129" i="3"/>
  <c r="F2129" i="3"/>
  <c r="G2129" i="3"/>
  <c r="H2129" i="3"/>
  <c r="B2130" i="3"/>
  <c r="D2130" i="3"/>
  <c r="E2130" i="3"/>
  <c r="F2130" i="3"/>
  <c r="G2130" i="3"/>
  <c r="H2130" i="3"/>
  <c r="B2131" i="3"/>
  <c r="D2131" i="3"/>
  <c r="E2131" i="3"/>
  <c r="F2131" i="3"/>
  <c r="G2131" i="3"/>
  <c r="H2131" i="3"/>
  <c r="B2132" i="3"/>
  <c r="D2132" i="3"/>
  <c r="E2132" i="3"/>
  <c r="F2132" i="3"/>
  <c r="G2132" i="3"/>
  <c r="H2132" i="3"/>
  <c r="B2133" i="3"/>
  <c r="D2133" i="3"/>
  <c r="E2133" i="3"/>
  <c r="F2133" i="3"/>
  <c r="G2133" i="3"/>
  <c r="H2133" i="3"/>
  <c r="B2134" i="3"/>
  <c r="D2134" i="3"/>
  <c r="E2134" i="3"/>
  <c r="F2134" i="3"/>
  <c r="G2134" i="3"/>
  <c r="H2134" i="3"/>
  <c r="B2135" i="3"/>
  <c r="D2135" i="3"/>
  <c r="E2135" i="3"/>
  <c r="F2135" i="3"/>
  <c r="G2135" i="3"/>
  <c r="H2135" i="3"/>
  <c r="B2136" i="3"/>
  <c r="D2136" i="3"/>
  <c r="E2136" i="3"/>
  <c r="F2136" i="3"/>
  <c r="G2136" i="3"/>
  <c r="H2136" i="3"/>
  <c r="B2137" i="3"/>
  <c r="D2137" i="3"/>
  <c r="E2137" i="3"/>
  <c r="F2137" i="3"/>
  <c r="G2137" i="3"/>
  <c r="H2137" i="3"/>
  <c r="B2138" i="3"/>
  <c r="D2138" i="3"/>
  <c r="E2138" i="3"/>
  <c r="F2138" i="3"/>
  <c r="G2138" i="3"/>
  <c r="H2138" i="3"/>
  <c r="B2139" i="3"/>
  <c r="D2139" i="3"/>
  <c r="E2139" i="3"/>
  <c r="F2139" i="3"/>
  <c r="G2139" i="3"/>
  <c r="H2139" i="3"/>
  <c r="B2140" i="3"/>
  <c r="D2140" i="3"/>
  <c r="E2140" i="3"/>
  <c r="F2140" i="3"/>
  <c r="G2140" i="3"/>
  <c r="H2140" i="3"/>
  <c r="B2141" i="3"/>
  <c r="D2141" i="3"/>
  <c r="E2141" i="3"/>
  <c r="F2141" i="3"/>
  <c r="G2141" i="3"/>
  <c r="H2141" i="3"/>
  <c r="B2142" i="3"/>
  <c r="D2142" i="3"/>
  <c r="E2142" i="3"/>
  <c r="F2142" i="3"/>
  <c r="G2142" i="3"/>
  <c r="H2142" i="3"/>
  <c r="B2143" i="3"/>
  <c r="D2143" i="3"/>
  <c r="E2143" i="3"/>
  <c r="F2143" i="3"/>
  <c r="G2143" i="3"/>
  <c r="H2143" i="3"/>
  <c r="B2144" i="3"/>
  <c r="D2144" i="3"/>
  <c r="E2144" i="3"/>
  <c r="F2144" i="3"/>
  <c r="G2144" i="3"/>
  <c r="H2144" i="3"/>
  <c r="B2145" i="3"/>
  <c r="D2145" i="3"/>
  <c r="E2145" i="3"/>
  <c r="F2145" i="3"/>
  <c r="G2145" i="3"/>
  <c r="H2145" i="3"/>
  <c r="B2146" i="3"/>
  <c r="D2146" i="3"/>
  <c r="E2146" i="3"/>
  <c r="F2146" i="3"/>
  <c r="G2146" i="3"/>
  <c r="H2146" i="3"/>
  <c r="B2147" i="3"/>
  <c r="D2147" i="3"/>
  <c r="E2147" i="3"/>
  <c r="F2147" i="3"/>
  <c r="G2147" i="3"/>
  <c r="H2147" i="3"/>
  <c r="B2148" i="3"/>
  <c r="D2148" i="3"/>
  <c r="E2148" i="3"/>
  <c r="F2148" i="3"/>
  <c r="G2148" i="3"/>
  <c r="H2148" i="3"/>
  <c r="B2149" i="3"/>
  <c r="D2149" i="3"/>
  <c r="E2149" i="3"/>
  <c r="F2149" i="3"/>
  <c r="G2149" i="3"/>
  <c r="H2149" i="3"/>
  <c r="B2150" i="3"/>
  <c r="D2150" i="3"/>
  <c r="E2150" i="3"/>
  <c r="F2150" i="3"/>
  <c r="G2150" i="3"/>
  <c r="H2150" i="3"/>
  <c r="B2151" i="3"/>
  <c r="D2151" i="3"/>
  <c r="E2151" i="3"/>
  <c r="F2151" i="3"/>
  <c r="G2151" i="3"/>
  <c r="H2151" i="3"/>
  <c r="B2152" i="3"/>
  <c r="D2152" i="3"/>
  <c r="E2152" i="3"/>
  <c r="F2152" i="3"/>
  <c r="G2152" i="3"/>
  <c r="H2152" i="3"/>
  <c r="B2153" i="3"/>
  <c r="D2153" i="3"/>
  <c r="E2153" i="3"/>
  <c r="F2153" i="3"/>
  <c r="G2153" i="3"/>
  <c r="H2153" i="3"/>
  <c r="B2154" i="3"/>
  <c r="D2154" i="3"/>
  <c r="E2154" i="3"/>
  <c r="F2154" i="3"/>
  <c r="G2154" i="3"/>
  <c r="H2154" i="3"/>
  <c r="B2155" i="3"/>
  <c r="D2155" i="3"/>
  <c r="E2155" i="3"/>
  <c r="F2155" i="3"/>
  <c r="G2155" i="3"/>
  <c r="H2155" i="3"/>
  <c r="B2156" i="3"/>
  <c r="D2156" i="3"/>
  <c r="E2156" i="3"/>
  <c r="F2156" i="3"/>
  <c r="G2156" i="3"/>
  <c r="H2156" i="3"/>
  <c r="B2157" i="3"/>
  <c r="D2157" i="3"/>
  <c r="E2157" i="3"/>
  <c r="F2157" i="3"/>
  <c r="G2157" i="3"/>
  <c r="H2157" i="3"/>
  <c r="B2158" i="3"/>
  <c r="D2158" i="3"/>
  <c r="E2158" i="3"/>
  <c r="F2158" i="3"/>
  <c r="G2158" i="3"/>
  <c r="H2158" i="3"/>
  <c r="B2159" i="3"/>
  <c r="D2159" i="3"/>
  <c r="E2159" i="3"/>
  <c r="F2159" i="3"/>
  <c r="G2159" i="3"/>
  <c r="H2159" i="3"/>
  <c r="B2160" i="3"/>
  <c r="D2160" i="3"/>
  <c r="E2160" i="3"/>
  <c r="F2160" i="3"/>
  <c r="G2160" i="3"/>
  <c r="H2160" i="3"/>
  <c r="B2161" i="3"/>
  <c r="D2161" i="3"/>
  <c r="E2161" i="3"/>
  <c r="F2161" i="3"/>
  <c r="G2161" i="3"/>
  <c r="H2161" i="3"/>
  <c r="B2162" i="3"/>
  <c r="D2162" i="3"/>
  <c r="E2162" i="3"/>
  <c r="F2162" i="3"/>
  <c r="G2162" i="3"/>
  <c r="H2162" i="3"/>
  <c r="B2163" i="3"/>
  <c r="D2163" i="3"/>
  <c r="E2163" i="3"/>
  <c r="F2163" i="3"/>
  <c r="G2163" i="3"/>
  <c r="H2163" i="3"/>
  <c r="B2164" i="3"/>
  <c r="D2164" i="3"/>
  <c r="E2164" i="3"/>
  <c r="F2164" i="3"/>
  <c r="G2164" i="3"/>
  <c r="H2164" i="3"/>
  <c r="B2165" i="3"/>
  <c r="D2165" i="3"/>
  <c r="E2165" i="3"/>
  <c r="F2165" i="3"/>
  <c r="G2165" i="3"/>
  <c r="H2165" i="3"/>
  <c r="B2166" i="3"/>
  <c r="D2166" i="3"/>
  <c r="E2166" i="3"/>
  <c r="F2166" i="3"/>
  <c r="G2166" i="3"/>
  <c r="H2166" i="3"/>
  <c r="B2167" i="3"/>
  <c r="D2167" i="3"/>
  <c r="E2167" i="3"/>
  <c r="F2167" i="3"/>
  <c r="G2167" i="3"/>
  <c r="H2167" i="3"/>
  <c r="B2168" i="3"/>
  <c r="D2168" i="3"/>
  <c r="E2168" i="3"/>
  <c r="F2168" i="3"/>
  <c r="G2168" i="3"/>
  <c r="H2168" i="3"/>
  <c r="B2169" i="3"/>
  <c r="D2169" i="3"/>
  <c r="E2169" i="3"/>
  <c r="F2169" i="3"/>
  <c r="G2169" i="3"/>
  <c r="H2169" i="3"/>
  <c r="B2170" i="3"/>
  <c r="D2170" i="3"/>
  <c r="E2170" i="3"/>
  <c r="F2170" i="3"/>
  <c r="G2170" i="3"/>
  <c r="H2170" i="3"/>
  <c r="B2171" i="3"/>
  <c r="D2171" i="3"/>
  <c r="E2171" i="3"/>
  <c r="F2171" i="3"/>
  <c r="G2171" i="3"/>
  <c r="H2171" i="3"/>
  <c r="B2172" i="3"/>
  <c r="D2172" i="3"/>
  <c r="E2172" i="3"/>
  <c r="F2172" i="3"/>
  <c r="G2172" i="3"/>
  <c r="H2172" i="3"/>
  <c r="B2173" i="3"/>
  <c r="D2173" i="3"/>
  <c r="E2173" i="3"/>
  <c r="F2173" i="3"/>
  <c r="G2173" i="3"/>
  <c r="H2173" i="3"/>
  <c r="B2174" i="3"/>
  <c r="D2174" i="3"/>
  <c r="E2174" i="3"/>
  <c r="F2174" i="3"/>
  <c r="G2174" i="3"/>
  <c r="H2174" i="3"/>
  <c r="B2175" i="3"/>
  <c r="D2175" i="3"/>
  <c r="E2175" i="3"/>
  <c r="F2175" i="3"/>
  <c r="G2175" i="3"/>
  <c r="H2175" i="3"/>
  <c r="B2176" i="3"/>
  <c r="D2176" i="3"/>
  <c r="E2176" i="3"/>
  <c r="F2176" i="3"/>
  <c r="G2176" i="3"/>
  <c r="H2176" i="3"/>
  <c r="B2177" i="3"/>
  <c r="D2177" i="3"/>
  <c r="E2177" i="3"/>
  <c r="F2177" i="3"/>
  <c r="G2177" i="3"/>
  <c r="H2177" i="3"/>
  <c r="B2178" i="3"/>
  <c r="D2178" i="3"/>
  <c r="E2178" i="3"/>
  <c r="F2178" i="3"/>
  <c r="G2178" i="3"/>
  <c r="H2178" i="3"/>
  <c r="B2179" i="3"/>
  <c r="D2179" i="3"/>
  <c r="E2179" i="3"/>
  <c r="F2179" i="3"/>
  <c r="G2179" i="3"/>
  <c r="H2179" i="3"/>
  <c r="B2180" i="3"/>
  <c r="D2180" i="3"/>
  <c r="E2180" i="3"/>
  <c r="F2180" i="3"/>
  <c r="G2180" i="3"/>
  <c r="H2180" i="3"/>
  <c r="B2181" i="3"/>
  <c r="D2181" i="3"/>
  <c r="E2181" i="3"/>
  <c r="F2181" i="3"/>
  <c r="G2181" i="3"/>
  <c r="H2181" i="3"/>
  <c r="B2182" i="3"/>
  <c r="D2182" i="3"/>
  <c r="E2182" i="3"/>
  <c r="F2182" i="3"/>
  <c r="G2182" i="3"/>
  <c r="H2182" i="3"/>
  <c r="B2183" i="3"/>
  <c r="D2183" i="3"/>
  <c r="E2183" i="3"/>
  <c r="F2183" i="3"/>
  <c r="G2183" i="3"/>
  <c r="H2183" i="3"/>
  <c r="B2184" i="3"/>
  <c r="D2184" i="3"/>
  <c r="E2184" i="3"/>
  <c r="F2184" i="3"/>
  <c r="G2184" i="3"/>
  <c r="H2184" i="3"/>
  <c r="B2185" i="3"/>
  <c r="D2185" i="3"/>
  <c r="E2185" i="3"/>
  <c r="F2185" i="3"/>
  <c r="G2185" i="3"/>
  <c r="H2185" i="3"/>
  <c r="B2186" i="3"/>
  <c r="D2186" i="3"/>
  <c r="E2186" i="3"/>
  <c r="F2186" i="3"/>
  <c r="G2186" i="3"/>
  <c r="H2186" i="3"/>
  <c r="B2187" i="3"/>
  <c r="D2187" i="3"/>
  <c r="E2187" i="3"/>
  <c r="F2187" i="3"/>
  <c r="G2187" i="3"/>
  <c r="H2187" i="3"/>
  <c r="B2188" i="3"/>
  <c r="D2188" i="3"/>
  <c r="E2188" i="3"/>
  <c r="F2188" i="3"/>
  <c r="G2188" i="3"/>
  <c r="H2188" i="3"/>
  <c r="B2189" i="3"/>
  <c r="D2189" i="3"/>
  <c r="E2189" i="3"/>
  <c r="F2189" i="3"/>
  <c r="G2189" i="3"/>
  <c r="H2189" i="3"/>
  <c r="B2190" i="3"/>
  <c r="D2190" i="3"/>
  <c r="E2190" i="3"/>
  <c r="F2190" i="3"/>
  <c r="G2190" i="3"/>
  <c r="H2190" i="3"/>
  <c r="B2191" i="3"/>
  <c r="D2191" i="3"/>
  <c r="E2191" i="3"/>
  <c r="F2191" i="3"/>
  <c r="G2191" i="3"/>
  <c r="H2191" i="3"/>
  <c r="B2192" i="3"/>
  <c r="D2192" i="3"/>
  <c r="E2192" i="3"/>
  <c r="F2192" i="3"/>
  <c r="G2192" i="3"/>
  <c r="H2192" i="3"/>
  <c r="B2193" i="3"/>
  <c r="D2193" i="3"/>
  <c r="E2193" i="3"/>
  <c r="F2193" i="3"/>
  <c r="G2193" i="3"/>
  <c r="H2193" i="3"/>
  <c r="B2194" i="3"/>
  <c r="D2194" i="3"/>
  <c r="E2194" i="3"/>
  <c r="F2194" i="3"/>
  <c r="G2194" i="3"/>
  <c r="H2194" i="3"/>
  <c r="B2195" i="3"/>
  <c r="D2195" i="3"/>
  <c r="E2195" i="3"/>
  <c r="F2195" i="3"/>
  <c r="G2195" i="3"/>
  <c r="H2195" i="3"/>
  <c r="B2196" i="3"/>
  <c r="D2196" i="3"/>
  <c r="E2196" i="3"/>
  <c r="F2196" i="3"/>
  <c r="G2196" i="3"/>
  <c r="H2196" i="3"/>
  <c r="B2197" i="3"/>
  <c r="D2197" i="3"/>
  <c r="E2197" i="3"/>
  <c r="F2197" i="3"/>
  <c r="G2197" i="3"/>
  <c r="H2197" i="3"/>
  <c r="B2198" i="3"/>
  <c r="D2198" i="3"/>
  <c r="E2198" i="3"/>
  <c r="F2198" i="3"/>
  <c r="G2198" i="3"/>
  <c r="H2198" i="3"/>
  <c r="B2199" i="3"/>
  <c r="D2199" i="3"/>
  <c r="E2199" i="3"/>
  <c r="F2199" i="3"/>
  <c r="G2199" i="3"/>
  <c r="H2199" i="3"/>
  <c r="B2200" i="3"/>
  <c r="D2200" i="3"/>
  <c r="E2200" i="3"/>
  <c r="F2200" i="3"/>
  <c r="G2200" i="3"/>
  <c r="H2200" i="3"/>
  <c r="B2201" i="3"/>
  <c r="D2201" i="3"/>
  <c r="E2201" i="3"/>
  <c r="F2201" i="3"/>
  <c r="G2201" i="3"/>
  <c r="H2201" i="3"/>
  <c r="B2202" i="3"/>
  <c r="D2202" i="3"/>
  <c r="E2202" i="3"/>
  <c r="F2202" i="3"/>
  <c r="G2202" i="3"/>
  <c r="H2202" i="3"/>
  <c r="B2203" i="3"/>
  <c r="D2203" i="3"/>
  <c r="E2203" i="3"/>
  <c r="F2203" i="3"/>
  <c r="G2203" i="3"/>
  <c r="H2203" i="3"/>
  <c r="B2204" i="3"/>
  <c r="D2204" i="3"/>
  <c r="E2204" i="3"/>
  <c r="F2204" i="3"/>
  <c r="G2204" i="3"/>
  <c r="H2204" i="3"/>
  <c r="B2205" i="3"/>
  <c r="D2205" i="3"/>
  <c r="E2205" i="3"/>
  <c r="F2205" i="3"/>
  <c r="G2205" i="3"/>
  <c r="H2205" i="3"/>
  <c r="B2206" i="3"/>
  <c r="D2206" i="3"/>
  <c r="E2206" i="3"/>
  <c r="F2206" i="3"/>
  <c r="G2206" i="3"/>
  <c r="H2206" i="3"/>
  <c r="B2207" i="3"/>
  <c r="D2207" i="3"/>
  <c r="E2207" i="3"/>
  <c r="F2207" i="3"/>
  <c r="G2207" i="3"/>
  <c r="H2207" i="3"/>
  <c r="B2208" i="3"/>
  <c r="D2208" i="3"/>
  <c r="E2208" i="3"/>
  <c r="F2208" i="3"/>
  <c r="G2208" i="3"/>
  <c r="H2208" i="3"/>
  <c r="B2209" i="3"/>
  <c r="D2209" i="3"/>
  <c r="E2209" i="3"/>
  <c r="F2209" i="3"/>
  <c r="G2209" i="3"/>
  <c r="H2209" i="3"/>
  <c r="B2210" i="3"/>
  <c r="D2210" i="3"/>
  <c r="E2210" i="3"/>
  <c r="F2210" i="3"/>
  <c r="G2210" i="3"/>
  <c r="H2210" i="3"/>
  <c r="B2211" i="3"/>
  <c r="D2211" i="3"/>
  <c r="E2211" i="3"/>
  <c r="F2211" i="3"/>
  <c r="G2211" i="3"/>
  <c r="H2211" i="3"/>
  <c r="B2212" i="3"/>
  <c r="D2212" i="3"/>
  <c r="E2212" i="3"/>
  <c r="F2212" i="3"/>
  <c r="G2212" i="3"/>
  <c r="H2212" i="3"/>
  <c r="B2213" i="3"/>
  <c r="D2213" i="3"/>
  <c r="E2213" i="3"/>
  <c r="F2213" i="3"/>
  <c r="G2213" i="3"/>
  <c r="H2213" i="3"/>
  <c r="B2214" i="3"/>
  <c r="D2214" i="3"/>
  <c r="E2214" i="3"/>
  <c r="F2214" i="3"/>
  <c r="G2214" i="3"/>
  <c r="H2214" i="3"/>
  <c r="B2215" i="3"/>
  <c r="D2215" i="3"/>
  <c r="E2215" i="3"/>
  <c r="F2215" i="3"/>
  <c r="G2215" i="3"/>
  <c r="H2215" i="3"/>
  <c r="B2216" i="3"/>
  <c r="D2216" i="3"/>
  <c r="E2216" i="3"/>
  <c r="F2216" i="3"/>
  <c r="G2216" i="3"/>
  <c r="H2216" i="3"/>
  <c r="B2217" i="3"/>
  <c r="D2217" i="3"/>
  <c r="E2217" i="3"/>
  <c r="F2217" i="3"/>
  <c r="G2217" i="3"/>
  <c r="H2217" i="3"/>
  <c r="B2218" i="3"/>
  <c r="D2218" i="3"/>
  <c r="E2218" i="3"/>
  <c r="F2218" i="3"/>
  <c r="G2218" i="3"/>
  <c r="H2218" i="3"/>
  <c r="B2219" i="3"/>
  <c r="D2219" i="3"/>
  <c r="E2219" i="3"/>
  <c r="F2219" i="3"/>
  <c r="G2219" i="3"/>
  <c r="H2219" i="3"/>
  <c r="B2220" i="3"/>
  <c r="D2220" i="3"/>
  <c r="E2220" i="3"/>
  <c r="F2220" i="3"/>
  <c r="G2220" i="3"/>
  <c r="H2220" i="3"/>
  <c r="B2221" i="3"/>
  <c r="D2221" i="3"/>
  <c r="E2221" i="3"/>
  <c r="F2221" i="3"/>
  <c r="G2221" i="3"/>
  <c r="H2221" i="3"/>
  <c r="B2222" i="3"/>
  <c r="D2222" i="3"/>
  <c r="E2222" i="3"/>
  <c r="F2222" i="3"/>
  <c r="G2222" i="3"/>
  <c r="H2222" i="3"/>
  <c r="B2223" i="3"/>
  <c r="D2223" i="3"/>
  <c r="E2223" i="3"/>
  <c r="F2223" i="3"/>
  <c r="G2223" i="3"/>
  <c r="H2223" i="3"/>
  <c r="B2224" i="3"/>
  <c r="D2224" i="3"/>
  <c r="E2224" i="3"/>
  <c r="F2224" i="3"/>
  <c r="G2224" i="3"/>
  <c r="H2224" i="3"/>
  <c r="B2225" i="3"/>
  <c r="D2225" i="3"/>
  <c r="E2225" i="3"/>
  <c r="F2225" i="3"/>
  <c r="G2225" i="3"/>
  <c r="H2225" i="3"/>
  <c r="B2226" i="3"/>
  <c r="D2226" i="3"/>
  <c r="E2226" i="3"/>
  <c r="F2226" i="3"/>
  <c r="G2226" i="3"/>
  <c r="H2226" i="3"/>
  <c r="B2227" i="3"/>
  <c r="D2227" i="3"/>
  <c r="E2227" i="3"/>
  <c r="F2227" i="3"/>
  <c r="G2227" i="3"/>
  <c r="H2227" i="3"/>
  <c r="B2228" i="3"/>
  <c r="D2228" i="3"/>
  <c r="E2228" i="3"/>
  <c r="F2228" i="3"/>
  <c r="G2228" i="3"/>
  <c r="H2228" i="3"/>
  <c r="B2229" i="3"/>
  <c r="D2229" i="3"/>
  <c r="E2229" i="3"/>
  <c r="F2229" i="3"/>
  <c r="G2229" i="3"/>
  <c r="H2229" i="3"/>
  <c r="B2230" i="3"/>
  <c r="D2230" i="3"/>
  <c r="E2230" i="3"/>
  <c r="F2230" i="3"/>
  <c r="G2230" i="3"/>
  <c r="H2230" i="3"/>
  <c r="B2231" i="3"/>
  <c r="D2231" i="3"/>
  <c r="E2231" i="3"/>
  <c r="F2231" i="3"/>
  <c r="G2231" i="3"/>
  <c r="H2231" i="3"/>
  <c r="B2232" i="3"/>
  <c r="D2232" i="3"/>
  <c r="E2232" i="3"/>
  <c r="F2232" i="3"/>
  <c r="G2232" i="3"/>
  <c r="H2232" i="3"/>
  <c r="B2233" i="3"/>
  <c r="D2233" i="3"/>
  <c r="E2233" i="3"/>
  <c r="F2233" i="3"/>
  <c r="G2233" i="3"/>
  <c r="H2233" i="3"/>
  <c r="B2234" i="3"/>
  <c r="D2234" i="3"/>
  <c r="E2234" i="3"/>
  <c r="F2234" i="3"/>
  <c r="G2234" i="3"/>
  <c r="H2234" i="3"/>
  <c r="B2235" i="3"/>
  <c r="D2235" i="3"/>
  <c r="E2235" i="3"/>
  <c r="F2235" i="3"/>
  <c r="G2235" i="3"/>
  <c r="H2235" i="3"/>
  <c r="B2236" i="3"/>
  <c r="D2236" i="3"/>
  <c r="E2236" i="3"/>
  <c r="F2236" i="3"/>
  <c r="G2236" i="3"/>
  <c r="H2236" i="3"/>
  <c r="B2237" i="3"/>
  <c r="D2237" i="3"/>
  <c r="E2237" i="3"/>
  <c r="F2237" i="3"/>
  <c r="G2237" i="3"/>
  <c r="H2237" i="3"/>
  <c r="B2238" i="3"/>
  <c r="D2238" i="3"/>
  <c r="E2238" i="3"/>
  <c r="F2238" i="3"/>
  <c r="G2238" i="3"/>
  <c r="H2238" i="3"/>
  <c r="B2239" i="3"/>
  <c r="D2239" i="3"/>
  <c r="E2239" i="3"/>
  <c r="F2239" i="3"/>
  <c r="G2239" i="3"/>
  <c r="H2239" i="3"/>
  <c r="B2240" i="3"/>
  <c r="D2240" i="3"/>
  <c r="E2240" i="3"/>
  <c r="F2240" i="3"/>
  <c r="G2240" i="3"/>
  <c r="H2240" i="3"/>
  <c r="B2241" i="3"/>
  <c r="D2241" i="3"/>
  <c r="E2241" i="3"/>
  <c r="F2241" i="3"/>
  <c r="G2241" i="3"/>
  <c r="H2241" i="3"/>
  <c r="B2242" i="3"/>
  <c r="D2242" i="3"/>
  <c r="E2242" i="3"/>
  <c r="F2242" i="3"/>
  <c r="G2242" i="3"/>
  <c r="H2242" i="3"/>
  <c r="B2243" i="3"/>
  <c r="D2243" i="3"/>
  <c r="E2243" i="3"/>
  <c r="F2243" i="3"/>
  <c r="G2243" i="3"/>
  <c r="H2243" i="3"/>
  <c r="B2244" i="3"/>
  <c r="D2244" i="3"/>
  <c r="E2244" i="3"/>
  <c r="F2244" i="3"/>
  <c r="G2244" i="3"/>
  <c r="H2244" i="3"/>
  <c r="B2245" i="3"/>
  <c r="D2245" i="3"/>
  <c r="E2245" i="3"/>
  <c r="F2245" i="3"/>
  <c r="G2245" i="3"/>
  <c r="H2245" i="3"/>
  <c r="B2246" i="3"/>
  <c r="D2246" i="3"/>
  <c r="E2246" i="3"/>
  <c r="F2246" i="3"/>
  <c r="G2246" i="3"/>
  <c r="H2246" i="3"/>
  <c r="B2247" i="3"/>
  <c r="D2247" i="3"/>
  <c r="E2247" i="3"/>
  <c r="F2247" i="3"/>
  <c r="G2247" i="3"/>
  <c r="H2247" i="3"/>
  <c r="B2248" i="3"/>
  <c r="D2248" i="3"/>
  <c r="E2248" i="3"/>
  <c r="F2248" i="3"/>
  <c r="G2248" i="3"/>
  <c r="H2248" i="3"/>
  <c r="B2249" i="3"/>
  <c r="D2249" i="3"/>
  <c r="E2249" i="3"/>
  <c r="F2249" i="3"/>
  <c r="G2249" i="3"/>
  <c r="H2249" i="3"/>
  <c r="B2250" i="3"/>
  <c r="D2250" i="3"/>
  <c r="E2250" i="3"/>
  <c r="F2250" i="3"/>
  <c r="G2250" i="3"/>
  <c r="H2250" i="3"/>
  <c r="B2251" i="3"/>
  <c r="D2251" i="3"/>
  <c r="E2251" i="3"/>
  <c r="F2251" i="3"/>
  <c r="G2251" i="3"/>
  <c r="H2251" i="3"/>
  <c r="B2252" i="3"/>
  <c r="D2252" i="3"/>
  <c r="E2252" i="3"/>
  <c r="F2252" i="3"/>
  <c r="G2252" i="3"/>
  <c r="H2252" i="3"/>
  <c r="B2253" i="3"/>
  <c r="D2253" i="3"/>
  <c r="E2253" i="3"/>
  <c r="F2253" i="3"/>
  <c r="G2253" i="3"/>
  <c r="H2253" i="3"/>
  <c r="B2254" i="3"/>
  <c r="D2254" i="3"/>
  <c r="E2254" i="3"/>
  <c r="F2254" i="3"/>
  <c r="G2254" i="3"/>
  <c r="H2254" i="3"/>
  <c r="B2255" i="3"/>
  <c r="D2255" i="3"/>
  <c r="E2255" i="3"/>
  <c r="F2255" i="3"/>
  <c r="G2255" i="3"/>
  <c r="H2255" i="3"/>
  <c r="B2256" i="3"/>
  <c r="D2256" i="3"/>
  <c r="E2256" i="3"/>
  <c r="F2256" i="3"/>
  <c r="G2256" i="3"/>
  <c r="H2256" i="3"/>
  <c r="B2257" i="3"/>
  <c r="D2257" i="3"/>
  <c r="E2257" i="3"/>
  <c r="F2257" i="3"/>
  <c r="G2257" i="3"/>
  <c r="H2257" i="3"/>
  <c r="B2258" i="3"/>
  <c r="D2258" i="3"/>
  <c r="E2258" i="3"/>
  <c r="F2258" i="3"/>
  <c r="G2258" i="3"/>
  <c r="H2258" i="3"/>
  <c r="B2259" i="3"/>
  <c r="D2259" i="3"/>
  <c r="E2259" i="3"/>
  <c r="F2259" i="3"/>
  <c r="G2259" i="3"/>
  <c r="H2259" i="3"/>
  <c r="B2260" i="3"/>
  <c r="D2260" i="3"/>
  <c r="E2260" i="3"/>
  <c r="F2260" i="3"/>
  <c r="G2260" i="3"/>
  <c r="H2260" i="3"/>
  <c r="B2261" i="3"/>
  <c r="D2261" i="3"/>
  <c r="E2261" i="3"/>
  <c r="F2261" i="3"/>
  <c r="G2261" i="3"/>
  <c r="H2261" i="3"/>
  <c r="B2262" i="3"/>
  <c r="D2262" i="3"/>
  <c r="E2262" i="3"/>
  <c r="F2262" i="3"/>
  <c r="G2262" i="3"/>
  <c r="H2262" i="3"/>
  <c r="B2263" i="3"/>
  <c r="D2263" i="3"/>
  <c r="E2263" i="3"/>
  <c r="F2263" i="3"/>
  <c r="G2263" i="3"/>
  <c r="H2263" i="3"/>
  <c r="B2264" i="3"/>
  <c r="D2264" i="3"/>
  <c r="E2264" i="3"/>
  <c r="F2264" i="3"/>
  <c r="G2264" i="3"/>
  <c r="H2264" i="3"/>
  <c r="B2265" i="3"/>
  <c r="D2265" i="3"/>
  <c r="E2265" i="3"/>
  <c r="F2265" i="3"/>
  <c r="G2265" i="3"/>
  <c r="H2265" i="3"/>
  <c r="B2266" i="3"/>
  <c r="D2266" i="3"/>
  <c r="E2266" i="3"/>
  <c r="F2266" i="3"/>
  <c r="G2266" i="3"/>
  <c r="H2266" i="3"/>
  <c r="B2267" i="3"/>
  <c r="D2267" i="3"/>
  <c r="E2267" i="3"/>
  <c r="F2267" i="3"/>
  <c r="G2267" i="3"/>
  <c r="H2267" i="3"/>
  <c r="B2268" i="3"/>
  <c r="D2268" i="3"/>
  <c r="E2268" i="3"/>
  <c r="F2268" i="3"/>
  <c r="G2268" i="3"/>
  <c r="H2268" i="3"/>
  <c r="B2269" i="3"/>
  <c r="D2269" i="3"/>
  <c r="E2269" i="3"/>
  <c r="F2269" i="3"/>
  <c r="G2269" i="3"/>
  <c r="H2269" i="3"/>
  <c r="B2270" i="3"/>
  <c r="D2270" i="3"/>
  <c r="E2270" i="3"/>
  <c r="F2270" i="3"/>
  <c r="G2270" i="3"/>
  <c r="H2270" i="3"/>
  <c r="B2271" i="3"/>
  <c r="D2271" i="3"/>
  <c r="E2271" i="3"/>
  <c r="F2271" i="3"/>
  <c r="G2271" i="3"/>
  <c r="H2271" i="3"/>
  <c r="B2272" i="3"/>
  <c r="D2272" i="3"/>
  <c r="E2272" i="3"/>
  <c r="F2272" i="3"/>
  <c r="G2272" i="3"/>
  <c r="H2272" i="3"/>
  <c r="B2273" i="3"/>
  <c r="D2273" i="3"/>
  <c r="E2273" i="3"/>
  <c r="F2273" i="3"/>
  <c r="G2273" i="3"/>
  <c r="H2273" i="3"/>
  <c r="B2274" i="3"/>
  <c r="D2274" i="3"/>
  <c r="E2274" i="3"/>
  <c r="F2274" i="3"/>
  <c r="G2274" i="3"/>
  <c r="H2274" i="3"/>
  <c r="B2275" i="3"/>
  <c r="D2275" i="3"/>
  <c r="E2275" i="3"/>
  <c r="F2275" i="3"/>
  <c r="G2275" i="3"/>
  <c r="H2275" i="3"/>
  <c r="B2276" i="3"/>
  <c r="D2276" i="3"/>
  <c r="E2276" i="3"/>
  <c r="F2276" i="3"/>
  <c r="G2276" i="3"/>
  <c r="H2276" i="3"/>
  <c r="B2277" i="3"/>
  <c r="D2277" i="3"/>
  <c r="E2277" i="3"/>
  <c r="F2277" i="3"/>
  <c r="G2277" i="3"/>
  <c r="H2277" i="3"/>
  <c r="B2278" i="3"/>
  <c r="D2278" i="3"/>
  <c r="E2278" i="3"/>
  <c r="F2278" i="3"/>
  <c r="G2278" i="3"/>
  <c r="H2278" i="3"/>
  <c r="B2279" i="3"/>
  <c r="D2279" i="3"/>
  <c r="E2279" i="3"/>
  <c r="F2279" i="3"/>
  <c r="G2279" i="3"/>
  <c r="H2279" i="3"/>
  <c r="B2280" i="3"/>
  <c r="D2280" i="3"/>
  <c r="E2280" i="3"/>
  <c r="F2280" i="3"/>
  <c r="G2280" i="3"/>
  <c r="H2280" i="3"/>
  <c r="B2281" i="3"/>
  <c r="D2281" i="3"/>
  <c r="E2281" i="3"/>
  <c r="F2281" i="3"/>
  <c r="G2281" i="3"/>
  <c r="H2281" i="3"/>
  <c r="B2282" i="3"/>
  <c r="D2282" i="3"/>
  <c r="E2282" i="3"/>
  <c r="F2282" i="3"/>
  <c r="G2282" i="3"/>
  <c r="H2282" i="3"/>
  <c r="B2283" i="3"/>
  <c r="D2283" i="3"/>
  <c r="E2283" i="3"/>
  <c r="F2283" i="3"/>
  <c r="G2283" i="3"/>
  <c r="H2283" i="3"/>
  <c r="B2284" i="3"/>
  <c r="D2284" i="3"/>
  <c r="E2284" i="3"/>
  <c r="F2284" i="3"/>
  <c r="G2284" i="3"/>
  <c r="H2284" i="3"/>
  <c r="B2285" i="3"/>
  <c r="D2285" i="3"/>
  <c r="E2285" i="3"/>
  <c r="F2285" i="3"/>
  <c r="G2285" i="3"/>
  <c r="H2285" i="3"/>
  <c r="B2286" i="3"/>
  <c r="D2286" i="3"/>
  <c r="E2286" i="3"/>
  <c r="F2286" i="3"/>
  <c r="G2286" i="3"/>
  <c r="H2286" i="3"/>
  <c r="B2287" i="3"/>
  <c r="D2287" i="3"/>
  <c r="E2287" i="3"/>
  <c r="F2287" i="3"/>
  <c r="G2287" i="3"/>
  <c r="H2287" i="3"/>
  <c r="B2288" i="3"/>
  <c r="D2288" i="3"/>
  <c r="E2288" i="3"/>
  <c r="F2288" i="3"/>
  <c r="G2288" i="3"/>
  <c r="H2288" i="3"/>
  <c r="B2289" i="3"/>
  <c r="D2289" i="3"/>
  <c r="E2289" i="3"/>
  <c r="F2289" i="3"/>
  <c r="G2289" i="3"/>
  <c r="H2289" i="3"/>
  <c r="B2290" i="3"/>
  <c r="D2290" i="3"/>
  <c r="E2290" i="3"/>
  <c r="F2290" i="3"/>
  <c r="G2290" i="3"/>
  <c r="H2290" i="3"/>
  <c r="B2291" i="3"/>
  <c r="D2291" i="3"/>
  <c r="E2291" i="3"/>
  <c r="F2291" i="3"/>
  <c r="G2291" i="3"/>
  <c r="H2291" i="3"/>
  <c r="B2292" i="3"/>
  <c r="D2292" i="3"/>
  <c r="E2292" i="3"/>
  <c r="F2292" i="3"/>
  <c r="G2292" i="3"/>
  <c r="H2292" i="3"/>
  <c r="B2293" i="3"/>
  <c r="D2293" i="3"/>
  <c r="E2293" i="3"/>
  <c r="F2293" i="3"/>
  <c r="G2293" i="3"/>
  <c r="H2293" i="3"/>
  <c r="B2294" i="3"/>
  <c r="D2294" i="3"/>
  <c r="E2294" i="3"/>
  <c r="F2294" i="3"/>
  <c r="G2294" i="3"/>
  <c r="H2294" i="3"/>
  <c r="B2295" i="3"/>
  <c r="D2295" i="3"/>
  <c r="E2295" i="3"/>
  <c r="F2295" i="3"/>
  <c r="G2295" i="3"/>
  <c r="H2295" i="3"/>
  <c r="B2296" i="3"/>
  <c r="D2296" i="3"/>
  <c r="E2296" i="3"/>
  <c r="F2296" i="3"/>
  <c r="G2296" i="3"/>
  <c r="H2296" i="3"/>
  <c r="B2297" i="3"/>
  <c r="D2297" i="3"/>
  <c r="E2297" i="3"/>
  <c r="F2297" i="3"/>
  <c r="G2297" i="3"/>
  <c r="H2297" i="3"/>
  <c r="B2298" i="3"/>
  <c r="D2298" i="3"/>
  <c r="E2298" i="3"/>
  <c r="F2298" i="3"/>
  <c r="G2298" i="3"/>
  <c r="H2298" i="3"/>
  <c r="B2299" i="3"/>
  <c r="D2299" i="3"/>
  <c r="E2299" i="3"/>
  <c r="F2299" i="3"/>
  <c r="G2299" i="3"/>
  <c r="H2299" i="3"/>
  <c r="B2300" i="3"/>
  <c r="D2300" i="3"/>
  <c r="E2300" i="3"/>
  <c r="F2300" i="3"/>
  <c r="G2300" i="3"/>
  <c r="H2300" i="3"/>
  <c r="B2301" i="3"/>
  <c r="D2301" i="3"/>
  <c r="E2301" i="3"/>
  <c r="F2301" i="3"/>
  <c r="G2301" i="3"/>
  <c r="H2301" i="3"/>
  <c r="B2302" i="3"/>
  <c r="D2302" i="3"/>
  <c r="E2302" i="3"/>
  <c r="F2302" i="3"/>
  <c r="G2302" i="3"/>
  <c r="H2302" i="3"/>
  <c r="B2303" i="3"/>
  <c r="D2303" i="3"/>
  <c r="E2303" i="3"/>
  <c r="F2303" i="3"/>
  <c r="G2303" i="3"/>
  <c r="H2303" i="3"/>
  <c r="B2304" i="3"/>
  <c r="D2304" i="3"/>
  <c r="E2304" i="3"/>
  <c r="F2304" i="3"/>
  <c r="G2304" i="3"/>
  <c r="H2304" i="3"/>
  <c r="B2305" i="3"/>
  <c r="D2305" i="3"/>
  <c r="E2305" i="3"/>
  <c r="F2305" i="3"/>
  <c r="G2305" i="3"/>
  <c r="H2305" i="3"/>
  <c r="B2306" i="3"/>
  <c r="D2306" i="3"/>
  <c r="E2306" i="3"/>
  <c r="F2306" i="3"/>
  <c r="G2306" i="3"/>
  <c r="H2306" i="3"/>
  <c r="B2307" i="3"/>
  <c r="D2307" i="3"/>
  <c r="E2307" i="3"/>
  <c r="F2307" i="3"/>
  <c r="G2307" i="3"/>
  <c r="H2307" i="3"/>
  <c r="B2308" i="3"/>
  <c r="D2308" i="3"/>
  <c r="E2308" i="3"/>
  <c r="F2308" i="3"/>
  <c r="G2308" i="3"/>
  <c r="H2308" i="3"/>
  <c r="B2309" i="3"/>
  <c r="D2309" i="3"/>
  <c r="E2309" i="3"/>
  <c r="F2309" i="3"/>
  <c r="G2309" i="3"/>
  <c r="H2309" i="3"/>
  <c r="B2310" i="3"/>
  <c r="D2310" i="3"/>
  <c r="E2310" i="3"/>
  <c r="F2310" i="3"/>
  <c r="G2310" i="3"/>
  <c r="H2310" i="3"/>
  <c r="B2311" i="3"/>
  <c r="D2311" i="3"/>
  <c r="E2311" i="3"/>
  <c r="F2311" i="3"/>
  <c r="G2311" i="3"/>
  <c r="H2311" i="3"/>
  <c r="B2312" i="3"/>
  <c r="D2312" i="3"/>
  <c r="E2312" i="3"/>
  <c r="F2312" i="3"/>
  <c r="G2312" i="3"/>
  <c r="H2312" i="3"/>
  <c r="B2313" i="3"/>
  <c r="D2313" i="3"/>
  <c r="E2313" i="3"/>
  <c r="F2313" i="3"/>
  <c r="G2313" i="3"/>
  <c r="H2313" i="3"/>
  <c r="B2314" i="3"/>
  <c r="D2314" i="3"/>
  <c r="E2314" i="3"/>
  <c r="F2314" i="3"/>
  <c r="G2314" i="3"/>
  <c r="H2314" i="3"/>
  <c r="B2315" i="3"/>
  <c r="D2315" i="3"/>
  <c r="E2315" i="3"/>
  <c r="F2315" i="3"/>
  <c r="G2315" i="3"/>
  <c r="H2315" i="3"/>
  <c r="B2316" i="3"/>
  <c r="D2316" i="3"/>
  <c r="E2316" i="3"/>
  <c r="F2316" i="3"/>
  <c r="G2316" i="3"/>
  <c r="H2316" i="3"/>
  <c r="B2317" i="3"/>
  <c r="D2317" i="3"/>
  <c r="E2317" i="3"/>
  <c r="F2317" i="3"/>
  <c r="G2317" i="3"/>
  <c r="H2317" i="3"/>
  <c r="B2318" i="3"/>
  <c r="D2318" i="3"/>
  <c r="E2318" i="3"/>
  <c r="F2318" i="3"/>
  <c r="G2318" i="3"/>
  <c r="H2318" i="3"/>
  <c r="B2319" i="3"/>
  <c r="D2319" i="3"/>
  <c r="E2319" i="3"/>
  <c r="F2319" i="3"/>
  <c r="G2319" i="3"/>
  <c r="H2319" i="3"/>
  <c r="B2320" i="3"/>
  <c r="D2320" i="3"/>
  <c r="E2320" i="3"/>
  <c r="F2320" i="3"/>
  <c r="G2320" i="3"/>
  <c r="H2320" i="3"/>
  <c r="B2321" i="3"/>
  <c r="D2321" i="3"/>
  <c r="E2321" i="3"/>
  <c r="F2321" i="3"/>
  <c r="G2321" i="3"/>
  <c r="H2321" i="3"/>
  <c r="B2322" i="3"/>
  <c r="D2322" i="3"/>
  <c r="E2322" i="3"/>
  <c r="F2322" i="3"/>
  <c r="G2322" i="3"/>
  <c r="H2322" i="3"/>
  <c r="B2323" i="3"/>
  <c r="D2323" i="3"/>
  <c r="E2323" i="3"/>
  <c r="F2323" i="3"/>
  <c r="G2323" i="3"/>
  <c r="H2323" i="3"/>
  <c r="B2324" i="3"/>
  <c r="D2324" i="3"/>
  <c r="E2324" i="3"/>
  <c r="F2324" i="3"/>
  <c r="G2324" i="3"/>
  <c r="H2324" i="3"/>
  <c r="B2325" i="3"/>
  <c r="D2325" i="3"/>
  <c r="E2325" i="3"/>
  <c r="F2325" i="3"/>
  <c r="G2325" i="3"/>
  <c r="H2325" i="3"/>
  <c r="B2326" i="3"/>
  <c r="D2326" i="3"/>
  <c r="E2326" i="3"/>
  <c r="F2326" i="3"/>
  <c r="G2326" i="3"/>
  <c r="H2326" i="3"/>
  <c r="B2327" i="3"/>
  <c r="D2327" i="3"/>
  <c r="E2327" i="3"/>
  <c r="F2327" i="3"/>
  <c r="G2327" i="3"/>
  <c r="H2327" i="3"/>
  <c r="B2328" i="3"/>
  <c r="D2328" i="3"/>
  <c r="E2328" i="3"/>
  <c r="F2328" i="3"/>
  <c r="G2328" i="3"/>
  <c r="H2328" i="3"/>
  <c r="B2329" i="3"/>
  <c r="D2329" i="3"/>
  <c r="E2329" i="3"/>
  <c r="F2329" i="3"/>
  <c r="G2329" i="3"/>
  <c r="H2329" i="3"/>
  <c r="B2330" i="3"/>
  <c r="D2330" i="3"/>
  <c r="E2330" i="3"/>
  <c r="F2330" i="3"/>
  <c r="G2330" i="3"/>
  <c r="H2330" i="3"/>
  <c r="B2331" i="3"/>
  <c r="D2331" i="3"/>
  <c r="E2331" i="3"/>
  <c r="F2331" i="3"/>
  <c r="G2331" i="3"/>
  <c r="H2331" i="3"/>
  <c r="B2332" i="3"/>
  <c r="D2332" i="3"/>
  <c r="E2332" i="3"/>
  <c r="F2332" i="3"/>
  <c r="G2332" i="3"/>
  <c r="H2332" i="3"/>
  <c r="B2333" i="3"/>
  <c r="D2333" i="3"/>
  <c r="E2333" i="3"/>
  <c r="F2333" i="3"/>
  <c r="G2333" i="3"/>
  <c r="H2333" i="3"/>
  <c r="B2334" i="3"/>
  <c r="D2334" i="3"/>
  <c r="E2334" i="3"/>
  <c r="F2334" i="3"/>
  <c r="G2334" i="3"/>
  <c r="H2334" i="3"/>
  <c r="B2335" i="3"/>
  <c r="D2335" i="3"/>
  <c r="E2335" i="3"/>
  <c r="F2335" i="3"/>
  <c r="G2335" i="3"/>
  <c r="H2335" i="3"/>
  <c r="B2336" i="3"/>
  <c r="D2336" i="3"/>
  <c r="E2336" i="3"/>
  <c r="F2336" i="3"/>
  <c r="G2336" i="3"/>
  <c r="H2336" i="3"/>
  <c r="B2337" i="3"/>
  <c r="D2337" i="3"/>
  <c r="E2337" i="3"/>
  <c r="F2337" i="3"/>
  <c r="G2337" i="3"/>
  <c r="H2337" i="3"/>
  <c r="B2338" i="3"/>
  <c r="D2338" i="3"/>
  <c r="E2338" i="3"/>
  <c r="F2338" i="3"/>
  <c r="G2338" i="3"/>
  <c r="H2338" i="3"/>
  <c r="B2339" i="3"/>
  <c r="D2339" i="3"/>
  <c r="E2339" i="3"/>
  <c r="F2339" i="3"/>
  <c r="G2339" i="3"/>
  <c r="H2339" i="3"/>
  <c r="B2340" i="3"/>
  <c r="D2340" i="3"/>
  <c r="E2340" i="3"/>
  <c r="F2340" i="3"/>
  <c r="G2340" i="3"/>
  <c r="H2340" i="3"/>
  <c r="B2341" i="3"/>
  <c r="D2341" i="3"/>
  <c r="E2341" i="3"/>
  <c r="F2341" i="3"/>
  <c r="G2341" i="3"/>
  <c r="H2341" i="3"/>
  <c r="B2342" i="3"/>
  <c r="D2342" i="3"/>
  <c r="E2342" i="3"/>
  <c r="F2342" i="3"/>
  <c r="G2342" i="3"/>
  <c r="H2342" i="3"/>
  <c r="B2343" i="3"/>
  <c r="D2343" i="3"/>
  <c r="E2343" i="3"/>
  <c r="F2343" i="3"/>
  <c r="G2343" i="3"/>
  <c r="H2343" i="3"/>
  <c r="B2344" i="3"/>
  <c r="D2344" i="3"/>
  <c r="E2344" i="3"/>
  <c r="F2344" i="3"/>
  <c r="G2344" i="3"/>
  <c r="H2344" i="3"/>
  <c r="B2345" i="3"/>
  <c r="D2345" i="3"/>
  <c r="E2345" i="3"/>
  <c r="F2345" i="3"/>
  <c r="G2345" i="3"/>
  <c r="H2345" i="3"/>
  <c r="B2346" i="3"/>
  <c r="D2346" i="3"/>
  <c r="E2346" i="3"/>
  <c r="F2346" i="3"/>
  <c r="G2346" i="3"/>
  <c r="H2346" i="3"/>
  <c r="B2347" i="3"/>
  <c r="D2347" i="3"/>
  <c r="E2347" i="3"/>
  <c r="F2347" i="3"/>
  <c r="G2347" i="3"/>
  <c r="H2347" i="3"/>
  <c r="B2348" i="3"/>
  <c r="D2348" i="3"/>
  <c r="E2348" i="3"/>
  <c r="F2348" i="3"/>
  <c r="G2348" i="3"/>
  <c r="H2348" i="3"/>
  <c r="B2349" i="3"/>
  <c r="D2349" i="3"/>
  <c r="E2349" i="3"/>
  <c r="F2349" i="3"/>
  <c r="G2349" i="3"/>
  <c r="H2349" i="3"/>
  <c r="B2350" i="3"/>
  <c r="D2350" i="3"/>
  <c r="E2350" i="3"/>
  <c r="F2350" i="3"/>
  <c r="G2350" i="3"/>
  <c r="H2350" i="3"/>
  <c r="B2351" i="3"/>
  <c r="D2351" i="3"/>
  <c r="E2351" i="3"/>
  <c r="F2351" i="3"/>
  <c r="G2351" i="3"/>
  <c r="H2351" i="3"/>
  <c r="B2352" i="3"/>
  <c r="D2352" i="3"/>
  <c r="E2352" i="3"/>
  <c r="F2352" i="3"/>
  <c r="G2352" i="3"/>
  <c r="H2352" i="3"/>
  <c r="B2353" i="3"/>
  <c r="D2353" i="3"/>
  <c r="E2353" i="3"/>
  <c r="F2353" i="3"/>
  <c r="G2353" i="3"/>
  <c r="H2353" i="3"/>
  <c r="B2354" i="3"/>
  <c r="D2354" i="3"/>
  <c r="E2354" i="3"/>
  <c r="F2354" i="3"/>
  <c r="G2354" i="3"/>
  <c r="H2354" i="3"/>
  <c r="B2355" i="3"/>
  <c r="D2355" i="3"/>
  <c r="E2355" i="3"/>
  <c r="F2355" i="3"/>
  <c r="G2355" i="3"/>
  <c r="H2355" i="3"/>
  <c r="B2356" i="3"/>
  <c r="D2356" i="3"/>
  <c r="E2356" i="3"/>
  <c r="F2356" i="3"/>
  <c r="G2356" i="3"/>
  <c r="H2356" i="3"/>
  <c r="B2357" i="3"/>
  <c r="D2357" i="3"/>
  <c r="E2357" i="3"/>
  <c r="F2357" i="3"/>
  <c r="G2357" i="3"/>
  <c r="H2357" i="3"/>
  <c r="B2358" i="3"/>
  <c r="D2358" i="3"/>
  <c r="E2358" i="3"/>
  <c r="F2358" i="3"/>
  <c r="G2358" i="3"/>
  <c r="H2358" i="3"/>
  <c r="B2359" i="3"/>
  <c r="D2359" i="3"/>
  <c r="E2359" i="3"/>
  <c r="F2359" i="3"/>
  <c r="G2359" i="3"/>
  <c r="H2359" i="3"/>
  <c r="B2360" i="3"/>
  <c r="D2360" i="3"/>
  <c r="E2360" i="3"/>
  <c r="F2360" i="3"/>
  <c r="G2360" i="3"/>
  <c r="H2360" i="3"/>
  <c r="B2361" i="3"/>
  <c r="D2361" i="3"/>
  <c r="E2361" i="3"/>
  <c r="F2361" i="3"/>
  <c r="G2361" i="3"/>
  <c r="H2361" i="3"/>
  <c r="B2362" i="3"/>
  <c r="D2362" i="3"/>
  <c r="E2362" i="3"/>
  <c r="F2362" i="3"/>
  <c r="G2362" i="3"/>
  <c r="H2362" i="3"/>
  <c r="B2363" i="3"/>
  <c r="D2363" i="3"/>
  <c r="E2363" i="3"/>
  <c r="F2363" i="3"/>
  <c r="G2363" i="3"/>
  <c r="H2363" i="3"/>
  <c r="B2364" i="3"/>
  <c r="D2364" i="3"/>
  <c r="E2364" i="3"/>
  <c r="F2364" i="3"/>
  <c r="G2364" i="3"/>
  <c r="H2364" i="3"/>
  <c r="B2365" i="3"/>
  <c r="D2365" i="3"/>
  <c r="E2365" i="3"/>
  <c r="F2365" i="3"/>
  <c r="G2365" i="3"/>
  <c r="H2365" i="3"/>
  <c r="B2366" i="3"/>
  <c r="D2366" i="3"/>
  <c r="E2366" i="3"/>
  <c r="F2366" i="3"/>
  <c r="G2366" i="3"/>
  <c r="H2366" i="3"/>
  <c r="B2367" i="3"/>
  <c r="D2367" i="3"/>
  <c r="E2367" i="3"/>
  <c r="F2367" i="3"/>
  <c r="G2367" i="3"/>
  <c r="H2367" i="3"/>
  <c r="B2368" i="3"/>
  <c r="D2368" i="3"/>
  <c r="E2368" i="3"/>
  <c r="F2368" i="3"/>
  <c r="G2368" i="3"/>
  <c r="H2368" i="3"/>
  <c r="B2369" i="3"/>
  <c r="D2369" i="3"/>
  <c r="E2369" i="3"/>
  <c r="F2369" i="3"/>
  <c r="G2369" i="3"/>
  <c r="H2369" i="3"/>
  <c r="B2370" i="3"/>
  <c r="D2370" i="3"/>
  <c r="E2370" i="3"/>
  <c r="F2370" i="3"/>
  <c r="G2370" i="3"/>
  <c r="H2370" i="3"/>
  <c r="B2371" i="3"/>
  <c r="D2371" i="3"/>
  <c r="E2371" i="3"/>
  <c r="F2371" i="3"/>
  <c r="G2371" i="3"/>
  <c r="H2371" i="3"/>
  <c r="B2372" i="3"/>
  <c r="D2372" i="3"/>
  <c r="E2372" i="3"/>
  <c r="F2372" i="3"/>
  <c r="G2372" i="3"/>
  <c r="H2372" i="3"/>
  <c r="B2373" i="3"/>
  <c r="D2373" i="3"/>
  <c r="E2373" i="3"/>
  <c r="F2373" i="3"/>
  <c r="G2373" i="3"/>
  <c r="H2373" i="3"/>
  <c r="B2374" i="3"/>
  <c r="D2374" i="3"/>
  <c r="E2374" i="3"/>
  <c r="F2374" i="3"/>
  <c r="G2374" i="3"/>
  <c r="H2374" i="3"/>
  <c r="B2375" i="3"/>
  <c r="D2375" i="3"/>
  <c r="E2375" i="3"/>
  <c r="F2375" i="3"/>
  <c r="G2375" i="3"/>
  <c r="H2375" i="3"/>
  <c r="B2376" i="3"/>
  <c r="D2376" i="3"/>
  <c r="E2376" i="3"/>
  <c r="F2376" i="3"/>
  <c r="G2376" i="3"/>
  <c r="H2376" i="3"/>
  <c r="B2377" i="3"/>
  <c r="D2377" i="3"/>
  <c r="E2377" i="3"/>
  <c r="F2377" i="3"/>
  <c r="G2377" i="3"/>
  <c r="H2377" i="3"/>
  <c r="B2378" i="3"/>
  <c r="D2378" i="3"/>
  <c r="E2378" i="3"/>
  <c r="F2378" i="3"/>
  <c r="G2378" i="3"/>
  <c r="H2378" i="3"/>
  <c r="B2379" i="3"/>
  <c r="D2379" i="3"/>
  <c r="E2379" i="3"/>
  <c r="F2379" i="3"/>
  <c r="G2379" i="3"/>
  <c r="H2379" i="3"/>
  <c r="B2380" i="3"/>
  <c r="D2380" i="3"/>
  <c r="E2380" i="3"/>
  <c r="F2380" i="3"/>
  <c r="G2380" i="3"/>
  <c r="H2380" i="3"/>
  <c r="B2381" i="3"/>
  <c r="D2381" i="3"/>
  <c r="E2381" i="3"/>
  <c r="F2381" i="3"/>
  <c r="G2381" i="3"/>
  <c r="H2381" i="3"/>
  <c r="B2382" i="3"/>
  <c r="D2382" i="3"/>
  <c r="E2382" i="3"/>
  <c r="F2382" i="3"/>
  <c r="G2382" i="3"/>
  <c r="H2382" i="3"/>
  <c r="B2383" i="3"/>
  <c r="D2383" i="3"/>
  <c r="E2383" i="3"/>
  <c r="F2383" i="3"/>
  <c r="G2383" i="3"/>
  <c r="H2383" i="3"/>
  <c r="B2384" i="3"/>
  <c r="D2384" i="3"/>
  <c r="E2384" i="3"/>
  <c r="F2384" i="3"/>
  <c r="G2384" i="3"/>
  <c r="H2384" i="3"/>
  <c r="B2385" i="3"/>
  <c r="D2385" i="3"/>
  <c r="E2385" i="3"/>
  <c r="F2385" i="3"/>
  <c r="G2385" i="3"/>
  <c r="H2385" i="3"/>
  <c r="B2386" i="3"/>
  <c r="D2386" i="3"/>
  <c r="E2386" i="3"/>
  <c r="F2386" i="3"/>
  <c r="G2386" i="3"/>
  <c r="H2386" i="3"/>
  <c r="B2387" i="3"/>
  <c r="D2387" i="3"/>
  <c r="E2387" i="3"/>
  <c r="F2387" i="3"/>
  <c r="G2387" i="3"/>
  <c r="H2387" i="3"/>
  <c r="B2388" i="3"/>
  <c r="D2388" i="3"/>
  <c r="E2388" i="3"/>
  <c r="F2388" i="3"/>
  <c r="G2388" i="3"/>
  <c r="H2388" i="3"/>
  <c r="B2389" i="3"/>
  <c r="D2389" i="3"/>
  <c r="E2389" i="3"/>
  <c r="F2389" i="3"/>
  <c r="G2389" i="3"/>
  <c r="H2389" i="3"/>
  <c r="B2390" i="3"/>
  <c r="D2390" i="3"/>
  <c r="E2390" i="3"/>
  <c r="F2390" i="3"/>
  <c r="G2390" i="3"/>
  <c r="H2390" i="3"/>
  <c r="B2391" i="3"/>
  <c r="D2391" i="3"/>
  <c r="E2391" i="3"/>
  <c r="F2391" i="3"/>
  <c r="G2391" i="3"/>
  <c r="H2391" i="3"/>
  <c r="B2392" i="3"/>
  <c r="D2392" i="3"/>
  <c r="E2392" i="3"/>
  <c r="F2392" i="3"/>
  <c r="G2392" i="3"/>
  <c r="H2392" i="3"/>
  <c r="B2393" i="3"/>
  <c r="D2393" i="3"/>
  <c r="E2393" i="3"/>
  <c r="F2393" i="3"/>
  <c r="G2393" i="3"/>
  <c r="H2393" i="3"/>
  <c r="B2394" i="3"/>
  <c r="D2394" i="3"/>
  <c r="E2394" i="3"/>
  <c r="F2394" i="3"/>
  <c r="G2394" i="3"/>
  <c r="H2394" i="3"/>
  <c r="B2395" i="3"/>
  <c r="D2395" i="3"/>
  <c r="E2395" i="3"/>
  <c r="F2395" i="3"/>
  <c r="G2395" i="3"/>
  <c r="H2395" i="3"/>
  <c r="B2396" i="3"/>
  <c r="D2396" i="3"/>
  <c r="E2396" i="3"/>
  <c r="F2396" i="3"/>
  <c r="G2396" i="3"/>
  <c r="H2396" i="3"/>
  <c r="B2397" i="3"/>
  <c r="D2397" i="3"/>
  <c r="E2397" i="3"/>
  <c r="F2397" i="3"/>
  <c r="G2397" i="3"/>
  <c r="H2397" i="3"/>
  <c r="B2398" i="3"/>
  <c r="D2398" i="3"/>
  <c r="E2398" i="3"/>
  <c r="F2398" i="3"/>
  <c r="G2398" i="3"/>
  <c r="H2398" i="3"/>
  <c r="B2399" i="3"/>
  <c r="D2399" i="3"/>
  <c r="E2399" i="3"/>
  <c r="F2399" i="3"/>
  <c r="G2399" i="3"/>
  <c r="H2399" i="3"/>
  <c r="B2400" i="3"/>
  <c r="D2400" i="3"/>
  <c r="E2400" i="3"/>
  <c r="F2400" i="3"/>
  <c r="G2400" i="3"/>
  <c r="H2400" i="3"/>
  <c r="B2401" i="3"/>
  <c r="D2401" i="3"/>
  <c r="E2401" i="3"/>
  <c r="F2401" i="3"/>
  <c r="G2401" i="3"/>
  <c r="H2401" i="3"/>
  <c r="B2402" i="3"/>
  <c r="D2402" i="3"/>
  <c r="E2402" i="3"/>
  <c r="F2402" i="3"/>
  <c r="G2402" i="3"/>
  <c r="H2402" i="3"/>
  <c r="B2403" i="3"/>
  <c r="D2403" i="3"/>
  <c r="E2403" i="3"/>
  <c r="F2403" i="3"/>
  <c r="G2403" i="3"/>
  <c r="H2403" i="3"/>
  <c r="B2404" i="3"/>
  <c r="D2404" i="3"/>
  <c r="E2404" i="3"/>
  <c r="F2404" i="3"/>
  <c r="G2404" i="3"/>
  <c r="H2404" i="3"/>
  <c r="B2405" i="3"/>
  <c r="D2405" i="3"/>
  <c r="E2405" i="3"/>
  <c r="F2405" i="3"/>
  <c r="G2405" i="3"/>
  <c r="H2405" i="3"/>
  <c r="B2406" i="3"/>
  <c r="D2406" i="3"/>
  <c r="E2406" i="3"/>
  <c r="F2406" i="3"/>
  <c r="G2406" i="3"/>
  <c r="H2406" i="3"/>
  <c r="B2407" i="3"/>
  <c r="D2407" i="3"/>
  <c r="E2407" i="3"/>
  <c r="F2407" i="3"/>
  <c r="G2407" i="3"/>
  <c r="H2407" i="3"/>
  <c r="B2408" i="3"/>
  <c r="D2408" i="3"/>
  <c r="E2408" i="3"/>
  <c r="F2408" i="3"/>
  <c r="G2408" i="3"/>
  <c r="H2408" i="3"/>
  <c r="B2409" i="3"/>
  <c r="D2409" i="3"/>
  <c r="E2409" i="3"/>
  <c r="F2409" i="3"/>
  <c r="G2409" i="3"/>
  <c r="H2409" i="3"/>
  <c r="B2410" i="3"/>
  <c r="D2410" i="3"/>
  <c r="E2410" i="3"/>
  <c r="F2410" i="3"/>
  <c r="G2410" i="3"/>
  <c r="H2410" i="3"/>
  <c r="B2411" i="3"/>
  <c r="D2411" i="3"/>
  <c r="E2411" i="3"/>
  <c r="F2411" i="3"/>
  <c r="G2411" i="3"/>
  <c r="H2411" i="3"/>
  <c r="B2412" i="3"/>
  <c r="D2412" i="3"/>
  <c r="E2412" i="3"/>
  <c r="F2412" i="3"/>
  <c r="G2412" i="3"/>
  <c r="H2412" i="3"/>
  <c r="B2413" i="3"/>
  <c r="D2413" i="3"/>
  <c r="E2413" i="3"/>
  <c r="F2413" i="3"/>
  <c r="G2413" i="3"/>
  <c r="H2413" i="3"/>
  <c r="B2414" i="3"/>
  <c r="D2414" i="3"/>
  <c r="E2414" i="3"/>
  <c r="F2414" i="3"/>
  <c r="G2414" i="3"/>
  <c r="H2414" i="3"/>
  <c r="B2415" i="3"/>
  <c r="D2415" i="3"/>
  <c r="E2415" i="3"/>
  <c r="F2415" i="3"/>
  <c r="G2415" i="3"/>
  <c r="H2415" i="3"/>
  <c r="B2416" i="3"/>
  <c r="D2416" i="3"/>
  <c r="E2416" i="3"/>
  <c r="F2416" i="3"/>
  <c r="G2416" i="3"/>
  <c r="H2416" i="3"/>
  <c r="B2417" i="3"/>
  <c r="D2417" i="3"/>
  <c r="E2417" i="3"/>
  <c r="F2417" i="3"/>
  <c r="G2417" i="3"/>
  <c r="H2417" i="3"/>
  <c r="B2418" i="3"/>
  <c r="D2418" i="3"/>
  <c r="E2418" i="3"/>
  <c r="F2418" i="3"/>
  <c r="G2418" i="3"/>
  <c r="H2418" i="3"/>
  <c r="B2419" i="3"/>
  <c r="D2419" i="3"/>
  <c r="E2419" i="3"/>
  <c r="F2419" i="3"/>
  <c r="G2419" i="3"/>
  <c r="H2419" i="3"/>
  <c r="B2420" i="3"/>
  <c r="D2420" i="3"/>
  <c r="E2420" i="3"/>
  <c r="F2420" i="3"/>
  <c r="G2420" i="3"/>
  <c r="H2420" i="3"/>
  <c r="B2421" i="3"/>
  <c r="D2421" i="3"/>
  <c r="E2421" i="3"/>
  <c r="F2421" i="3"/>
  <c r="G2421" i="3"/>
  <c r="H2421" i="3"/>
  <c r="B2422" i="3"/>
  <c r="D2422" i="3"/>
  <c r="E2422" i="3"/>
  <c r="F2422" i="3"/>
  <c r="G2422" i="3"/>
  <c r="H2422" i="3"/>
  <c r="B2423" i="3"/>
  <c r="D2423" i="3"/>
  <c r="E2423" i="3"/>
  <c r="F2423" i="3"/>
  <c r="G2423" i="3"/>
  <c r="H2423" i="3"/>
  <c r="B2424" i="3"/>
  <c r="D2424" i="3"/>
  <c r="E2424" i="3"/>
  <c r="F2424" i="3"/>
  <c r="G2424" i="3"/>
  <c r="H2424" i="3"/>
  <c r="B2425" i="3"/>
  <c r="D2425" i="3"/>
  <c r="E2425" i="3"/>
  <c r="F2425" i="3"/>
  <c r="G2425" i="3"/>
  <c r="H2425" i="3"/>
  <c r="B2426" i="3"/>
  <c r="D2426" i="3"/>
  <c r="E2426" i="3"/>
  <c r="F2426" i="3"/>
  <c r="G2426" i="3"/>
  <c r="H2426" i="3"/>
  <c r="B2427" i="3"/>
  <c r="D2427" i="3"/>
  <c r="E2427" i="3"/>
  <c r="F2427" i="3"/>
  <c r="G2427" i="3"/>
  <c r="H2427" i="3"/>
  <c r="B2428" i="3"/>
  <c r="D2428" i="3"/>
  <c r="E2428" i="3"/>
  <c r="F2428" i="3"/>
  <c r="G2428" i="3"/>
  <c r="H2428" i="3"/>
  <c r="B2429" i="3"/>
  <c r="D2429" i="3"/>
  <c r="E2429" i="3"/>
  <c r="F2429" i="3"/>
  <c r="G2429" i="3"/>
  <c r="H2429" i="3"/>
  <c r="B2430" i="3"/>
  <c r="D2430" i="3"/>
  <c r="E2430" i="3"/>
  <c r="F2430" i="3"/>
  <c r="G2430" i="3"/>
  <c r="H2430" i="3"/>
  <c r="B2431" i="3"/>
  <c r="D2431" i="3"/>
  <c r="E2431" i="3"/>
  <c r="F2431" i="3"/>
  <c r="G2431" i="3"/>
  <c r="H2431" i="3"/>
  <c r="B2432" i="3"/>
  <c r="D2432" i="3"/>
  <c r="E2432" i="3"/>
  <c r="F2432" i="3"/>
  <c r="G2432" i="3"/>
  <c r="H2432" i="3"/>
  <c r="B2433" i="3"/>
  <c r="D2433" i="3"/>
  <c r="E2433" i="3"/>
  <c r="F2433" i="3"/>
  <c r="G2433" i="3"/>
  <c r="H2433" i="3"/>
  <c r="B2434" i="3"/>
  <c r="D2434" i="3"/>
  <c r="E2434" i="3"/>
  <c r="F2434" i="3"/>
  <c r="G2434" i="3"/>
  <c r="H2434" i="3"/>
  <c r="B2435" i="3"/>
  <c r="D2435" i="3"/>
  <c r="E2435" i="3"/>
  <c r="F2435" i="3"/>
  <c r="G2435" i="3"/>
  <c r="H2435" i="3"/>
  <c r="B2436" i="3"/>
  <c r="D2436" i="3"/>
  <c r="E2436" i="3"/>
  <c r="F2436" i="3"/>
  <c r="G2436" i="3"/>
  <c r="H2436" i="3"/>
  <c r="B2437" i="3"/>
  <c r="D2437" i="3"/>
  <c r="E2437" i="3"/>
  <c r="F2437" i="3"/>
  <c r="G2437" i="3"/>
  <c r="H2437" i="3"/>
  <c r="B2438" i="3"/>
  <c r="D2438" i="3"/>
  <c r="E2438" i="3"/>
  <c r="F2438" i="3"/>
  <c r="G2438" i="3"/>
  <c r="H2438" i="3"/>
  <c r="B2439" i="3"/>
  <c r="D2439" i="3"/>
  <c r="E2439" i="3"/>
  <c r="F2439" i="3"/>
  <c r="G2439" i="3"/>
  <c r="H2439" i="3"/>
  <c r="B2440" i="3"/>
  <c r="D2440" i="3"/>
  <c r="E2440" i="3"/>
  <c r="F2440" i="3"/>
  <c r="G2440" i="3"/>
  <c r="H2440" i="3"/>
  <c r="B2441" i="3"/>
  <c r="D2441" i="3"/>
  <c r="E2441" i="3"/>
  <c r="F2441" i="3"/>
  <c r="G2441" i="3"/>
  <c r="H2441" i="3"/>
  <c r="B2442" i="3"/>
  <c r="D2442" i="3"/>
  <c r="E2442" i="3"/>
  <c r="F2442" i="3"/>
  <c r="G2442" i="3"/>
  <c r="H2442" i="3"/>
  <c r="B2443" i="3"/>
  <c r="D2443" i="3"/>
  <c r="E2443" i="3"/>
  <c r="F2443" i="3"/>
  <c r="G2443" i="3"/>
  <c r="H2443" i="3"/>
  <c r="B2444" i="3"/>
  <c r="D2444" i="3"/>
  <c r="E2444" i="3"/>
  <c r="F2444" i="3"/>
  <c r="G2444" i="3"/>
  <c r="H2444" i="3"/>
  <c r="B2445" i="3"/>
  <c r="D2445" i="3"/>
  <c r="E2445" i="3"/>
  <c r="F2445" i="3"/>
  <c r="G2445" i="3"/>
  <c r="H2445" i="3"/>
  <c r="B2446" i="3"/>
  <c r="D2446" i="3"/>
  <c r="E2446" i="3"/>
  <c r="F2446" i="3"/>
  <c r="G2446" i="3"/>
  <c r="H2446" i="3"/>
  <c r="B2447" i="3"/>
  <c r="D2447" i="3"/>
  <c r="E2447" i="3"/>
  <c r="F2447" i="3"/>
  <c r="G2447" i="3"/>
  <c r="H2447" i="3"/>
  <c r="B2448" i="3"/>
  <c r="D2448" i="3"/>
  <c r="E2448" i="3"/>
  <c r="F2448" i="3"/>
  <c r="G2448" i="3"/>
  <c r="H2448" i="3"/>
  <c r="B2449" i="3"/>
  <c r="D2449" i="3"/>
  <c r="E2449" i="3"/>
  <c r="F2449" i="3"/>
  <c r="G2449" i="3"/>
  <c r="H2449" i="3"/>
  <c r="B2450" i="3"/>
  <c r="D2450" i="3"/>
  <c r="E2450" i="3"/>
  <c r="F2450" i="3"/>
  <c r="G2450" i="3"/>
  <c r="H2450" i="3"/>
  <c r="B2451" i="3"/>
  <c r="D2451" i="3"/>
  <c r="E2451" i="3"/>
  <c r="F2451" i="3"/>
  <c r="G2451" i="3"/>
  <c r="H2451" i="3"/>
  <c r="B2452" i="3"/>
  <c r="D2452" i="3"/>
  <c r="E2452" i="3"/>
  <c r="F2452" i="3"/>
  <c r="G2452" i="3"/>
  <c r="H2452" i="3"/>
  <c r="B2453" i="3"/>
  <c r="D2453" i="3"/>
  <c r="E2453" i="3"/>
  <c r="F2453" i="3"/>
  <c r="G2453" i="3"/>
  <c r="H2453" i="3"/>
  <c r="B2454" i="3"/>
  <c r="D2454" i="3"/>
  <c r="E2454" i="3"/>
  <c r="F2454" i="3"/>
  <c r="G2454" i="3"/>
  <c r="H2454" i="3"/>
  <c r="B2455" i="3"/>
  <c r="D2455" i="3"/>
  <c r="E2455" i="3"/>
  <c r="F2455" i="3"/>
  <c r="G2455" i="3"/>
  <c r="H2455" i="3"/>
  <c r="B2456" i="3"/>
  <c r="D2456" i="3"/>
  <c r="E2456" i="3"/>
  <c r="F2456" i="3"/>
  <c r="G2456" i="3"/>
  <c r="H2456" i="3"/>
  <c r="B2457" i="3"/>
  <c r="D2457" i="3"/>
  <c r="E2457" i="3"/>
  <c r="F2457" i="3"/>
  <c r="G2457" i="3"/>
  <c r="H2457" i="3"/>
  <c r="B2458" i="3"/>
  <c r="D2458" i="3"/>
  <c r="E2458" i="3"/>
  <c r="F2458" i="3"/>
  <c r="G2458" i="3"/>
  <c r="H2458" i="3"/>
  <c r="B2459" i="3"/>
  <c r="D2459" i="3"/>
  <c r="E2459" i="3"/>
  <c r="F2459" i="3"/>
  <c r="G2459" i="3"/>
  <c r="H2459" i="3"/>
  <c r="B2460" i="3"/>
  <c r="D2460" i="3"/>
  <c r="E2460" i="3"/>
  <c r="F2460" i="3"/>
  <c r="G2460" i="3"/>
  <c r="H2460" i="3"/>
  <c r="B2461" i="3"/>
  <c r="D2461" i="3"/>
  <c r="E2461" i="3"/>
  <c r="F2461" i="3"/>
  <c r="G2461" i="3"/>
  <c r="H2461" i="3"/>
  <c r="B2462" i="3"/>
  <c r="D2462" i="3"/>
  <c r="E2462" i="3"/>
  <c r="F2462" i="3"/>
  <c r="G2462" i="3"/>
  <c r="H2462" i="3"/>
  <c r="B2463" i="3"/>
  <c r="D2463" i="3"/>
  <c r="E2463" i="3"/>
  <c r="F2463" i="3"/>
  <c r="G2463" i="3"/>
  <c r="H2463" i="3"/>
  <c r="B2464" i="3"/>
  <c r="D2464" i="3"/>
  <c r="E2464" i="3"/>
  <c r="F2464" i="3"/>
  <c r="G2464" i="3"/>
  <c r="H2464" i="3"/>
  <c r="B2465" i="3"/>
  <c r="D2465" i="3"/>
  <c r="E2465" i="3"/>
  <c r="F2465" i="3"/>
  <c r="G2465" i="3"/>
  <c r="H2465" i="3"/>
  <c r="B2466" i="3"/>
  <c r="D2466" i="3"/>
  <c r="E2466" i="3"/>
  <c r="F2466" i="3"/>
  <c r="G2466" i="3"/>
  <c r="H2466" i="3"/>
  <c r="B2467" i="3"/>
  <c r="D2467" i="3"/>
  <c r="E2467" i="3"/>
  <c r="F2467" i="3"/>
  <c r="G2467" i="3"/>
  <c r="H2467" i="3"/>
  <c r="B2468" i="3"/>
  <c r="D2468" i="3"/>
  <c r="E2468" i="3"/>
  <c r="F2468" i="3"/>
  <c r="G2468" i="3"/>
  <c r="H2468" i="3"/>
  <c r="B2469" i="3"/>
  <c r="D2469" i="3"/>
  <c r="E2469" i="3"/>
  <c r="F2469" i="3"/>
  <c r="G2469" i="3"/>
  <c r="H2469" i="3"/>
  <c r="B2470" i="3"/>
  <c r="D2470" i="3"/>
  <c r="E2470" i="3"/>
  <c r="F2470" i="3"/>
  <c r="G2470" i="3"/>
  <c r="H2470" i="3"/>
  <c r="B2471" i="3"/>
  <c r="D2471" i="3"/>
  <c r="E2471" i="3"/>
  <c r="F2471" i="3"/>
  <c r="G2471" i="3"/>
  <c r="H2471" i="3"/>
  <c r="B1935" i="3"/>
  <c r="D1935" i="3"/>
  <c r="E1935" i="3"/>
  <c r="F1935" i="3"/>
  <c r="G1935" i="3"/>
  <c r="H1935" i="3"/>
  <c r="B1936" i="3"/>
  <c r="D1936" i="3"/>
  <c r="E1936" i="3"/>
  <c r="F1936" i="3"/>
  <c r="G1936" i="3"/>
  <c r="H1936" i="3"/>
  <c r="B1937" i="3"/>
  <c r="D1937" i="3"/>
  <c r="E1937" i="3"/>
  <c r="F1937" i="3"/>
  <c r="G1937" i="3"/>
  <c r="H1937" i="3"/>
  <c r="B1938" i="3"/>
  <c r="D1938" i="3"/>
  <c r="E1938" i="3"/>
  <c r="F1938" i="3"/>
  <c r="G1938" i="3"/>
  <c r="H1938" i="3"/>
  <c r="B1939" i="3"/>
  <c r="D1939" i="3"/>
  <c r="E1939" i="3"/>
  <c r="F1939" i="3"/>
  <c r="G1939" i="3"/>
  <c r="H1939" i="3"/>
  <c r="B1940" i="3"/>
  <c r="D1940" i="3"/>
  <c r="E1940" i="3"/>
  <c r="F1940" i="3"/>
  <c r="G1940" i="3"/>
  <c r="H1940" i="3"/>
  <c r="B1941" i="3"/>
  <c r="D1941" i="3"/>
  <c r="E1941" i="3"/>
  <c r="F1941" i="3"/>
  <c r="G1941" i="3"/>
  <c r="H1941" i="3"/>
  <c r="B1942" i="3"/>
  <c r="D1942" i="3"/>
  <c r="E1942" i="3"/>
  <c r="F1942" i="3"/>
  <c r="G1942" i="3"/>
  <c r="H1942" i="3"/>
  <c r="B1943" i="3"/>
  <c r="D1943" i="3"/>
  <c r="E1943" i="3"/>
  <c r="F1943" i="3"/>
  <c r="G1943" i="3"/>
  <c r="H1943" i="3"/>
  <c r="B1944" i="3"/>
  <c r="D1944" i="3"/>
  <c r="E1944" i="3"/>
  <c r="F1944" i="3"/>
  <c r="G1944" i="3"/>
  <c r="H1944" i="3"/>
  <c r="B1945" i="3"/>
  <c r="D1945" i="3"/>
  <c r="E1945" i="3"/>
  <c r="F1945" i="3"/>
  <c r="G1945" i="3"/>
  <c r="H1945" i="3"/>
  <c r="B1946" i="3"/>
  <c r="D1946" i="3"/>
  <c r="E1946" i="3"/>
  <c r="F1946" i="3"/>
  <c r="G1946" i="3"/>
  <c r="H1946" i="3"/>
  <c r="B1947" i="3"/>
  <c r="D1947" i="3"/>
  <c r="E1947" i="3"/>
  <c r="F1947" i="3"/>
  <c r="G1947" i="3"/>
  <c r="H1947" i="3"/>
  <c r="B1948" i="3"/>
  <c r="D1948" i="3"/>
  <c r="E1948" i="3"/>
  <c r="F1948" i="3"/>
  <c r="G1948" i="3"/>
  <c r="H1948" i="3"/>
  <c r="B1949" i="3"/>
  <c r="D1949" i="3"/>
  <c r="E1949" i="3"/>
  <c r="F1949" i="3"/>
  <c r="G1949" i="3"/>
  <c r="H1949" i="3"/>
  <c r="B1950" i="3"/>
  <c r="D1950" i="3"/>
  <c r="E1950" i="3"/>
  <c r="F1950" i="3"/>
  <c r="G1950" i="3"/>
  <c r="H1950" i="3"/>
  <c r="B1951" i="3"/>
  <c r="D1951" i="3"/>
  <c r="E1951" i="3"/>
  <c r="F1951" i="3"/>
  <c r="G1951" i="3"/>
  <c r="H195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D1632" i="3"/>
  <c r="E1632" i="3"/>
  <c r="F1632" i="3"/>
  <c r="G1632" i="3"/>
  <c r="H1632" i="3"/>
  <c r="D1633" i="3"/>
  <c r="E1633" i="3"/>
  <c r="F1633" i="3"/>
  <c r="G1633" i="3"/>
  <c r="H1633" i="3"/>
  <c r="D1634" i="3"/>
  <c r="E1634" i="3"/>
  <c r="F1634" i="3"/>
  <c r="G1634" i="3"/>
  <c r="H1634" i="3"/>
  <c r="D1635" i="3"/>
  <c r="E1635" i="3"/>
  <c r="F1635" i="3"/>
  <c r="G1635" i="3"/>
  <c r="H1635" i="3"/>
  <c r="D1636" i="3"/>
  <c r="E1636" i="3"/>
  <c r="F1636" i="3"/>
  <c r="G1636" i="3"/>
  <c r="H1636" i="3"/>
  <c r="D1637" i="3"/>
  <c r="E1637" i="3"/>
  <c r="F1637" i="3"/>
  <c r="G1637" i="3"/>
  <c r="H1637" i="3"/>
  <c r="D1638" i="3"/>
  <c r="E1638" i="3"/>
  <c r="F1638" i="3"/>
  <c r="G1638" i="3"/>
  <c r="H1638" i="3"/>
  <c r="D1639" i="3"/>
  <c r="E1639" i="3"/>
  <c r="F1639" i="3"/>
  <c r="G1639" i="3"/>
  <c r="H1639" i="3"/>
  <c r="D1640" i="3"/>
  <c r="E1640" i="3"/>
  <c r="F1640" i="3"/>
  <c r="G1640" i="3"/>
  <c r="H1640" i="3"/>
  <c r="D1641" i="3"/>
  <c r="E1641" i="3"/>
  <c r="F1641" i="3"/>
  <c r="G1641" i="3"/>
  <c r="H1641" i="3"/>
  <c r="D1642" i="3"/>
  <c r="E1642" i="3"/>
  <c r="F1642" i="3"/>
  <c r="G1642" i="3"/>
  <c r="H1642" i="3"/>
  <c r="D1643" i="3"/>
  <c r="E1643" i="3"/>
  <c r="F1643" i="3"/>
  <c r="G1643" i="3"/>
  <c r="H1643" i="3"/>
  <c r="D1644" i="3"/>
  <c r="E1644" i="3"/>
  <c r="F1644" i="3"/>
  <c r="G1644" i="3"/>
  <c r="H1644" i="3"/>
  <c r="D1645" i="3"/>
  <c r="E1645" i="3"/>
  <c r="F1645" i="3"/>
  <c r="G1645" i="3"/>
  <c r="H1645" i="3"/>
  <c r="D1646" i="3"/>
  <c r="E1646" i="3"/>
  <c r="F1646" i="3"/>
  <c r="G1646" i="3"/>
  <c r="H1646" i="3"/>
  <c r="D1647" i="3"/>
  <c r="E1647" i="3"/>
  <c r="F1647" i="3"/>
  <c r="G1647" i="3"/>
  <c r="H1647" i="3"/>
  <c r="D1648" i="3"/>
  <c r="E1648" i="3"/>
  <c r="F1648" i="3"/>
  <c r="G1648" i="3"/>
  <c r="H1648" i="3"/>
  <c r="D1649" i="3"/>
  <c r="E1649" i="3"/>
  <c r="F1649" i="3"/>
  <c r="G1649" i="3"/>
  <c r="H1649" i="3"/>
  <c r="D1650" i="3"/>
  <c r="E1650" i="3"/>
  <c r="F1650" i="3"/>
  <c r="G1650" i="3"/>
  <c r="H1650" i="3"/>
  <c r="D1651" i="3"/>
  <c r="E1651" i="3"/>
  <c r="F1651" i="3"/>
  <c r="G1651" i="3"/>
  <c r="H1651" i="3"/>
  <c r="D1652" i="3"/>
  <c r="E1652" i="3"/>
  <c r="F1652" i="3"/>
  <c r="G1652" i="3"/>
  <c r="H1652" i="3"/>
  <c r="D1653" i="3"/>
  <c r="E1653" i="3"/>
  <c r="F1653" i="3"/>
  <c r="G1653" i="3"/>
  <c r="H1653" i="3"/>
  <c r="D1654" i="3"/>
  <c r="E1654" i="3"/>
  <c r="F1654" i="3"/>
  <c r="G1654" i="3"/>
  <c r="H1654" i="3"/>
  <c r="D1655" i="3"/>
  <c r="E1655" i="3"/>
  <c r="F1655" i="3"/>
  <c r="G1655" i="3"/>
  <c r="H1655" i="3"/>
  <c r="D1656" i="3"/>
  <c r="E1656" i="3"/>
  <c r="F1656" i="3"/>
  <c r="G1656" i="3"/>
  <c r="H1656" i="3"/>
  <c r="D1657" i="3"/>
  <c r="E1657" i="3"/>
  <c r="F1657" i="3"/>
  <c r="G1657" i="3"/>
  <c r="H1657" i="3"/>
  <c r="D1658" i="3"/>
  <c r="E1658" i="3"/>
  <c r="F1658" i="3"/>
  <c r="G1658" i="3"/>
  <c r="H1658" i="3"/>
  <c r="D1659" i="3"/>
  <c r="E1659" i="3"/>
  <c r="F1659" i="3"/>
  <c r="G1659" i="3"/>
  <c r="H1659" i="3"/>
  <c r="D1660" i="3"/>
  <c r="E1660" i="3"/>
  <c r="F1660" i="3"/>
  <c r="G1660" i="3"/>
  <c r="H1660" i="3"/>
  <c r="D1661" i="3"/>
  <c r="E1661" i="3"/>
  <c r="F1661" i="3"/>
  <c r="G1661" i="3"/>
  <c r="H1661" i="3"/>
  <c r="D1662" i="3"/>
  <c r="E1662" i="3"/>
  <c r="F1662" i="3"/>
  <c r="G1662" i="3"/>
  <c r="H1662" i="3"/>
  <c r="D1663" i="3"/>
  <c r="E1663" i="3"/>
  <c r="F1663" i="3"/>
  <c r="G1663" i="3"/>
  <c r="H1663" i="3"/>
  <c r="D1664" i="3"/>
  <c r="E1664" i="3"/>
  <c r="F1664" i="3"/>
  <c r="G1664" i="3"/>
  <c r="H1664" i="3"/>
  <c r="D1665" i="3"/>
  <c r="E1665" i="3"/>
  <c r="F1665" i="3"/>
  <c r="G1665" i="3"/>
  <c r="H1665" i="3"/>
  <c r="D1666" i="3"/>
  <c r="E1666" i="3"/>
  <c r="F1666" i="3"/>
  <c r="G1666" i="3"/>
  <c r="H1666" i="3"/>
  <c r="D1667" i="3"/>
  <c r="E1667" i="3"/>
  <c r="F1667" i="3"/>
  <c r="G1667" i="3"/>
  <c r="H1667" i="3"/>
  <c r="D1668" i="3"/>
  <c r="E1668" i="3"/>
  <c r="F1668" i="3"/>
  <c r="G1668" i="3"/>
  <c r="H1668" i="3"/>
  <c r="D1669" i="3"/>
  <c r="E1669" i="3"/>
  <c r="F1669" i="3"/>
  <c r="G1669" i="3"/>
  <c r="H1669" i="3"/>
  <c r="D1670" i="3"/>
  <c r="E1670" i="3"/>
  <c r="F1670" i="3"/>
  <c r="G1670" i="3"/>
  <c r="H1670" i="3"/>
  <c r="D1671" i="3"/>
  <c r="E1671" i="3"/>
  <c r="F1671" i="3"/>
  <c r="G1671" i="3"/>
  <c r="H1671" i="3"/>
  <c r="D1672" i="3"/>
  <c r="E1672" i="3"/>
  <c r="F1672" i="3"/>
  <c r="G1672" i="3"/>
  <c r="H1672" i="3"/>
  <c r="D1673" i="3"/>
  <c r="E1673" i="3"/>
  <c r="F1673" i="3"/>
  <c r="G1673" i="3"/>
  <c r="H1673" i="3"/>
  <c r="D1674" i="3"/>
  <c r="E1674" i="3"/>
  <c r="F1674" i="3"/>
  <c r="G1674" i="3"/>
  <c r="H1674" i="3"/>
  <c r="D1675" i="3"/>
  <c r="E1675" i="3"/>
  <c r="F1675" i="3"/>
  <c r="G1675" i="3"/>
  <c r="H1675" i="3"/>
  <c r="D1676" i="3"/>
  <c r="E1676" i="3"/>
  <c r="F1676" i="3"/>
  <c r="G1676" i="3"/>
  <c r="H1676" i="3"/>
  <c r="D1677" i="3"/>
  <c r="E1677" i="3"/>
  <c r="F1677" i="3"/>
  <c r="G1677" i="3"/>
  <c r="H1677" i="3"/>
  <c r="D1678" i="3"/>
  <c r="E1678" i="3"/>
  <c r="F1678" i="3"/>
  <c r="G1678" i="3"/>
  <c r="H1678" i="3"/>
  <c r="D1679" i="3"/>
  <c r="E1679" i="3"/>
  <c r="F1679" i="3"/>
  <c r="G1679" i="3"/>
  <c r="H1679" i="3"/>
  <c r="D1680" i="3"/>
  <c r="E1680" i="3"/>
  <c r="F1680" i="3"/>
  <c r="G1680" i="3"/>
  <c r="H1680" i="3"/>
  <c r="D1681" i="3"/>
  <c r="E1681" i="3"/>
  <c r="F1681" i="3"/>
  <c r="G1681" i="3"/>
  <c r="H1681" i="3"/>
  <c r="D1682" i="3"/>
  <c r="E1682" i="3"/>
  <c r="F1682" i="3"/>
  <c r="G1682" i="3"/>
  <c r="H1682" i="3"/>
  <c r="D1683" i="3"/>
  <c r="E1683" i="3"/>
  <c r="F1683" i="3"/>
  <c r="G1683" i="3"/>
  <c r="H1683" i="3"/>
  <c r="D1684" i="3"/>
  <c r="E1684" i="3"/>
  <c r="F1684" i="3"/>
  <c r="G1684" i="3"/>
  <c r="H1684" i="3"/>
  <c r="D1685" i="3"/>
  <c r="E1685" i="3"/>
  <c r="F1685" i="3"/>
  <c r="G1685" i="3"/>
  <c r="H1685" i="3"/>
  <c r="D1686" i="3"/>
  <c r="E1686" i="3"/>
  <c r="F1686" i="3"/>
  <c r="G1686" i="3"/>
  <c r="H1686" i="3"/>
  <c r="D1687" i="3"/>
  <c r="E1687" i="3"/>
  <c r="F1687" i="3"/>
  <c r="G1687" i="3"/>
  <c r="H1687" i="3"/>
  <c r="D1688" i="3"/>
  <c r="E1688" i="3"/>
  <c r="F1688" i="3"/>
  <c r="G1688" i="3"/>
  <c r="H1688" i="3"/>
  <c r="D1689" i="3"/>
  <c r="E1689" i="3"/>
  <c r="F1689" i="3"/>
  <c r="G1689" i="3"/>
  <c r="H1689" i="3"/>
  <c r="D1690" i="3"/>
  <c r="E1690" i="3"/>
  <c r="F1690" i="3"/>
  <c r="G1690" i="3"/>
  <c r="H1690" i="3"/>
  <c r="D1691" i="3"/>
  <c r="E1691" i="3"/>
  <c r="F1691" i="3"/>
  <c r="G1691" i="3"/>
  <c r="H1691" i="3"/>
  <c r="D1692" i="3"/>
  <c r="E1692" i="3"/>
  <c r="F1692" i="3"/>
  <c r="G1692" i="3"/>
  <c r="H1692" i="3"/>
  <c r="D1693" i="3"/>
  <c r="E1693" i="3"/>
  <c r="F1693" i="3"/>
  <c r="G1693" i="3"/>
  <c r="H1693" i="3"/>
  <c r="D1694" i="3"/>
  <c r="E1694" i="3"/>
  <c r="F1694" i="3"/>
  <c r="G1694" i="3"/>
  <c r="H1694" i="3"/>
  <c r="D1695" i="3"/>
  <c r="E1695" i="3"/>
  <c r="F1695" i="3"/>
  <c r="G1695" i="3"/>
  <c r="H1695" i="3"/>
  <c r="D1696" i="3"/>
  <c r="E1696" i="3"/>
  <c r="F1696" i="3"/>
  <c r="G1696" i="3"/>
  <c r="H1696" i="3"/>
  <c r="D1697" i="3"/>
  <c r="E1697" i="3"/>
  <c r="F1697" i="3"/>
  <c r="G1697" i="3"/>
  <c r="H1697" i="3"/>
  <c r="D1698" i="3"/>
  <c r="E1698" i="3"/>
  <c r="F1698" i="3"/>
  <c r="G1698" i="3"/>
  <c r="H1698" i="3"/>
  <c r="D1699" i="3"/>
  <c r="E1699" i="3"/>
  <c r="F1699" i="3"/>
  <c r="G1699" i="3"/>
  <c r="H1699" i="3"/>
  <c r="D1700" i="3"/>
  <c r="E1700" i="3"/>
  <c r="F1700" i="3"/>
  <c r="G1700" i="3"/>
  <c r="H1700" i="3"/>
  <c r="D1701" i="3"/>
  <c r="E1701" i="3"/>
  <c r="F1701" i="3"/>
  <c r="G1701" i="3"/>
  <c r="H1701" i="3"/>
  <c r="D1702" i="3"/>
  <c r="E1702" i="3"/>
  <c r="F1702" i="3"/>
  <c r="G1702" i="3"/>
  <c r="H1702" i="3"/>
  <c r="D1703" i="3"/>
  <c r="E1703" i="3"/>
  <c r="F1703" i="3"/>
  <c r="G1703" i="3"/>
  <c r="H1703" i="3"/>
  <c r="D1704" i="3"/>
  <c r="E1704" i="3"/>
  <c r="F1704" i="3"/>
  <c r="G1704" i="3"/>
  <c r="H1704" i="3"/>
  <c r="D1705" i="3"/>
  <c r="E1705" i="3"/>
  <c r="F1705" i="3"/>
  <c r="G1705" i="3"/>
  <c r="H1705" i="3"/>
  <c r="D1706" i="3"/>
  <c r="E1706" i="3"/>
  <c r="F1706" i="3"/>
  <c r="G1706" i="3"/>
  <c r="H1706" i="3"/>
  <c r="D1707" i="3"/>
  <c r="E1707" i="3"/>
  <c r="F1707" i="3"/>
  <c r="G1707" i="3"/>
  <c r="H1707" i="3"/>
  <c r="D1708" i="3"/>
  <c r="E1708" i="3"/>
  <c r="F1708" i="3"/>
  <c r="G1708" i="3"/>
  <c r="H1708" i="3"/>
  <c r="D1709" i="3"/>
  <c r="E1709" i="3"/>
  <c r="F1709" i="3"/>
  <c r="G1709" i="3"/>
  <c r="H1709" i="3"/>
  <c r="D1710" i="3"/>
  <c r="E1710" i="3"/>
  <c r="F1710" i="3"/>
  <c r="G1710" i="3"/>
  <c r="H1710" i="3"/>
  <c r="D1711" i="3"/>
  <c r="E1711" i="3"/>
  <c r="F1711" i="3"/>
  <c r="G1711" i="3"/>
  <c r="H1711" i="3"/>
  <c r="D1712" i="3"/>
  <c r="E1712" i="3"/>
  <c r="F1712" i="3"/>
  <c r="G1712" i="3"/>
  <c r="H1712" i="3"/>
  <c r="D1713" i="3"/>
  <c r="E1713" i="3"/>
  <c r="F1713" i="3"/>
  <c r="G1713" i="3"/>
  <c r="H1713" i="3"/>
  <c r="D1714" i="3"/>
  <c r="E1714" i="3"/>
  <c r="F1714" i="3"/>
  <c r="G1714" i="3"/>
  <c r="H1714" i="3"/>
  <c r="D1715" i="3"/>
  <c r="E1715" i="3"/>
  <c r="F1715" i="3"/>
  <c r="G1715" i="3"/>
  <c r="H1715" i="3"/>
  <c r="D1716" i="3"/>
  <c r="E1716" i="3"/>
  <c r="F1716" i="3"/>
  <c r="G1716" i="3"/>
  <c r="H1716" i="3"/>
  <c r="D1717" i="3"/>
  <c r="E1717" i="3"/>
  <c r="F1717" i="3"/>
  <c r="G1717" i="3"/>
  <c r="H1717" i="3"/>
  <c r="D1718" i="3"/>
  <c r="E1718" i="3"/>
  <c r="F1718" i="3"/>
  <c r="G1718" i="3"/>
  <c r="H1718" i="3"/>
  <c r="D1719" i="3"/>
  <c r="E1719" i="3"/>
  <c r="F1719" i="3"/>
  <c r="G1719" i="3"/>
  <c r="H1719" i="3"/>
  <c r="D1720" i="3"/>
  <c r="E1720" i="3"/>
  <c r="F1720" i="3"/>
  <c r="G1720" i="3"/>
  <c r="H1720" i="3"/>
  <c r="D1721" i="3"/>
  <c r="E1721" i="3"/>
  <c r="F1721" i="3"/>
  <c r="G1721" i="3"/>
  <c r="H1721" i="3"/>
  <c r="D1722" i="3"/>
  <c r="E1722" i="3"/>
  <c r="F1722" i="3"/>
  <c r="G1722" i="3"/>
  <c r="H1722" i="3"/>
  <c r="D1723" i="3"/>
  <c r="E1723" i="3"/>
  <c r="F1723" i="3"/>
  <c r="G1723" i="3"/>
  <c r="H1723" i="3"/>
  <c r="D1724" i="3"/>
  <c r="E1724" i="3"/>
  <c r="F1724" i="3"/>
  <c r="G1724" i="3"/>
  <c r="H1724" i="3"/>
  <c r="D1725" i="3"/>
  <c r="E1725" i="3"/>
  <c r="F1725" i="3"/>
  <c r="G1725" i="3"/>
  <c r="H1725" i="3"/>
  <c r="D1726" i="3"/>
  <c r="E1726" i="3"/>
  <c r="F1726" i="3"/>
  <c r="G1726" i="3"/>
  <c r="H1726" i="3"/>
  <c r="D1727" i="3"/>
  <c r="E1727" i="3"/>
  <c r="F1727" i="3"/>
  <c r="G1727" i="3"/>
  <c r="H1727" i="3"/>
  <c r="D1728" i="3"/>
  <c r="E1728" i="3"/>
  <c r="F1728" i="3"/>
  <c r="G1728" i="3"/>
  <c r="H1728" i="3"/>
  <c r="D1729" i="3"/>
  <c r="E1729" i="3"/>
  <c r="F1729" i="3"/>
  <c r="G1729" i="3"/>
  <c r="H1729" i="3"/>
  <c r="D1730" i="3"/>
  <c r="E1730" i="3"/>
  <c r="F1730" i="3"/>
  <c r="G1730" i="3"/>
  <c r="H1730" i="3"/>
  <c r="D1731" i="3"/>
  <c r="E1731" i="3"/>
  <c r="F1731" i="3"/>
  <c r="G1731" i="3"/>
  <c r="H1731" i="3"/>
  <c r="D1732" i="3"/>
  <c r="E1732" i="3"/>
  <c r="F1732" i="3"/>
  <c r="G1732" i="3"/>
  <c r="H1732" i="3"/>
  <c r="D1733" i="3"/>
  <c r="E1733" i="3"/>
  <c r="F1733" i="3"/>
  <c r="G1733" i="3"/>
  <c r="H1733" i="3"/>
  <c r="D1734" i="3"/>
  <c r="E1734" i="3"/>
  <c r="F1734" i="3"/>
  <c r="G1734" i="3"/>
  <c r="H1734" i="3"/>
  <c r="D1735" i="3"/>
  <c r="E1735" i="3"/>
  <c r="F1735" i="3"/>
  <c r="G1735" i="3"/>
  <c r="H1735" i="3"/>
  <c r="D1736" i="3"/>
  <c r="E1736" i="3"/>
  <c r="F1736" i="3"/>
  <c r="G1736" i="3"/>
  <c r="H1736" i="3"/>
  <c r="D1737" i="3"/>
  <c r="E1737" i="3"/>
  <c r="F1737" i="3"/>
  <c r="G1737" i="3"/>
  <c r="H1737" i="3"/>
  <c r="D1738" i="3"/>
  <c r="E1738" i="3"/>
  <c r="F1738" i="3"/>
  <c r="G1738" i="3"/>
  <c r="H1738" i="3"/>
  <c r="D1739" i="3"/>
  <c r="E1739" i="3"/>
  <c r="F1739" i="3"/>
  <c r="G1739" i="3"/>
  <c r="H1739" i="3"/>
  <c r="D1740" i="3"/>
  <c r="E1740" i="3"/>
  <c r="F1740" i="3"/>
  <c r="G1740" i="3"/>
  <c r="H1740" i="3"/>
  <c r="D1741" i="3"/>
  <c r="E1741" i="3"/>
  <c r="F1741" i="3"/>
  <c r="G1741" i="3"/>
  <c r="H1741" i="3"/>
  <c r="D1742" i="3"/>
  <c r="E1742" i="3"/>
  <c r="F1742" i="3"/>
  <c r="G1742" i="3"/>
  <c r="H1742" i="3"/>
  <c r="D1743" i="3"/>
  <c r="E1743" i="3"/>
  <c r="F1743" i="3"/>
  <c r="G1743" i="3"/>
  <c r="H1743" i="3"/>
  <c r="D1744" i="3"/>
  <c r="E1744" i="3"/>
  <c r="F1744" i="3"/>
  <c r="G1744" i="3"/>
  <c r="H1744" i="3"/>
  <c r="D1745" i="3"/>
  <c r="E1745" i="3"/>
  <c r="F1745" i="3"/>
  <c r="G1745" i="3"/>
  <c r="H1745" i="3"/>
  <c r="D1746" i="3"/>
  <c r="E1746" i="3"/>
  <c r="F1746" i="3"/>
  <c r="G1746" i="3"/>
  <c r="H1746" i="3"/>
  <c r="D1747" i="3"/>
  <c r="E1747" i="3"/>
  <c r="F1747" i="3"/>
  <c r="G1747" i="3"/>
  <c r="H1747" i="3"/>
  <c r="D1748" i="3"/>
  <c r="E1748" i="3"/>
  <c r="F1748" i="3"/>
  <c r="G1748" i="3"/>
  <c r="H1748" i="3"/>
  <c r="D1749" i="3"/>
  <c r="E1749" i="3"/>
  <c r="F1749" i="3"/>
  <c r="G1749" i="3"/>
  <c r="H1749" i="3"/>
  <c r="D1750" i="3"/>
  <c r="E1750" i="3"/>
  <c r="F1750" i="3"/>
  <c r="G1750" i="3"/>
  <c r="H1750" i="3"/>
  <c r="D1751" i="3"/>
  <c r="E1751" i="3"/>
  <c r="F1751" i="3"/>
  <c r="G1751" i="3"/>
  <c r="H1751" i="3"/>
  <c r="D1752" i="3"/>
  <c r="E1752" i="3"/>
  <c r="F1752" i="3"/>
  <c r="G1752" i="3"/>
  <c r="H1752" i="3"/>
  <c r="D1753" i="3"/>
  <c r="E1753" i="3"/>
  <c r="F1753" i="3"/>
  <c r="G1753" i="3"/>
  <c r="H1753" i="3"/>
  <c r="D1754" i="3"/>
  <c r="E1754" i="3"/>
  <c r="F1754" i="3"/>
  <c r="G1754" i="3"/>
  <c r="H1754" i="3"/>
  <c r="D1755" i="3"/>
  <c r="E1755" i="3"/>
  <c r="F1755" i="3"/>
  <c r="G1755" i="3"/>
  <c r="H1755" i="3"/>
  <c r="D1756" i="3"/>
  <c r="E1756" i="3"/>
  <c r="F1756" i="3"/>
  <c r="G1756" i="3"/>
  <c r="H1756" i="3"/>
  <c r="D1757" i="3"/>
  <c r="E1757" i="3"/>
  <c r="F1757" i="3"/>
  <c r="G1757" i="3"/>
  <c r="H1757" i="3"/>
  <c r="D1758" i="3"/>
  <c r="E1758" i="3"/>
  <c r="F1758" i="3"/>
  <c r="G1758" i="3"/>
  <c r="H1758" i="3"/>
  <c r="D1759" i="3"/>
  <c r="E1759" i="3"/>
  <c r="F1759" i="3"/>
  <c r="G1759" i="3"/>
  <c r="H1759" i="3"/>
  <c r="D1760" i="3"/>
  <c r="E1760" i="3"/>
  <c r="F1760" i="3"/>
  <c r="G1760" i="3"/>
  <c r="H1760" i="3"/>
  <c r="D1761" i="3"/>
  <c r="E1761" i="3"/>
  <c r="F1761" i="3"/>
  <c r="G1761" i="3"/>
  <c r="H1761" i="3"/>
  <c r="D1762" i="3"/>
  <c r="E1762" i="3"/>
  <c r="F1762" i="3"/>
  <c r="G1762" i="3"/>
  <c r="H1762" i="3"/>
  <c r="D1763" i="3"/>
  <c r="E1763" i="3"/>
  <c r="F1763" i="3"/>
  <c r="G1763" i="3"/>
  <c r="H1763" i="3"/>
  <c r="D1764" i="3"/>
  <c r="E1764" i="3"/>
  <c r="F1764" i="3"/>
  <c r="G1764" i="3"/>
  <c r="H1764" i="3"/>
  <c r="D1765" i="3"/>
  <c r="E1765" i="3"/>
  <c r="F1765" i="3"/>
  <c r="G1765" i="3"/>
  <c r="H1765" i="3"/>
  <c r="D1766" i="3"/>
  <c r="E1766" i="3"/>
  <c r="F1766" i="3"/>
  <c r="G1766" i="3"/>
  <c r="H1766" i="3"/>
  <c r="D1767" i="3"/>
  <c r="E1767" i="3"/>
  <c r="F1767" i="3"/>
  <c r="G1767" i="3"/>
  <c r="H1767" i="3"/>
  <c r="D1768" i="3"/>
  <c r="E1768" i="3"/>
  <c r="F1768" i="3"/>
  <c r="G1768" i="3"/>
  <c r="H1768" i="3"/>
  <c r="D1769" i="3"/>
  <c r="E1769" i="3"/>
  <c r="F1769" i="3"/>
  <c r="G1769" i="3"/>
  <c r="H1769" i="3"/>
  <c r="D1770" i="3"/>
  <c r="E1770" i="3"/>
  <c r="F1770" i="3"/>
  <c r="G1770" i="3"/>
  <c r="H1770" i="3"/>
  <c r="D1771" i="3"/>
  <c r="E1771" i="3"/>
  <c r="F1771" i="3"/>
  <c r="G1771" i="3"/>
  <c r="H1771" i="3"/>
  <c r="D1772" i="3"/>
  <c r="E1772" i="3"/>
  <c r="F1772" i="3"/>
  <c r="G1772" i="3"/>
  <c r="H1772" i="3"/>
  <c r="D1773" i="3"/>
  <c r="E1773" i="3"/>
  <c r="F1773" i="3"/>
  <c r="G1773" i="3"/>
  <c r="H1773" i="3"/>
  <c r="D1774" i="3"/>
  <c r="E1774" i="3"/>
  <c r="F1774" i="3"/>
  <c r="G1774" i="3"/>
  <c r="H1774" i="3"/>
  <c r="D1775" i="3"/>
  <c r="E1775" i="3"/>
  <c r="F1775" i="3"/>
  <c r="G1775" i="3"/>
  <c r="H1775" i="3"/>
  <c r="D1776" i="3"/>
  <c r="E1776" i="3"/>
  <c r="F1776" i="3"/>
  <c r="G1776" i="3"/>
  <c r="H1776" i="3"/>
  <c r="D1777" i="3"/>
  <c r="E1777" i="3"/>
  <c r="F1777" i="3"/>
  <c r="G1777" i="3"/>
  <c r="H1777" i="3"/>
  <c r="D1778" i="3"/>
  <c r="E1778" i="3"/>
  <c r="F1778" i="3"/>
  <c r="G1778" i="3"/>
  <c r="H1778" i="3"/>
  <c r="D1779" i="3"/>
  <c r="E1779" i="3"/>
  <c r="F1779" i="3"/>
  <c r="G1779" i="3"/>
  <c r="H1779" i="3"/>
  <c r="D1780" i="3"/>
  <c r="E1780" i="3"/>
  <c r="F1780" i="3"/>
  <c r="G1780" i="3"/>
  <c r="H1780" i="3"/>
  <c r="D1781" i="3"/>
  <c r="E1781" i="3"/>
  <c r="F1781" i="3"/>
  <c r="G1781" i="3"/>
  <c r="H1781" i="3"/>
  <c r="D1782" i="3"/>
  <c r="E1782" i="3"/>
  <c r="F1782" i="3"/>
  <c r="G1782" i="3"/>
  <c r="H1782" i="3"/>
  <c r="D1783" i="3"/>
  <c r="E1783" i="3"/>
  <c r="F1783" i="3"/>
  <c r="G1783" i="3"/>
  <c r="H1783" i="3"/>
  <c r="D1784" i="3"/>
  <c r="E1784" i="3"/>
  <c r="F1784" i="3"/>
  <c r="G1784" i="3"/>
  <c r="H1784" i="3"/>
  <c r="D1785" i="3"/>
  <c r="E1785" i="3"/>
  <c r="F1785" i="3"/>
  <c r="G1785" i="3"/>
  <c r="H1785" i="3"/>
  <c r="D1786" i="3"/>
  <c r="E1786" i="3"/>
  <c r="F1786" i="3"/>
  <c r="G1786" i="3"/>
  <c r="H1786" i="3"/>
  <c r="D1787" i="3"/>
  <c r="E1787" i="3"/>
  <c r="F1787" i="3"/>
  <c r="G1787" i="3"/>
  <c r="H1787" i="3"/>
  <c r="D1788" i="3"/>
  <c r="E1788" i="3"/>
  <c r="F1788" i="3"/>
  <c r="G1788" i="3"/>
  <c r="H1788" i="3"/>
  <c r="D1789" i="3"/>
  <c r="E1789" i="3"/>
  <c r="F1789" i="3"/>
  <c r="G1789" i="3"/>
  <c r="H1789" i="3"/>
  <c r="D1790" i="3"/>
  <c r="E1790" i="3"/>
  <c r="F1790" i="3"/>
  <c r="G1790" i="3"/>
  <c r="H1790" i="3"/>
  <c r="D1791" i="3"/>
  <c r="E1791" i="3"/>
  <c r="F1791" i="3"/>
  <c r="G1791" i="3"/>
  <c r="H1791" i="3"/>
  <c r="D1792" i="3"/>
  <c r="E1792" i="3"/>
  <c r="F1792" i="3"/>
  <c r="G1792" i="3"/>
  <c r="H1792" i="3"/>
  <c r="D1793" i="3"/>
  <c r="E1793" i="3"/>
  <c r="F1793" i="3"/>
  <c r="G1793" i="3"/>
  <c r="H1793" i="3"/>
  <c r="D1794" i="3"/>
  <c r="E1794" i="3"/>
  <c r="F1794" i="3"/>
  <c r="G1794" i="3"/>
  <c r="H1794" i="3"/>
  <c r="D1795" i="3"/>
  <c r="E1795" i="3"/>
  <c r="F1795" i="3"/>
  <c r="G1795" i="3"/>
  <c r="H1795" i="3"/>
  <c r="D1796" i="3"/>
  <c r="E1796" i="3"/>
  <c r="F1796" i="3"/>
  <c r="G1796" i="3"/>
  <c r="H1796" i="3"/>
  <c r="D1797" i="3"/>
  <c r="E1797" i="3"/>
  <c r="F1797" i="3"/>
  <c r="G1797" i="3"/>
  <c r="H1797" i="3"/>
  <c r="D1798" i="3"/>
  <c r="E1798" i="3"/>
  <c r="F1798" i="3"/>
  <c r="G1798" i="3"/>
  <c r="H1798" i="3"/>
  <c r="D1799" i="3"/>
  <c r="E1799" i="3"/>
  <c r="F1799" i="3"/>
  <c r="G1799" i="3"/>
  <c r="H1799" i="3"/>
  <c r="D1800" i="3"/>
  <c r="E1800" i="3"/>
  <c r="F1800" i="3"/>
  <c r="G1800" i="3"/>
  <c r="H1800" i="3"/>
  <c r="D1801" i="3"/>
  <c r="E1801" i="3"/>
  <c r="F1801" i="3"/>
  <c r="G1801" i="3"/>
  <c r="H1801" i="3"/>
  <c r="D1802" i="3"/>
  <c r="E1802" i="3"/>
  <c r="F1802" i="3"/>
  <c r="G1802" i="3"/>
  <c r="H1802" i="3"/>
  <c r="D1803" i="3"/>
  <c r="E1803" i="3"/>
  <c r="F1803" i="3"/>
  <c r="G1803" i="3"/>
  <c r="H1803" i="3"/>
  <c r="D1804" i="3"/>
  <c r="E1804" i="3"/>
  <c r="F1804" i="3"/>
  <c r="G1804" i="3"/>
  <c r="H1804" i="3"/>
  <c r="D1805" i="3"/>
  <c r="E1805" i="3"/>
  <c r="F1805" i="3"/>
  <c r="G1805" i="3"/>
  <c r="H1805" i="3"/>
  <c r="D1806" i="3"/>
  <c r="E1806" i="3"/>
  <c r="F1806" i="3"/>
  <c r="G1806" i="3"/>
  <c r="H1806" i="3"/>
  <c r="D1807" i="3"/>
  <c r="E1807" i="3"/>
  <c r="F1807" i="3"/>
  <c r="G1807" i="3"/>
  <c r="H1807" i="3"/>
  <c r="D1808" i="3"/>
  <c r="E1808" i="3"/>
  <c r="F1808" i="3"/>
  <c r="G1808" i="3"/>
  <c r="H1808" i="3"/>
  <c r="D1809" i="3"/>
  <c r="E1809" i="3"/>
  <c r="F1809" i="3"/>
  <c r="G1809" i="3"/>
  <c r="H1809" i="3"/>
  <c r="D1810" i="3"/>
  <c r="E1810" i="3"/>
  <c r="F1810" i="3"/>
  <c r="G1810" i="3"/>
  <c r="H1810" i="3"/>
  <c r="D1811" i="3"/>
  <c r="E1811" i="3"/>
  <c r="F1811" i="3"/>
  <c r="G1811" i="3"/>
  <c r="H1811" i="3"/>
  <c r="D1812" i="3"/>
  <c r="E1812" i="3"/>
  <c r="F1812" i="3"/>
  <c r="G1812" i="3"/>
  <c r="H1812" i="3"/>
  <c r="D1813" i="3"/>
  <c r="E1813" i="3"/>
  <c r="F1813" i="3"/>
  <c r="G1813" i="3"/>
  <c r="H1813" i="3"/>
  <c r="D1814" i="3"/>
  <c r="E1814" i="3"/>
  <c r="F1814" i="3"/>
  <c r="G1814" i="3"/>
  <c r="H1814" i="3"/>
  <c r="D1815" i="3"/>
  <c r="E1815" i="3"/>
  <c r="F1815" i="3"/>
  <c r="G1815" i="3"/>
  <c r="H1815" i="3"/>
  <c r="D1816" i="3"/>
  <c r="E1816" i="3"/>
  <c r="F1816" i="3"/>
  <c r="G1816" i="3"/>
  <c r="H1816" i="3"/>
  <c r="D1817" i="3"/>
  <c r="E1817" i="3"/>
  <c r="F1817" i="3"/>
  <c r="G1817" i="3"/>
  <c r="H1817" i="3"/>
  <c r="D1818" i="3"/>
  <c r="E1818" i="3"/>
  <c r="F1818" i="3"/>
  <c r="G1818" i="3"/>
  <c r="H1818" i="3"/>
  <c r="D1819" i="3"/>
  <c r="E1819" i="3"/>
  <c r="F1819" i="3"/>
  <c r="G1819" i="3"/>
  <c r="H1819" i="3"/>
  <c r="D1820" i="3"/>
  <c r="E1820" i="3"/>
  <c r="F1820" i="3"/>
  <c r="G1820" i="3"/>
  <c r="H1820" i="3"/>
  <c r="D1821" i="3"/>
  <c r="E1821" i="3"/>
  <c r="F1821" i="3"/>
  <c r="G1821" i="3"/>
  <c r="H1821" i="3"/>
  <c r="D1822" i="3"/>
  <c r="E1822" i="3"/>
  <c r="F1822" i="3"/>
  <c r="G1822" i="3"/>
  <c r="H1822" i="3"/>
  <c r="D1823" i="3"/>
  <c r="E1823" i="3"/>
  <c r="F1823" i="3"/>
  <c r="G1823" i="3"/>
  <c r="H1823" i="3"/>
  <c r="D1824" i="3"/>
  <c r="E1824" i="3"/>
  <c r="F1824" i="3"/>
  <c r="G1824" i="3"/>
  <c r="H1824" i="3"/>
  <c r="D1825" i="3"/>
  <c r="E1825" i="3"/>
  <c r="F1825" i="3"/>
  <c r="G1825" i="3"/>
  <c r="H1825" i="3"/>
  <c r="D1826" i="3"/>
  <c r="E1826" i="3"/>
  <c r="F1826" i="3"/>
  <c r="G1826" i="3"/>
  <c r="H1826" i="3"/>
  <c r="D1827" i="3"/>
  <c r="E1827" i="3"/>
  <c r="F1827" i="3"/>
  <c r="G1827" i="3"/>
  <c r="H1827" i="3"/>
  <c r="D1828" i="3"/>
  <c r="E1828" i="3"/>
  <c r="F1828" i="3"/>
  <c r="G1828" i="3"/>
  <c r="H1828" i="3"/>
  <c r="D1829" i="3"/>
  <c r="E1829" i="3"/>
  <c r="F1829" i="3"/>
  <c r="G1829" i="3"/>
  <c r="H1829" i="3"/>
  <c r="D1830" i="3"/>
  <c r="E1830" i="3"/>
  <c r="F1830" i="3"/>
  <c r="G1830" i="3"/>
  <c r="H1830" i="3"/>
  <c r="D1831" i="3"/>
  <c r="E1831" i="3"/>
  <c r="F1831" i="3"/>
  <c r="G1831" i="3"/>
  <c r="H1831" i="3"/>
  <c r="D1832" i="3"/>
  <c r="E1832" i="3"/>
  <c r="F1832" i="3"/>
  <c r="G1832" i="3"/>
  <c r="H1832" i="3"/>
  <c r="D1833" i="3"/>
  <c r="E1833" i="3"/>
  <c r="F1833" i="3"/>
  <c r="G1833" i="3"/>
  <c r="H1833" i="3"/>
  <c r="D1834" i="3"/>
  <c r="E1834" i="3"/>
  <c r="F1834" i="3"/>
  <c r="G1834" i="3"/>
  <c r="H1834" i="3"/>
  <c r="D1835" i="3"/>
  <c r="E1835" i="3"/>
  <c r="F1835" i="3"/>
  <c r="G1835" i="3"/>
  <c r="H1835" i="3"/>
  <c r="D1836" i="3"/>
  <c r="E1836" i="3"/>
  <c r="F1836" i="3"/>
  <c r="G1836" i="3"/>
  <c r="H1836" i="3"/>
  <c r="D1837" i="3"/>
  <c r="E1837" i="3"/>
  <c r="F1837" i="3"/>
  <c r="G1837" i="3"/>
  <c r="H1837" i="3"/>
  <c r="D1838" i="3"/>
  <c r="E1838" i="3"/>
  <c r="F1838" i="3"/>
  <c r="G1838" i="3"/>
  <c r="H1838" i="3"/>
  <c r="D1839" i="3"/>
  <c r="E1839" i="3"/>
  <c r="F1839" i="3"/>
  <c r="G1839" i="3"/>
  <c r="H1839" i="3"/>
  <c r="D1840" i="3"/>
  <c r="E1840" i="3"/>
  <c r="F1840" i="3"/>
  <c r="G1840" i="3"/>
  <c r="H1840" i="3"/>
  <c r="D1841" i="3"/>
  <c r="E1841" i="3"/>
  <c r="F1841" i="3"/>
  <c r="G1841" i="3"/>
  <c r="H1841" i="3"/>
  <c r="D1842" i="3"/>
  <c r="E1842" i="3"/>
  <c r="F1842" i="3"/>
  <c r="G1842" i="3"/>
  <c r="H1842" i="3"/>
  <c r="D1843" i="3"/>
  <c r="E1843" i="3"/>
  <c r="F1843" i="3"/>
  <c r="G1843" i="3"/>
  <c r="H1843" i="3"/>
  <c r="D1844" i="3"/>
  <c r="E1844" i="3"/>
  <c r="F1844" i="3"/>
  <c r="G1844" i="3"/>
  <c r="H1844" i="3"/>
  <c r="D1845" i="3"/>
  <c r="E1845" i="3"/>
  <c r="F1845" i="3"/>
  <c r="G1845" i="3"/>
  <c r="H1845" i="3"/>
  <c r="D1846" i="3"/>
  <c r="E1846" i="3"/>
  <c r="F1846" i="3"/>
  <c r="G1846" i="3"/>
  <c r="H1846" i="3"/>
  <c r="D1847" i="3"/>
  <c r="E1847" i="3"/>
  <c r="F1847" i="3"/>
  <c r="G1847" i="3"/>
  <c r="H1847" i="3"/>
  <c r="D1848" i="3"/>
  <c r="E1848" i="3"/>
  <c r="F1848" i="3"/>
  <c r="G1848" i="3"/>
  <c r="H1848" i="3"/>
  <c r="D1849" i="3"/>
  <c r="E1849" i="3"/>
  <c r="F1849" i="3"/>
  <c r="G1849" i="3"/>
  <c r="H1849" i="3"/>
  <c r="D1850" i="3"/>
  <c r="E1850" i="3"/>
  <c r="F1850" i="3"/>
  <c r="G1850" i="3"/>
  <c r="H1850" i="3"/>
  <c r="D1851" i="3"/>
  <c r="E1851" i="3"/>
  <c r="F1851" i="3"/>
  <c r="G1851" i="3"/>
  <c r="H1851" i="3"/>
  <c r="D1852" i="3"/>
  <c r="E1852" i="3"/>
  <c r="F1852" i="3"/>
  <c r="G1852" i="3"/>
  <c r="H1852" i="3"/>
  <c r="D1853" i="3"/>
  <c r="E1853" i="3"/>
  <c r="F1853" i="3"/>
  <c r="G1853" i="3"/>
  <c r="H1853" i="3"/>
  <c r="D1854" i="3"/>
  <c r="E1854" i="3"/>
  <c r="F1854" i="3"/>
  <c r="G1854" i="3"/>
  <c r="H1854" i="3"/>
  <c r="D1855" i="3"/>
  <c r="E1855" i="3"/>
  <c r="F1855" i="3"/>
  <c r="G1855" i="3"/>
  <c r="H1855" i="3"/>
  <c r="D1856" i="3"/>
  <c r="E1856" i="3"/>
  <c r="F1856" i="3"/>
  <c r="G1856" i="3"/>
  <c r="H1856" i="3"/>
  <c r="D1857" i="3"/>
  <c r="E1857" i="3"/>
  <c r="F1857" i="3"/>
  <c r="G1857" i="3"/>
  <c r="H1857" i="3"/>
  <c r="D1858" i="3"/>
  <c r="E1858" i="3"/>
  <c r="F1858" i="3"/>
  <c r="G1858" i="3"/>
  <c r="H1858" i="3"/>
  <c r="D1859" i="3"/>
  <c r="E1859" i="3"/>
  <c r="F1859" i="3"/>
  <c r="G1859" i="3"/>
  <c r="H1859" i="3"/>
  <c r="D1860" i="3"/>
  <c r="E1860" i="3"/>
  <c r="F1860" i="3"/>
  <c r="G1860" i="3"/>
  <c r="H1860" i="3"/>
  <c r="D1861" i="3"/>
  <c r="E1861" i="3"/>
  <c r="F1861" i="3"/>
  <c r="G1861" i="3"/>
  <c r="H1861" i="3"/>
  <c r="D1862" i="3"/>
  <c r="E1862" i="3"/>
  <c r="F1862" i="3"/>
  <c r="G1862" i="3"/>
  <c r="H1862" i="3"/>
  <c r="D1863" i="3"/>
  <c r="E1863" i="3"/>
  <c r="F1863" i="3"/>
  <c r="G1863" i="3"/>
  <c r="H1863" i="3"/>
  <c r="D1864" i="3"/>
  <c r="E1864" i="3"/>
  <c r="F1864" i="3"/>
  <c r="G1864" i="3"/>
  <c r="H1864" i="3"/>
  <c r="D1865" i="3"/>
  <c r="E1865" i="3"/>
  <c r="F1865" i="3"/>
  <c r="G1865" i="3"/>
  <c r="H1865" i="3"/>
  <c r="D1866" i="3"/>
  <c r="E1866" i="3"/>
  <c r="F1866" i="3"/>
  <c r="G1866" i="3"/>
  <c r="H1866" i="3"/>
  <c r="D1867" i="3"/>
  <c r="E1867" i="3"/>
  <c r="F1867" i="3"/>
  <c r="G1867" i="3"/>
  <c r="H1867" i="3"/>
  <c r="D1868" i="3"/>
  <c r="E1868" i="3"/>
  <c r="F1868" i="3"/>
  <c r="G1868" i="3"/>
  <c r="H1868" i="3"/>
  <c r="D1869" i="3"/>
  <c r="E1869" i="3"/>
  <c r="F1869" i="3"/>
  <c r="G1869" i="3"/>
  <c r="H1869" i="3"/>
  <c r="D1870" i="3"/>
  <c r="E1870" i="3"/>
  <c r="F1870" i="3"/>
  <c r="G1870" i="3"/>
  <c r="H1870" i="3"/>
  <c r="D1871" i="3"/>
  <c r="E1871" i="3"/>
  <c r="F1871" i="3"/>
  <c r="G1871" i="3"/>
  <c r="H1871" i="3"/>
  <c r="D1872" i="3"/>
  <c r="E1872" i="3"/>
  <c r="F1872" i="3"/>
  <c r="G1872" i="3"/>
  <c r="H1872" i="3"/>
  <c r="D1873" i="3"/>
  <c r="E1873" i="3"/>
  <c r="F1873" i="3"/>
  <c r="G1873" i="3"/>
  <c r="H1873" i="3"/>
  <c r="D1874" i="3"/>
  <c r="E1874" i="3"/>
  <c r="F1874" i="3"/>
  <c r="G1874" i="3"/>
  <c r="H1874" i="3"/>
  <c r="D1875" i="3"/>
  <c r="E1875" i="3"/>
  <c r="F1875" i="3"/>
  <c r="G1875" i="3"/>
  <c r="H1875" i="3"/>
  <c r="D1876" i="3"/>
  <c r="E1876" i="3"/>
  <c r="F1876" i="3"/>
  <c r="G1876" i="3"/>
  <c r="H1876" i="3"/>
  <c r="D1877" i="3"/>
  <c r="E1877" i="3"/>
  <c r="F1877" i="3"/>
  <c r="G1877" i="3"/>
  <c r="H1877" i="3"/>
  <c r="D1878" i="3"/>
  <c r="E1878" i="3"/>
  <c r="F1878" i="3"/>
  <c r="G1878" i="3"/>
  <c r="H1878" i="3"/>
  <c r="D1879" i="3"/>
  <c r="E1879" i="3"/>
  <c r="F1879" i="3"/>
  <c r="G1879" i="3"/>
  <c r="H1879" i="3"/>
  <c r="D1880" i="3"/>
  <c r="E1880" i="3"/>
  <c r="F1880" i="3"/>
  <c r="G1880" i="3"/>
  <c r="H1880" i="3"/>
  <c r="D1881" i="3"/>
  <c r="E1881" i="3"/>
  <c r="F1881" i="3"/>
  <c r="G1881" i="3"/>
  <c r="H1881" i="3"/>
  <c r="D1882" i="3"/>
  <c r="E1882" i="3"/>
  <c r="F1882" i="3"/>
  <c r="G1882" i="3"/>
  <c r="H1882" i="3"/>
  <c r="D1883" i="3"/>
  <c r="E1883" i="3"/>
  <c r="F1883" i="3"/>
  <c r="G1883" i="3"/>
  <c r="H1883" i="3"/>
  <c r="D1884" i="3"/>
  <c r="E1884" i="3"/>
  <c r="F1884" i="3"/>
  <c r="G1884" i="3"/>
  <c r="H1884" i="3"/>
  <c r="D1885" i="3"/>
  <c r="E1885" i="3"/>
  <c r="F1885" i="3"/>
  <c r="G1885" i="3"/>
  <c r="H1885" i="3"/>
  <c r="D1886" i="3"/>
  <c r="E1886" i="3"/>
  <c r="F1886" i="3"/>
  <c r="G1886" i="3"/>
  <c r="H1886" i="3"/>
  <c r="D1887" i="3"/>
  <c r="E1887" i="3"/>
  <c r="F1887" i="3"/>
  <c r="G1887" i="3"/>
  <c r="H1887" i="3"/>
  <c r="D1888" i="3"/>
  <c r="E1888" i="3"/>
  <c r="F1888" i="3"/>
  <c r="G1888" i="3"/>
  <c r="H1888" i="3"/>
  <c r="D1889" i="3"/>
  <c r="E1889" i="3"/>
  <c r="F1889" i="3"/>
  <c r="G1889" i="3"/>
  <c r="H1889" i="3"/>
  <c r="D1890" i="3"/>
  <c r="E1890" i="3"/>
  <c r="F1890" i="3"/>
  <c r="G1890" i="3"/>
  <c r="H1890" i="3"/>
  <c r="D1891" i="3"/>
  <c r="E1891" i="3"/>
  <c r="F1891" i="3"/>
  <c r="G1891" i="3"/>
  <c r="H1891" i="3"/>
  <c r="D1892" i="3"/>
  <c r="E1892" i="3"/>
  <c r="F1892" i="3"/>
  <c r="G1892" i="3"/>
  <c r="H1892" i="3"/>
  <c r="D1893" i="3"/>
  <c r="E1893" i="3"/>
  <c r="F1893" i="3"/>
  <c r="G1893" i="3"/>
  <c r="H1893" i="3"/>
  <c r="D1894" i="3"/>
  <c r="E1894" i="3"/>
  <c r="F1894" i="3"/>
  <c r="G1894" i="3"/>
  <c r="H1894" i="3"/>
  <c r="D1895" i="3"/>
  <c r="E1895" i="3"/>
  <c r="F1895" i="3"/>
  <c r="G1895" i="3"/>
  <c r="H1895" i="3"/>
  <c r="D1896" i="3"/>
  <c r="E1896" i="3"/>
  <c r="F1896" i="3"/>
  <c r="G1896" i="3"/>
  <c r="H1896" i="3"/>
  <c r="D1897" i="3"/>
  <c r="E1897" i="3"/>
  <c r="F1897" i="3"/>
  <c r="G1897" i="3"/>
  <c r="H1897" i="3"/>
  <c r="D1898" i="3"/>
  <c r="E1898" i="3"/>
  <c r="F1898" i="3"/>
  <c r="G1898" i="3"/>
  <c r="H1898" i="3"/>
  <c r="D1899" i="3"/>
  <c r="E1899" i="3"/>
  <c r="F1899" i="3"/>
  <c r="G1899" i="3"/>
  <c r="H1899" i="3"/>
  <c r="D1900" i="3"/>
  <c r="E1900" i="3"/>
  <c r="F1900" i="3"/>
  <c r="G1900" i="3"/>
  <c r="H1900" i="3"/>
  <c r="D1901" i="3"/>
  <c r="E1901" i="3"/>
  <c r="F1901" i="3"/>
  <c r="G1901" i="3"/>
  <c r="H1901" i="3"/>
  <c r="D1902" i="3"/>
  <c r="E1902" i="3"/>
  <c r="F1902" i="3"/>
  <c r="G1902" i="3"/>
  <c r="H1902" i="3"/>
  <c r="D1903" i="3"/>
  <c r="E1903" i="3"/>
  <c r="F1903" i="3"/>
  <c r="G1903" i="3"/>
  <c r="H1903" i="3"/>
  <c r="D1904" i="3"/>
  <c r="E1904" i="3"/>
  <c r="F1904" i="3"/>
  <c r="G1904" i="3"/>
  <c r="H1904" i="3"/>
  <c r="D1905" i="3"/>
  <c r="E1905" i="3"/>
  <c r="F1905" i="3"/>
  <c r="G1905" i="3"/>
  <c r="H1905" i="3"/>
  <c r="D1906" i="3"/>
  <c r="E1906" i="3"/>
  <c r="F1906" i="3"/>
  <c r="G1906" i="3"/>
  <c r="H1906" i="3"/>
  <c r="D1907" i="3"/>
  <c r="E1907" i="3"/>
  <c r="F1907" i="3"/>
  <c r="G1907" i="3"/>
  <c r="H1907" i="3"/>
  <c r="D1908" i="3"/>
  <c r="E1908" i="3"/>
  <c r="F1908" i="3"/>
  <c r="G1908" i="3"/>
  <c r="H1908" i="3"/>
  <c r="D1909" i="3"/>
  <c r="E1909" i="3"/>
  <c r="F1909" i="3"/>
  <c r="G1909" i="3"/>
  <c r="H1909" i="3"/>
  <c r="D1910" i="3"/>
  <c r="E1910" i="3"/>
  <c r="F1910" i="3"/>
  <c r="G1910" i="3"/>
  <c r="H1910" i="3"/>
  <c r="D1911" i="3"/>
  <c r="E1911" i="3"/>
  <c r="F1911" i="3"/>
  <c r="G1911" i="3"/>
  <c r="H1911" i="3"/>
  <c r="D1912" i="3"/>
  <c r="E1912" i="3"/>
  <c r="F1912" i="3"/>
  <c r="G1912" i="3"/>
  <c r="H1912" i="3"/>
  <c r="D1913" i="3"/>
  <c r="E1913" i="3"/>
  <c r="F1913" i="3"/>
  <c r="G1913" i="3"/>
  <c r="H1913" i="3"/>
  <c r="D1914" i="3"/>
  <c r="E1914" i="3"/>
  <c r="F1914" i="3"/>
  <c r="G1914" i="3"/>
  <c r="H1914" i="3"/>
  <c r="D1915" i="3"/>
  <c r="E1915" i="3"/>
  <c r="F1915" i="3"/>
  <c r="G1915" i="3"/>
  <c r="H1915" i="3"/>
  <c r="D1916" i="3"/>
  <c r="E1916" i="3"/>
  <c r="F1916" i="3"/>
  <c r="G1916" i="3"/>
  <c r="H1916" i="3"/>
  <c r="D1917" i="3"/>
  <c r="E1917" i="3"/>
  <c r="F1917" i="3"/>
  <c r="G1917" i="3"/>
  <c r="H1917" i="3"/>
  <c r="D1918" i="3"/>
  <c r="E1918" i="3"/>
  <c r="F1918" i="3"/>
  <c r="G1918" i="3"/>
  <c r="H1918" i="3"/>
  <c r="D1919" i="3"/>
  <c r="E1919" i="3"/>
  <c r="F1919" i="3"/>
  <c r="G1919" i="3"/>
  <c r="H1919" i="3"/>
  <c r="D1920" i="3"/>
  <c r="E1920" i="3"/>
  <c r="F1920" i="3"/>
  <c r="G1920" i="3"/>
  <c r="H1920" i="3"/>
  <c r="D1921" i="3"/>
  <c r="E1921" i="3"/>
  <c r="F1921" i="3"/>
  <c r="G1921" i="3"/>
  <c r="H1921" i="3"/>
  <c r="D1922" i="3"/>
  <c r="E1922" i="3"/>
  <c r="F1922" i="3"/>
  <c r="G1922" i="3"/>
  <c r="H1922" i="3"/>
  <c r="D1923" i="3"/>
  <c r="E1923" i="3"/>
  <c r="F1923" i="3"/>
  <c r="G1923" i="3"/>
  <c r="H1923" i="3"/>
  <c r="D1924" i="3"/>
  <c r="E1924" i="3"/>
  <c r="F1924" i="3"/>
  <c r="G1924" i="3"/>
  <c r="H1924" i="3"/>
  <c r="D1925" i="3"/>
  <c r="E1925" i="3"/>
  <c r="F1925" i="3"/>
  <c r="G1925" i="3"/>
  <c r="H1925" i="3"/>
  <c r="D1926" i="3"/>
  <c r="E1926" i="3"/>
  <c r="F1926" i="3"/>
  <c r="G1926" i="3"/>
  <c r="H1926" i="3"/>
  <c r="D1927" i="3"/>
  <c r="E1927" i="3"/>
  <c r="F1927" i="3"/>
  <c r="G1927" i="3"/>
  <c r="H1927" i="3"/>
  <c r="D1928" i="3"/>
  <c r="E1928" i="3"/>
  <c r="F1928" i="3"/>
  <c r="G1928" i="3"/>
  <c r="H1928" i="3"/>
  <c r="D1929" i="3"/>
  <c r="E1929" i="3"/>
  <c r="F1929" i="3"/>
  <c r="G1929" i="3"/>
  <c r="H1929" i="3"/>
  <c r="D1930" i="3"/>
  <c r="E1930" i="3"/>
  <c r="F1930" i="3"/>
  <c r="G1930" i="3"/>
  <c r="H1930" i="3"/>
  <c r="D1931" i="3"/>
  <c r="E1931" i="3"/>
  <c r="F1931" i="3"/>
  <c r="G1931" i="3"/>
  <c r="H1931" i="3"/>
  <c r="D1932" i="3"/>
  <c r="E1932" i="3"/>
  <c r="F1932" i="3"/>
  <c r="G1932" i="3"/>
  <c r="H1932" i="3"/>
  <c r="D1933" i="3"/>
  <c r="E1933" i="3"/>
  <c r="F1933" i="3"/>
  <c r="G1933" i="3"/>
  <c r="H1933" i="3"/>
  <c r="D1934" i="3"/>
  <c r="E1934" i="3"/>
  <c r="F1934" i="3"/>
  <c r="G1934" i="3"/>
  <c r="H1934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J1635" i="3" s="1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J1651" i="3" s="1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2" i="3"/>
  <c r="D1514" i="3"/>
  <c r="E1514" i="3"/>
  <c r="F1514" i="3"/>
  <c r="G1514" i="3"/>
  <c r="H1514" i="3"/>
  <c r="D1515" i="3"/>
  <c r="E1515" i="3"/>
  <c r="F1515" i="3"/>
  <c r="G1515" i="3"/>
  <c r="H1515" i="3"/>
  <c r="D1516" i="3"/>
  <c r="E1516" i="3"/>
  <c r="F1516" i="3"/>
  <c r="G1516" i="3"/>
  <c r="H1516" i="3"/>
  <c r="D1517" i="3"/>
  <c r="E1517" i="3"/>
  <c r="F1517" i="3"/>
  <c r="G1517" i="3"/>
  <c r="H1517" i="3"/>
  <c r="D1518" i="3"/>
  <c r="E1518" i="3"/>
  <c r="F1518" i="3"/>
  <c r="G1518" i="3"/>
  <c r="H1518" i="3"/>
  <c r="D1519" i="3"/>
  <c r="E1519" i="3"/>
  <c r="F1519" i="3"/>
  <c r="G1519" i="3"/>
  <c r="H1519" i="3"/>
  <c r="D1520" i="3"/>
  <c r="E1520" i="3"/>
  <c r="F1520" i="3"/>
  <c r="G1520" i="3"/>
  <c r="H1520" i="3"/>
  <c r="D1521" i="3"/>
  <c r="E1521" i="3"/>
  <c r="F1521" i="3"/>
  <c r="G1521" i="3"/>
  <c r="H1521" i="3"/>
  <c r="D1522" i="3"/>
  <c r="E1522" i="3"/>
  <c r="F1522" i="3"/>
  <c r="G1522" i="3"/>
  <c r="H1522" i="3"/>
  <c r="D1523" i="3"/>
  <c r="E1523" i="3"/>
  <c r="F1523" i="3"/>
  <c r="G1523" i="3"/>
  <c r="H1523" i="3"/>
  <c r="D1524" i="3"/>
  <c r="E1524" i="3"/>
  <c r="F1524" i="3"/>
  <c r="G1524" i="3"/>
  <c r="H1524" i="3"/>
  <c r="D1525" i="3"/>
  <c r="E1525" i="3"/>
  <c r="F1525" i="3"/>
  <c r="G1525" i="3"/>
  <c r="H1525" i="3"/>
  <c r="D1526" i="3"/>
  <c r="E1526" i="3"/>
  <c r="F1526" i="3"/>
  <c r="G1526" i="3"/>
  <c r="H1526" i="3"/>
  <c r="D1527" i="3"/>
  <c r="E1527" i="3"/>
  <c r="F1527" i="3"/>
  <c r="G1527" i="3"/>
  <c r="H1527" i="3"/>
  <c r="D1528" i="3"/>
  <c r="E1528" i="3"/>
  <c r="F1528" i="3"/>
  <c r="G1528" i="3"/>
  <c r="H1528" i="3"/>
  <c r="D1529" i="3"/>
  <c r="E1529" i="3"/>
  <c r="F1529" i="3"/>
  <c r="G1529" i="3"/>
  <c r="H1529" i="3"/>
  <c r="D1530" i="3"/>
  <c r="E1530" i="3"/>
  <c r="F1530" i="3"/>
  <c r="G1530" i="3"/>
  <c r="H1530" i="3"/>
  <c r="D1531" i="3"/>
  <c r="E1531" i="3"/>
  <c r="F1531" i="3"/>
  <c r="G1531" i="3"/>
  <c r="H1531" i="3"/>
  <c r="D1532" i="3"/>
  <c r="E1532" i="3"/>
  <c r="F1532" i="3"/>
  <c r="G1532" i="3"/>
  <c r="H1532" i="3"/>
  <c r="D1533" i="3"/>
  <c r="E1533" i="3"/>
  <c r="F1533" i="3"/>
  <c r="G1533" i="3"/>
  <c r="H1533" i="3"/>
  <c r="D1534" i="3"/>
  <c r="E1534" i="3"/>
  <c r="F1534" i="3"/>
  <c r="G1534" i="3"/>
  <c r="H1534" i="3"/>
  <c r="D1535" i="3"/>
  <c r="E1535" i="3"/>
  <c r="F1535" i="3"/>
  <c r="G1535" i="3"/>
  <c r="H1535" i="3"/>
  <c r="D1536" i="3"/>
  <c r="E1536" i="3"/>
  <c r="F1536" i="3"/>
  <c r="G1536" i="3"/>
  <c r="H1536" i="3"/>
  <c r="D1537" i="3"/>
  <c r="E1537" i="3"/>
  <c r="F1537" i="3"/>
  <c r="G1537" i="3"/>
  <c r="H1537" i="3"/>
  <c r="D1538" i="3"/>
  <c r="E1538" i="3"/>
  <c r="F1538" i="3"/>
  <c r="G1538" i="3"/>
  <c r="H1538" i="3"/>
  <c r="D1539" i="3"/>
  <c r="E1539" i="3"/>
  <c r="F1539" i="3"/>
  <c r="G1539" i="3"/>
  <c r="H1539" i="3"/>
  <c r="D1540" i="3"/>
  <c r="E1540" i="3"/>
  <c r="F1540" i="3"/>
  <c r="G1540" i="3"/>
  <c r="H1540" i="3"/>
  <c r="D1541" i="3"/>
  <c r="E1541" i="3"/>
  <c r="F1541" i="3"/>
  <c r="G1541" i="3"/>
  <c r="H1541" i="3"/>
  <c r="D1542" i="3"/>
  <c r="E1542" i="3"/>
  <c r="F1542" i="3"/>
  <c r="G1542" i="3"/>
  <c r="H1542" i="3"/>
  <c r="D1543" i="3"/>
  <c r="E1543" i="3"/>
  <c r="F1543" i="3"/>
  <c r="G1543" i="3"/>
  <c r="H1543" i="3"/>
  <c r="D1544" i="3"/>
  <c r="E1544" i="3"/>
  <c r="F1544" i="3"/>
  <c r="G1544" i="3"/>
  <c r="H1544" i="3"/>
  <c r="D1545" i="3"/>
  <c r="E1545" i="3"/>
  <c r="F1545" i="3"/>
  <c r="G1545" i="3"/>
  <c r="H1545" i="3"/>
  <c r="D1546" i="3"/>
  <c r="E1546" i="3"/>
  <c r="F1546" i="3"/>
  <c r="G1546" i="3"/>
  <c r="H1546" i="3"/>
  <c r="D1547" i="3"/>
  <c r="E1547" i="3"/>
  <c r="F1547" i="3"/>
  <c r="G1547" i="3"/>
  <c r="H1547" i="3"/>
  <c r="D1548" i="3"/>
  <c r="E1548" i="3"/>
  <c r="F1548" i="3"/>
  <c r="G1548" i="3"/>
  <c r="H1548" i="3"/>
  <c r="D1549" i="3"/>
  <c r="E1549" i="3"/>
  <c r="F1549" i="3"/>
  <c r="G1549" i="3"/>
  <c r="H1549" i="3"/>
  <c r="D1550" i="3"/>
  <c r="E1550" i="3"/>
  <c r="F1550" i="3"/>
  <c r="G1550" i="3"/>
  <c r="H1550" i="3"/>
  <c r="D1551" i="3"/>
  <c r="E1551" i="3"/>
  <c r="F1551" i="3"/>
  <c r="G1551" i="3"/>
  <c r="H1551" i="3"/>
  <c r="D1552" i="3"/>
  <c r="E1552" i="3"/>
  <c r="F1552" i="3"/>
  <c r="G1552" i="3"/>
  <c r="H1552" i="3"/>
  <c r="D1553" i="3"/>
  <c r="E1553" i="3"/>
  <c r="F1553" i="3"/>
  <c r="G1553" i="3"/>
  <c r="H1553" i="3"/>
  <c r="D1554" i="3"/>
  <c r="E1554" i="3"/>
  <c r="F1554" i="3"/>
  <c r="G1554" i="3"/>
  <c r="H1554" i="3"/>
  <c r="D1555" i="3"/>
  <c r="E1555" i="3"/>
  <c r="F1555" i="3"/>
  <c r="G1555" i="3"/>
  <c r="H1555" i="3"/>
  <c r="D1556" i="3"/>
  <c r="E1556" i="3"/>
  <c r="F1556" i="3"/>
  <c r="G1556" i="3"/>
  <c r="H1556" i="3"/>
  <c r="D1557" i="3"/>
  <c r="E1557" i="3"/>
  <c r="F1557" i="3"/>
  <c r="G1557" i="3"/>
  <c r="H1557" i="3"/>
  <c r="D1558" i="3"/>
  <c r="E1558" i="3"/>
  <c r="F1558" i="3"/>
  <c r="G1558" i="3"/>
  <c r="H1558" i="3"/>
  <c r="D1559" i="3"/>
  <c r="E1559" i="3"/>
  <c r="F1559" i="3"/>
  <c r="G1559" i="3"/>
  <c r="H1559" i="3"/>
  <c r="D1560" i="3"/>
  <c r="E1560" i="3"/>
  <c r="F1560" i="3"/>
  <c r="G1560" i="3"/>
  <c r="H1560" i="3"/>
  <c r="D1561" i="3"/>
  <c r="E1561" i="3"/>
  <c r="F1561" i="3"/>
  <c r="G1561" i="3"/>
  <c r="H1561" i="3"/>
  <c r="D1562" i="3"/>
  <c r="E1562" i="3"/>
  <c r="F1562" i="3"/>
  <c r="G1562" i="3"/>
  <c r="H1562" i="3"/>
  <c r="D1563" i="3"/>
  <c r="E1563" i="3"/>
  <c r="F1563" i="3"/>
  <c r="G1563" i="3"/>
  <c r="H1563" i="3"/>
  <c r="D1564" i="3"/>
  <c r="E1564" i="3"/>
  <c r="F1564" i="3"/>
  <c r="G1564" i="3"/>
  <c r="H1564" i="3"/>
  <c r="D1565" i="3"/>
  <c r="E1565" i="3"/>
  <c r="F1565" i="3"/>
  <c r="G1565" i="3"/>
  <c r="H1565" i="3"/>
  <c r="D1566" i="3"/>
  <c r="E1566" i="3"/>
  <c r="F1566" i="3"/>
  <c r="G1566" i="3"/>
  <c r="H1566" i="3"/>
  <c r="D1567" i="3"/>
  <c r="E1567" i="3"/>
  <c r="F1567" i="3"/>
  <c r="G1567" i="3"/>
  <c r="H1567" i="3"/>
  <c r="D1568" i="3"/>
  <c r="E1568" i="3"/>
  <c r="F1568" i="3"/>
  <c r="G1568" i="3"/>
  <c r="H1568" i="3"/>
  <c r="D1569" i="3"/>
  <c r="E1569" i="3"/>
  <c r="F1569" i="3"/>
  <c r="G1569" i="3"/>
  <c r="H1569" i="3"/>
  <c r="D1570" i="3"/>
  <c r="E1570" i="3"/>
  <c r="F1570" i="3"/>
  <c r="G1570" i="3"/>
  <c r="H1570" i="3"/>
  <c r="D1571" i="3"/>
  <c r="E1571" i="3"/>
  <c r="F1571" i="3"/>
  <c r="G1571" i="3"/>
  <c r="H1571" i="3"/>
  <c r="D1572" i="3"/>
  <c r="E1572" i="3"/>
  <c r="F1572" i="3"/>
  <c r="G1572" i="3"/>
  <c r="H1572" i="3"/>
  <c r="D1573" i="3"/>
  <c r="E1573" i="3"/>
  <c r="F1573" i="3"/>
  <c r="G1573" i="3"/>
  <c r="H1573" i="3"/>
  <c r="D1574" i="3"/>
  <c r="E1574" i="3"/>
  <c r="F1574" i="3"/>
  <c r="G1574" i="3"/>
  <c r="H1574" i="3"/>
  <c r="D1575" i="3"/>
  <c r="E1575" i="3"/>
  <c r="F1575" i="3"/>
  <c r="G1575" i="3"/>
  <c r="H1575" i="3"/>
  <c r="D1576" i="3"/>
  <c r="E1576" i="3"/>
  <c r="F1576" i="3"/>
  <c r="G1576" i="3"/>
  <c r="H1576" i="3"/>
  <c r="D1577" i="3"/>
  <c r="E1577" i="3"/>
  <c r="F1577" i="3"/>
  <c r="G1577" i="3"/>
  <c r="H1577" i="3"/>
  <c r="D1578" i="3"/>
  <c r="E1578" i="3"/>
  <c r="F1578" i="3"/>
  <c r="G1578" i="3"/>
  <c r="H1578" i="3"/>
  <c r="D1579" i="3"/>
  <c r="E1579" i="3"/>
  <c r="F1579" i="3"/>
  <c r="G1579" i="3"/>
  <c r="H1579" i="3"/>
  <c r="D1580" i="3"/>
  <c r="E1580" i="3"/>
  <c r="F1580" i="3"/>
  <c r="G1580" i="3"/>
  <c r="H1580" i="3"/>
  <c r="D1581" i="3"/>
  <c r="E1581" i="3"/>
  <c r="F1581" i="3"/>
  <c r="G1581" i="3"/>
  <c r="H1581" i="3"/>
  <c r="D1582" i="3"/>
  <c r="E1582" i="3"/>
  <c r="F1582" i="3"/>
  <c r="G1582" i="3"/>
  <c r="H1582" i="3"/>
  <c r="D1583" i="3"/>
  <c r="E1583" i="3"/>
  <c r="F1583" i="3"/>
  <c r="G1583" i="3"/>
  <c r="H1583" i="3"/>
  <c r="D1584" i="3"/>
  <c r="E1584" i="3"/>
  <c r="F1584" i="3"/>
  <c r="G1584" i="3"/>
  <c r="H1584" i="3"/>
  <c r="D1585" i="3"/>
  <c r="E1585" i="3"/>
  <c r="F1585" i="3"/>
  <c r="G1585" i="3"/>
  <c r="H1585" i="3"/>
  <c r="D1586" i="3"/>
  <c r="E1586" i="3"/>
  <c r="F1586" i="3"/>
  <c r="G1586" i="3"/>
  <c r="H1586" i="3"/>
  <c r="D1587" i="3"/>
  <c r="E1587" i="3"/>
  <c r="F1587" i="3"/>
  <c r="G1587" i="3"/>
  <c r="H1587" i="3"/>
  <c r="D1588" i="3"/>
  <c r="E1588" i="3"/>
  <c r="F1588" i="3"/>
  <c r="G1588" i="3"/>
  <c r="H1588" i="3"/>
  <c r="D1589" i="3"/>
  <c r="E1589" i="3"/>
  <c r="F1589" i="3"/>
  <c r="G1589" i="3"/>
  <c r="H1589" i="3"/>
  <c r="D1590" i="3"/>
  <c r="E1590" i="3"/>
  <c r="F1590" i="3"/>
  <c r="G1590" i="3"/>
  <c r="H1590" i="3"/>
  <c r="D1591" i="3"/>
  <c r="E1591" i="3"/>
  <c r="F1591" i="3"/>
  <c r="G1591" i="3"/>
  <c r="H1591" i="3"/>
  <c r="D1592" i="3"/>
  <c r="E1592" i="3"/>
  <c r="F1592" i="3"/>
  <c r="G1592" i="3"/>
  <c r="H1592" i="3"/>
  <c r="D1593" i="3"/>
  <c r="E1593" i="3"/>
  <c r="F1593" i="3"/>
  <c r="G1593" i="3"/>
  <c r="H1593" i="3"/>
  <c r="D1594" i="3"/>
  <c r="E1594" i="3"/>
  <c r="F1594" i="3"/>
  <c r="G1594" i="3"/>
  <c r="H1594" i="3"/>
  <c r="D1595" i="3"/>
  <c r="E1595" i="3"/>
  <c r="F1595" i="3"/>
  <c r="G1595" i="3"/>
  <c r="H1595" i="3"/>
  <c r="D1596" i="3"/>
  <c r="E1596" i="3"/>
  <c r="F1596" i="3"/>
  <c r="G1596" i="3"/>
  <c r="H1596" i="3"/>
  <c r="D1597" i="3"/>
  <c r="E1597" i="3"/>
  <c r="F1597" i="3"/>
  <c r="G1597" i="3"/>
  <c r="H1597" i="3"/>
  <c r="D1598" i="3"/>
  <c r="E1598" i="3"/>
  <c r="F1598" i="3"/>
  <c r="G1598" i="3"/>
  <c r="H1598" i="3"/>
  <c r="D1599" i="3"/>
  <c r="E1599" i="3"/>
  <c r="F1599" i="3"/>
  <c r="G1599" i="3"/>
  <c r="H1599" i="3"/>
  <c r="D1600" i="3"/>
  <c r="E1600" i="3"/>
  <c r="F1600" i="3"/>
  <c r="G1600" i="3"/>
  <c r="H1600" i="3"/>
  <c r="D1601" i="3"/>
  <c r="E1601" i="3"/>
  <c r="F1601" i="3"/>
  <c r="G1601" i="3"/>
  <c r="H1601" i="3"/>
  <c r="D1602" i="3"/>
  <c r="E1602" i="3"/>
  <c r="F1602" i="3"/>
  <c r="G1602" i="3"/>
  <c r="H1602" i="3"/>
  <c r="D1603" i="3"/>
  <c r="E1603" i="3"/>
  <c r="F1603" i="3"/>
  <c r="G1603" i="3"/>
  <c r="H1603" i="3"/>
  <c r="D1604" i="3"/>
  <c r="E1604" i="3"/>
  <c r="F1604" i="3"/>
  <c r="G1604" i="3"/>
  <c r="H1604" i="3"/>
  <c r="D1605" i="3"/>
  <c r="E1605" i="3"/>
  <c r="F1605" i="3"/>
  <c r="G1605" i="3"/>
  <c r="H1605" i="3"/>
  <c r="D1606" i="3"/>
  <c r="E1606" i="3"/>
  <c r="F1606" i="3"/>
  <c r="G1606" i="3"/>
  <c r="H1606" i="3"/>
  <c r="D1607" i="3"/>
  <c r="E1607" i="3"/>
  <c r="F1607" i="3"/>
  <c r="G1607" i="3"/>
  <c r="H1607" i="3"/>
  <c r="D1608" i="3"/>
  <c r="E1608" i="3"/>
  <c r="F1608" i="3"/>
  <c r="G1608" i="3"/>
  <c r="H1608" i="3"/>
  <c r="D1609" i="3"/>
  <c r="E1609" i="3"/>
  <c r="F1609" i="3"/>
  <c r="G1609" i="3"/>
  <c r="H1609" i="3"/>
  <c r="D1610" i="3"/>
  <c r="E1610" i="3"/>
  <c r="F1610" i="3"/>
  <c r="G1610" i="3"/>
  <c r="H1610" i="3"/>
  <c r="D1611" i="3"/>
  <c r="E1611" i="3"/>
  <c r="F1611" i="3"/>
  <c r="G1611" i="3"/>
  <c r="H1611" i="3"/>
  <c r="D1612" i="3"/>
  <c r="E1612" i="3"/>
  <c r="F1612" i="3"/>
  <c r="G1612" i="3"/>
  <c r="H1612" i="3"/>
  <c r="D1613" i="3"/>
  <c r="E1613" i="3"/>
  <c r="F1613" i="3"/>
  <c r="G1613" i="3"/>
  <c r="H1613" i="3"/>
  <c r="D1614" i="3"/>
  <c r="E1614" i="3"/>
  <c r="F1614" i="3"/>
  <c r="G1614" i="3"/>
  <c r="H1614" i="3"/>
  <c r="D1615" i="3"/>
  <c r="E1615" i="3"/>
  <c r="F1615" i="3"/>
  <c r="G1615" i="3"/>
  <c r="H1615" i="3"/>
  <c r="D1616" i="3"/>
  <c r="E1616" i="3"/>
  <c r="F1616" i="3"/>
  <c r="G1616" i="3"/>
  <c r="H1616" i="3"/>
  <c r="D1617" i="3"/>
  <c r="E1617" i="3"/>
  <c r="F1617" i="3"/>
  <c r="G1617" i="3"/>
  <c r="H1617" i="3"/>
  <c r="D1618" i="3"/>
  <c r="E1618" i="3"/>
  <c r="F1618" i="3"/>
  <c r="G1618" i="3"/>
  <c r="H1618" i="3"/>
  <c r="D1619" i="3"/>
  <c r="E1619" i="3"/>
  <c r="F1619" i="3"/>
  <c r="G1619" i="3"/>
  <c r="H1619" i="3"/>
  <c r="D1620" i="3"/>
  <c r="E1620" i="3"/>
  <c r="F1620" i="3"/>
  <c r="G1620" i="3"/>
  <c r="H1620" i="3"/>
  <c r="D1621" i="3"/>
  <c r="E1621" i="3"/>
  <c r="F1621" i="3"/>
  <c r="G1621" i="3"/>
  <c r="H1621" i="3"/>
  <c r="D1622" i="3"/>
  <c r="E1622" i="3"/>
  <c r="F1622" i="3"/>
  <c r="G1622" i="3"/>
  <c r="H1622" i="3"/>
  <c r="D1623" i="3"/>
  <c r="E1623" i="3"/>
  <c r="F1623" i="3"/>
  <c r="G1623" i="3"/>
  <c r="H1623" i="3"/>
  <c r="D1624" i="3"/>
  <c r="E1624" i="3"/>
  <c r="F1624" i="3"/>
  <c r="G1624" i="3"/>
  <c r="H1624" i="3"/>
  <c r="D1625" i="3"/>
  <c r="E1625" i="3"/>
  <c r="F1625" i="3"/>
  <c r="G1625" i="3"/>
  <c r="H1625" i="3"/>
  <c r="D1626" i="3"/>
  <c r="E1626" i="3"/>
  <c r="F1626" i="3"/>
  <c r="G1626" i="3"/>
  <c r="H1626" i="3"/>
  <c r="D1627" i="3"/>
  <c r="E1627" i="3"/>
  <c r="F1627" i="3"/>
  <c r="G1627" i="3"/>
  <c r="H1627" i="3"/>
  <c r="D1628" i="3"/>
  <c r="E1628" i="3"/>
  <c r="F1628" i="3"/>
  <c r="G1628" i="3"/>
  <c r="H1628" i="3"/>
  <c r="D1629" i="3"/>
  <c r="E1629" i="3"/>
  <c r="F1629" i="3"/>
  <c r="G1629" i="3"/>
  <c r="H1629" i="3"/>
  <c r="D1630" i="3"/>
  <c r="E1630" i="3"/>
  <c r="F1630" i="3"/>
  <c r="G1630" i="3"/>
  <c r="H1630" i="3"/>
  <c r="D1631" i="3"/>
  <c r="E1631" i="3"/>
  <c r="F1631" i="3"/>
  <c r="G1631" i="3"/>
  <c r="H1631" i="3"/>
  <c r="D1506" i="3"/>
  <c r="E1506" i="3"/>
  <c r="F1506" i="3"/>
  <c r="G1506" i="3"/>
  <c r="H1506" i="3"/>
  <c r="D1507" i="3"/>
  <c r="E1507" i="3"/>
  <c r="F1507" i="3"/>
  <c r="G1507" i="3"/>
  <c r="H1507" i="3"/>
  <c r="D1508" i="3"/>
  <c r="E1508" i="3"/>
  <c r="F1508" i="3"/>
  <c r="G1508" i="3"/>
  <c r="H1508" i="3"/>
  <c r="D1509" i="3"/>
  <c r="E1509" i="3"/>
  <c r="F1509" i="3"/>
  <c r="G1509" i="3"/>
  <c r="H1509" i="3"/>
  <c r="D1510" i="3"/>
  <c r="E1510" i="3"/>
  <c r="F1510" i="3"/>
  <c r="G1510" i="3"/>
  <c r="H1510" i="3"/>
  <c r="D1511" i="3"/>
  <c r="E1511" i="3"/>
  <c r="F1511" i="3"/>
  <c r="G1511" i="3"/>
  <c r="H1511" i="3"/>
  <c r="D1512" i="3"/>
  <c r="E1512" i="3"/>
  <c r="F1512" i="3"/>
  <c r="G1512" i="3"/>
  <c r="H1512" i="3"/>
  <c r="D1513" i="3"/>
  <c r="E1513" i="3"/>
  <c r="F1513" i="3"/>
  <c r="G1513" i="3"/>
  <c r="H1513" i="3"/>
  <c r="D1501" i="3"/>
  <c r="E1501" i="3"/>
  <c r="F1501" i="3"/>
  <c r="G1501" i="3"/>
  <c r="H1501" i="3"/>
  <c r="D1502" i="3"/>
  <c r="E1502" i="3"/>
  <c r="F1502" i="3"/>
  <c r="G1502" i="3"/>
  <c r="H1502" i="3"/>
  <c r="D1503" i="3"/>
  <c r="E1503" i="3"/>
  <c r="F1503" i="3"/>
  <c r="G1503" i="3"/>
  <c r="H1503" i="3"/>
  <c r="D1504" i="3"/>
  <c r="E1504" i="3"/>
  <c r="F1504" i="3"/>
  <c r="G1504" i="3"/>
  <c r="H1504" i="3"/>
  <c r="D1505" i="3"/>
  <c r="E1505" i="3"/>
  <c r="F1505" i="3"/>
  <c r="G1505" i="3"/>
  <c r="H1505" i="3"/>
  <c r="D1472" i="3"/>
  <c r="E1472" i="3"/>
  <c r="F1472" i="3"/>
  <c r="G1472" i="3"/>
  <c r="H1472" i="3"/>
  <c r="D1473" i="3"/>
  <c r="E1473" i="3"/>
  <c r="F1473" i="3"/>
  <c r="G1473" i="3"/>
  <c r="H1473" i="3"/>
  <c r="D1474" i="3"/>
  <c r="E1474" i="3"/>
  <c r="F1474" i="3"/>
  <c r="G1474" i="3"/>
  <c r="H1474" i="3"/>
  <c r="D1475" i="3"/>
  <c r="E1475" i="3"/>
  <c r="F1475" i="3"/>
  <c r="G1475" i="3"/>
  <c r="H1475" i="3"/>
  <c r="D1476" i="3"/>
  <c r="E1476" i="3"/>
  <c r="F1476" i="3"/>
  <c r="G1476" i="3"/>
  <c r="H1476" i="3"/>
  <c r="D1477" i="3"/>
  <c r="E1477" i="3"/>
  <c r="F1477" i="3"/>
  <c r="G1477" i="3"/>
  <c r="H1477" i="3"/>
  <c r="D1478" i="3"/>
  <c r="E1478" i="3"/>
  <c r="F1478" i="3"/>
  <c r="G1478" i="3"/>
  <c r="H1478" i="3"/>
  <c r="D1479" i="3"/>
  <c r="E1479" i="3"/>
  <c r="F1479" i="3"/>
  <c r="G1479" i="3"/>
  <c r="H1479" i="3"/>
  <c r="D1480" i="3"/>
  <c r="E1480" i="3"/>
  <c r="F1480" i="3"/>
  <c r="G1480" i="3"/>
  <c r="H1480" i="3"/>
  <c r="D1481" i="3"/>
  <c r="E1481" i="3"/>
  <c r="F1481" i="3"/>
  <c r="G1481" i="3"/>
  <c r="H1481" i="3"/>
  <c r="D1482" i="3"/>
  <c r="E1482" i="3"/>
  <c r="F1482" i="3"/>
  <c r="G1482" i="3"/>
  <c r="H1482" i="3"/>
  <c r="D1483" i="3"/>
  <c r="E1483" i="3"/>
  <c r="F1483" i="3"/>
  <c r="G1483" i="3"/>
  <c r="H1483" i="3"/>
  <c r="D1484" i="3"/>
  <c r="E1484" i="3"/>
  <c r="F1484" i="3"/>
  <c r="G1484" i="3"/>
  <c r="H1484" i="3"/>
  <c r="D1485" i="3"/>
  <c r="E1485" i="3"/>
  <c r="F1485" i="3"/>
  <c r="G1485" i="3"/>
  <c r="H1485" i="3"/>
  <c r="D1486" i="3"/>
  <c r="E1486" i="3"/>
  <c r="F1486" i="3"/>
  <c r="G1486" i="3"/>
  <c r="H1486" i="3"/>
  <c r="D1487" i="3"/>
  <c r="E1487" i="3"/>
  <c r="F1487" i="3"/>
  <c r="G1487" i="3"/>
  <c r="H1487" i="3"/>
  <c r="D1488" i="3"/>
  <c r="E1488" i="3"/>
  <c r="F1488" i="3"/>
  <c r="G1488" i="3"/>
  <c r="H1488" i="3"/>
  <c r="D1489" i="3"/>
  <c r="E1489" i="3"/>
  <c r="F1489" i="3"/>
  <c r="G1489" i="3"/>
  <c r="H1489" i="3"/>
  <c r="D1490" i="3"/>
  <c r="E1490" i="3"/>
  <c r="F1490" i="3"/>
  <c r="G1490" i="3"/>
  <c r="H1490" i="3"/>
  <c r="D1491" i="3"/>
  <c r="E1491" i="3"/>
  <c r="F1491" i="3"/>
  <c r="G1491" i="3"/>
  <c r="H1491" i="3"/>
  <c r="D1492" i="3"/>
  <c r="E1492" i="3"/>
  <c r="F1492" i="3"/>
  <c r="G1492" i="3"/>
  <c r="H1492" i="3"/>
  <c r="D1493" i="3"/>
  <c r="E1493" i="3"/>
  <c r="F1493" i="3"/>
  <c r="G1493" i="3"/>
  <c r="H1493" i="3"/>
  <c r="D1494" i="3"/>
  <c r="E1494" i="3"/>
  <c r="F1494" i="3"/>
  <c r="G1494" i="3"/>
  <c r="H1494" i="3"/>
  <c r="D1495" i="3"/>
  <c r="E1495" i="3"/>
  <c r="F1495" i="3"/>
  <c r="G1495" i="3"/>
  <c r="H1495" i="3"/>
  <c r="D1496" i="3"/>
  <c r="E1496" i="3"/>
  <c r="F1496" i="3"/>
  <c r="G1496" i="3"/>
  <c r="H1496" i="3"/>
  <c r="D1497" i="3"/>
  <c r="E1497" i="3"/>
  <c r="F1497" i="3"/>
  <c r="G1497" i="3"/>
  <c r="H1497" i="3"/>
  <c r="D1498" i="3"/>
  <c r="E1498" i="3"/>
  <c r="F1498" i="3"/>
  <c r="G1498" i="3"/>
  <c r="H1498" i="3"/>
  <c r="D1499" i="3"/>
  <c r="E1499" i="3"/>
  <c r="F1499" i="3"/>
  <c r="G1499" i="3"/>
  <c r="H1499" i="3"/>
  <c r="D1500" i="3"/>
  <c r="E1500" i="3"/>
  <c r="F1500" i="3"/>
  <c r="G1500" i="3"/>
  <c r="H1500" i="3"/>
  <c r="I1907" i="3" l="1"/>
  <c r="I1480" i="3"/>
  <c r="I1587" i="3"/>
  <c r="I2190" i="3"/>
  <c r="I2018" i="3"/>
  <c r="I2014" i="3"/>
  <c r="I2010" i="3"/>
  <c r="I2002" i="3"/>
  <c r="I1711" i="3"/>
  <c r="I1875" i="3"/>
  <c r="I1891" i="3"/>
  <c r="J1656" i="3"/>
  <c r="J1664" i="3"/>
  <c r="I1476" i="3"/>
  <c r="J1624" i="3"/>
  <c r="J1616" i="3"/>
  <c r="J1608" i="3"/>
  <c r="J1600" i="3"/>
  <c r="J1592" i="3"/>
  <c r="J1584" i="3"/>
  <c r="J1576" i="3"/>
  <c r="J1568" i="3"/>
  <c r="J1560" i="3"/>
  <c r="J1552" i="3"/>
  <c r="J1539" i="3"/>
  <c r="J1536" i="3"/>
  <c r="J1531" i="3"/>
  <c r="J1528" i="3"/>
  <c r="J1520" i="3"/>
  <c r="J1663" i="3"/>
  <c r="J1503" i="3"/>
  <c r="J1779" i="3"/>
  <c r="I1886" i="3"/>
  <c r="I2310" i="3"/>
  <c r="I2110" i="3"/>
  <c r="I2070" i="3"/>
  <c r="I2006" i="3"/>
  <c r="I1990" i="3"/>
  <c r="J1632" i="3"/>
  <c r="J1662" i="3"/>
  <c r="J1654" i="3"/>
  <c r="J1646" i="3"/>
  <c r="I1492" i="3"/>
  <c r="I1669" i="3"/>
  <c r="J1661" i="3"/>
  <c r="I1906" i="3"/>
  <c r="I1898" i="3"/>
  <c r="I1882" i="3"/>
  <c r="I1658" i="3"/>
  <c r="I1650" i="3"/>
  <c r="I1642" i="3"/>
  <c r="J2351" i="3"/>
  <c r="J2027" i="3"/>
  <c r="I2025" i="3"/>
  <c r="I2021" i="3"/>
  <c r="J2011" i="3"/>
  <c r="I2009" i="3"/>
  <c r="I2005" i="3"/>
  <c r="I1997" i="3"/>
  <c r="J1995" i="3"/>
  <c r="I1993" i="3"/>
  <c r="J1655" i="3"/>
  <c r="I1655" i="3"/>
  <c r="J1494" i="3"/>
  <c r="I1494" i="3"/>
  <c r="J1929" i="3"/>
  <c r="J1841" i="3"/>
  <c r="J1825" i="3"/>
  <c r="J1793" i="3"/>
  <c r="J1777" i="3"/>
  <c r="J1729" i="3"/>
  <c r="I1663" i="3"/>
  <c r="J1909" i="3"/>
  <c r="I1909" i="3"/>
  <c r="J1901" i="3"/>
  <c r="J1893" i="3"/>
  <c r="J1885" i="3"/>
  <c r="J1877" i="3"/>
  <c r="J1869" i="3"/>
  <c r="I1869" i="3"/>
  <c r="J1829" i="3"/>
  <c r="I1829" i="3"/>
  <c r="J1639" i="3"/>
  <c r="I1639" i="3"/>
  <c r="J1495" i="3"/>
  <c r="J1479" i="3"/>
  <c r="I1479" i="3"/>
  <c r="J1638" i="3"/>
  <c r="I1638" i="3"/>
  <c r="I1490" i="3"/>
  <c r="J1653" i="3"/>
  <c r="I1653" i="3"/>
  <c r="J1509" i="3"/>
  <c r="I1509" i="3"/>
  <c r="J1477" i="3"/>
  <c r="I1477" i="3"/>
  <c r="J1876" i="3"/>
  <c r="J2471" i="3"/>
  <c r="I2471" i="3"/>
  <c r="J2431" i="3"/>
  <c r="I2431" i="3"/>
  <c r="J2307" i="3"/>
  <c r="I2307" i="3"/>
  <c r="J2271" i="3"/>
  <c r="I2271" i="3"/>
  <c r="J2267" i="3"/>
  <c r="I2267" i="3"/>
  <c r="J2227" i="3"/>
  <c r="I2227" i="3"/>
  <c r="J2191" i="3"/>
  <c r="I2191" i="3"/>
  <c r="J2147" i="3"/>
  <c r="I2147" i="3"/>
  <c r="J2111" i="3"/>
  <c r="I2111" i="3"/>
  <c r="J2071" i="3"/>
  <c r="I2071" i="3"/>
  <c r="J2067" i="3"/>
  <c r="I2067" i="3"/>
  <c r="J2031" i="3"/>
  <c r="I2031" i="3"/>
  <c r="J2023" i="3"/>
  <c r="I2023" i="3"/>
  <c r="J2019" i="3"/>
  <c r="I2019" i="3"/>
  <c r="J2015" i="3"/>
  <c r="I2015" i="3"/>
  <c r="J2007" i="3"/>
  <c r="I2007" i="3"/>
  <c r="J2003" i="3"/>
  <c r="I2003" i="3"/>
  <c r="J1999" i="3"/>
  <c r="I1999" i="3"/>
  <c r="J1991" i="3"/>
  <c r="I1991" i="3"/>
  <c r="J1987" i="3"/>
  <c r="I1987" i="3"/>
  <c r="J1975" i="3"/>
  <c r="I1975" i="3"/>
  <c r="J1670" i="3"/>
  <c r="I1670" i="3"/>
  <c r="I1482" i="3"/>
  <c r="J1549" i="3"/>
  <c r="I1549" i="3"/>
  <c r="J1485" i="3"/>
  <c r="I1485" i="3"/>
  <c r="J1884" i="3"/>
  <c r="I1884" i="3"/>
  <c r="J2391" i="3"/>
  <c r="I2391" i="3"/>
  <c r="J2387" i="3"/>
  <c r="I2387" i="3"/>
  <c r="J2311" i="3"/>
  <c r="I2311" i="3"/>
  <c r="I2231" i="3"/>
  <c r="J2231" i="3"/>
  <c r="J2187" i="3"/>
  <c r="I2187" i="3"/>
  <c r="J2151" i="3"/>
  <c r="I2151" i="3"/>
  <c r="J2107" i="3"/>
  <c r="I2107" i="3"/>
  <c r="I1493" i="3"/>
  <c r="I1503" i="3"/>
  <c r="J1609" i="3"/>
  <c r="J1591" i="3"/>
  <c r="I1591" i="3"/>
  <c r="J1511" i="3"/>
  <c r="I1511" i="3"/>
  <c r="I1505" i="3"/>
  <c r="J1502" i="3"/>
  <c r="J1478" i="3"/>
  <c r="I1478" i="3"/>
  <c r="J1637" i="3"/>
  <c r="I1637" i="3"/>
  <c r="J1501" i="3"/>
  <c r="J1659" i="3"/>
  <c r="I1659" i="3"/>
  <c r="J1643" i="3"/>
  <c r="I1643" i="3"/>
  <c r="J1627" i="3"/>
  <c r="I1627" i="3"/>
  <c r="J1587" i="3"/>
  <c r="J1547" i="3"/>
  <c r="I1547" i="3"/>
  <c r="J1507" i="3"/>
  <c r="I1507" i="3"/>
  <c r="J1499" i="3"/>
  <c r="I1499" i="3"/>
  <c r="J1491" i="3"/>
  <c r="J1483" i="3"/>
  <c r="I1483" i="3"/>
  <c r="J1475" i="3"/>
  <c r="I2388" i="3"/>
  <c r="J2188" i="3"/>
  <c r="I2351" i="3"/>
  <c r="J1631" i="3"/>
  <c r="I1631" i="3"/>
  <c r="J1510" i="3"/>
  <c r="I1510" i="3"/>
  <c r="J1645" i="3"/>
  <c r="I1645" i="3"/>
  <c r="J1589" i="3"/>
  <c r="I1589" i="3"/>
  <c r="I1908" i="3"/>
  <c r="J1908" i="3"/>
  <c r="J1868" i="3"/>
  <c r="I1868" i="3"/>
  <c r="J1828" i="3"/>
  <c r="I1828" i="3"/>
  <c r="J1788" i="3"/>
  <c r="I1788" i="3"/>
  <c r="J1708" i="3"/>
  <c r="I1708" i="3"/>
  <c r="I1501" i="3"/>
  <c r="J1658" i="3"/>
  <c r="I1634" i="3"/>
  <c r="J1634" i="3"/>
  <c r="J1498" i="3"/>
  <c r="J1490" i="3"/>
  <c r="J1482" i="3"/>
  <c r="J1474" i="3"/>
  <c r="I1474" i="3"/>
  <c r="J1647" i="3"/>
  <c r="I1647" i="3"/>
  <c r="J1551" i="3"/>
  <c r="I1551" i="3"/>
  <c r="J1486" i="3"/>
  <c r="I1486" i="3"/>
  <c r="I1498" i="3"/>
  <c r="J1629" i="3"/>
  <c r="I1629" i="3"/>
  <c r="J1892" i="3"/>
  <c r="J1748" i="3"/>
  <c r="I1748" i="3"/>
  <c r="I1506" i="3"/>
  <c r="J1650" i="3"/>
  <c r="J1506" i="3"/>
  <c r="I1473" i="3"/>
  <c r="I1948" i="3"/>
  <c r="I2027" i="3"/>
  <c r="J1487" i="3"/>
  <c r="I1487" i="3"/>
  <c r="I1495" i="3"/>
  <c r="J1493" i="3"/>
  <c r="J1900" i="3"/>
  <c r="I1950" i="3"/>
  <c r="J1950" i="3"/>
  <c r="J2467" i="3"/>
  <c r="I2467" i="3"/>
  <c r="J2427" i="3"/>
  <c r="I2427" i="3"/>
  <c r="J2347" i="3"/>
  <c r="I2347" i="3"/>
  <c r="I1491" i="3"/>
  <c r="I1475" i="3"/>
  <c r="J1666" i="3"/>
  <c r="I1666" i="3"/>
  <c r="J1642" i="3"/>
  <c r="I1504" i="3"/>
  <c r="I1497" i="3"/>
  <c r="I1903" i="3"/>
  <c r="I1887" i="3"/>
  <c r="I1871" i="3"/>
  <c r="J1789" i="3"/>
  <c r="J1749" i="3"/>
  <c r="I1749" i="3"/>
  <c r="J1709" i="3"/>
  <c r="J2464" i="3"/>
  <c r="J2456" i="3"/>
  <c r="J2448" i="3"/>
  <c r="J2440" i="3"/>
  <c r="J2432" i="3"/>
  <c r="J2424" i="3"/>
  <c r="J2416" i="3"/>
  <c r="J2313" i="3"/>
  <c r="J2305" i="3"/>
  <c r="J2288" i="3"/>
  <c r="J2281" i="3"/>
  <c r="J2241" i="3"/>
  <c r="J2240" i="3"/>
  <c r="J2225" i="3"/>
  <c r="J2200" i="3"/>
  <c r="J2193" i="3"/>
  <c r="I2185" i="3"/>
  <c r="J2184" i="3"/>
  <c r="I2153" i="3"/>
  <c r="J2152" i="3"/>
  <c r="J2144" i="3"/>
  <c r="J2137" i="3"/>
  <c r="J2112" i="3"/>
  <c r="I2097" i="3"/>
  <c r="J2096" i="3"/>
  <c r="J2056" i="3"/>
  <c r="J2049" i="3"/>
  <c r="J1969" i="3"/>
  <c r="I1953" i="3"/>
  <c r="I1789" i="3"/>
  <c r="I1660" i="3"/>
  <c r="J1660" i="3"/>
  <c r="J1652" i="3"/>
  <c r="J1644" i="3"/>
  <c r="I1644" i="3"/>
  <c r="J1636" i="3"/>
  <c r="J1628" i="3"/>
  <c r="I1628" i="3"/>
  <c r="J1588" i="3"/>
  <c r="I1588" i="3"/>
  <c r="J1548" i="3"/>
  <c r="I1548" i="3"/>
  <c r="J1508" i="3"/>
  <c r="J1500" i="3"/>
  <c r="I1500" i="3"/>
  <c r="J1492" i="3"/>
  <c r="J1484" i="3"/>
  <c r="I1484" i="3"/>
  <c r="J1476" i="3"/>
  <c r="I1901" i="3"/>
  <c r="I1893" i="3"/>
  <c r="I1885" i="3"/>
  <c r="I1877" i="3"/>
  <c r="I1661" i="3"/>
  <c r="J1907" i="3"/>
  <c r="J1899" i="3"/>
  <c r="I1899" i="3"/>
  <c r="J1891" i="3"/>
  <c r="J1883" i="3"/>
  <c r="I1883" i="3"/>
  <c r="J1875" i="3"/>
  <c r="J1867" i="3"/>
  <c r="I1867" i="3"/>
  <c r="J1827" i="3"/>
  <c r="I1827" i="3"/>
  <c r="I1787" i="3"/>
  <c r="J1787" i="3"/>
  <c r="J1747" i="3"/>
  <c r="I1747" i="3"/>
  <c r="I1707" i="3"/>
  <c r="J2408" i="3"/>
  <c r="J2406" i="3"/>
  <c r="J2394" i="3"/>
  <c r="J2393" i="3"/>
  <c r="J2386" i="3"/>
  <c r="J2385" i="3"/>
  <c r="J2368" i="3"/>
  <c r="J2362" i="3"/>
  <c r="I2346" i="3"/>
  <c r="J2337" i="3"/>
  <c r="J2336" i="3"/>
  <c r="I2218" i="3"/>
  <c r="I2138" i="3"/>
  <c r="I2188" i="3"/>
  <c r="I1709" i="3"/>
  <c r="I1880" i="3"/>
  <c r="I1664" i="3"/>
  <c r="I1656" i="3"/>
  <c r="J1906" i="3"/>
  <c r="J1898" i="3"/>
  <c r="J1890" i="3"/>
  <c r="J1882" i="3"/>
  <c r="J1874" i="3"/>
  <c r="J1951" i="3"/>
  <c r="I1951" i="3"/>
  <c r="J1947" i="3"/>
  <c r="I1947" i="3"/>
  <c r="J1935" i="3"/>
  <c r="I1935" i="3"/>
  <c r="J2468" i="3"/>
  <c r="I2468" i="3"/>
  <c r="J2428" i="3"/>
  <c r="I2428" i="3"/>
  <c r="J2388" i="3"/>
  <c r="J2348" i="3"/>
  <c r="I2348" i="3"/>
  <c r="J2308" i="3"/>
  <c r="J2268" i="3"/>
  <c r="J2228" i="3"/>
  <c r="I2228" i="3"/>
  <c r="J2148" i="3"/>
  <c r="J2108" i="3"/>
  <c r="I2108" i="3"/>
  <c r="J2068" i="3"/>
  <c r="I2068" i="3"/>
  <c r="J2028" i="3"/>
  <c r="I2028" i="3"/>
  <c r="J2024" i="3"/>
  <c r="J2020" i="3"/>
  <c r="J2016" i="3"/>
  <c r="I2016" i="3"/>
  <c r="J2012" i="3"/>
  <c r="I2008" i="3"/>
  <c r="J2008" i="3"/>
  <c r="J2004" i="3"/>
  <c r="I2004" i="3"/>
  <c r="J2000" i="3"/>
  <c r="J1996" i="3"/>
  <c r="I1992" i="3"/>
  <c r="J1992" i="3"/>
  <c r="J1988" i="3"/>
  <c r="I1988" i="3"/>
  <c r="I2148" i="3"/>
  <c r="I1508" i="3"/>
  <c r="J1669" i="3"/>
  <c r="I1651" i="3"/>
  <c r="I1635" i="3"/>
  <c r="J1905" i="3"/>
  <c r="J1897" i="3"/>
  <c r="I1897" i="3"/>
  <c r="J1889" i="3"/>
  <c r="J1881" i="3"/>
  <c r="I1881" i="3"/>
  <c r="J1873" i="3"/>
  <c r="I2308" i="3"/>
  <c r="J1665" i="3"/>
  <c r="J1657" i="3"/>
  <c r="J1649" i="3"/>
  <c r="I1649" i="3"/>
  <c r="J1641" i="3"/>
  <c r="J1633" i="3"/>
  <c r="I1633" i="3"/>
  <c r="J1505" i="3"/>
  <c r="J1497" i="3"/>
  <c r="J1489" i="3"/>
  <c r="I1489" i="3"/>
  <c r="J1481" i="3"/>
  <c r="I1481" i="3"/>
  <c r="J1473" i="3"/>
  <c r="I1894" i="3"/>
  <c r="I1662" i="3"/>
  <c r="I1654" i="3"/>
  <c r="I1646" i="3"/>
  <c r="J1904" i="3"/>
  <c r="J1896" i="3"/>
  <c r="I1896" i="3"/>
  <c r="J1888" i="3"/>
  <c r="I1888" i="3"/>
  <c r="J1880" i="3"/>
  <c r="J1872" i="3"/>
  <c r="I1872" i="3"/>
  <c r="J1948" i="3"/>
  <c r="J2469" i="3"/>
  <c r="I2469" i="3"/>
  <c r="J2429" i="3"/>
  <c r="J2389" i="3"/>
  <c r="J2349" i="3"/>
  <c r="I2349" i="3"/>
  <c r="J2309" i="3"/>
  <c r="I2309" i="3"/>
  <c r="J2269" i="3"/>
  <c r="I2269" i="3"/>
  <c r="J2229" i="3"/>
  <c r="I2229" i="3"/>
  <c r="J2189" i="3"/>
  <c r="I2189" i="3"/>
  <c r="J2149" i="3"/>
  <c r="I2149" i="3"/>
  <c r="J2109" i="3"/>
  <c r="I2109" i="3"/>
  <c r="J2069" i="3"/>
  <c r="J2029" i="3"/>
  <c r="I2029" i="3"/>
  <c r="J2025" i="3"/>
  <c r="J2021" i="3"/>
  <c r="J2017" i="3"/>
  <c r="I2017" i="3"/>
  <c r="J2013" i="3"/>
  <c r="I2011" i="3"/>
  <c r="J2009" i="3"/>
  <c r="J2005" i="3"/>
  <c r="J2001" i="3"/>
  <c r="I2001" i="3"/>
  <c r="J1997" i="3"/>
  <c r="I1995" i="3"/>
  <c r="J1993" i="3"/>
  <c r="J1989" i="3"/>
  <c r="I1989" i="3"/>
  <c r="I2268" i="3"/>
  <c r="J1648" i="3"/>
  <c r="I1648" i="3"/>
  <c r="J1640" i="3"/>
  <c r="I1640" i="3"/>
  <c r="J1504" i="3"/>
  <c r="J1496" i="3"/>
  <c r="J1488" i="3"/>
  <c r="I1488" i="3"/>
  <c r="J1480" i="3"/>
  <c r="J1472" i="3"/>
  <c r="I1472" i="3"/>
  <c r="I1905" i="3"/>
  <c r="I1889" i="3"/>
  <c r="I1873" i="3"/>
  <c r="J1848" i="3"/>
  <c r="J1800" i="3"/>
  <c r="J1784" i="3"/>
  <c r="J1667" i="3"/>
  <c r="I1665" i="3"/>
  <c r="I1657" i="3"/>
  <c r="J1911" i="3"/>
  <c r="I1911" i="3"/>
  <c r="J1903" i="3"/>
  <c r="J1895" i="3"/>
  <c r="I1895" i="3"/>
  <c r="J1887" i="3"/>
  <c r="J1879" i="3"/>
  <c r="I1879" i="3"/>
  <c r="J1871" i="3"/>
  <c r="J1831" i="3"/>
  <c r="I1831" i="3"/>
  <c r="J1791" i="3"/>
  <c r="J1751" i="3"/>
  <c r="I1751" i="3"/>
  <c r="J1711" i="3"/>
  <c r="J2298" i="3"/>
  <c r="I2050" i="3"/>
  <c r="I2429" i="3"/>
  <c r="I1641" i="3"/>
  <c r="J1931" i="3"/>
  <c r="J1923" i="3"/>
  <c r="J1918" i="3"/>
  <c r="J1915" i="3"/>
  <c r="I1892" i="3"/>
  <c r="I1876" i="3"/>
  <c r="J1859" i="3"/>
  <c r="J1851" i="3"/>
  <c r="J1843" i="3"/>
  <c r="J1835" i="3"/>
  <c r="J1819" i="3"/>
  <c r="J1811" i="3"/>
  <c r="J1803" i="3"/>
  <c r="J1795" i="3"/>
  <c r="J1790" i="3"/>
  <c r="J1771" i="3"/>
  <c r="J1766" i="3"/>
  <c r="J1763" i="3"/>
  <c r="J1755" i="3"/>
  <c r="J1750" i="3"/>
  <c r="J1739" i="3"/>
  <c r="J1723" i="3"/>
  <c r="J1715" i="3"/>
  <c r="J1710" i="3"/>
  <c r="J1699" i="3"/>
  <c r="J1691" i="3"/>
  <c r="J1686" i="3"/>
  <c r="J1910" i="3"/>
  <c r="I1910" i="3"/>
  <c r="J1902" i="3"/>
  <c r="I1902" i="3"/>
  <c r="J1894" i="3"/>
  <c r="J1886" i="3"/>
  <c r="J1878" i="3"/>
  <c r="I1878" i="3"/>
  <c r="J1949" i="3"/>
  <c r="J1946" i="3"/>
  <c r="J1942" i="3"/>
  <c r="J2470" i="3"/>
  <c r="I2470" i="3"/>
  <c r="I2463" i="3"/>
  <c r="I2455" i="3"/>
  <c r="I2447" i="3"/>
  <c r="J2430" i="3"/>
  <c r="I2430" i="3"/>
  <c r="I2423" i="3"/>
  <c r="I2415" i="3"/>
  <c r="J2390" i="3"/>
  <c r="I2390" i="3"/>
  <c r="J2359" i="3"/>
  <c r="J2350" i="3"/>
  <c r="I2350" i="3"/>
  <c r="J2343" i="3"/>
  <c r="J2335" i="3"/>
  <c r="J2319" i="3"/>
  <c r="J2314" i="3"/>
  <c r="J2310" i="3"/>
  <c r="J2306" i="3"/>
  <c r="J2287" i="3"/>
  <c r="J2283" i="3"/>
  <c r="J2279" i="3"/>
  <c r="J2270" i="3"/>
  <c r="I2270" i="3"/>
  <c r="J2259" i="3"/>
  <c r="J2243" i="3"/>
  <c r="J2239" i="3"/>
  <c r="J2230" i="3"/>
  <c r="J2215" i="3"/>
  <c r="J2211" i="3"/>
  <c r="J2199" i="3"/>
  <c r="I2194" i="3"/>
  <c r="J2190" i="3"/>
  <c r="J2175" i="3"/>
  <c r="J2171" i="3"/>
  <c r="J2150" i="3"/>
  <c r="I2150" i="3"/>
  <c r="J2139" i="3"/>
  <c r="J2135" i="3"/>
  <c r="J2119" i="3"/>
  <c r="J2115" i="3"/>
  <c r="J2110" i="3"/>
  <c r="J2103" i="3"/>
  <c r="J2095" i="3"/>
  <c r="J2070" i="3"/>
  <c r="J2063" i="3"/>
  <c r="J2055" i="3"/>
  <c r="J2051" i="3"/>
  <c r="J2035" i="3"/>
  <c r="J2030" i="3"/>
  <c r="I2030" i="3"/>
  <c r="J2026" i="3"/>
  <c r="J2022" i="3"/>
  <c r="I2022" i="3"/>
  <c r="J2018" i="3"/>
  <c r="J2014" i="3"/>
  <c r="I2012" i="3"/>
  <c r="J2010" i="3"/>
  <c r="J2006" i="3"/>
  <c r="J2002" i="3"/>
  <c r="I2000" i="3"/>
  <c r="J1998" i="3"/>
  <c r="I1998" i="3"/>
  <c r="I1996" i="3"/>
  <c r="J1994" i="3"/>
  <c r="J1990" i="3"/>
  <c r="J1983" i="3"/>
  <c r="I2389" i="3"/>
  <c r="I2230" i="3"/>
  <c r="I2069" i="3"/>
  <c r="I1949" i="3"/>
  <c r="I1791" i="3"/>
  <c r="I1632" i="3"/>
  <c r="J1707" i="3"/>
  <c r="J1971" i="3"/>
  <c r="I1534" i="3"/>
  <c r="J1534" i="3"/>
  <c r="I1515" i="3"/>
  <c r="J1515" i="3"/>
  <c r="I1846" i="3"/>
  <c r="J1846" i="3"/>
  <c r="I1806" i="3"/>
  <c r="J1806" i="3"/>
  <c r="I1798" i="3"/>
  <c r="J1798" i="3"/>
  <c r="I1782" i="3"/>
  <c r="J1782" i="3"/>
  <c r="I1758" i="3"/>
  <c r="J1758" i="3"/>
  <c r="I1734" i="3"/>
  <c r="J1734" i="3"/>
  <c r="I1694" i="3"/>
  <c r="J1694" i="3"/>
  <c r="I1681" i="3"/>
  <c r="I1678" i="3"/>
  <c r="J1678" i="3"/>
  <c r="I2439" i="3"/>
  <c r="I2435" i="3"/>
  <c r="J2435" i="3"/>
  <c r="I2419" i="3"/>
  <c r="J2419" i="3"/>
  <c r="I2407" i="3"/>
  <c r="J2407" i="3"/>
  <c r="I2399" i="3"/>
  <c r="J2399" i="3"/>
  <c r="I2383" i="3"/>
  <c r="J2383" i="3"/>
  <c r="I2371" i="3"/>
  <c r="J2371" i="3"/>
  <c r="I2367" i="3"/>
  <c r="J2367" i="3"/>
  <c r="I2363" i="3"/>
  <c r="J2363" i="3"/>
  <c r="I2355" i="3"/>
  <c r="J2355" i="3"/>
  <c r="I2327" i="3"/>
  <c r="J2327" i="3"/>
  <c r="I2315" i="3"/>
  <c r="J2315" i="3"/>
  <c r="I2303" i="3"/>
  <c r="J2303" i="3"/>
  <c r="I2299" i="3"/>
  <c r="J2299" i="3"/>
  <c r="I2295" i="3"/>
  <c r="J2295" i="3"/>
  <c r="I2291" i="3"/>
  <c r="J2291" i="3"/>
  <c r="I2275" i="3"/>
  <c r="J2275" i="3"/>
  <c r="I2263" i="3"/>
  <c r="J2263" i="3"/>
  <c r="I2255" i="3"/>
  <c r="J2255" i="3"/>
  <c r="I2251" i="3"/>
  <c r="J2251" i="3"/>
  <c r="I2247" i="3"/>
  <c r="J2247" i="3"/>
  <c r="I2235" i="3"/>
  <c r="J2235" i="3"/>
  <c r="I2223" i="3"/>
  <c r="J2223" i="3"/>
  <c r="I2219" i="3"/>
  <c r="J2219" i="3"/>
  <c r="I2207" i="3"/>
  <c r="J2207" i="3"/>
  <c r="I2203" i="3"/>
  <c r="J2203" i="3"/>
  <c r="I2195" i="3"/>
  <c r="J2195" i="3"/>
  <c r="I2183" i="3"/>
  <c r="J2183" i="3"/>
  <c r="I2179" i="3"/>
  <c r="J2179" i="3"/>
  <c r="I2167" i="3"/>
  <c r="J2167" i="3"/>
  <c r="I2163" i="3"/>
  <c r="J2163" i="3"/>
  <c r="I2159" i="3"/>
  <c r="J2159" i="3"/>
  <c r="I2155" i="3"/>
  <c r="J2155" i="3"/>
  <c r="I2143" i="3"/>
  <c r="J2143" i="3"/>
  <c r="I2131" i="3"/>
  <c r="J2131" i="3"/>
  <c r="I2127" i="3"/>
  <c r="J2127" i="3"/>
  <c r="I2123" i="3"/>
  <c r="J2123" i="3"/>
  <c r="I2099" i="3"/>
  <c r="J2099" i="3"/>
  <c r="I2091" i="3"/>
  <c r="J2091" i="3"/>
  <c r="I2087" i="3"/>
  <c r="J2087" i="3"/>
  <c r="I2083" i="3"/>
  <c r="J2083" i="3"/>
  <c r="I2079" i="3"/>
  <c r="J2079" i="3"/>
  <c r="I2075" i="3"/>
  <c r="J2075" i="3"/>
  <c r="I2059" i="3"/>
  <c r="J2059" i="3"/>
  <c r="I2047" i="3"/>
  <c r="J2047" i="3"/>
  <c r="I2043" i="3"/>
  <c r="J2043" i="3"/>
  <c r="I2039" i="3"/>
  <c r="J2039" i="3"/>
  <c r="I1979" i="3"/>
  <c r="J1979" i="3"/>
  <c r="I1967" i="3"/>
  <c r="J1967" i="3"/>
  <c r="I1963" i="3"/>
  <c r="J1963" i="3"/>
  <c r="I1959" i="3"/>
  <c r="J1959" i="3"/>
  <c r="I1955" i="3"/>
  <c r="J1955" i="3"/>
  <c r="I1579" i="3"/>
  <c r="J1579" i="3"/>
  <c r="I1854" i="3"/>
  <c r="J1854" i="3"/>
  <c r="I1838" i="3"/>
  <c r="J1838" i="3"/>
  <c r="I1830" i="3"/>
  <c r="J1830" i="3"/>
  <c r="I1822" i="3"/>
  <c r="J1822" i="3"/>
  <c r="I1814" i="3"/>
  <c r="J1814" i="3"/>
  <c r="I1774" i="3"/>
  <c r="J1774" i="3"/>
  <c r="I1753" i="3"/>
  <c r="J1753" i="3"/>
  <c r="I1742" i="3"/>
  <c r="J1742" i="3"/>
  <c r="I1726" i="3"/>
  <c r="J1726" i="3"/>
  <c r="I1718" i="3"/>
  <c r="J1718" i="3"/>
  <c r="I1702" i="3"/>
  <c r="J1702" i="3"/>
  <c r="I1938" i="3"/>
  <c r="J1938" i="3"/>
  <c r="J1512" i="3"/>
  <c r="J1630" i="3"/>
  <c r="J1622" i="3"/>
  <c r="J1614" i="3"/>
  <c r="J1606" i="3"/>
  <c r="J1598" i="3"/>
  <c r="J1590" i="3"/>
  <c r="J1582" i="3"/>
  <c r="J1574" i="3"/>
  <c r="J1566" i="3"/>
  <c r="J1558" i="3"/>
  <c r="J1542" i="3"/>
  <c r="J1526" i="3"/>
  <c r="J1518" i="3"/>
  <c r="J1921" i="3"/>
  <c r="J1913" i="3"/>
  <c r="J1865" i="3"/>
  <c r="J1857" i="3"/>
  <c r="J1849" i="3"/>
  <c r="J1833" i="3"/>
  <c r="J1817" i="3"/>
  <c r="J1809" i="3"/>
  <c r="J1801" i="3"/>
  <c r="J1785" i="3"/>
  <c r="J1769" i="3"/>
  <c r="J1761" i="3"/>
  <c r="J1745" i="3"/>
  <c r="J1737" i="3"/>
  <c r="J1721" i="3"/>
  <c r="J1713" i="3"/>
  <c r="J1705" i="3"/>
  <c r="J1697" i="3"/>
  <c r="J1689" i="3"/>
  <c r="J1673" i="3"/>
  <c r="J2460" i="3"/>
  <c r="J2452" i="3"/>
  <c r="J2444" i="3"/>
  <c r="J2420" i="3"/>
  <c r="J2412" i="3"/>
  <c r="J2404" i="3"/>
  <c r="J2344" i="3"/>
  <c r="J2320" i="3"/>
  <c r="J2312" i="3"/>
  <c r="J2272" i="3"/>
  <c r="J2120" i="3"/>
  <c r="J2072" i="3"/>
  <c r="J1952" i="3"/>
  <c r="J2463" i="3"/>
  <c r="J2415" i="3"/>
  <c r="J1681" i="3"/>
  <c r="I1611" i="3"/>
  <c r="J1611" i="3"/>
  <c r="I1934" i="3"/>
  <c r="J1934" i="3"/>
  <c r="J1585" i="3"/>
  <c r="J1537" i="3"/>
  <c r="J1820" i="3"/>
  <c r="J1804" i="3"/>
  <c r="J1796" i="3"/>
  <c r="J1775" i="3"/>
  <c r="J1772" i="3"/>
  <c r="J1756" i="3"/>
  <c r="J1735" i="3"/>
  <c r="J1732" i="3"/>
  <c r="J1724" i="3"/>
  <c r="J1719" i="3"/>
  <c r="J1716" i="3"/>
  <c r="J1695" i="3"/>
  <c r="J1692" i="3"/>
  <c r="J1687" i="3"/>
  <c r="J1671" i="3"/>
  <c r="I1671" i="3"/>
  <c r="J1943" i="3"/>
  <c r="J1939" i="3"/>
  <c r="J2436" i="3"/>
  <c r="J2400" i="3"/>
  <c r="J2392" i="3"/>
  <c r="J2384" i="3"/>
  <c r="J2380" i="3"/>
  <c r="J2376" i="3"/>
  <c r="J2372" i="3"/>
  <c r="J2364" i="3"/>
  <c r="J2360" i="3"/>
  <c r="J2356" i="3"/>
  <c r="J2352" i="3"/>
  <c r="J2332" i="3"/>
  <c r="J2328" i="3"/>
  <c r="J2324" i="3"/>
  <c r="J2304" i="3"/>
  <c r="J2296" i="3"/>
  <c r="J2280" i="3"/>
  <c r="J2264" i="3"/>
  <c r="J2256" i="3"/>
  <c r="J2248" i="3"/>
  <c r="J2232" i="3"/>
  <c r="J2224" i="3"/>
  <c r="J2216" i="3"/>
  <c r="J2208" i="3"/>
  <c r="J2192" i="3"/>
  <c r="J2176" i="3"/>
  <c r="J2168" i="3"/>
  <c r="J2160" i="3"/>
  <c r="J2136" i="3"/>
  <c r="J2128" i="3"/>
  <c r="J2104" i="3"/>
  <c r="J2088" i="3"/>
  <c r="J2080" i="3"/>
  <c r="J2064" i="3"/>
  <c r="J2048" i="3"/>
  <c r="J2040" i="3"/>
  <c r="J2032" i="3"/>
  <c r="J1984" i="3"/>
  <c r="J1976" i="3"/>
  <c r="J1968" i="3"/>
  <c r="J1960" i="3"/>
  <c r="I1571" i="3"/>
  <c r="J1571" i="3"/>
  <c r="I1523" i="3"/>
  <c r="J1523" i="3"/>
  <c r="J1625" i="3"/>
  <c r="J1601" i="3"/>
  <c r="J1569" i="3"/>
  <c r="J1545" i="3"/>
  <c r="J1521" i="3"/>
  <c r="J1932" i="3"/>
  <c r="J1844" i="3"/>
  <c r="J1812" i="3"/>
  <c r="J1764" i="3"/>
  <c r="J1620" i="3"/>
  <c r="J1612" i="3"/>
  <c r="J1604" i="3"/>
  <c r="J1596" i="3"/>
  <c r="J1580" i="3"/>
  <c r="J1572" i="3"/>
  <c r="J1564" i="3"/>
  <c r="J1556" i="3"/>
  <c r="J1535" i="3"/>
  <c r="J1532" i="3"/>
  <c r="J1524" i="3"/>
  <c r="J1516" i="3"/>
  <c r="J2461" i="3"/>
  <c r="J2457" i="3"/>
  <c r="J2453" i="3"/>
  <c r="J2445" i="3"/>
  <c r="J2441" i="3"/>
  <c r="J2437" i="3"/>
  <c r="J2425" i="3"/>
  <c r="J2421" i="3"/>
  <c r="J2413" i="3"/>
  <c r="J2405" i="3"/>
  <c r="J2401" i="3"/>
  <c r="J2377" i="3"/>
  <c r="J2353" i="3"/>
  <c r="J2345" i="3"/>
  <c r="J2321" i="3"/>
  <c r="J2273" i="3"/>
  <c r="J2249" i="3"/>
  <c r="J2233" i="3"/>
  <c r="J2217" i="3"/>
  <c r="J2201" i="3"/>
  <c r="J2161" i="3"/>
  <c r="J2129" i="3"/>
  <c r="J2089" i="3"/>
  <c r="J2041" i="3"/>
  <c r="J2455" i="3"/>
  <c r="I1595" i="3"/>
  <c r="J1595" i="3"/>
  <c r="I1563" i="3"/>
  <c r="J1563" i="3"/>
  <c r="I1550" i="3"/>
  <c r="J1550" i="3"/>
  <c r="I1870" i="3"/>
  <c r="J1870" i="3"/>
  <c r="J1593" i="3"/>
  <c r="J1529" i="3"/>
  <c r="J1860" i="3"/>
  <c r="J1836" i="3"/>
  <c r="J1623" i="3"/>
  <c r="J1615" i="3"/>
  <c r="J1607" i="3"/>
  <c r="J1599" i="3"/>
  <c r="J1583" i="3"/>
  <c r="J1575" i="3"/>
  <c r="J1567" i="3"/>
  <c r="J1559" i="3"/>
  <c r="J1546" i="3"/>
  <c r="J1543" i="3"/>
  <c r="J1527" i="3"/>
  <c r="J1519" i="3"/>
  <c r="J1933" i="3"/>
  <c r="J1930" i="3"/>
  <c r="J1914" i="3"/>
  <c r="J1866" i="3"/>
  <c r="J1858" i="3"/>
  <c r="J1850" i="3"/>
  <c r="J1842" i="3"/>
  <c r="J1834" i="3"/>
  <c r="J1826" i="3"/>
  <c r="J1818" i="3"/>
  <c r="J1810" i="3"/>
  <c r="J1802" i="3"/>
  <c r="J1794" i="3"/>
  <c r="J1786" i="3"/>
  <c r="J1781" i="3"/>
  <c r="J1778" i="3"/>
  <c r="J1770" i="3"/>
  <c r="J1944" i="3"/>
  <c r="J1936" i="3"/>
  <c r="J2465" i="3"/>
  <c r="J2449" i="3"/>
  <c r="J2433" i="3"/>
  <c r="J2417" i="3"/>
  <c r="J2409" i="3"/>
  <c r="J2369" i="3"/>
  <c r="J2361" i="3"/>
  <c r="J2329" i="3"/>
  <c r="J2297" i="3"/>
  <c r="J2289" i="3"/>
  <c r="J2265" i="3"/>
  <c r="J2257" i="3"/>
  <c r="J2209" i="3"/>
  <c r="J2177" i="3"/>
  <c r="J2169" i="3"/>
  <c r="J2081" i="3"/>
  <c r="J1985" i="3"/>
  <c r="J1961" i="3"/>
  <c r="J1953" i="3"/>
  <c r="I1555" i="3"/>
  <c r="J1555" i="3"/>
  <c r="I1926" i="3"/>
  <c r="J1926" i="3"/>
  <c r="I1862" i="3"/>
  <c r="J1862" i="3"/>
  <c r="J1617" i="3"/>
  <c r="J1553" i="3"/>
  <c r="J1540" i="3"/>
  <c r="J1924" i="3"/>
  <c r="J1852" i="3"/>
  <c r="J1513" i="3"/>
  <c r="J1626" i="3"/>
  <c r="J1618" i="3"/>
  <c r="J1610" i="3"/>
  <c r="J1602" i="3"/>
  <c r="J1594" i="3"/>
  <c r="J1586" i="3"/>
  <c r="J1578" i="3"/>
  <c r="J1570" i="3"/>
  <c r="J1562" i="3"/>
  <c r="J1554" i="3"/>
  <c r="J1538" i="3"/>
  <c r="J1533" i="3"/>
  <c r="J1530" i="3"/>
  <c r="J1522" i="3"/>
  <c r="J1514" i="3"/>
  <c r="J1925" i="3"/>
  <c r="J1917" i="3"/>
  <c r="J1861" i="3"/>
  <c r="J1853" i="3"/>
  <c r="J1845" i="3"/>
  <c r="J1837" i="3"/>
  <c r="J1821" i="3"/>
  <c r="J1813" i="3"/>
  <c r="J1805" i="3"/>
  <c r="J1744" i="3"/>
  <c r="J2462" i="3"/>
  <c r="J2446" i="3"/>
  <c r="J2414" i="3"/>
  <c r="J2378" i="3"/>
  <c r="J2346" i="3"/>
  <c r="J2330" i="3"/>
  <c r="J2447" i="3"/>
  <c r="J2185" i="3"/>
  <c r="I1619" i="3"/>
  <c r="J1619" i="3"/>
  <c r="I1603" i="3"/>
  <c r="J1603" i="3"/>
  <c r="J1577" i="3"/>
  <c r="J1561" i="3"/>
  <c r="I1621" i="3"/>
  <c r="J1621" i="3"/>
  <c r="I1613" i="3"/>
  <c r="J1613" i="3"/>
  <c r="I1605" i="3"/>
  <c r="J1605" i="3"/>
  <c r="I1597" i="3"/>
  <c r="J1597" i="3"/>
  <c r="I1581" i="3"/>
  <c r="J1581" i="3"/>
  <c r="I1573" i="3"/>
  <c r="J1573" i="3"/>
  <c r="I1565" i="3"/>
  <c r="J1565" i="3"/>
  <c r="I1557" i="3"/>
  <c r="J1557" i="3"/>
  <c r="I1544" i="3"/>
  <c r="J1544" i="3"/>
  <c r="I1541" i="3"/>
  <c r="J1541" i="3"/>
  <c r="I1525" i="3"/>
  <c r="J1525" i="3"/>
  <c r="I1517" i="3"/>
  <c r="J1517" i="3"/>
  <c r="I1928" i="3"/>
  <c r="J1928" i="3"/>
  <c r="I1920" i="3"/>
  <c r="J1920" i="3"/>
  <c r="I1912" i="3"/>
  <c r="J1912" i="3"/>
  <c r="I1864" i="3"/>
  <c r="J1864" i="3"/>
  <c r="I1856" i="3"/>
  <c r="J1856" i="3"/>
  <c r="I1848" i="3"/>
  <c r="I1840" i="3"/>
  <c r="J1840" i="3"/>
  <c r="I1832" i="3"/>
  <c r="J1832" i="3"/>
  <c r="I1824" i="3"/>
  <c r="J1824" i="3"/>
  <c r="I1816" i="3"/>
  <c r="J1816" i="3"/>
  <c r="I1808" i="3"/>
  <c r="J1808" i="3"/>
  <c r="I1800" i="3"/>
  <c r="I1792" i="3"/>
  <c r="J1792" i="3"/>
  <c r="J1776" i="3"/>
  <c r="J1768" i="3"/>
  <c r="J1760" i="3"/>
  <c r="J1752" i="3"/>
  <c r="J1736" i="3"/>
  <c r="I1731" i="3"/>
  <c r="J1731" i="3"/>
  <c r="J1728" i="3"/>
  <c r="J1720" i="3"/>
  <c r="J1712" i="3"/>
  <c r="J1704" i="3"/>
  <c r="J1696" i="3"/>
  <c r="J1688" i="3"/>
  <c r="I1683" i="3"/>
  <c r="J1683" i="3"/>
  <c r="J1680" i="3"/>
  <c r="I1675" i="3"/>
  <c r="J1675" i="3"/>
  <c r="J1672" i="3"/>
  <c r="J1945" i="3"/>
  <c r="J2454" i="3"/>
  <c r="J2450" i="3"/>
  <c r="J2438" i="3"/>
  <c r="J2434" i="3"/>
  <c r="J2422" i="3"/>
  <c r="J2402" i="3"/>
  <c r="J2370" i="3"/>
  <c r="J2354" i="3"/>
  <c r="J2322" i="3"/>
  <c r="J2097" i="3"/>
  <c r="I2459" i="3"/>
  <c r="J2459" i="3"/>
  <c r="I2451" i="3"/>
  <c r="J2451" i="3"/>
  <c r="I2443" i="3"/>
  <c r="J2443" i="3"/>
  <c r="I2411" i="3"/>
  <c r="J2411" i="3"/>
  <c r="I2403" i="3"/>
  <c r="J2403" i="3"/>
  <c r="I2395" i="3"/>
  <c r="J2395" i="3"/>
  <c r="I2379" i="3"/>
  <c r="J2379" i="3"/>
  <c r="I2375" i="3"/>
  <c r="J2375" i="3"/>
  <c r="I2339" i="3"/>
  <c r="J2339" i="3"/>
  <c r="I2331" i="3"/>
  <c r="J2331" i="3"/>
  <c r="I2323" i="3"/>
  <c r="J2323" i="3"/>
  <c r="J2439" i="3"/>
  <c r="J2423" i="3"/>
  <c r="J2153" i="3"/>
  <c r="J1916" i="3"/>
  <c r="J1780" i="3"/>
  <c r="J1740" i="3"/>
  <c r="J1700" i="3"/>
  <c r="J1684" i="3"/>
  <c r="J1676" i="3"/>
  <c r="J1668" i="3"/>
  <c r="J2396" i="3"/>
  <c r="J2340" i="3"/>
  <c r="J2300" i="3"/>
  <c r="J2260" i="3"/>
  <c r="J2244" i="3"/>
  <c r="J2220" i="3"/>
  <c r="J2180" i="3"/>
  <c r="J2140" i="3"/>
  <c r="J2100" i="3"/>
  <c r="J2092" i="3"/>
  <c r="J2060" i="3"/>
  <c r="J2036" i="3"/>
  <c r="J1980" i="3"/>
  <c r="J1972" i="3"/>
  <c r="I1668" i="3"/>
  <c r="J2316" i="3"/>
  <c r="J2292" i="3"/>
  <c r="J2284" i="3"/>
  <c r="J2276" i="3"/>
  <c r="J2252" i="3"/>
  <c r="J2236" i="3"/>
  <c r="J2212" i="3"/>
  <c r="J2204" i="3"/>
  <c r="J2196" i="3"/>
  <c r="J2172" i="3"/>
  <c r="J2164" i="3"/>
  <c r="J2156" i="3"/>
  <c r="J2132" i="3"/>
  <c r="J2124" i="3"/>
  <c r="J2116" i="3"/>
  <c r="J2084" i="3"/>
  <c r="J2076" i="3"/>
  <c r="J2052" i="3"/>
  <c r="J2044" i="3"/>
  <c r="J1964" i="3"/>
  <c r="J1956" i="3"/>
  <c r="I1667" i="3"/>
  <c r="J1927" i="3"/>
  <c r="J1922" i="3"/>
  <c r="J1919" i="3"/>
  <c r="J1863" i="3"/>
  <c r="J1855" i="3"/>
  <c r="J1847" i="3"/>
  <c r="J1839" i="3"/>
  <c r="J1823" i="3"/>
  <c r="J1815" i="3"/>
  <c r="J1807" i="3"/>
  <c r="J1799" i="3"/>
  <c r="J1783" i="3"/>
  <c r="J1767" i="3"/>
  <c r="J1759" i="3"/>
  <c r="J1754" i="3"/>
  <c r="J1743" i="3"/>
  <c r="J1727" i="3"/>
  <c r="J1714" i="3"/>
  <c r="J1703" i="3"/>
  <c r="J1690" i="3"/>
  <c r="J1682" i="3"/>
  <c r="J1679" i="3"/>
  <c r="J1674" i="3"/>
  <c r="J1940" i="3"/>
  <c r="J2381" i="3"/>
  <c r="J2373" i="3"/>
  <c r="J2341" i="3"/>
  <c r="J2333" i="3"/>
  <c r="J2325" i="3"/>
  <c r="J2317" i="3"/>
  <c r="J2301" i="3"/>
  <c r="J2285" i="3"/>
  <c r="J2277" i="3"/>
  <c r="J2245" i="3"/>
  <c r="J2237" i="3"/>
  <c r="J2221" i="3"/>
  <c r="J2181" i="3"/>
  <c r="J2173" i="3"/>
  <c r="J2165" i="3"/>
  <c r="J2133" i="3"/>
  <c r="I2129" i="3"/>
  <c r="I2105" i="3"/>
  <c r="J2101" i="3"/>
  <c r="I2089" i="3"/>
  <c r="J2085" i="3"/>
  <c r="J2045" i="3"/>
  <c r="I2041" i="3"/>
  <c r="J1981" i="3"/>
  <c r="I1977" i="3"/>
  <c r="J1973" i="3"/>
  <c r="J1965" i="3"/>
  <c r="J1762" i="3"/>
  <c r="J1746" i="3"/>
  <c r="J1738" i="3"/>
  <c r="J1730" i="3"/>
  <c r="J1722" i="3"/>
  <c r="J1706" i="3"/>
  <c r="J1698" i="3"/>
  <c r="J1685" i="3"/>
  <c r="J1677" i="3"/>
  <c r="J2397" i="3"/>
  <c r="J2365" i="3"/>
  <c r="J2357" i="3"/>
  <c r="J2293" i="3"/>
  <c r="J2261" i="3"/>
  <c r="J2253" i="3"/>
  <c r="J2213" i="3"/>
  <c r="J2205" i="3"/>
  <c r="J2197" i="3"/>
  <c r="J2157" i="3"/>
  <c r="I2145" i="3"/>
  <c r="J2141" i="3"/>
  <c r="I2137" i="3"/>
  <c r="J2125" i="3"/>
  <c r="I2121" i="3"/>
  <c r="J2117" i="3"/>
  <c r="I2113" i="3"/>
  <c r="J2093" i="3"/>
  <c r="I2081" i="3"/>
  <c r="J2077" i="3"/>
  <c r="I2073" i="3"/>
  <c r="I2065" i="3"/>
  <c r="J2061" i="3"/>
  <c r="I2057" i="3"/>
  <c r="J2053" i="3"/>
  <c r="I2049" i="3"/>
  <c r="J2037" i="3"/>
  <c r="I2033" i="3"/>
  <c r="I1985" i="3"/>
  <c r="I1969" i="3"/>
  <c r="I1961" i="3"/>
  <c r="J1957" i="3"/>
  <c r="J2121" i="3"/>
  <c r="J2065" i="3"/>
  <c r="J2033" i="3"/>
  <c r="J1797" i="3"/>
  <c r="J1773" i="3"/>
  <c r="J1765" i="3"/>
  <c r="J1757" i="3"/>
  <c r="J1741" i="3"/>
  <c r="J1733" i="3"/>
  <c r="J1725" i="3"/>
  <c r="J1717" i="3"/>
  <c r="J1701" i="3"/>
  <c r="J1693" i="3"/>
  <c r="I1937" i="3"/>
  <c r="I2466" i="3"/>
  <c r="I2462" i="3"/>
  <c r="I2458" i="3"/>
  <c r="I2446" i="3"/>
  <c r="I2442" i="3"/>
  <c r="I2426" i="3"/>
  <c r="I2418" i="3"/>
  <c r="I2414" i="3"/>
  <c r="I2410" i="3"/>
  <c r="I2406" i="3"/>
  <c r="I2386" i="3"/>
  <c r="I2378" i="3"/>
  <c r="I2358" i="3"/>
  <c r="J2358" i="3"/>
  <c r="I2342" i="3"/>
  <c r="J2342" i="3"/>
  <c r="I2338" i="3"/>
  <c r="I2334" i="3"/>
  <c r="J2334" i="3"/>
  <c r="I2330" i="3"/>
  <c r="I2326" i="3"/>
  <c r="J2326" i="3"/>
  <c r="J2318" i="3"/>
  <c r="I2314" i="3"/>
  <c r="I2290" i="3"/>
  <c r="J2286" i="3"/>
  <c r="J2278" i="3"/>
  <c r="I2266" i="3"/>
  <c r="J2266" i="3"/>
  <c r="J2262" i="3"/>
  <c r="J2246" i="3"/>
  <c r="I2242" i="3"/>
  <c r="J2242" i="3"/>
  <c r="J2238" i="3"/>
  <c r="J2218" i="3"/>
  <c r="J2214" i="3"/>
  <c r="J2198" i="3"/>
  <c r="I2186" i="3"/>
  <c r="J2186" i="3"/>
  <c r="I2146" i="3"/>
  <c r="J2146" i="3"/>
  <c r="J2126" i="3"/>
  <c r="I2122" i="3"/>
  <c r="J2122" i="3"/>
  <c r="J2118" i="3"/>
  <c r="I2106" i="3"/>
  <c r="J2106" i="3"/>
  <c r="J2102" i="3"/>
  <c r="I2074" i="3"/>
  <c r="J2074" i="3"/>
  <c r="I2066" i="3"/>
  <c r="J2066" i="3"/>
  <c r="J2062" i="3"/>
  <c r="I2058" i="3"/>
  <c r="J2058" i="3"/>
  <c r="I2034" i="3"/>
  <c r="J2034" i="3"/>
  <c r="J1986" i="3"/>
  <c r="J1982" i="3"/>
  <c r="J1978" i="3"/>
  <c r="J2466" i="3"/>
  <c r="J2458" i="3"/>
  <c r="J2442" i="3"/>
  <c r="J2426" i="3"/>
  <c r="J2418" i="3"/>
  <c r="J2410" i="3"/>
  <c r="J2290" i="3"/>
  <c r="J2105" i="3"/>
  <c r="J2073" i="3"/>
  <c r="J1977" i="3"/>
  <c r="J1937" i="3"/>
  <c r="I1945" i="3"/>
  <c r="J1941" i="3"/>
  <c r="I2454" i="3"/>
  <c r="I2450" i="3"/>
  <c r="I2438" i="3"/>
  <c r="I2434" i="3"/>
  <c r="I2422" i="3"/>
  <c r="I2402" i="3"/>
  <c r="I2398" i="3"/>
  <c r="J2398" i="3"/>
  <c r="I2394" i="3"/>
  <c r="I2382" i="3"/>
  <c r="J2382" i="3"/>
  <c r="I2374" i="3"/>
  <c r="J2374" i="3"/>
  <c r="I2370" i="3"/>
  <c r="I2366" i="3"/>
  <c r="J2366" i="3"/>
  <c r="I2362" i="3"/>
  <c r="I2354" i="3"/>
  <c r="I2322" i="3"/>
  <c r="I2306" i="3"/>
  <c r="J2302" i="3"/>
  <c r="I2298" i="3"/>
  <c r="J2294" i="3"/>
  <c r="I2282" i="3"/>
  <c r="J2282" i="3"/>
  <c r="I2274" i="3"/>
  <c r="J2274" i="3"/>
  <c r="I2258" i="3"/>
  <c r="J2258" i="3"/>
  <c r="J2254" i="3"/>
  <c r="I2250" i="3"/>
  <c r="J2250" i="3"/>
  <c r="I2234" i="3"/>
  <c r="J2234" i="3"/>
  <c r="I2226" i="3"/>
  <c r="J2226" i="3"/>
  <c r="J2222" i="3"/>
  <c r="I2210" i="3"/>
  <c r="J2210" i="3"/>
  <c r="J2206" i="3"/>
  <c r="I2202" i="3"/>
  <c r="J2202" i="3"/>
  <c r="J2194" i="3"/>
  <c r="J2182" i="3"/>
  <c r="I2178" i="3"/>
  <c r="J2178" i="3"/>
  <c r="J2174" i="3"/>
  <c r="I2170" i="3"/>
  <c r="J2170" i="3"/>
  <c r="J2166" i="3"/>
  <c r="I2162" i="3"/>
  <c r="J2162" i="3"/>
  <c r="J2158" i="3"/>
  <c r="I2154" i="3"/>
  <c r="J2154" i="3"/>
  <c r="J2142" i="3"/>
  <c r="J2138" i="3"/>
  <c r="J2134" i="3"/>
  <c r="I2130" i="3"/>
  <c r="J2130" i="3"/>
  <c r="I2114" i="3"/>
  <c r="J2114" i="3"/>
  <c r="I2098" i="3"/>
  <c r="J2098" i="3"/>
  <c r="J2094" i="3"/>
  <c r="I2090" i="3"/>
  <c r="J2090" i="3"/>
  <c r="J2086" i="3"/>
  <c r="I2082" i="3"/>
  <c r="J2082" i="3"/>
  <c r="J2078" i="3"/>
  <c r="J2054" i="3"/>
  <c r="J2050" i="3"/>
  <c r="J2046" i="3"/>
  <c r="I2042" i="3"/>
  <c r="J2042" i="3"/>
  <c r="J2038" i="3"/>
  <c r="I1974" i="3"/>
  <c r="J1974" i="3"/>
  <c r="I1970" i="3"/>
  <c r="J1970" i="3"/>
  <c r="I1966" i="3"/>
  <c r="J1966" i="3"/>
  <c r="I1962" i="3"/>
  <c r="J1962" i="3"/>
  <c r="I1958" i="3"/>
  <c r="J1958" i="3"/>
  <c r="J1954" i="3"/>
  <c r="J2338" i="3"/>
  <c r="J2145" i="3"/>
  <c r="J2113" i="3"/>
  <c r="J2057" i="3"/>
  <c r="I1502" i="3"/>
  <c r="I1624" i="3"/>
  <c r="I1616" i="3"/>
  <c r="I1608" i="3"/>
  <c r="I1600" i="3"/>
  <c r="I1592" i="3"/>
  <c r="I1584" i="3"/>
  <c r="I1576" i="3"/>
  <c r="I1568" i="3"/>
  <c r="I1560" i="3"/>
  <c r="I1552" i="3"/>
  <c r="I1539" i="3"/>
  <c r="I1536" i="3"/>
  <c r="I1531" i="3"/>
  <c r="I1528" i="3"/>
  <c r="I1520" i="3"/>
  <c r="I1931" i="3"/>
  <c r="I1923" i="3"/>
  <c r="I1918" i="3"/>
  <c r="I1915" i="3"/>
  <c r="I1900" i="3"/>
  <c r="I1859" i="3"/>
  <c r="I1851" i="3"/>
  <c r="I1843" i="3"/>
  <c r="I1512" i="3"/>
  <c r="I1630" i="3"/>
  <c r="I1622" i="3"/>
  <c r="I1614" i="3"/>
  <c r="I1606" i="3"/>
  <c r="I1598" i="3"/>
  <c r="I1590" i="3"/>
  <c r="I1582" i="3"/>
  <c r="I1574" i="3"/>
  <c r="I1566" i="3"/>
  <c r="I1558" i="3"/>
  <c r="I1542" i="3"/>
  <c r="I1526" i="3"/>
  <c r="I1518" i="3"/>
  <c r="I1929" i="3"/>
  <c r="I1921" i="3"/>
  <c r="I1916" i="3"/>
  <c r="I1913" i="3"/>
  <c r="I1890" i="3"/>
  <c r="I1865" i="3"/>
  <c r="I1857" i="3"/>
  <c r="I1849" i="3"/>
  <c r="I1841" i="3"/>
  <c r="I1833" i="3"/>
  <c r="I1825" i="3"/>
  <c r="I1817" i="3"/>
  <c r="I1809" i="3"/>
  <c r="I1801" i="3"/>
  <c r="I1793" i="3"/>
  <c r="I1785" i="3"/>
  <c r="I1777" i="3"/>
  <c r="I1769" i="3"/>
  <c r="I1761" i="3"/>
  <c r="I1745" i="3"/>
  <c r="I1737" i="3"/>
  <c r="I1729" i="3"/>
  <c r="I1721" i="3"/>
  <c r="I1713" i="3"/>
  <c r="I1705" i="3"/>
  <c r="I1697" i="3"/>
  <c r="I1689" i="3"/>
  <c r="I1673" i="3"/>
  <c r="I2464" i="3"/>
  <c r="I2460" i="3"/>
  <c r="I2456" i="3"/>
  <c r="I2452" i="3"/>
  <c r="I2448" i="3"/>
  <c r="I2444" i="3"/>
  <c r="I2440" i="3"/>
  <c r="I2432" i="3"/>
  <c r="I2424" i="3"/>
  <c r="I2420" i="3"/>
  <c r="I2416" i="3"/>
  <c r="I2412" i="3"/>
  <c r="I2404" i="3"/>
  <c r="I2396" i="3"/>
  <c r="I2344" i="3"/>
  <c r="I2340" i="3"/>
  <c r="I2320" i="3"/>
  <c r="I2312" i="3"/>
  <c r="I2300" i="3"/>
  <c r="I2272" i="3"/>
  <c r="I2240" i="3"/>
  <c r="I1625" i="3"/>
  <c r="I1609" i="3"/>
  <c r="I1601" i="3"/>
  <c r="I1593" i="3"/>
  <c r="I1585" i="3"/>
  <c r="I1577" i="3"/>
  <c r="I1569" i="3"/>
  <c r="I1561" i="3"/>
  <c r="I1553" i="3"/>
  <c r="I1545" i="3"/>
  <c r="I1540" i="3"/>
  <c r="I1537" i="3"/>
  <c r="I1529" i="3"/>
  <c r="I1521" i="3"/>
  <c r="I1932" i="3"/>
  <c r="I1924" i="3"/>
  <c r="I1860" i="3"/>
  <c r="I1852" i="3"/>
  <c r="I1844" i="3"/>
  <c r="I1836" i="3"/>
  <c r="I1820" i="3"/>
  <c r="I1812" i="3"/>
  <c r="I1804" i="3"/>
  <c r="I1796" i="3"/>
  <c r="I1775" i="3"/>
  <c r="I1772" i="3"/>
  <c r="I1764" i="3"/>
  <c r="I1756" i="3"/>
  <c r="I1735" i="3"/>
  <c r="I1732" i="3"/>
  <c r="I1724" i="3"/>
  <c r="I1719" i="3"/>
  <c r="I1716" i="3"/>
  <c r="I2436" i="3"/>
  <c r="I2408" i="3"/>
  <c r="I2400" i="3"/>
  <c r="I2392" i="3"/>
  <c r="I2384" i="3"/>
  <c r="I2380" i="3"/>
  <c r="I2376" i="3"/>
  <c r="I2372" i="3"/>
  <c r="I2368" i="3"/>
  <c r="I2364" i="3"/>
  <c r="I2360" i="3"/>
  <c r="I2356" i="3"/>
  <c r="I2352" i="3"/>
  <c r="I2337" i="3"/>
  <c r="I2336" i="3"/>
  <c r="I2332" i="3"/>
  <c r="I2328" i="3"/>
  <c r="I2324" i="3"/>
  <c r="I2317" i="3"/>
  <c r="I2316" i="3"/>
  <c r="I2304" i="3"/>
  <c r="I2297" i="3"/>
  <c r="I2296" i="3"/>
  <c r="I2288" i="3"/>
  <c r="I2280" i="3"/>
  <c r="I2264" i="3"/>
  <c r="I2256" i="3"/>
  <c r="I2249" i="3"/>
  <c r="I2248" i="3"/>
  <c r="I2232" i="3"/>
  <c r="I2224" i="3"/>
  <c r="I2216" i="3"/>
  <c r="I2208" i="3"/>
  <c r="I1617" i="3"/>
  <c r="I1620" i="3"/>
  <c r="I1612" i="3"/>
  <c r="I1604" i="3"/>
  <c r="I1596" i="3"/>
  <c r="I1580" i="3"/>
  <c r="I1572" i="3"/>
  <c r="I1564" i="3"/>
  <c r="I1556" i="3"/>
  <c r="I1535" i="3"/>
  <c r="I1532" i="3"/>
  <c r="I1524" i="3"/>
  <c r="I1516" i="3"/>
  <c r="I1927" i="3"/>
  <c r="I1922" i="3"/>
  <c r="I1919" i="3"/>
  <c r="I1904" i="3"/>
  <c r="I1863" i="3"/>
  <c r="I1855" i="3"/>
  <c r="I2461" i="3"/>
  <c r="I2457" i="3"/>
  <c r="I2453" i="3"/>
  <c r="I2445" i="3"/>
  <c r="I2441" i="3"/>
  <c r="I2437" i="3"/>
  <c r="I2425" i="3"/>
  <c r="I2421" i="3"/>
  <c r="I2413" i="3"/>
  <c r="I2405" i="3"/>
  <c r="I2401" i="3"/>
  <c r="I2381" i="3"/>
  <c r="I2377" i="3"/>
  <c r="I2373" i="3"/>
  <c r="I2353" i="3"/>
  <c r="I2345" i="3"/>
  <c r="I2341" i="3"/>
  <c r="I2333" i="3"/>
  <c r="I2325" i="3"/>
  <c r="I2321" i="3"/>
  <c r="I2313" i="3"/>
  <c r="I2305" i="3"/>
  <c r="I2301" i="3"/>
  <c r="I2281" i="3"/>
  <c r="I2273" i="3"/>
  <c r="I2241" i="3"/>
  <c r="I2233" i="3"/>
  <c r="I2225" i="3"/>
  <c r="I2217" i="3"/>
  <c r="I2201" i="3"/>
  <c r="I2161" i="3"/>
  <c r="I1496" i="3"/>
  <c r="I1513" i="3"/>
  <c r="I1623" i="3"/>
  <c r="I1615" i="3"/>
  <c r="I1607" i="3"/>
  <c r="I1599" i="3"/>
  <c r="I1583" i="3"/>
  <c r="I1575" i="3"/>
  <c r="I1567" i="3"/>
  <c r="I1559" i="3"/>
  <c r="I1546" i="3"/>
  <c r="I1543" i="3"/>
  <c r="I1527" i="3"/>
  <c r="I1519" i="3"/>
  <c r="I1933" i="3"/>
  <c r="I1930" i="3"/>
  <c r="I1914" i="3"/>
  <c r="I1866" i="3"/>
  <c r="I1858" i="3"/>
  <c r="I1850" i="3"/>
  <c r="I1842" i="3"/>
  <c r="I2465" i="3"/>
  <c r="I2449" i="3"/>
  <c r="I2433" i="3"/>
  <c r="I2417" i="3"/>
  <c r="I2409" i="3"/>
  <c r="I2397" i="3"/>
  <c r="I2393" i="3"/>
  <c r="I2385" i="3"/>
  <c r="I2369" i="3"/>
  <c r="I2365" i="3"/>
  <c r="I2361" i="3"/>
  <c r="I2357" i="3"/>
  <c r="I2329" i="3"/>
  <c r="I2293" i="3"/>
  <c r="I2289" i="3"/>
  <c r="I2265" i="3"/>
  <c r="I2257" i="3"/>
  <c r="I2209" i="3"/>
  <c r="I2193" i="3"/>
  <c r="I2177" i="3"/>
  <c r="I2169" i="3"/>
  <c r="I1626" i="3"/>
  <c r="I1618" i="3"/>
  <c r="I1610" i="3"/>
  <c r="I1602" i="3"/>
  <c r="I1594" i="3"/>
  <c r="I1586" i="3"/>
  <c r="I1578" i="3"/>
  <c r="I1570" i="3"/>
  <c r="I1562" i="3"/>
  <c r="I1554" i="3"/>
  <c r="I1538" i="3"/>
  <c r="I1533" i="3"/>
  <c r="I1530" i="3"/>
  <c r="I1522" i="3"/>
  <c r="I1514" i="3"/>
  <c r="I1925" i="3"/>
  <c r="I1917" i="3"/>
  <c r="I1861" i="3"/>
  <c r="I1853" i="3"/>
  <c r="I1845" i="3"/>
  <c r="I1837" i="3"/>
  <c r="I1784" i="3"/>
  <c r="I1776" i="3"/>
  <c r="I1835" i="3"/>
  <c r="I1819" i="3"/>
  <c r="I1811" i="3"/>
  <c r="I1803" i="3"/>
  <c r="I1795" i="3"/>
  <c r="I1790" i="3"/>
  <c r="I1779" i="3"/>
  <c r="I1771" i="3"/>
  <c r="I1766" i="3"/>
  <c r="I1763" i="3"/>
  <c r="I1755" i="3"/>
  <c r="I1750" i="3"/>
  <c r="I1739" i="3"/>
  <c r="I1723" i="3"/>
  <c r="I1715" i="3"/>
  <c r="I1710" i="3"/>
  <c r="I1699" i="3"/>
  <c r="I1691" i="3"/>
  <c r="I1686" i="3"/>
  <c r="I1652" i="3"/>
  <c r="I1636" i="3"/>
  <c r="I1946" i="3"/>
  <c r="I1942" i="3"/>
  <c r="I2359" i="3"/>
  <c r="I2343" i="3"/>
  <c r="I2335" i="3"/>
  <c r="I2319" i="3"/>
  <c r="I2287" i="3"/>
  <c r="I2283" i="3"/>
  <c r="I2279" i="3"/>
  <c r="I2259" i="3"/>
  <c r="I2243" i="3"/>
  <c r="I2239" i="3"/>
  <c r="I2215" i="3"/>
  <c r="I2211" i="3"/>
  <c r="I2199" i="3"/>
  <c r="I2175" i="3"/>
  <c r="I2171" i="3"/>
  <c r="I2139" i="3"/>
  <c r="I2135" i="3"/>
  <c r="I2119" i="3"/>
  <c r="I2115" i="3"/>
  <c r="I2103" i="3"/>
  <c r="I2095" i="3"/>
  <c r="I2063" i="3"/>
  <c r="I2055" i="3"/>
  <c r="I2051" i="3"/>
  <c r="I2035" i="3"/>
  <c r="I2024" i="3"/>
  <c r="I2020" i="3"/>
  <c r="I1983" i="3"/>
  <c r="I1971" i="3"/>
  <c r="I1874" i="3"/>
  <c r="I1780" i="3"/>
  <c r="I1740" i="3"/>
  <c r="I1700" i="3"/>
  <c r="I1684" i="3"/>
  <c r="I1676" i="3"/>
  <c r="I2260" i="3"/>
  <c r="I2244" i="3"/>
  <c r="I2220" i="3"/>
  <c r="I2200" i="3"/>
  <c r="I2184" i="3"/>
  <c r="I2180" i="3"/>
  <c r="I2152" i="3"/>
  <c r="I2144" i="3"/>
  <c r="I2140" i="3"/>
  <c r="I2120" i="3"/>
  <c r="I2112" i="3"/>
  <c r="I2100" i="3"/>
  <c r="I2092" i="3"/>
  <c r="I2072" i="3"/>
  <c r="I2060" i="3"/>
  <c r="I2036" i="3"/>
  <c r="I2013" i="3"/>
  <c r="I1980" i="3"/>
  <c r="I1972" i="3"/>
  <c r="I1952" i="3"/>
  <c r="I1695" i="3"/>
  <c r="I1692" i="3"/>
  <c r="I1687" i="3"/>
  <c r="I1943" i="3"/>
  <c r="I1939" i="3"/>
  <c r="I2292" i="3"/>
  <c r="I2284" i="3"/>
  <c r="I2276" i="3"/>
  <c r="I2252" i="3"/>
  <c r="I2236" i="3"/>
  <c r="I2212" i="3"/>
  <c r="I2204" i="3"/>
  <c r="I2196" i="3"/>
  <c r="I2192" i="3"/>
  <c r="I2176" i="3"/>
  <c r="I2172" i="3"/>
  <c r="I2168" i="3"/>
  <c r="I2164" i="3"/>
  <c r="I2160" i="3"/>
  <c r="I2156" i="3"/>
  <c r="I2136" i="3"/>
  <c r="I2132" i="3"/>
  <c r="I2128" i="3"/>
  <c r="I2124" i="3"/>
  <c r="I2116" i="3"/>
  <c r="I2104" i="3"/>
  <c r="I2096" i="3"/>
  <c r="I2088" i="3"/>
  <c r="I2084" i="3"/>
  <c r="I2080" i="3"/>
  <c r="I2076" i="3"/>
  <c r="I2064" i="3"/>
  <c r="I2056" i="3"/>
  <c r="I2052" i="3"/>
  <c r="I2048" i="3"/>
  <c r="I2044" i="3"/>
  <c r="I2040" i="3"/>
  <c r="I2032" i="3"/>
  <c r="I1984" i="3"/>
  <c r="I1976" i="3"/>
  <c r="I1968" i="3"/>
  <c r="I1964" i="3"/>
  <c r="I1960" i="3"/>
  <c r="I1956" i="3"/>
  <c r="I1847" i="3"/>
  <c r="I1839" i="3"/>
  <c r="I1823" i="3"/>
  <c r="I1815" i="3"/>
  <c r="I1807" i="3"/>
  <c r="I1799" i="3"/>
  <c r="I1783" i="3"/>
  <c r="I1767" i="3"/>
  <c r="I1759" i="3"/>
  <c r="I1754" i="3"/>
  <c r="I1743" i="3"/>
  <c r="I1727" i="3"/>
  <c r="I1714" i="3"/>
  <c r="I1703" i="3"/>
  <c r="I1690" i="3"/>
  <c r="I1682" i="3"/>
  <c r="I1679" i="3"/>
  <c r="I1674" i="3"/>
  <c r="I1940" i="3"/>
  <c r="I2285" i="3"/>
  <c r="I2277" i="3"/>
  <c r="I2245" i="3"/>
  <c r="I2237" i="3"/>
  <c r="I2221" i="3"/>
  <c r="I2181" i="3"/>
  <c r="I2173" i="3"/>
  <c r="I2165" i="3"/>
  <c r="I2133" i="3"/>
  <c r="I2101" i="3"/>
  <c r="I2085" i="3"/>
  <c r="I2045" i="3"/>
  <c r="I1994" i="3"/>
  <c r="I1981" i="3"/>
  <c r="I1973" i="3"/>
  <c r="I1965" i="3"/>
  <c r="I1834" i="3"/>
  <c r="I1826" i="3"/>
  <c r="I1818" i="3"/>
  <c r="I1810" i="3"/>
  <c r="I1802" i="3"/>
  <c r="I1794" i="3"/>
  <c r="I1786" i="3"/>
  <c r="I1781" i="3"/>
  <c r="I1778" i="3"/>
  <c r="I1770" i="3"/>
  <c r="I1762" i="3"/>
  <c r="I1746" i="3"/>
  <c r="I1738" i="3"/>
  <c r="I1730" i="3"/>
  <c r="I1722" i="3"/>
  <c r="I1706" i="3"/>
  <c r="I1698" i="3"/>
  <c r="I1685" i="3"/>
  <c r="I1677" i="3"/>
  <c r="I1944" i="3"/>
  <c r="I1936" i="3"/>
  <c r="I2261" i="3"/>
  <c r="I2253" i="3"/>
  <c r="I2213" i="3"/>
  <c r="I2205" i="3"/>
  <c r="I2197" i="3"/>
  <c r="I2157" i="3"/>
  <c r="I2141" i="3"/>
  <c r="I2125" i="3"/>
  <c r="I2117" i="3"/>
  <c r="I2093" i="3"/>
  <c r="I2077" i="3"/>
  <c r="I2061" i="3"/>
  <c r="I2053" i="3"/>
  <c r="I2037" i="3"/>
  <c r="I1957" i="3"/>
  <c r="I1821" i="3"/>
  <c r="I1813" i="3"/>
  <c r="I1805" i="3"/>
  <c r="I1797" i="3"/>
  <c r="I1773" i="3"/>
  <c r="I1765" i="3"/>
  <c r="I1757" i="3"/>
  <c r="I1744" i="3"/>
  <c r="I1741" i="3"/>
  <c r="I1733" i="3"/>
  <c r="I1725" i="3"/>
  <c r="I1717" i="3"/>
  <c r="I1701" i="3"/>
  <c r="I1693" i="3"/>
  <c r="I2318" i="3"/>
  <c r="I2286" i="3"/>
  <c r="I2278" i="3"/>
  <c r="I2262" i="3"/>
  <c r="I2246" i="3"/>
  <c r="I2238" i="3"/>
  <c r="I2214" i="3"/>
  <c r="I2198" i="3"/>
  <c r="I2126" i="3"/>
  <c r="I2118" i="3"/>
  <c r="I2102" i="3"/>
  <c r="I2062" i="3"/>
  <c r="I1986" i="3"/>
  <c r="I1982" i="3"/>
  <c r="I1978" i="3"/>
  <c r="I1768" i="3"/>
  <c r="I1760" i="3"/>
  <c r="I1752" i="3"/>
  <c r="I1736" i="3"/>
  <c r="I1728" i="3"/>
  <c r="I1720" i="3"/>
  <c r="I1712" i="3"/>
  <c r="I1704" i="3"/>
  <c r="I1696" i="3"/>
  <c r="I1688" i="3"/>
  <c r="I1680" i="3"/>
  <c r="I1672" i="3"/>
  <c r="I1941" i="3"/>
  <c r="I2302" i="3"/>
  <c r="I2294" i="3"/>
  <c r="I2254" i="3"/>
  <c r="I2222" i="3"/>
  <c r="I2206" i="3"/>
  <c r="I2182" i="3"/>
  <c r="I2174" i="3"/>
  <c r="I2166" i="3"/>
  <c r="I2158" i="3"/>
  <c r="I2142" i="3"/>
  <c r="I2134" i="3"/>
  <c r="I2094" i="3"/>
  <c r="I2086" i="3"/>
  <c r="I2078" i="3"/>
  <c r="I2054" i="3"/>
  <c r="I2046" i="3"/>
  <c r="I2038" i="3"/>
  <c r="I1954" i="3"/>
  <c r="D1471" i="3"/>
  <c r="E1471" i="3"/>
  <c r="F1471" i="3"/>
  <c r="G1471" i="3"/>
  <c r="H1471" i="3"/>
  <c r="D1470" i="3"/>
  <c r="E1470" i="3"/>
  <c r="F1470" i="3"/>
  <c r="G1470" i="3"/>
  <c r="H1470" i="3"/>
  <c r="D1431" i="3"/>
  <c r="E1431" i="3"/>
  <c r="F1431" i="3"/>
  <c r="G1431" i="3"/>
  <c r="H1431" i="3"/>
  <c r="D1432" i="3"/>
  <c r="E1432" i="3"/>
  <c r="F1432" i="3"/>
  <c r="G1432" i="3"/>
  <c r="H1432" i="3"/>
  <c r="D1433" i="3"/>
  <c r="E1433" i="3"/>
  <c r="F1433" i="3"/>
  <c r="G1433" i="3"/>
  <c r="H1433" i="3"/>
  <c r="D1434" i="3"/>
  <c r="E1434" i="3"/>
  <c r="F1434" i="3"/>
  <c r="G1434" i="3"/>
  <c r="H1434" i="3"/>
  <c r="D1435" i="3"/>
  <c r="E1435" i="3"/>
  <c r="F1435" i="3"/>
  <c r="G1435" i="3"/>
  <c r="H1435" i="3"/>
  <c r="D1436" i="3"/>
  <c r="E1436" i="3"/>
  <c r="F1436" i="3"/>
  <c r="G1436" i="3"/>
  <c r="H1436" i="3"/>
  <c r="D1437" i="3"/>
  <c r="E1437" i="3"/>
  <c r="F1437" i="3"/>
  <c r="G1437" i="3"/>
  <c r="H1437" i="3"/>
  <c r="D1438" i="3"/>
  <c r="E1438" i="3"/>
  <c r="F1438" i="3"/>
  <c r="G1438" i="3"/>
  <c r="H1438" i="3"/>
  <c r="D1439" i="3"/>
  <c r="E1439" i="3"/>
  <c r="F1439" i="3"/>
  <c r="G1439" i="3"/>
  <c r="H1439" i="3"/>
  <c r="D1440" i="3"/>
  <c r="E1440" i="3"/>
  <c r="F1440" i="3"/>
  <c r="G1440" i="3"/>
  <c r="H1440" i="3"/>
  <c r="D1441" i="3"/>
  <c r="E1441" i="3"/>
  <c r="F1441" i="3"/>
  <c r="G1441" i="3"/>
  <c r="H1441" i="3"/>
  <c r="D1442" i="3"/>
  <c r="E1442" i="3"/>
  <c r="F1442" i="3"/>
  <c r="G1442" i="3"/>
  <c r="H1442" i="3"/>
  <c r="D1443" i="3"/>
  <c r="E1443" i="3"/>
  <c r="F1443" i="3"/>
  <c r="G1443" i="3"/>
  <c r="H1443" i="3"/>
  <c r="D1444" i="3"/>
  <c r="E1444" i="3"/>
  <c r="F1444" i="3"/>
  <c r="G1444" i="3"/>
  <c r="H1444" i="3"/>
  <c r="D1445" i="3"/>
  <c r="E1445" i="3"/>
  <c r="F1445" i="3"/>
  <c r="G1445" i="3"/>
  <c r="H1445" i="3"/>
  <c r="D1446" i="3"/>
  <c r="E1446" i="3"/>
  <c r="F1446" i="3"/>
  <c r="G1446" i="3"/>
  <c r="H1446" i="3"/>
  <c r="D1447" i="3"/>
  <c r="E1447" i="3"/>
  <c r="F1447" i="3"/>
  <c r="G1447" i="3"/>
  <c r="H1447" i="3"/>
  <c r="D1448" i="3"/>
  <c r="E1448" i="3"/>
  <c r="F1448" i="3"/>
  <c r="G1448" i="3"/>
  <c r="H1448" i="3"/>
  <c r="D1449" i="3"/>
  <c r="E1449" i="3"/>
  <c r="F1449" i="3"/>
  <c r="G1449" i="3"/>
  <c r="H1449" i="3"/>
  <c r="D1450" i="3"/>
  <c r="E1450" i="3"/>
  <c r="F1450" i="3"/>
  <c r="G1450" i="3"/>
  <c r="H1450" i="3"/>
  <c r="D1451" i="3"/>
  <c r="E1451" i="3"/>
  <c r="F1451" i="3"/>
  <c r="G1451" i="3"/>
  <c r="H1451" i="3"/>
  <c r="D1452" i="3"/>
  <c r="E1452" i="3"/>
  <c r="F1452" i="3"/>
  <c r="G1452" i="3"/>
  <c r="H1452" i="3"/>
  <c r="D1453" i="3"/>
  <c r="E1453" i="3"/>
  <c r="F1453" i="3"/>
  <c r="G1453" i="3"/>
  <c r="H1453" i="3"/>
  <c r="D1454" i="3"/>
  <c r="E1454" i="3"/>
  <c r="F1454" i="3"/>
  <c r="G1454" i="3"/>
  <c r="H1454" i="3"/>
  <c r="D1455" i="3"/>
  <c r="E1455" i="3"/>
  <c r="F1455" i="3"/>
  <c r="G1455" i="3"/>
  <c r="H1455" i="3"/>
  <c r="D1456" i="3"/>
  <c r="E1456" i="3"/>
  <c r="F1456" i="3"/>
  <c r="G1456" i="3"/>
  <c r="H1456" i="3"/>
  <c r="D1457" i="3"/>
  <c r="E1457" i="3"/>
  <c r="F1457" i="3"/>
  <c r="G1457" i="3"/>
  <c r="H1457" i="3"/>
  <c r="D1458" i="3"/>
  <c r="E1458" i="3"/>
  <c r="F1458" i="3"/>
  <c r="G1458" i="3"/>
  <c r="H1458" i="3"/>
  <c r="D1459" i="3"/>
  <c r="E1459" i="3"/>
  <c r="F1459" i="3"/>
  <c r="G1459" i="3"/>
  <c r="H1459" i="3"/>
  <c r="D1460" i="3"/>
  <c r="E1460" i="3"/>
  <c r="F1460" i="3"/>
  <c r="G1460" i="3"/>
  <c r="H1460" i="3"/>
  <c r="D1461" i="3"/>
  <c r="E1461" i="3"/>
  <c r="F1461" i="3"/>
  <c r="G1461" i="3"/>
  <c r="H1461" i="3"/>
  <c r="D1462" i="3"/>
  <c r="E1462" i="3"/>
  <c r="F1462" i="3"/>
  <c r="G1462" i="3"/>
  <c r="H1462" i="3"/>
  <c r="D1463" i="3"/>
  <c r="E1463" i="3"/>
  <c r="F1463" i="3"/>
  <c r="G1463" i="3"/>
  <c r="H1463" i="3"/>
  <c r="D1464" i="3"/>
  <c r="E1464" i="3"/>
  <c r="F1464" i="3"/>
  <c r="G1464" i="3"/>
  <c r="H1464" i="3"/>
  <c r="D1465" i="3"/>
  <c r="E1465" i="3"/>
  <c r="F1465" i="3"/>
  <c r="G1465" i="3"/>
  <c r="H1465" i="3"/>
  <c r="D1466" i="3"/>
  <c r="E1466" i="3"/>
  <c r="F1466" i="3"/>
  <c r="G1466" i="3"/>
  <c r="H1466" i="3"/>
  <c r="D1467" i="3"/>
  <c r="E1467" i="3"/>
  <c r="F1467" i="3"/>
  <c r="G1467" i="3"/>
  <c r="H1467" i="3"/>
  <c r="D1468" i="3"/>
  <c r="E1468" i="3"/>
  <c r="F1468" i="3"/>
  <c r="G1468" i="3"/>
  <c r="H1468" i="3"/>
  <c r="D1469" i="3"/>
  <c r="E1469" i="3"/>
  <c r="F1469" i="3"/>
  <c r="G1469" i="3"/>
  <c r="H1469" i="3"/>
  <c r="H1430" i="3"/>
  <c r="G1430" i="3"/>
  <c r="F1430" i="3"/>
  <c r="E1430" i="3"/>
  <c r="D1430" i="3"/>
  <c r="H1429" i="3"/>
  <c r="G1429" i="3"/>
  <c r="F1429" i="3"/>
  <c r="E1429" i="3"/>
  <c r="D1429" i="3"/>
  <c r="H1428" i="3"/>
  <c r="G1428" i="3"/>
  <c r="F1428" i="3"/>
  <c r="E1428" i="3"/>
  <c r="D1428" i="3"/>
  <c r="H1427" i="3"/>
  <c r="G1427" i="3"/>
  <c r="F1427" i="3"/>
  <c r="E1427" i="3"/>
  <c r="D1427" i="3"/>
  <c r="H1426" i="3"/>
  <c r="G1426" i="3"/>
  <c r="F1426" i="3"/>
  <c r="E1426" i="3"/>
  <c r="D1426" i="3"/>
  <c r="H1425" i="3"/>
  <c r="G1425" i="3"/>
  <c r="F1425" i="3"/>
  <c r="E1425" i="3"/>
  <c r="D1425" i="3"/>
  <c r="H1424" i="3"/>
  <c r="G1424" i="3"/>
  <c r="F1424" i="3"/>
  <c r="E1424" i="3"/>
  <c r="D1424" i="3"/>
  <c r="H1423" i="3"/>
  <c r="G1423" i="3"/>
  <c r="F1423" i="3"/>
  <c r="E1423" i="3"/>
  <c r="D1423" i="3"/>
  <c r="H1422" i="3"/>
  <c r="G1422" i="3"/>
  <c r="F1422" i="3"/>
  <c r="E1422" i="3"/>
  <c r="D1422" i="3"/>
  <c r="H1421" i="3"/>
  <c r="G1421" i="3"/>
  <c r="F1421" i="3"/>
  <c r="E1421" i="3"/>
  <c r="D1421" i="3"/>
  <c r="H1420" i="3"/>
  <c r="G1420" i="3"/>
  <c r="F1420" i="3"/>
  <c r="E1420" i="3"/>
  <c r="D1420" i="3"/>
  <c r="H1419" i="3"/>
  <c r="G1419" i="3"/>
  <c r="F1419" i="3"/>
  <c r="E1419" i="3"/>
  <c r="D1419" i="3"/>
  <c r="H1418" i="3"/>
  <c r="G1418" i="3"/>
  <c r="F1418" i="3"/>
  <c r="E1418" i="3"/>
  <c r="D1418" i="3"/>
  <c r="H1417" i="3"/>
  <c r="G1417" i="3"/>
  <c r="F1417" i="3"/>
  <c r="E1417" i="3"/>
  <c r="D1417" i="3"/>
  <c r="H1416" i="3"/>
  <c r="G1416" i="3"/>
  <c r="F1416" i="3"/>
  <c r="E1416" i="3"/>
  <c r="D1416" i="3"/>
  <c r="H1415" i="3"/>
  <c r="G1415" i="3"/>
  <c r="F1415" i="3"/>
  <c r="E1415" i="3"/>
  <c r="D1415" i="3"/>
  <c r="H1414" i="3"/>
  <c r="G1414" i="3"/>
  <c r="F1414" i="3"/>
  <c r="E1414" i="3"/>
  <c r="D1414" i="3"/>
  <c r="H1413" i="3"/>
  <c r="G1413" i="3"/>
  <c r="F1413" i="3"/>
  <c r="E1413" i="3"/>
  <c r="D1413" i="3"/>
  <c r="H1412" i="3"/>
  <c r="G1412" i="3"/>
  <c r="F1412" i="3"/>
  <c r="E1412" i="3"/>
  <c r="D1412" i="3"/>
  <c r="H1411" i="3"/>
  <c r="G1411" i="3"/>
  <c r="F1411" i="3"/>
  <c r="E1411" i="3"/>
  <c r="D1411" i="3"/>
  <c r="H1410" i="3"/>
  <c r="G1410" i="3"/>
  <c r="F1410" i="3"/>
  <c r="E1410" i="3"/>
  <c r="D1410" i="3"/>
  <c r="H1409" i="3"/>
  <c r="G1409" i="3"/>
  <c r="F1409" i="3"/>
  <c r="E1409" i="3"/>
  <c r="D1409" i="3"/>
  <c r="H1408" i="3"/>
  <c r="G1408" i="3"/>
  <c r="F1408" i="3"/>
  <c r="E1408" i="3"/>
  <c r="D1408" i="3"/>
  <c r="H1407" i="3"/>
  <c r="G1407" i="3"/>
  <c r="F1407" i="3"/>
  <c r="E1407" i="3"/>
  <c r="D1407" i="3"/>
  <c r="H1406" i="3"/>
  <c r="G1406" i="3"/>
  <c r="F1406" i="3"/>
  <c r="E1406" i="3"/>
  <c r="D1406" i="3"/>
  <c r="H1405" i="3"/>
  <c r="G1405" i="3"/>
  <c r="F1405" i="3"/>
  <c r="E1405" i="3"/>
  <c r="D1405" i="3"/>
  <c r="H1404" i="3"/>
  <c r="G1404" i="3"/>
  <c r="F1404" i="3"/>
  <c r="E1404" i="3"/>
  <c r="D1404" i="3"/>
  <c r="H1403" i="3"/>
  <c r="G1403" i="3"/>
  <c r="F1403" i="3"/>
  <c r="E1403" i="3"/>
  <c r="D1403" i="3"/>
  <c r="H1402" i="3"/>
  <c r="G1402" i="3"/>
  <c r="F1402" i="3"/>
  <c r="E1402" i="3"/>
  <c r="D1402" i="3"/>
  <c r="H1401" i="3"/>
  <c r="G1401" i="3"/>
  <c r="F1401" i="3"/>
  <c r="E1401" i="3"/>
  <c r="D1401" i="3"/>
  <c r="H1400" i="3"/>
  <c r="G1400" i="3"/>
  <c r="F1400" i="3"/>
  <c r="E1400" i="3"/>
  <c r="D1400" i="3"/>
  <c r="H1399" i="3"/>
  <c r="G1399" i="3"/>
  <c r="F1399" i="3"/>
  <c r="E1399" i="3"/>
  <c r="D1399" i="3"/>
  <c r="H1398" i="3"/>
  <c r="G1398" i="3"/>
  <c r="F1398" i="3"/>
  <c r="E1398" i="3"/>
  <c r="D1398" i="3"/>
  <c r="H1397" i="3"/>
  <c r="G1397" i="3"/>
  <c r="F1397" i="3"/>
  <c r="E1397" i="3"/>
  <c r="D1397" i="3"/>
  <c r="H1396" i="3"/>
  <c r="G1396" i="3"/>
  <c r="F1396" i="3"/>
  <c r="E1396" i="3"/>
  <c r="D1396" i="3"/>
  <c r="H1395" i="3"/>
  <c r="G1395" i="3"/>
  <c r="F1395" i="3"/>
  <c r="E1395" i="3"/>
  <c r="D1395" i="3"/>
  <c r="H1394" i="3"/>
  <c r="G1394" i="3"/>
  <c r="F1394" i="3"/>
  <c r="E1394" i="3"/>
  <c r="D1394" i="3"/>
  <c r="H1393" i="3"/>
  <c r="G1393" i="3"/>
  <c r="F1393" i="3"/>
  <c r="E1393" i="3"/>
  <c r="D1393" i="3"/>
  <c r="H1392" i="3"/>
  <c r="G1392" i="3"/>
  <c r="F1392" i="3"/>
  <c r="E1392" i="3"/>
  <c r="D1392" i="3"/>
  <c r="H1391" i="3"/>
  <c r="G1391" i="3"/>
  <c r="F1391" i="3"/>
  <c r="E1391" i="3"/>
  <c r="D1391" i="3"/>
  <c r="H1390" i="3"/>
  <c r="G1390" i="3"/>
  <c r="F1390" i="3"/>
  <c r="E1390" i="3"/>
  <c r="D1390" i="3"/>
  <c r="H1389" i="3"/>
  <c r="G1389" i="3"/>
  <c r="F1389" i="3"/>
  <c r="E1389" i="3"/>
  <c r="D1389" i="3"/>
  <c r="H1388" i="3"/>
  <c r="G1388" i="3"/>
  <c r="F1388" i="3"/>
  <c r="E1388" i="3"/>
  <c r="D1388" i="3"/>
  <c r="H1387" i="3"/>
  <c r="G1387" i="3"/>
  <c r="F1387" i="3"/>
  <c r="E1387" i="3"/>
  <c r="D1387" i="3"/>
  <c r="H1386" i="3"/>
  <c r="G1386" i="3"/>
  <c r="F1386" i="3"/>
  <c r="E1386" i="3"/>
  <c r="D1386" i="3"/>
  <c r="H1385" i="3"/>
  <c r="G1385" i="3"/>
  <c r="F1385" i="3"/>
  <c r="E1385" i="3"/>
  <c r="D1385" i="3"/>
  <c r="H1384" i="3"/>
  <c r="G1384" i="3"/>
  <c r="F1384" i="3"/>
  <c r="E1384" i="3"/>
  <c r="D1384" i="3"/>
  <c r="H1383" i="3"/>
  <c r="G1383" i="3"/>
  <c r="F1383" i="3"/>
  <c r="E1383" i="3"/>
  <c r="D1383" i="3"/>
  <c r="H1382" i="3"/>
  <c r="G1382" i="3"/>
  <c r="F1382" i="3"/>
  <c r="E1382" i="3"/>
  <c r="D1382" i="3"/>
  <c r="H1381" i="3"/>
  <c r="G1381" i="3"/>
  <c r="F1381" i="3"/>
  <c r="E1381" i="3"/>
  <c r="D1381" i="3"/>
  <c r="H1380" i="3"/>
  <c r="G1380" i="3"/>
  <c r="F1380" i="3"/>
  <c r="E1380" i="3"/>
  <c r="D1380" i="3"/>
  <c r="H1379" i="3"/>
  <c r="G1379" i="3"/>
  <c r="F1379" i="3"/>
  <c r="E1379" i="3"/>
  <c r="D1379" i="3"/>
  <c r="H1378" i="3"/>
  <c r="G1378" i="3"/>
  <c r="F1378" i="3"/>
  <c r="E1378" i="3"/>
  <c r="D1378" i="3"/>
  <c r="H1377" i="3"/>
  <c r="G1377" i="3"/>
  <c r="F1377" i="3"/>
  <c r="E1377" i="3"/>
  <c r="D1377" i="3"/>
  <c r="H1376" i="3"/>
  <c r="G1376" i="3"/>
  <c r="F1376" i="3"/>
  <c r="E1376" i="3"/>
  <c r="D1376" i="3"/>
  <c r="H1375" i="3"/>
  <c r="G1375" i="3"/>
  <c r="F1375" i="3"/>
  <c r="E1375" i="3"/>
  <c r="D1375" i="3"/>
  <c r="H1374" i="3"/>
  <c r="G1374" i="3"/>
  <c r="F1374" i="3"/>
  <c r="E1374" i="3"/>
  <c r="D1374" i="3"/>
  <c r="H1373" i="3"/>
  <c r="G1373" i="3"/>
  <c r="F1373" i="3"/>
  <c r="E1373" i="3"/>
  <c r="D1373" i="3"/>
  <c r="H1372" i="3"/>
  <c r="G1372" i="3"/>
  <c r="F1372" i="3"/>
  <c r="E1372" i="3"/>
  <c r="D1372" i="3"/>
  <c r="H1371" i="3"/>
  <c r="G1371" i="3"/>
  <c r="F1371" i="3"/>
  <c r="E1371" i="3"/>
  <c r="D1371" i="3"/>
  <c r="H1370" i="3"/>
  <c r="G1370" i="3"/>
  <c r="F1370" i="3"/>
  <c r="E1370" i="3"/>
  <c r="D1370" i="3"/>
  <c r="H1369" i="3"/>
  <c r="G1369" i="3"/>
  <c r="F1369" i="3"/>
  <c r="E1369" i="3"/>
  <c r="D1369" i="3"/>
  <c r="H1368" i="3"/>
  <c r="G1368" i="3"/>
  <c r="F1368" i="3"/>
  <c r="E1368" i="3"/>
  <c r="D1368" i="3"/>
  <c r="H1367" i="3"/>
  <c r="G1367" i="3"/>
  <c r="F1367" i="3"/>
  <c r="E1367" i="3"/>
  <c r="D1367" i="3"/>
  <c r="H1366" i="3"/>
  <c r="G1366" i="3"/>
  <c r="F1366" i="3"/>
  <c r="E1366" i="3"/>
  <c r="D1366" i="3"/>
  <c r="H1365" i="3"/>
  <c r="G1365" i="3"/>
  <c r="F1365" i="3"/>
  <c r="E1365" i="3"/>
  <c r="D1365" i="3"/>
  <c r="H1364" i="3"/>
  <c r="G1364" i="3"/>
  <c r="F1364" i="3"/>
  <c r="E1364" i="3"/>
  <c r="D1364" i="3"/>
  <c r="H1363" i="3"/>
  <c r="G1363" i="3"/>
  <c r="F1363" i="3"/>
  <c r="E1363" i="3"/>
  <c r="D1363" i="3"/>
  <c r="H1362" i="3"/>
  <c r="G1362" i="3"/>
  <c r="F1362" i="3"/>
  <c r="E1362" i="3"/>
  <c r="D1362" i="3"/>
  <c r="H1361" i="3"/>
  <c r="G1361" i="3"/>
  <c r="F1361" i="3"/>
  <c r="E1361" i="3"/>
  <c r="D1361" i="3"/>
  <c r="H1360" i="3"/>
  <c r="G1360" i="3"/>
  <c r="F1360" i="3"/>
  <c r="E1360" i="3"/>
  <c r="D1360" i="3"/>
  <c r="H1359" i="3"/>
  <c r="G1359" i="3"/>
  <c r="F1359" i="3"/>
  <c r="E1359" i="3"/>
  <c r="D1359" i="3"/>
  <c r="H1358" i="3"/>
  <c r="G1358" i="3"/>
  <c r="F1358" i="3"/>
  <c r="E1358" i="3"/>
  <c r="D1358" i="3"/>
  <c r="H1357" i="3"/>
  <c r="G1357" i="3"/>
  <c r="F1357" i="3"/>
  <c r="E1357" i="3"/>
  <c r="D1357" i="3"/>
  <c r="H1356" i="3"/>
  <c r="G1356" i="3"/>
  <c r="F1356" i="3"/>
  <c r="E1356" i="3"/>
  <c r="D1356" i="3"/>
  <c r="H1355" i="3"/>
  <c r="G1355" i="3"/>
  <c r="F1355" i="3"/>
  <c r="E1355" i="3"/>
  <c r="D1355" i="3"/>
  <c r="H1354" i="3"/>
  <c r="G1354" i="3"/>
  <c r="F1354" i="3"/>
  <c r="E1354" i="3"/>
  <c r="D1354" i="3"/>
  <c r="H1353" i="3"/>
  <c r="G1353" i="3"/>
  <c r="F1353" i="3"/>
  <c r="E1353" i="3"/>
  <c r="D1353" i="3"/>
  <c r="H1352" i="3"/>
  <c r="G1352" i="3"/>
  <c r="F1352" i="3"/>
  <c r="E1352" i="3"/>
  <c r="D1352" i="3"/>
  <c r="H1351" i="3"/>
  <c r="G1351" i="3"/>
  <c r="F1351" i="3"/>
  <c r="E1351" i="3"/>
  <c r="D1351" i="3"/>
  <c r="H1350" i="3"/>
  <c r="G1350" i="3"/>
  <c r="F1350" i="3"/>
  <c r="E1350" i="3"/>
  <c r="D1350" i="3"/>
  <c r="H1349" i="3"/>
  <c r="G1349" i="3"/>
  <c r="F1349" i="3"/>
  <c r="E1349" i="3"/>
  <c r="D1349" i="3"/>
  <c r="H1348" i="3"/>
  <c r="G1348" i="3"/>
  <c r="F1348" i="3"/>
  <c r="E1348" i="3"/>
  <c r="D1348" i="3"/>
  <c r="H1347" i="3"/>
  <c r="G1347" i="3"/>
  <c r="F1347" i="3"/>
  <c r="E1347" i="3"/>
  <c r="D1347" i="3"/>
  <c r="H1346" i="3"/>
  <c r="G1346" i="3"/>
  <c r="F1346" i="3"/>
  <c r="E1346" i="3"/>
  <c r="D1346" i="3"/>
  <c r="H1345" i="3"/>
  <c r="G1345" i="3"/>
  <c r="F1345" i="3"/>
  <c r="E1345" i="3"/>
  <c r="D1345" i="3"/>
  <c r="H1344" i="3"/>
  <c r="G1344" i="3"/>
  <c r="F1344" i="3"/>
  <c r="E1344" i="3"/>
  <c r="D1344" i="3"/>
  <c r="H1343" i="3"/>
  <c r="G1343" i="3"/>
  <c r="F1343" i="3"/>
  <c r="E1343" i="3"/>
  <c r="D1343" i="3"/>
  <c r="H1342" i="3"/>
  <c r="G1342" i="3"/>
  <c r="F1342" i="3"/>
  <c r="E1342" i="3"/>
  <c r="D1342" i="3"/>
  <c r="H1341" i="3"/>
  <c r="G1341" i="3"/>
  <c r="F1341" i="3"/>
  <c r="E1341" i="3"/>
  <c r="D1341" i="3"/>
  <c r="H1340" i="3"/>
  <c r="G1340" i="3"/>
  <c r="F1340" i="3"/>
  <c r="E1340" i="3"/>
  <c r="D1340" i="3"/>
  <c r="H1339" i="3"/>
  <c r="G1339" i="3"/>
  <c r="F1339" i="3"/>
  <c r="E1339" i="3"/>
  <c r="D1339" i="3"/>
  <c r="H1338" i="3"/>
  <c r="G1338" i="3"/>
  <c r="F1338" i="3"/>
  <c r="E1338" i="3"/>
  <c r="D1338" i="3"/>
  <c r="H1337" i="3"/>
  <c r="G1337" i="3"/>
  <c r="F1337" i="3"/>
  <c r="E1337" i="3"/>
  <c r="D1337" i="3"/>
  <c r="H1336" i="3"/>
  <c r="G1336" i="3"/>
  <c r="F1336" i="3"/>
  <c r="E1336" i="3"/>
  <c r="D1336" i="3"/>
  <c r="H1335" i="3"/>
  <c r="G1335" i="3"/>
  <c r="F1335" i="3"/>
  <c r="E1335" i="3"/>
  <c r="D1335" i="3"/>
  <c r="H1334" i="3"/>
  <c r="G1334" i="3"/>
  <c r="F1334" i="3"/>
  <c r="E1334" i="3"/>
  <c r="D1334" i="3"/>
  <c r="H1333" i="3"/>
  <c r="G1333" i="3"/>
  <c r="F1333" i="3"/>
  <c r="E1333" i="3"/>
  <c r="D1333" i="3"/>
  <c r="H1332" i="3"/>
  <c r="G1332" i="3"/>
  <c r="F1332" i="3"/>
  <c r="E1332" i="3"/>
  <c r="D1332" i="3"/>
  <c r="H1331" i="3"/>
  <c r="G1331" i="3"/>
  <c r="F1331" i="3"/>
  <c r="E1331" i="3"/>
  <c r="D1331" i="3"/>
  <c r="H1330" i="3"/>
  <c r="G1330" i="3"/>
  <c r="F1330" i="3"/>
  <c r="E1330" i="3"/>
  <c r="D1330" i="3"/>
  <c r="H1329" i="3"/>
  <c r="G1329" i="3"/>
  <c r="F1329" i="3"/>
  <c r="E1329" i="3"/>
  <c r="D1329" i="3"/>
  <c r="H1328" i="3"/>
  <c r="G1328" i="3"/>
  <c r="F1328" i="3"/>
  <c r="E1328" i="3"/>
  <c r="D1328" i="3"/>
  <c r="H1327" i="3"/>
  <c r="G1327" i="3"/>
  <c r="F1327" i="3"/>
  <c r="E1327" i="3"/>
  <c r="D1327" i="3"/>
  <c r="H1326" i="3"/>
  <c r="G1326" i="3"/>
  <c r="F1326" i="3"/>
  <c r="E1326" i="3"/>
  <c r="D1326" i="3"/>
  <c r="H1325" i="3"/>
  <c r="G1325" i="3"/>
  <c r="F1325" i="3"/>
  <c r="E1325" i="3"/>
  <c r="D1325" i="3"/>
  <c r="H1324" i="3"/>
  <c r="G1324" i="3"/>
  <c r="F1324" i="3"/>
  <c r="E1324" i="3"/>
  <c r="D1324" i="3"/>
  <c r="H1323" i="3"/>
  <c r="G1323" i="3"/>
  <c r="F1323" i="3"/>
  <c r="E1323" i="3"/>
  <c r="D1323" i="3"/>
  <c r="H1322" i="3"/>
  <c r="G1322" i="3"/>
  <c r="F1322" i="3"/>
  <c r="E1322" i="3"/>
  <c r="D1322" i="3"/>
  <c r="H1321" i="3"/>
  <c r="G1321" i="3"/>
  <c r="F1321" i="3"/>
  <c r="E1321" i="3"/>
  <c r="D1321" i="3"/>
  <c r="H1320" i="3"/>
  <c r="G1320" i="3"/>
  <c r="F1320" i="3"/>
  <c r="E1320" i="3"/>
  <c r="D1320" i="3"/>
  <c r="H1319" i="3"/>
  <c r="G1319" i="3"/>
  <c r="F1319" i="3"/>
  <c r="E1319" i="3"/>
  <c r="D1319" i="3"/>
  <c r="H1318" i="3"/>
  <c r="G1318" i="3"/>
  <c r="F1318" i="3"/>
  <c r="E1318" i="3"/>
  <c r="D1318" i="3"/>
  <c r="H1317" i="3"/>
  <c r="G1317" i="3"/>
  <c r="F1317" i="3"/>
  <c r="E1317" i="3"/>
  <c r="D1317" i="3"/>
  <c r="H1316" i="3"/>
  <c r="G1316" i="3"/>
  <c r="F1316" i="3"/>
  <c r="E1316" i="3"/>
  <c r="D1316" i="3"/>
  <c r="H1315" i="3"/>
  <c r="G1315" i="3"/>
  <c r="F1315" i="3"/>
  <c r="E1315" i="3"/>
  <c r="D1315" i="3"/>
  <c r="H1314" i="3"/>
  <c r="G1314" i="3"/>
  <c r="F1314" i="3"/>
  <c r="E1314" i="3"/>
  <c r="D1314" i="3"/>
  <c r="H1313" i="3"/>
  <c r="G1313" i="3"/>
  <c r="F1313" i="3"/>
  <c r="E1313" i="3"/>
  <c r="D1313" i="3"/>
  <c r="H1312" i="3"/>
  <c r="G1312" i="3"/>
  <c r="F1312" i="3"/>
  <c r="E1312" i="3"/>
  <c r="D1312" i="3"/>
  <c r="H1311" i="3"/>
  <c r="G1311" i="3"/>
  <c r="F1311" i="3"/>
  <c r="E1311" i="3"/>
  <c r="D1311" i="3"/>
  <c r="H1310" i="3"/>
  <c r="G1310" i="3"/>
  <c r="F1310" i="3"/>
  <c r="E1310" i="3"/>
  <c r="D1310" i="3"/>
  <c r="H1309" i="3"/>
  <c r="G1309" i="3"/>
  <c r="F1309" i="3"/>
  <c r="E1309" i="3"/>
  <c r="D1309" i="3"/>
  <c r="H1308" i="3"/>
  <c r="G1308" i="3"/>
  <c r="F1308" i="3"/>
  <c r="E1308" i="3"/>
  <c r="D1308" i="3"/>
  <c r="H1307" i="3"/>
  <c r="G1307" i="3"/>
  <c r="F1307" i="3"/>
  <c r="E1307" i="3"/>
  <c r="D1307" i="3"/>
  <c r="H1306" i="3"/>
  <c r="G1306" i="3"/>
  <c r="F1306" i="3"/>
  <c r="E1306" i="3"/>
  <c r="D1306" i="3"/>
  <c r="H1305" i="3"/>
  <c r="G1305" i="3"/>
  <c r="F1305" i="3"/>
  <c r="E1305" i="3"/>
  <c r="D1305" i="3"/>
  <c r="H1304" i="3"/>
  <c r="G1304" i="3"/>
  <c r="F1304" i="3"/>
  <c r="E1304" i="3"/>
  <c r="D1304" i="3"/>
  <c r="H1303" i="3"/>
  <c r="G1303" i="3"/>
  <c r="F1303" i="3"/>
  <c r="E1303" i="3"/>
  <c r="D1303" i="3"/>
  <c r="H1302" i="3"/>
  <c r="G1302" i="3"/>
  <c r="F1302" i="3"/>
  <c r="E1302" i="3"/>
  <c r="D1302" i="3"/>
  <c r="H1301" i="3"/>
  <c r="G1301" i="3"/>
  <c r="F1301" i="3"/>
  <c r="E1301" i="3"/>
  <c r="D1301" i="3"/>
  <c r="H1300" i="3"/>
  <c r="G1300" i="3"/>
  <c r="F1300" i="3"/>
  <c r="E1300" i="3"/>
  <c r="D1300" i="3"/>
  <c r="H1299" i="3"/>
  <c r="G1299" i="3"/>
  <c r="F1299" i="3"/>
  <c r="E1299" i="3"/>
  <c r="D1299" i="3"/>
  <c r="H1298" i="3"/>
  <c r="G1298" i="3"/>
  <c r="F1298" i="3"/>
  <c r="E1298" i="3"/>
  <c r="D1298" i="3"/>
  <c r="H1297" i="3"/>
  <c r="G1297" i="3"/>
  <c r="F1297" i="3"/>
  <c r="E1297" i="3"/>
  <c r="D1297" i="3"/>
  <c r="H1296" i="3"/>
  <c r="G1296" i="3"/>
  <c r="F1296" i="3"/>
  <c r="E1296" i="3"/>
  <c r="D1296" i="3"/>
  <c r="H1295" i="3"/>
  <c r="G1295" i="3"/>
  <c r="F1295" i="3"/>
  <c r="E1295" i="3"/>
  <c r="D1295" i="3"/>
  <c r="H1294" i="3"/>
  <c r="G1294" i="3"/>
  <c r="F1294" i="3"/>
  <c r="E1294" i="3"/>
  <c r="D1294" i="3"/>
  <c r="H1293" i="3"/>
  <c r="G1293" i="3"/>
  <c r="F1293" i="3"/>
  <c r="E1293" i="3"/>
  <c r="D1293" i="3"/>
  <c r="H1292" i="3"/>
  <c r="G1292" i="3"/>
  <c r="F1292" i="3"/>
  <c r="E1292" i="3"/>
  <c r="D1292" i="3"/>
  <c r="H1291" i="3"/>
  <c r="G1291" i="3"/>
  <c r="F1291" i="3"/>
  <c r="E1291" i="3"/>
  <c r="D1291" i="3"/>
  <c r="H1290" i="3"/>
  <c r="G1290" i="3"/>
  <c r="F1290" i="3"/>
  <c r="E1290" i="3"/>
  <c r="D1290" i="3"/>
  <c r="H1289" i="3"/>
  <c r="G1289" i="3"/>
  <c r="F1289" i="3"/>
  <c r="E1289" i="3"/>
  <c r="D1289" i="3"/>
  <c r="H1288" i="3"/>
  <c r="G1288" i="3"/>
  <c r="F1288" i="3"/>
  <c r="E1288" i="3"/>
  <c r="D1288" i="3"/>
  <c r="H1287" i="3"/>
  <c r="G1287" i="3"/>
  <c r="F1287" i="3"/>
  <c r="E1287" i="3"/>
  <c r="D1287" i="3"/>
  <c r="H1286" i="3"/>
  <c r="G1286" i="3"/>
  <c r="F1286" i="3"/>
  <c r="E1286" i="3"/>
  <c r="D1286" i="3"/>
  <c r="H1285" i="3"/>
  <c r="G1285" i="3"/>
  <c r="F1285" i="3"/>
  <c r="E1285" i="3"/>
  <c r="D1285" i="3"/>
  <c r="H1284" i="3"/>
  <c r="G1284" i="3"/>
  <c r="F1284" i="3"/>
  <c r="E1284" i="3"/>
  <c r="D1284" i="3"/>
  <c r="H1283" i="3"/>
  <c r="G1283" i="3"/>
  <c r="F1283" i="3"/>
  <c r="E1283" i="3"/>
  <c r="D1283" i="3"/>
  <c r="H1282" i="3"/>
  <c r="G1282" i="3"/>
  <c r="F1282" i="3"/>
  <c r="E1282" i="3"/>
  <c r="D1282" i="3"/>
  <c r="H1281" i="3"/>
  <c r="G1281" i="3"/>
  <c r="F1281" i="3"/>
  <c r="E1281" i="3"/>
  <c r="D1281" i="3"/>
  <c r="H1280" i="3"/>
  <c r="G1280" i="3"/>
  <c r="F1280" i="3"/>
  <c r="E1280" i="3"/>
  <c r="D1280" i="3"/>
  <c r="H1279" i="3"/>
  <c r="G1279" i="3"/>
  <c r="F1279" i="3"/>
  <c r="E1279" i="3"/>
  <c r="D1279" i="3"/>
  <c r="H1278" i="3"/>
  <c r="G1278" i="3"/>
  <c r="F1278" i="3"/>
  <c r="E1278" i="3"/>
  <c r="D1278" i="3"/>
  <c r="H1277" i="3"/>
  <c r="G1277" i="3"/>
  <c r="F1277" i="3"/>
  <c r="E1277" i="3"/>
  <c r="D1277" i="3"/>
  <c r="H1276" i="3"/>
  <c r="G1276" i="3"/>
  <c r="F1276" i="3"/>
  <c r="E1276" i="3"/>
  <c r="D1276" i="3"/>
  <c r="H1275" i="3"/>
  <c r="G1275" i="3"/>
  <c r="F1275" i="3"/>
  <c r="E1275" i="3"/>
  <c r="D1275" i="3"/>
  <c r="H1274" i="3"/>
  <c r="G1274" i="3"/>
  <c r="F1274" i="3"/>
  <c r="E1274" i="3"/>
  <c r="D1274" i="3"/>
  <c r="H1273" i="3"/>
  <c r="G1273" i="3"/>
  <c r="F1273" i="3"/>
  <c r="E1273" i="3"/>
  <c r="D1273" i="3"/>
  <c r="H1272" i="3"/>
  <c r="G1272" i="3"/>
  <c r="F1272" i="3"/>
  <c r="E1272" i="3"/>
  <c r="D1272" i="3"/>
  <c r="H1271" i="3"/>
  <c r="G1271" i="3"/>
  <c r="F1271" i="3"/>
  <c r="E1271" i="3"/>
  <c r="D1271" i="3"/>
  <c r="H1270" i="3"/>
  <c r="G1270" i="3"/>
  <c r="F1270" i="3"/>
  <c r="E1270" i="3"/>
  <c r="D1270" i="3"/>
  <c r="H1269" i="3"/>
  <c r="G1269" i="3"/>
  <c r="F1269" i="3"/>
  <c r="E1269" i="3"/>
  <c r="D1269" i="3"/>
  <c r="H1268" i="3"/>
  <c r="G1268" i="3"/>
  <c r="F1268" i="3"/>
  <c r="E1268" i="3"/>
  <c r="D1268" i="3"/>
  <c r="H1267" i="3"/>
  <c r="G1267" i="3"/>
  <c r="F1267" i="3"/>
  <c r="E1267" i="3"/>
  <c r="D1267" i="3"/>
  <c r="H1266" i="3"/>
  <c r="G1266" i="3"/>
  <c r="F1266" i="3"/>
  <c r="E1266" i="3"/>
  <c r="D1266" i="3"/>
  <c r="H1265" i="3"/>
  <c r="G1265" i="3"/>
  <c r="F1265" i="3"/>
  <c r="E1265" i="3"/>
  <c r="D1265" i="3"/>
  <c r="H1264" i="3"/>
  <c r="G1264" i="3"/>
  <c r="F1264" i="3"/>
  <c r="E1264" i="3"/>
  <c r="D1264" i="3"/>
  <c r="H1263" i="3"/>
  <c r="G1263" i="3"/>
  <c r="F1263" i="3"/>
  <c r="E1263" i="3"/>
  <c r="D1263" i="3"/>
  <c r="H1262" i="3"/>
  <c r="G1262" i="3"/>
  <c r="F1262" i="3"/>
  <c r="E1262" i="3"/>
  <c r="D1262" i="3"/>
  <c r="H1261" i="3"/>
  <c r="G1261" i="3"/>
  <c r="F1261" i="3"/>
  <c r="E1261" i="3"/>
  <c r="D1261" i="3"/>
  <c r="H1260" i="3"/>
  <c r="G1260" i="3"/>
  <c r="F1260" i="3"/>
  <c r="E1260" i="3"/>
  <c r="D1260" i="3"/>
  <c r="H1259" i="3"/>
  <c r="G1259" i="3"/>
  <c r="F1259" i="3"/>
  <c r="E1259" i="3"/>
  <c r="D1259" i="3"/>
  <c r="H1258" i="3"/>
  <c r="G1258" i="3"/>
  <c r="F1258" i="3"/>
  <c r="E1258" i="3"/>
  <c r="D1258" i="3"/>
  <c r="H1257" i="3"/>
  <c r="G1257" i="3"/>
  <c r="F1257" i="3"/>
  <c r="E1257" i="3"/>
  <c r="D1257" i="3"/>
  <c r="H1256" i="3"/>
  <c r="G1256" i="3"/>
  <c r="F1256" i="3"/>
  <c r="E1256" i="3"/>
  <c r="D1256" i="3"/>
  <c r="H1255" i="3"/>
  <c r="G1255" i="3"/>
  <c r="F1255" i="3"/>
  <c r="E1255" i="3"/>
  <c r="D1255" i="3"/>
  <c r="H1254" i="3"/>
  <c r="G1254" i="3"/>
  <c r="F1254" i="3"/>
  <c r="E1254" i="3"/>
  <c r="D1254" i="3"/>
  <c r="H1253" i="3"/>
  <c r="G1253" i="3"/>
  <c r="F1253" i="3"/>
  <c r="E1253" i="3"/>
  <c r="D1253" i="3"/>
  <c r="H1252" i="3"/>
  <c r="G1252" i="3"/>
  <c r="F1252" i="3"/>
  <c r="E1252" i="3"/>
  <c r="D1252" i="3"/>
  <c r="H1251" i="3"/>
  <c r="G1251" i="3"/>
  <c r="F1251" i="3"/>
  <c r="E1251" i="3"/>
  <c r="D1251" i="3"/>
  <c r="H1250" i="3"/>
  <c r="G1250" i="3"/>
  <c r="F1250" i="3"/>
  <c r="E1250" i="3"/>
  <c r="D1250" i="3"/>
  <c r="H1249" i="3"/>
  <c r="G1249" i="3"/>
  <c r="F1249" i="3"/>
  <c r="E1249" i="3"/>
  <c r="D1249" i="3"/>
  <c r="H1248" i="3"/>
  <c r="G1248" i="3"/>
  <c r="F1248" i="3"/>
  <c r="E1248" i="3"/>
  <c r="D1248" i="3"/>
  <c r="H1247" i="3"/>
  <c r="G1247" i="3"/>
  <c r="F1247" i="3"/>
  <c r="E1247" i="3"/>
  <c r="D1247" i="3"/>
  <c r="H1246" i="3"/>
  <c r="G1246" i="3"/>
  <c r="F1246" i="3"/>
  <c r="E1246" i="3"/>
  <c r="D1246" i="3"/>
  <c r="H1245" i="3"/>
  <c r="G1245" i="3"/>
  <c r="F1245" i="3"/>
  <c r="E1245" i="3"/>
  <c r="D1245" i="3"/>
  <c r="H1244" i="3"/>
  <c r="G1244" i="3"/>
  <c r="F1244" i="3"/>
  <c r="E1244" i="3"/>
  <c r="D1244" i="3"/>
  <c r="H1243" i="3"/>
  <c r="G1243" i="3"/>
  <c r="F1243" i="3"/>
  <c r="E1243" i="3"/>
  <c r="D1243" i="3"/>
  <c r="H1242" i="3"/>
  <c r="G1242" i="3"/>
  <c r="F1242" i="3"/>
  <c r="E1242" i="3"/>
  <c r="D1242" i="3"/>
  <c r="H1241" i="3"/>
  <c r="G1241" i="3"/>
  <c r="F1241" i="3"/>
  <c r="E1241" i="3"/>
  <c r="D1241" i="3"/>
  <c r="H1240" i="3"/>
  <c r="G1240" i="3"/>
  <c r="F1240" i="3"/>
  <c r="E1240" i="3"/>
  <c r="D1240" i="3"/>
  <c r="H1239" i="3"/>
  <c r="G1239" i="3"/>
  <c r="F1239" i="3"/>
  <c r="E1239" i="3"/>
  <c r="D1239" i="3"/>
  <c r="H1238" i="3"/>
  <c r="G1238" i="3"/>
  <c r="F1238" i="3"/>
  <c r="E1238" i="3"/>
  <c r="D1238" i="3"/>
  <c r="H1237" i="3"/>
  <c r="G1237" i="3"/>
  <c r="F1237" i="3"/>
  <c r="E1237" i="3"/>
  <c r="D1237" i="3"/>
  <c r="H1236" i="3"/>
  <c r="G1236" i="3"/>
  <c r="F1236" i="3"/>
  <c r="E1236" i="3"/>
  <c r="D1236" i="3"/>
  <c r="H1235" i="3"/>
  <c r="G1235" i="3"/>
  <c r="F1235" i="3"/>
  <c r="E1235" i="3"/>
  <c r="D1235" i="3"/>
  <c r="H1234" i="3"/>
  <c r="G1234" i="3"/>
  <c r="F1234" i="3"/>
  <c r="E1234" i="3"/>
  <c r="D1234" i="3"/>
  <c r="H1233" i="3"/>
  <c r="G1233" i="3"/>
  <c r="F1233" i="3"/>
  <c r="E1233" i="3"/>
  <c r="D1233" i="3"/>
  <c r="H1232" i="3"/>
  <c r="G1232" i="3"/>
  <c r="F1232" i="3"/>
  <c r="E1232" i="3"/>
  <c r="D1232" i="3"/>
  <c r="H1231" i="3"/>
  <c r="G1231" i="3"/>
  <c r="F1231" i="3"/>
  <c r="E1231" i="3"/>
  <c r="D1231" i="3"/>
  <c r="H1230" i="3"/>
  <c r="G1230" i="3"/>
  <c r="F1230" i="3"/>
  <c r="E1230" i="3"/>
  <c r="D1230" i="3"/>
  <c r="H1229" i="3"/>
  <c r="G1229" i="3"/>
  <c r="F1229" i="3"/>
  <c r="E1229" i="3"/>
  <c r="D1229" i="3"/>
  <c r="H1228" i="3"/>
  <c r="G1228" i="3"/>
  <c r="F1228" i="3"/>
  <c r="E1228" i="3"/>
  <c r="D1228" i="3"/>
  <c r="H1227" i="3"/>
  <c r="G1227" i="3"/>
  <c r="F1227" i="3"/>
  <c r="E1227" i="3"/>
  <c r="D1227" i="3"/>
  <c r="H1226" i="3"/>
  <c r="G1226" i="3"/>
  <c r="F1226" i="3"/>
  <c r="E1226" i="3"/>
  <c r="D1226" i="3"/>
  <c r="H1225" i="3"/>
  <c r="G1225" i="3"/>
  <c r="F1225" i="3"/>
  <c r="E1225" i="3"/>
  <c r="D1225" i="3"/>
  <c r="H1224" i="3"/>
  <c r="G1224" i="3"/>
  <c r="F1224" i="3"/>
  <c r="E1224" i="3"/>
  <c r="D1224" i="3"/>
  <c r="H1223" i="3"/>
  <c r="G1223" i="3"/>
  <c r="F1223" i="3"/>
  <c r="E1223" i="3"/>
  <c r="D1223" i="3"/>
  <c r="H1222" i="3"/>
  <c r="G1222" i="3"/>
  <c r="F1222" i="3"/>
  <c r="E1222" i="3"/>
  <c r="D1222" i="3"/>
  <c r="H1221" i="3"/>
  <c r="G1221" i="3"/>
  <c r="F1221" i="3"/>
  <c r="E1221" i="3"/>
  <c r="D1221" i="3"/>
  <c r="H1220" i="3"/>
  <c r="G1220" i="3"/>
  <c r="F1220" i="3"/>
  <c r="E1220" i="3"/>
  <c r="D1220" i="3"/>
  <c r="H1219" i="3"/>
  <c r="G1219" i="3"/>
  <c r="F1219" i="3"/>
  <c r="E1219" i="3"/>
  <c r="D1219" i="3"/>
  <c r="H1218" i="3"/>
  <c r="G1218" i="3"/>
  <c r="F1218" i="3"/>
  <c r="E1218" i="3"/>
  <c r="D1218" i="3"/>
  <c r="H1217" i="3"/>
  <c r="G1217" i="3"/>
  <c r="F1217" i="3"/>
  <c r="E1217" i="3"/>
  <c r="D1217" i="3"/>
  <c r="H1216" i="3"/>
  <c r="G1216" i="3"/>
  <c r="F1216" i="3"/>
  <c r="E1216" i="3"/>
  <c r="D1216" i="3"/>
  <c r="H1215" i="3"/>
  <c r="G1215" i="3"/>
  <c r="F1215" i="3"/>
  <c r="E1215" i="3"/>
  <c r="D1215" i="3"/>
  <c r="H1214" i="3"/>
  <c r="G1214" i="3"/>
  <c r="F1214" i="3"/>
  <c r="E1214" i="3"/>
  <c r="D1214" i="3"/>
  <c r="H1213" i="3"/>
  <c r="G1213" i="3"/>
  <c r="F1213" i="3"/>
  <c r="E1213" i="3"/>
  <c r="D1213" i="3"/>
  <c r="H1212" i="3"/>
  <c r="G1212" i="3"/>
  <c r="F1212" i="3"/>
  <c r="E1212" i="3"/>
  <c r="D1212" i="3"/>
  <c r="H1211" i="3"/>
  <c r="G1211" i="3"/>
  <c r="F1211" i="3"/>
  <c r="E1211" i="3"/>
  <c r="D1211" i="3"/>
  <c r="H1210" i="3"/>
  <c r="G1210" i="3"/>
  <c r="F1210" i="3"/>
  <c r="E1210" i="3"/>
  <c r="D1210" i="3"/>
  <c r="H1209" i="3"/>
  <c r="G1209" i="3"/>
  <c r="F1209" i="3"/>
  <c r="E1209" i="3"/>
  <c r="D1209" i="3"/>
  <c r="H1208" i="3"/>
  <c r="G1208" i="3"/>
  <c r="F1208" i="3"/>
  <c r="E1208" i="3"/>
  <c r="D1208" i="3"/>
  <c r="H1207" i="3"/>
  <c r="G1207" i="3"/>
  <c r="F1207" i="3"/>
  <c r="E1207" i="3"/>
  <c r="D1207" i="3"/>
  <c r="H1206" i="3"/>
  <c r="G1206" i="3"/>
  <c r="F1206" i="3"/>
  <c r="E1206" i="3"/>
  <c r="D1206" i="3"/>
  <c r="H1205" i="3"/>
  <c r="G1205" i="3"/>
  <c r="F1205" i="3"/>
  <c r="E1205" i="3"/>
  <c r="D1205" i="3"/>
  <c r="H1204" i="3"/>
  <c r="G1204" i="3"/>
  <c r="F1204" i="3"/>
  <c r="E1204" i="3"/>
  <c r="D1204" i="3"/>
  <c r="H1203" i="3"/>
  <c r="G1203" i="3"/>
  <c r="F1203" i="3"/>
  <c r="E1203" i="3"/>
  <c r="D1203" i="3"/>
  <c r="H1202" i="3"/>
  <c r="G1202" i="3"/>
  <c r="F1202" i="3"/>
  <c r="E1202" i="3"/>
  <c r="D1202" i="3"/>
  <c r="H1201" i="3"/>
  <c r="G1201" i="3"/>
  <c r="F1201" i="3"/>
  <c r="E1201" i="3"/>
  <c r="D1201" i="3"/>
  <c r="H1200" i="3"/>
  <c r="G1200" i="3"/>
  <c r="F1200" i="3"/>
  <c r="E1200" i="3"/>
  <c r="D1200" i="3"/>
  <c r="H1199" i="3"/>
  <c r="G1199" i="3"/>
  <c r="F1199" i="3"/>
  <c r="E1199" i="3"/>
  <c r="D1199" i="3"/>
  <c r="H1198" i="3"/>
  <c r="G1198" i="3"/>
  <c r="F1198" i="3"/>
  <c r="E1198" i="3"/>
  <c r="D1198" i="3"/>
  <c r="H1197" i="3"/>
  <c r="G1197" i="3"/>
  <c r="F1197" i="3"/>
  <c r="E1197" i="3"/>
  <c r="D1197" i="3"/>
  <c r="H1196" i="3"/>
  <c r="G1196" i="3"/>
  <c r="F1196" i="3"/>
  <c r="E1196" i="3"/>
  <c r="D1196" i="3"/>
  <c r="H1195" i="3"/>
  <c r="G1195" i="3"/>
  <c r="F1195" i="3"/>
  <c r="E1195" i="3"/>
  <c r="D1195" i="3"/>
  <c r="H1194" i="3"/>
  <c r="G1194" i="3"/>
  <c r="F1194" i="3"/>
  <c r="E1194" i="3"/>
  <c r="D1194" i="3"/>
  <c r="H1193" i="3"/>
  <c r="G1193" i="3"/>
  <c r="F1193" i="3"/>
  <c r="E1193" i="3"/>
  <c r="D1193" i="3"/>
  <c r="H1192" i="3"/>
  <c r="G1192" i="3"/>
  <c r="F1192" i="3"/>
  <c r="E1192" i="3"/>
  <c r="D1192" i="3"/>
  <c r="H1191" i="3"/>
  <c r="G1191" i="3"/>
  <c r="F1191" i="3"/>
  <c r="E1191" i="3"/>
  <c r="D1191" i="3"/>
  <c r="H1190" i="3"/>
  <c r="G1190" i="3"/>
  <c r="F1190" i="3"/>
  <c r="E1190" i="3"/>
  <c r="D1190" i="3"/>
  <c r="H1189" i="3"/>
  <c r="G1189" i="3"/>
  <c r="F1189" i="3"/>
  <c r="E1189" i="3"/>
  <c r="D1189" i="3"/>
  <c r="H1188" i="3"/>
  <c r="G1188" i="3"/>
  <c r="F1188" i="3"/>
  <c r="E1188" i="3"/>
  <c r="D1188" i="3"/>
  <c r="H1187" i="3"/>
  <c r="G1187" i="3"/>
  <c r="F1187" i="3"/>
  <c r="E1187" i="3"/>
  <c r="D1187" i="3"/>
  <c r="H1186" i="3"/>
  <c r="G1186" i="3"/>
  <c r="F1186" i="3"/>
  <c r="E1186" i="3"/>
  <c r="D1186" i="3"/>
  <c r="H1185" i="3"/>
  <c r="G1185" i="3"/>
  <c r="F1185" i="3"/>
  <c r="E1185" i="3"/>
  <c r="D1185" i="3"/>
  <c r="H1184" i="3"/>
  <c r="G1184" i="3"/>
  <c r="F1184" i="3"/>
  <c r="E1184" i="3"/>
  <c r="D1184" i="3"/>
  <c r="H1183" i="3"/>
  <c r="G1183" i="3"/>
  <c r="F1183" i="3"/>
  <c r="E1183" i="3"/>
  <c r="D1183" i="3"/>
  <c r="H1182" i="3"/>
  <c r="G1182" i="3"/>
  <c r="F1182" i="3"/>
  <c r="E1182" i="3"/>
  <c r="D1182" i="3"/>
  <c r="H1181" i="3"/>
  <c r="G1181" i="3"/>
  <c r="F1181" i="3"/>
  <c r="E1181" i="3"/>
  <c r="D1181" i="3"/>
  <c r="H1180" i="3"/>
  <c r="G1180" i="3"/>
  <c r="F1180" i="3"/>
  <c r="E1180" i="3"/>
  <c r="D1180" i="3"/>
  <c r="H1179" i="3"/>
  <c r="G1179" i="3"/>
  <c r="F1179" i="3"/>
  <c r="E1179" i="3"/>
  <c r="D1179" i="3"/>
  <c r="H1178" i="3"/>
  <c r="G1178" i="3"/>
  <c r="F1178" i="3"/>
  <c r="E1178" i="3"/>
  <c r="D1178" i="3"/>
  <c r="H1177" i="3"/>
  <c r="G1177" i="3"/>
  <c r="F1177" i="3"/>
  <c r="E1177" i="3"/>
  <c r="D1177" i="3"/>
  <c r="H1176" i="3"/>
  <c r="G1176" i="3"/>
  <c r="F1176" i="3"/>
  <c r="E1176" i="3"/>
  <c r="D1176" i="3"/>
  <c r="H1175" i="3"/>
  <c r="G1175" i="3"/>
  <c r="F1175" i="3"/>
  <c r="E1175" i="3"/>
  <c r="D1175" i="3"/>
  <c r="H1174" i="3"/>
  <c r="G1174" i="3"/>
  <c r="F1174" i="3"/>
  <c r="E1174" i="3"/>
  <c r="D1174" i="3"/>
  <c r="H1173" i="3"/>
  <c r="G1173" i="3"/>
  <c r="F1173" i="3"/>
  <c r="E1173" i="3"/>
  <c r="D1173" i="3"/>
  <c r="H1172" i="3"/>
  <c r="G1172" i="3"/>
  <c r="F1172" i="3"/>
  <c r="E1172" i="3"/>
  <c r="D1172" i="3"/>
  <c r="H1171" i="3"/>
  <c r="G1171" i="3"/>
  <c r="F1171" i="3"/>
  <c r="E1171" i="3"/>
  <c r="D1171" i="3"/>
  <c r="H1170" i="3"/>
  <c r="G1170" i="3"/>
  <c r="F1170" i="3"/>
  <c r="E1170" i="3"/>
  <c r="D1170" i="3"/>
  <c r="H1169" i="3"/>
  <c r="G1169" i="3"/>
  <c r="F1169" i="3"/>
  <c r="E1169" i="3"/>
  <c r="D1169" i="3"/>
  <c r="H1168" i="3"/>
  <c r="G1168" i="3"/>
  <c r="F1168" i="3"/>
  <c r="E1168" i="3"/>
  <c r="D1168" i="3"/>
  <c r="H1167" i="3"/>
  <c r="G1167" i="3"/>
  <c r="F1167" i="3"/>
  <c r="E1167" i="3"/>
  <c r="D1167" i="3"/>
  <c r="H1166" i="3"/>
  <c r="G1166" i="3"/>
  <c r="F1166" i="3"/>
  <c r="E1166" i="3"/>
  <c r="D1166" i="3"/>
  <c r="H1165" i="3"/>
  <c r="G1165" i="3"/>
  <c r="F1165" i="3"/>
  <c r="E1165" i="3"/>
  <c r="D1165" i="3"/>
  <c r="H1164" i="3"/>
  <c r="G1164" i="3"/>
  <c r="F1164" i="3"/>
  <c r="E1164" i="3"/>
  <c r="D1164" i="3"/>
  <c r="H1163" i="3"/>
  <c r="G1163" i="3"/>
  <c r="F1163" i="3"/>
  <c r="E1163" i="3"/>
  <c r="D1163" i="3"/>
  <c r="H1162" i="3"/>
  <c r="G1162" i="3"/>
  <c r="F1162" i="3"/>
  <c r="E1162" i="3"/>
  <c r="D1162" i="3"/>
  <c r="H1161" i="3"/>
  <c r="G1161" i="3"/>
  <c r="F1161" i="3"/>
  <c r="E1161" i="3"/>
  <c r="D1161" i="3"/>
  <c r="H1160" i="3"/>
  <c r="G1160" i="3"/>
  <c r="F1160" i="3"/>
  <c r="E1160" i="3"/>
  <c r="D1160" i="3"/>
  <c r="H1159" i="3"/>
  <c r="G1159" i="3"/>
  <c r="F1159" i="3"/>
  <c r="E1159" i="3"/>
  <c r="D1159" i="3"/>
  <c r="H1158" i="3"/>
  <c r="G1158" i="3"/>
  <c r="F1158" i="3"/>
  <c r="E1158" i="3"/>
  <c r="D1158" i="3"/>
  <c r="H1157" i="3"/>
  <c r="G1157" i="3"/>
  <c r="F1157" i="3"/>
  <c r="E1157" i="3"/>
  <c r="D1157" i="3"/>
  <c r="H1156" i="3"/>
  <c r="G1156" i="3"/>
  <c r="F1156" i="3"/>
  <c r="E1156" i="3"/>
  <c r="D1156" i="3"/>
  <c r="H1155" i="3"/>
  <c r="G1155" i="3"/>
  <c r="F1155" i="3"/>
  <c r="E1155" i="3"/>
  <c r="D1155" i="3"/>
  <c r="H1154" i="3"/>
  <c r="G1154" i="3"/>
  <c r="F1154" i="3"/>
  <c r="E1154" i="3"/>
  <c r="D1154" i="3"/>
  <c r="H1153" i="3"/>
  <c r="G1153" i="3"/>
  <c r="F1153" i="3"/>
  <c r="E1153" i="3"/>
  <c r="D1153" i="3"/>
  <c r="H1152" i="3"/>
  <c r="G1152" i="3"/>
  <c r="F1152" i="3"/>
  <c r="E1152" i="3"/>
  <c r="D1152" i="3"/>
  <c r="H1151" i="3"/>
  <c r="G1151" i="3"/>
  <c r="F1151" i="3"/>
  <c r="E1151" i="3"/>
  <c r="D1151" i="3"/>
  <c r="H1150" i="3"/>
  <c r="G1150" i="3"/>
  <c r="F1150" i="3"/>
  <c r="E1150" i="3"/>
  <c r="D1150" i="3"/>
  <c r="H1149" i="3"/>
  <c r="G1149" i="3"/>
  <c r="F1149" i="3"/>
  <c r="E1149" i="3"/>
  <c r="D1149" i="3"/>
  <c r="H1148" i="3"/>
  <c r="G1148" i="3"/>
  <c r="F1148" i="3"/>
  <c r="E1148" i="3"/>
  <c r="D1148" i="3"/>
  <c r="H1147" i="3"/>
  <c r="G1147" i="3"/>
  <c r="F1147" i="3"/>
  <c r="E1147" i="3"/>
  <c r="D1147" i="3"/>
  <c r="H1146" i="3"/>
  <c r="G1146" i="3"/>
  <c r="F1146" i="3"/>
  <c r="E1146" i="3"/>
  <c r="D1146" i="3"/>
  <c r="H1145" i="3"/>
  <c r="G1145" i="3"/>
  <c r="F1145" i="3"/>
  <c r="E1145" i="3"/>
  <c r="D1145" i="3"/>
  <c r="H1144" i="3"/>
  <c r="G1144" i="3"/>
  <c r="F1144" i="3"/>
  <c r="E1144" i="3"/>
  <c r="D1144" i="3"/>
  <c r="H1143" i="3"/>
  <c r="G1143" i="3"/>
  <c r="F1143" i="3"/>
  <c r="E1143" i="3"/>
  <c r="D1143" i="3"/>
  <c r="H1142" i="3"/>
  <c r="G1142" i="3"/>
  <c r="F1142" i="3"/>
  <c r="E1142" i="3"/>
  <c r="D1142" i="3"/>
  <c r="H1141" i="3"/>
  <c r="G1141" i="3"/>
  <c r="F1141" i="3"/>
  <c r="E1141" i="3"/>
  <c r="D1141" i="3"/>
  <c r="H1140" i="3"/>
  <c r="G1140" i="3"/>
  <c r="F1140" i="3"/>
  <c r="E1140" i="3"/>
  <c r="D1140" i="3"/>
  <c r="H1139" i="3"/>
  <c r="G1139" i="3"/>
  <c r="F1139" i="3"/>
  <c r="E1139" i="3"/>
  <c r="D1139" i="3"/>
  <c r="H1138" i="3"/>
  <c r="G1138" i="3"/>
  <c r="F1138" i="3"/>
  <c r="E1138" i="3"/>
  <c r="D1138" i="3"/>
  <c r="H1137" i="3"/>
  <c r="G1137" i="3"/>
  <c r="F1137" i="3"/>
  <c r="E1137" i="3"/>
  <c r="D1137" i="3"/>
  <c r="H1136" i="3"/>
  <c r="G1136" i="3"/>
  <c r="F1136" i="3"/>
  <c r="E1136" i="3"/>
  <c r="D1136" i="3"/>
  <c r="H1135" i="3"/>
  <c r="G1135" i="3"/>
  <c r="F1135" i="3"/>
  <c r="E1135" i="3"/>
  <c r="D1135" i="3"/>
  <c r="H1134" i="3"/>
  <c r="G1134" i="3"/>
  <c r="F1134" i="3"/>
  <c r="E1134" i="3"/>
  <c r="D1134" i="3"/>
  <c r="H1133" i="3"/>
  <c r="G1133" i="3"/>
  <c r="F1133" i="3"/>
  <c r="E1133" i="3"/>
  <c r="D1133" i="3"/>
  <c r="H1132" i="3"/>
  <c r="G1132" i="3"/>
  <c r="F1132" i="3"/>
  <c r="E1132" i="3"/>
  <c r="D1132" i="3"/>
  <c r="H1131" i="3"/>
  <c r="G1131" i="3"/>
  <c r="F1131" i="3"/>
  <c r="E1131" i="3"/>
  <c r="D1131" i="3"/>
  <c r="H1130" i="3"/>
  <c r="G1130" i="3"/>
  <c r="F1130" i="3"/>
  <c r="E1130" i="3"/>
  <c r="D1130" i="3"/>
  <c r="H1129" i="3"/>
  <c r="G1129" i="3"/>
  <c r="F1129" i="3"/>
  <c r="E1129" i="3"/>
  <c r="D1129" i="3"/>
  <c r="H1128" i="3"/>
  <c r="G1128" i="3"/>
  <c r="F1128" i="3"/>
  <c r="E1128" i="3"/>
  <c r="D1128" i="3"/>
  <c r="H1127" i="3"/>
  <c r="G1127" i="3"/>
  <c r="F1127" i="3"/>
  <c r="E1127" i="3"/>
  <c r="D1127" i="3"/>
  <c r="H1126" i="3"/>
  <c r="G1126" i="3"/>
  <c r="F1126" i="3"/>
  <c r="E1126" i="3"/>
  <c r="D1126" i="3"/>
  <c r="H1125" i="3"/>
  <c r="G1125" i="3"/>
  <c r="F1125" i="3"/>
  <c r="E1125" i="3"/>
  <c r="D1125" i="3"/>
  <c r="H1124" i="3"/>
  <c r="G1124" i="3"/>
  <c r="F1124" i="3"/>
  <c r="E1124" i="3"/>
  <c r="D1124" i="3"/>
  <c r="H1123" i="3"/>
  <c r="G1123" i="3"/>
  <c r="F1123" i="3"/>
  <c r="E1123" i="3"/>
  <c r="D1123" i="3"/>
  <c r="H1122" i="3"/>
  <c r="G1122" i="3"/>
  <c r="F1122" i="3"/>
  <c r="E1122" i="3"/>
  <c r="D1122" i="3"/>
  <c r="H1121" i="3"/>
  <c r="G1121" i="3"/>
  <c r="F1121" i="3"/>
  <c r="E1121" i="3"/>
  <c r="D1121" i="3"/>
  <c r="H1120" i="3"/>
  <c r="G1120" i="3"/>
  <c r="F1120" i="3"/>
  <c r="E1120" i="3"/>
  <c r="D1120" i="3"/>
  <c r="H1119" i="3"/>
  <c r="G1119" i="3"/>
  <c r="F1119" i="3"/>
  <c r="E1119" i="3"/>
  <c r="D1119" i="3"/>
  <c r="H1118" i="3"/>
  <c r="G1118" i="3"/>
  <c r="F1118" i="3"/>
  <c r="E1118" i="3"/>
  <c r="D1118" i="3"/>
  <c r="H1117" i="3"/>
  <c r="G1117" i="3"/>
  <c r="F1117" i="3"/>
  <c r="E1117" i="3"/>
  <c r="D1117" i="3"/>
  <c r="H1116" i="3"/>
  <c r="G1116" i="3"/>
  <c r="F1116" i="3"/>
  <c r="E1116" i="3"/>
  <c r="D1116" i="3"/>
  <c r="H1115" i="3"/>
  <c r="G1115" i="3"/>
  <c r="F1115" i="3"/>
  <c r="E1115" i="3"/>
  <c r="D1115" i="3"/>
  <c r="H1114" i="3"/>
  <c r="G1114" i="3"/>
  <c r="F1114" i="3"/>
  <c r="E1114" i="3"/>
  <c r="D1114" i="3"/>
  <c r="H1113" i="3"/>
  <c r="G1113" i="3"/>
  <c r="F1113" i="3"/>
  <c r="E1113" i="3"/>
  <c r="D1113" i="3"/>
  <c r="H1112" i="3"/>
  <c r="G1112" i="3"/>
  <c r="F1112" i="3"/>
  <c r="E1112" i="3"/>
  <c r="D1112" i="3"/>
  <c r="H1111" i="3"/>
  <c r="G1111" i="3"/>
  <c r="F1111" i="3"/>
  <c r="E1111" i="3"/>
  <c r="D1111" i="3"/>
  <c r="H1110" i="3"/>
  <c r="G1110" i="3"/>
  <c r="F1110" i="3"/>
  <c r="E1110" i="3"/>
  <c r="D1110" i="3"/>
  <c r="H1109" i="3"/>
  <c r="G1109" i="3"/>
  <c r="F1109" i="3"/>
  <c r="E1109" i="3"/>
  <c r="D1109" i="3"/>
  <c r="H1108" i="3"/>
  <c r="G1108" i="3"/>
  <c r="F1108" i="3"/>
  <c r="E1108" i="3"/>
  <c r="D1108" i="3"/>
  <c r="H1107" i="3"/>
  <c r="G1107" i="3"/>
  <c r="F1107" i="3"/>
  <c r="E1107" i="3"/>
  <c r="D1107" i="3"/>
  <c r="I1107" i="3" s="1"/>
  <c r="H1106" i="3"/>
  <c r="G1106" i="3"/>
  <c r="F1106" i="3"/>
  <c r="E1106" i="3"/>
  <c r="D1106" i="3"/>
  <c r="H1105" i="3"/>
  <c r="G1105" i="3"/>
  <c r="F1105" i="3"/>
  <c r="E1105" i="3"/>
  <c r="D1105" i="3"/>
  <c r="H1104" i="3"/>
  <c r="G1104" i="3"/>
  <c r="F1104" i="3"/>
  <c r="E1104" i="3"/>
  <c r="D1104" i="3"/>
  <c r="H1103" i="3"/>
  <c r="G1103" i="3"/>
  <c r="F1103" i="3"/>
  <c r="E1103" i="3"/>
  <c r="D1103" i="3"/>
  <c r="H1102" i="3"/>
  <c r="G1102" i="3"/>
  <c r="F1102" i="3"/>
  <c r="E1102" i="3"/>
  <c r="D1102" i="3"/>
  <c r="H1101" i="3"/>
  <c r="G1101" i="3"/>
  <c r="F1101" i="3"/>
  <c r="E1101" i="3"/>
  <c r="D1101" i="3"/>
  <c r="H1100" i="3"/>
  <c r="G1100" i="3"/>
  <c r="F1100" i="3"/>
  <c r="E1100" i="3"/>
  <c r="D1100" i="3"/>
  <c r="H1099" i="3"/>
  <c r="G1099" i="3"/>
  <c r="F1099" i="3"/>
  <c r="E1099" i="3"/>
  <c r="D1099" i="3"/>
  <c r="H1098" i="3"/>
  <c r="G1098" i="3"/>
  <c r="F1098" i="3"/>
  <c r="E1098" i="3"/>
  <c r="D1098" i="3"/>
  <c r="H1097" i="3"/>
  <c r="G1097" i="3"/>
  <c r="F1097" i="3"/>
  <c r="E1097" i="3"/>
  <c r="D1097" i="3"/>
  <c r="H1096" i="3"/>
  <c r="G1096" i="3"/>
  <c r="F1096" i="3"/>
  <c r="E1096" i="3"/>
  <c r="D1096" i="3"/>
  <c r="H1095" i="3"/>
  <c r="G1095" i="3"/>
  <c r="F1095" i="3"/>
  <c r="E1095" i="3"/>
  <c r="D1095" i="3"/>
  <c r="H1094" i="3"/>
  <c r="G1094" i="3"/>
  <c r="F1094" i="3"/>
  <c r="E1094" i="3"/>
  <c r="D1094" i="3"/>
  <c r="H1093" i="3"/>
  <c r="G1093" i="3"/>
  <c r="F1093" i="3"/>
  <c r="E1093" i="3"/>
  <c r="D1093" i="3"/>
  <c r="H1092" i="3"/>
  <c r="G1092" i="3"/>
  <c r="F1092" i="3"/>
  <c r="E1092" i="3"/>
  <c r="D1092" i="3"/>
  <c r="H1091" i="3"/>
  <c r="G1091" i="3"/>
  <c r="F1091" i="3"/>
  <c r="E1091" i="3"/>
  <c r="D1091" i="3"/>
  <c r="H1090" i="3"/>
  <c r="G1090" i="3"/>
  <c r="F1090" i="3"/>
  <c r="E1090" i="3"/>
  <c r="D1090" i="3"/>
  <c r="H1089" i="3"/>
  <c r="G1089" i="3"/>
  <c r="F1089" i="3"/>
  <c r="E1089" i="3"/>
  <c r="D1089" i="3"/>
  <c r="H1088" i="3"/>
  <c r="G1088" i="3"/>
  <c r="F1088" i="3"/>
  <c r="E1088" i="3"/>
  <c r="D1088" i="3"/>
  <c r="H1087" i="3"/>
  <c r="G1087" i="3"/>
  <c r="F1087" i="3"/>
  <c r="E1087" i="3"/>
  <c r="D1087" i="3"/>
  <c r="H1086" i="3"/>
  <c r="G1086" i="3"/>
  <c r="F1086" i="3"/>
  <c r="E1086" i="3"/>
  <c r="D1086" i="3"/>
  <c r="H1085" i="3"/>
  <c r="G1085" i="3"/>
  <c r="F1085" i="3"/>
  <c r="E1085" i="3"/>
  <c r="D1085" i="3"/>
  <c r="H1084" i="3"/>
  <c r="G1084" i="3"/>
  <c r="F1084" i="3"/>
  <c r="E1084" i="3"/>
  <c r="D1084" i="3"/>
  <c r="H1083" i="3"/>
  <c r="G1083" i="3"/>
  <c r="F1083" i="3"/>
  <c r="E1083" i="3"/>
  <c r="D1083" i="3"/>
  <c r="H1082" i="3"/>
  <c r="G1082" i="3"/>
  <c r="F1082" i="3"/>
  <c r="E1082" i="3"/>
  <c r="D1082" i="3"/>
  <c r="H1081" i="3"/>
  <c r="G1081" i="3"/>
  <c r="F1081" i="3"/>
  <c r="E1081" i="3"/>
  <c r="D1081" i="3"/>
  <c r="H1080" i="3"/>
  <c r="G1080" i="3"/>
  <c r="F1080" i="3"/>
  <c r="E1080" i="3"/>
  <c r="D1080" i="3"/>
  <c r="H1079" i="3"/>
  <c r="G1079" i="3"/>
  <c r="F1079" i="3"/>
  <c r="E1079" i="3"/>
  <c r="D1079" i="3"/>
  <c r="H1078" i="3"/>
  <c r="G1078" i="3"/>
  <c r="F1078" i="3"/>
  <c r="E1078" i="3"/>
  <c r="D1078" i="3"/>
  <c r="H1077" i="3"/>
  <c r="G1077" i="3"/>
  <c r="F1077" i="3"/>
  <c r="E1077" i="3"/>
  <c r="D1077" i="3"/>
  <c r="H1076" i="3"/>
  <c r="G1076" i="3"/>
  <c r="F1076" i="3"/>
  <c r="E1076" i="3"/>
  <c r="D1076" i="3"/>
  <c r="H1075" i="3"/>
  <c r="G1075" i="3"/>
  <c r="F1075" i="3"/>
  <c r="E1075" i="3"/>
  <c r="D1075" i="3"/>
  <c r="H1074" i="3"/>
  <c r="G1074" i="3"/>
  <c r="F1074" i="3"/>
  <c r="E1074" i="3"/>
  <c r="D1074" i="3"/>
  <c r="H1073" i="3"/>
  <c r="G1073" i="3"/>
  <c r="F1073" i="3"/>
  <c r="E1073" i="3"/>
  <c r="D1073" i="3"/>
  <c r="H1072" i="3"/>
  <c r="G1072" i="3"/>
  <c r="F1072" i="3"/>
  <c r="E1072" i="3"/>
  <c r="D1072" i="3"/>
  <c r="H1071" i="3"/>
  <c r="G1071" i="3"/>
  <c r="F1071" i="3"/>
  <c r="E1071" i="3"/>
  <c r="D1071" i="3"/>
  <c r="H1070" i="3"/>
  <c r="G1070" i="3"/>
  <c r="F1070" i="3"/>
  <c r="E1070" i="3"/>
  <c r="D1070" i="3"/>
  <c r="H1069" i="3"/>
  <c r="G1069" i="3"/>
  <c r="F1069" i="3"/>
  <c r="E1069" i="3"/>
  <c r="D1069" i="3"/>
  <c r="H1068" i="3"/>
  <c r="G1068" i="3"/>
  <c r="F1068" i="3"/>
  <c r="E1068" i="3"/>
  <c r="D1068" i="3"/>
  <c r="H1067" i="3"/>
  <c r="G1067" i="3"/>
  <c r="F1067" i="3"/>
  <c r="E1067" i="3"/>
  <c r="D1067" i="3"/>
  <c r="H1066" i="3"/>
  <c r="G1066" i="3"/>
  <c r="F1066" i="3"/>
  <c r="E1066" i="3"/>
  <c r="D1066" i="3"/>
  <c r="H1065" i="3"/>
  <c r="G1065" i="3"/>
  <c r="F1065" i="3"/>
  <c r="E1065" i="3"/>
  <c r="D1065" i="3"/>
  <c r="H1064" i="3"/>
  <c r="G1064" i="3"/>
  <c r="F1064" i="3"/>
  <c r="E1064" i="3"/>
  <c r="D1064" i="3"/>
  <c r="H1063" i="3"/>
  <c r="G1063" i="3"/>
  <c r="F1063" i="3"/>
  <c r="E1063" i="3"/>
  <c r="D1063" i="3"/>
  <c r="H1062" i="3"/>
  <c r="G1062" i="3"/>
  <c r="F1062" i="3"/>
  <c r="E1062" i="3"/>
  <c r="D1062" i="3"/>
  <c r="H1061" i="3"/>
  <c r="G1061" i="3"/>
  <c r="F1061" i="3"/>
  <c r="E1061" i="3"/>
  <c r="D1061" i="3"/>
  <c r="H1060" i="3"/>
  <c r="G1060" i="3"/>
  <c r="F1060" i="3"/>
  <c r="E1060" i="3"/>
  <c r="D1060" i="3"/>
  <c r="H1059" i="3"/>
  <c r="G1059" i="3"/>
  <c r="F1059" i="3"/>
  <c r="E1059" i="3"/>
  <c r="D1059" i="3"/>
  <c r="H1058" i="3"/>
  <c r="G1058" i="3"/>
  <c r="F1058" i="3"/>
  <c r="E1058" i="3"/>
  <c r="D1058" i="3"/>
  <c r="H1057" i="3"/>
  <c r="G1057" i="3"/>
  <c r="F1057" i="3"/>
  <c r="E1057" i="3"/>
  <c r="D1057" i="3"/>
  <c r="H1056" i="3"/>
  <c r="G1056" i="3"/>
  <c r="F1056" i="3"/>
  <c r="E1056" i="3"/>
  <c r="D1056" i="3"/>
  <c r="H1055" i="3"/>
  <c r="G1055" i="3"/>
  <c r="F1055" i="3"/>
  <c r="E1055" i="3"/>
  <c r="D1055" i="3"/>
  <c r="H1054" i="3"/>
  <c r="G1054" i="3"/>
  <c r="F1054" i="3"/>
  <c r="E1054" i="3"/>
  <c r="D1054" i="3"/>
  <c r="H1053" i="3"/>
  <c r="G1053" i="3"/>
  <c r="F1053" i="3"/>
  <c r="E1053" i="3"/>
  <c r="D1053" i="3"/>
  <c r="H1052" i="3"/>
  <c r="G1052" i="3"/>
  <c r="F1052" i="3"/>
  <c r="E1052" i="3"/>
  <c r="D1052" i="3"/>
  <c r="H1051" i="3"/>
  <c r="G1051" i="3"/>
  <c r="F1051" i="3"/>
  <c r="E1051" i="3"/>
  <c r="D1051" i="3"/>
  <c r="H1050" i="3"/>
  <c r="G1050" i="3"/>
  <c r="F1050" i="3"/>
  <c r="E1050" i="3"/>
  <c r="D1050" i="3"/>
  <c r="H1049" i="3"/>
  <c r="G1049" i="3"/>
  <c r="F1049" i="3"/>
  <c r="E1049" i="3"/>
  <c r="D1049" i="3"/>
  <c r="H1048" i="3"/>
  <c r="G1048" i="3"/>
  <c r="F1048" i="3"/>
  <c r="E1048" i="3"/>
  <c r="D1048" i="3"/>
  <c r="H1047" i="3"/>
  <c r="G1047" i="3"/>
  <c r="F1047" i="3"/>
  <c r="E1047" i="3"/>
  <c r="D1047" i="3"/>
  <c r="H1046" i="3"/>
  <c r="G1046" i="3"/>
  <c r="F1046" i="3"/>
  <c r="E1046" i="3"/>
  <c r="D1046" i="3"/>
  <c r="H1045" i="3"/>
  <c r="G1045" i="3"/>
  <c r="F1045" i="3"/>
  <c r="E1045" i="3"/>
  <c r="D1045" i="3"/>
  <c r="H1044" i="3"/>
  <c r="G1044" i="3"/>
  <c r="F1044" i="3"/>
  <c r="E1044" i="3"/>
  <c r="D1044" i="3"/>
  <c r="H1043" i="3"/>
  <c r="G1043" i="3"/>
  <c r="F1043" i="3"/>
  <c r="E1043" i="3"/>
  <c r="D1043" i="3"/>
  <c r="H1042" i="3"/>
  <c r="G1042" i="3"/>
  <c r="F1042" i="3"/>
  <c r="E1042" i="3"/>
  <c r="D1042" i="3"/>
  <c r="H1041" i="3"/>
  <c r="G1041" i="3"/>
  <c r="F1041" i="3"/>
  <c r="E1041" i="3"/>
  <c r="D1041" i="3"/>
  <c r="H1040" i="3"/>
  <c r="G1040" i="3"/>
  <c r="F1040" i="3"/>
  <c r="E1040" i="3"/>
  <c r="D1040" i="3"/>
  <c r="H1039" i="3"/>
  <c r="G1039" i="3"/>
  <c r="F1039" i="3"/>
  <c r="E1039" i="3"/>
  <c r="D1039" i="3"/>
  <c r="H1038" i="3"/>
  <c r="G1038" i="3"/>
  <c r="F1038" i="3"/>
  <c r="E1038" i="3"/>
  <c r="D1038" i="3"/>
  <c r="H1037" i="3"/>
  <c r="G1037" i="3"/>
  <c r="F1037" i="3"/>
  <c r="E1037" i="3"/>
  <c r="D1037" i="3"/>
  <c r="H1036" i="3"/>
  <c r="G1036" i="3"/>
  <c r="F1036" i="3"/>
  <c r="E1036" i="3"/>
  <c r="D1036" i="3"/>
  <c r="H1035" i="3"/>
  <c r="G1035" i="3"/>
  <c r="F1035" i="3"/>
  <c r="E1035" i="3"/>
  <c r="D1035" i="3"/>
  <c r="H1034" i="3"/>
  <c r="G1034" i="3"/>
  <c r="F1034" i="3"/>
  <c r="E1034" i="3"/>
  <c r="D1034" i="3"/>
  <c r="H1033" i="3"/>
  <c r="G1033" i="3"/>
  <c r="F1033" i="3"/>
  <c r="E1033" i="3"/>
  <c r="D1033" i="3"/>
  <c r="H1032" i="3"/>
  <c r="G1032" i="3"/>
  <c r="F1032" i="3"/>
  <c r="E1032" i="3"/>
  <c r="D1032" i="3"/>
  <c r="H1031" i="3"/>
  <c r="G1031" i="3"/>
  <c r="F1031" i="3"/>
  <c r="E1031" i="3"/>
  <c r="D1031" i="3"/>
  <c r="H1030" i="3"/>
  <c r="G1030" i="3"/>
  <c r="F1030" i="3"/>
  <c r="E1030" i="3"/>
  <c r="D1030" i="3"/>
  <c r="H1029" i="3"/>
  <c r="G1029" i="3"/>
  <c r="F1029" i="3"/>
  <c r="E1029" i="3"/>
  <c r="D1029" i="3"/>
  <c r="H1028" i="3"/>
  <c r="G1028" i="3"/>
  <c r="F1028" i="3"/>
  <c r="E1028" i="3"/>
  <c r="D1028" i="3"/>
  <c r="H1027" i="3"/>
  <c r="G1027" i="3"/>
  <c r="F1027" i="3"/>
  <c r="E1027" i="3"/>
  <c r="D1027" i="3"/>
  <c r="H1026" i="3"/>
  <c r="G1026" i="3"/>
  <c r="F1026" i="3"/>
  <c r="E1026" i="3"/>
  <c r="D1026" i="3"/>
  <c r="H1025" i="3"/>
  <c r="G1025" i="3"/>
  <c r="F1025" i="3"/>
  <c r="E1025" i="3"/>
  <c r="D1025" i="3"/>
  <c r="H1024" i="3"/>
  <c r="G1024" i="3"/>
  <c r="F1024" i="3"/>
  <c r="E1024" i="3"/>
  <c r="D1024" i="3"/>
  <c r="H1023" i="3"/>
  <c r="G1023" i="3"/>
  <c r="F1023" i="3"/>
  <c r="E1023" i="3"/>
  <c r="D1023" i="3"/>
  <c r="H1022" i="3"/>
  <c r="G1022" i="3"/>
  <c r="F1022" i="3"/>
  <c r="E1022" i="3"/>
  <c r="D1022" i="3"/>
  <c r="H1021" i="3"/>
  <c r="G1021" i="3"/>
  <c r="F1021" i="3"/>
  <c r="E1021" i="3"/>
  <c r="D1021" i="3"/>
  <c r="H1020" i="3"/>
  <c r="G1020" i="3"/>
  <c r="F1020" i="3"/>
  <c r="E1020" i="3"/>
  <c r="D1020" i="3"/>
  <c r="H1019" i="3"/>
  <c r="G1019" i="3"/>
  <c r="F1019" i="3"/>
  <c r="E1019" i="3"/>
  <c r="D1019" i="3"/>
  <c r="H1018" i="3"/>
  <c r="G1018" i="3"/>
  <c r="F1018" i="3"/>
  <c r="E1018" i="3"/>
  <c r="D1018" i="3"/>
  <c r="H1017" i="3"/>
  <c r="G1017" i="3"/>
  <c r="F1017" i="3"/>
  <c r="E1017" i="3"/>
  <c r="D1017" i="3"/>
  <c r="H1016" i="3"/>
  <c r="G1016" i="3"/>
  <c r="F1016" i="3"/>
  <c r="E1016" i="3"/>
  <c r="D1016" i="3"/>
  <c r="H1015" i="3"/>
  <c r="G1015" i="3"/>
  <c r="F1015" i="3"/>
  <c r="E1015" i="3"/>
  <c r="D1015" i="3"/>
  <c r="H1014" i="3"/>
  <c r="G1014" i="3"/>
  <c r="F1014" i="3"/>
  <c r="E1014" i="3"/>
  <c r="D1014" i="3"/>
  <c r="H1013" i="3"/>
  <c r="G1013" i="3"/>
  <c r="F1013" i="3"/>
  <c r="E1013" i="3"/>
  <c r="D1013" i="3"/>
  <c r="H1012" i="3"/>
  <c r="G1012" i="3"/>
  <c r="F1012" i="3"/>
  <c r="E1012" i="3"/>
  <c r="D1012" i="3"/>
  <c r="H1011" i="3"/>
  <c r="G1011" i="3"/>
  <c r="F1011" i="3"/>
  <c r="E1011" i="3"/>
  <c r="D1011" i="3"/>
  <c r="H1010" i="3"/>
  <c r="G1010" i="3"/>
  <c r="F1010" i="3"/>
  <c r="E1010" i="3"/>
  <c r="D1010" i="3"/>
  <c r="H1009" i="3"/>
  <c r="G1009" i="3"/>
  <c r="F1009" i="3"/>
  <c r="E1009" i="3"/>
  <c r="D1009" i="3"/>
  <c r="H1008" i="3"/>
  <c r="G1008" i="3"/>
  <c r="F1008" i="3"/>
  <c r="E1008" i="3"/>
  <c r="D1008" i="3"/>
  <c r="H1007" i="3"/>
  <c r="G1007" i="3"/>
  <c r="F1007" i="3"/>
  <c r="E1007" i="3"/>
  <c r="D1007" i="3"/>
  <c r="H1006" i="3"/>
  <c r="G1006" i="3"/>
  <c r="F1006" i="3"/>
  <c r="E1006" i="3"/>
  <c r="D1006" i="3"/>
  <c r="H1005" i="3"/>
  <c r="G1005" i="3"/>
  <c r="F1005" i="3"/>
  <c r="E1005" i="3"/>
  <c r="D1005" i="3"/>
  <c r="H1004" i="3"/>
  <c r="G1004" i="3"/>
  <c r="F1004" i="3"/>
  <c r="E1004" i="3"/>
  <c r="D1004" i="3"/>
  <c r="H1003" i="3"/>
  <c r="G1003" i="3"/>
  <c r="F1003" i="3"/>
  <c r="E1003" i="3"/>
  <c r="D1003" i="3"/>
  <c r="H1002" i="3"/>
  <c r="G1002" i="3"/>
  <c r="F1002" i="3"/>
  <c r="E1002" i="3"/>
  <c r="D1002" i="3"/>
  <c r="H1001" i="3"/>
  <c r="G1001" i="3"/>
  <c r="F1001" i="3"/>
  <c r="E1001" i="3"/>
  <c r="D1001" i="3"/>
  <c r="H1000" i="3"/>
  <c r="G1000" i="3"/>
  <c r="F1000" i="3"/>
  <c r="E1000" i="3"/>
  <c r="D1000" i="3"/>
  <c r="H999" i="3"/>
  <c r="G999" i="3"/>
  <c r="F999" i="3"/>
  <c r="E999" i="3"/>
  <c r="D999" i="3"/>
  <c r="H998" i="3"/>
  <c r="G998" i="3"/>
  <c r="F998" i="3"/>
  <c r="E998" i="3"/>
  <c r="D998" i="3"/>
  <c r="H997" i="3"/>
  <c r="G997" i="3"/>
  <c r="F997" i="3"/>
  <c r="E997" i="3"/>
  <c r="D997" i="3"/>
  <c r="H996" i="3"/>
  <c r="G996" i="3"/>
  <c r="F996" i="3"/>
  <c r="E996" i="3"/>
  <c r="D996" i="3"/>
  <c r="H995" i="3"/>
  <c r="G995" i="3"/>
  <c r="F995" i="3"/>
  <c r="E995" i="3"/>
  <c r="D995" i="3"/>
  <c r="H994" i="3"/>
  <c r="G994" i="3"/>
  <c r="F994" i="3"/>
  <c r="E994" i="3"/>
  <c r="D994" i="3"/>
  <c r="H993" i="3"/>
  <c r="G993" i="3"/>
  <c r="F993" i="3"/>
  <c r="E993" i="3"/>
  <c r="D993" i="3"/>
  <c r="H992" i="3"/>
  <c r="G992" i="3"/>
  <c r="F992" i="3"/>
  <c r="E992" i="3"/>
  <c r="D992" i="3"/>
  <c r="H991" i="3"/>
  <c r="G991" i="3"/>
  <c r="F991" i="3"/>
  <c r="E991" i="3"/>
  <c r="D991" i="3"/>
  <c r="H990" i="3"/>
  <c r="G990" i="3"/>
  <c r="F990" i="3"/>
  <c r="E990" i="3"/>
  <c r="D990" i="3"/>
  <c r="H989" i="3"/>
  <c r="G989" i="3"/>
  <c r="F989" i="3"/>
  <c r="E989" i="3"/>
  <c r="D989" i="3"/>
  <c r="H988" i="3"/>
  <c r="G988" i="3"/>
  <c r="F988" i="3"/>
  <c r="E988" i="3"/>
  <c r="D988" i="3"/>
  <c r="H987" i="3"/>
  <c r="G987" i="3"/>
  <c r="F987" i="3"/>
  <c r="E987" i="3"/>
  <c r="D987" i="3"/>
  <c r="H986" i="3"/>
  <c r="G986" i="3"/>
  <c r="F986" i="3"/>
  <c r="E986" i="3"/>
  <c r="D986" i="3"/>
  <c r="H985" i="3"/>
  <c r="G985" i="3"/>
  <c r="F985" i="3"/>
  <c r="E985" i="3"/>
  <c r="D985" i="3"/>
  <c r="H984" i="3"/>
  <c r="G984" i="3"/>
  <c r="F984" i="3"/>
  <c r="E984" i="3"/>
  <c r="D984" i="3"/>
  <c r="H983" i="3"/>
  <c r="G983" i="3"/>
  <c r="F983" i="3"/>
  <c r="E983" i="3"/>
  <c r="D983" i="3"/>
  <c r="H982" i="3"/>
  <c r="G982" i="3"/>
  <c r="F982" i="3"/>
  <c r="E982" i="3"/>
  <c r="D982" i="3"/>
  <c r="H981" i="3"/>
  <c r="G981" i="3"/>
  <c r="F981" i="3"/>
  <c r="E981" i="3"/>
  <c r="D981" i="3"/>
  <c r="H980" i="3"/>
  <c r="G980" i="3"/>
  <c r="F980" i="3"/>
  <c r="E980" i="3"/>
  <c r="D980" i="3"/>
  <c r="H979" i="3"/>
  <c r="G979" i="3"/>
  <c r="F979" i="3"/>
  <c r="E979" i="3"/>
  <c r="D979" i="3"/>
  <c r="H978" i="3"/>
  <c r="G978" i="3"/>
  <c r="F978" i="3"/>
  <c r="E978" i="3"/>
  <c r="D978" i="3"/>
  <c r="H977" i="3"/>
  <c r="G977" i="3"/>
  <c r="F977" i="3"/>
  <c r="E977" i="3"/>
  <c r="D977" i="3"/>
  <c r="H976" i="3"/>
  <c r="G976" i="3"/>
  <c r="F976" i="3"/>
  <c r="E976" i="3"/>
  <c r="D976" i="3"/>
  <c r="H975" i="3"/>
  <c r="G975" i="3"/>
  <c r="F975" i="3"/>
  <c r="E975" i="3"/>
  <c r="D975" i="3"/>
  <c r="H974" i="3"/>
  <c r="G974" i="3"/>
  <c r="F974" i="3"/>
  <c r="E974" i="3"/>
  <c r="D974" i="3"/>
  <c r="H973" i="3"/>
  <c r="G973" i="3"/>
  <c r="F973" i="3"/>
  <c r="E973" i="3"/>
  <c r="D973" i="3"/>
  <c r="H972" i="3"/>
  <c r="G972" i="3"/>
  <c r="F972" i="3"/>
  <c r="E972" i="3"/>
  <c r="D972" i="3"/>
  <c r="H971" i="3"/>
  <c r="G971" i="3"/>
  <c r="F971" i="3"/>
  <c r="E971" i="3"/>
  <c r="D971" i="3"/>
  <c r="H970" i="3"/>
  <c r="G970" i="3"/>
  <c r="F970" i="3"/>
  <c r="E970" i="3"/>
  <c r="D970" i="3"/>
  <c r="H969" i="3"/>
  <c r="G969" i="3"/>
  <c r="F969" i="3"/>
  <c r="E969" i="3"/>
  <c r="D969" i="3"/>
  <c r="H968" i="3"/>
  <c r="G968" i="3"/>
  <c r="F968" i="3"/>
  <c r="E968" i="3"/>
  <c r="D968" i="3"/>
  <c r="H967" i="3"/>
  <c r="G967" i="3"/>
  <c r="F967" i="3"/>
  <c r="E967" i="3"/>
  <c r="D967" i="3"/>
  <c r="H966" i="3"/>
  <c r="G966" i="3"/>
  <c r="F966" i="3"/>
  <c r="E966" i="3"/>
  <c r="D966" i="3"/>
  <c r="H965" i="3"/>
  <c r="G965" i="3"/>
  <c r="F965" i="3"/>
  <c r="E965" i="3"/>
  <c r="D965" i="3"/>
  <c r="H964" i="3"/>
  <c r="G964" i="3"/>
  <c r="F964" i="3"/>
  <c r="E964" i="3"/>
  <c r="D964" i="3"/>
  <c r="H963" i="3"/>
  <c r="G963" i="3"/>
  <c r="F963" i="3"/>
  <c r="E963" i="3"/>
  <c r="D963" i="3"/>
  <c r="H962" i="3"/>
  <c r="G962" i="3"/>
  <c r="F962" i="3"/>
  <c r="E962" i="3"/>
  <c r="D962" i="3"/>
  <c r="H961" i="3"/>
  <c r="G961" i="3"/>
  <c r="F961" i="3"/>
  <c r="E961" i="3"/>
  <c r="D961" i="3"/>
  <c r="H960" i="3"/>
  <c r="G960" i="3"/>
  <c r="F960" i="3"/>
  <c r="E960" i="3"/>
  <c r="D960" i="3"/>
  <c r="H959" i="3"/>
  <c r="G959" i="3"/>
  <c r="F959" i="3"/>
  <c r="E959" i="3"/>
  <c r="D959" i="3"/>
  <c r="H958" i="3"/>
  <c r="G958" i="3"/>
  <c r="F958" i="3"/>
  <c r="E958" i="3"/>
  <c r="D958" i="3"/>
  <c r="H957" i="3"/>
  <c r="G957" i="3"/>
  <c r="F957" i="3"/>
  <c r="E957" i="3"/>
  <c r="D957" i="3"/>
  <c r="H956" i="3"/>
  <c r="G956" i="3"/>
  <c r="F956" i="3"/>
  <c r="E956" i="3"/>
  <c r="D956" i="3"/>
  <c r="H955" i="3"/>
  <c r="G955" i="3"/>
  <c r="F955" i="3"/>
  <c r="E955" i="3"/>
  <c r="D955" i="3"/>
  <c r="H954" i="3"/>
  <c r="G954" i="3"/>
  <c r="F954" i="3"/>
  <c r="E954" i="3"/>
  <c r="D954" i="3"/>
  <c r="H953" i="3"/>
  <c r="G953" i="3"/>
  <c r="F953" i="3"/>
  <c r="E953" i="3"/>
  <c r="D953" i="3"/>
  <c r="H952" i="3"/>
  <c r="G952" i="3"/>
  <c r="F952" i="3"/>
  <c r="E952" i="3"/>
  <c r="D952" i="3"/>
  <c r="H951" i="3"/>
  <c r="G951" i="3"/>
  <c r="F951" i="3"/>
  <c r="E951" i="3"/>
  <c r="D951" i="3"/>
  <c r="H950" i="3"/>
  <c r="G950" i="3"/>
  <c r="F950" i="3"/>
  <c r="E950" i="3"/>
  <c r="D950" i="3"/>
  <c r="H949" i="3"/>
  <c r="G949" i="3"/>
  <c r="F949" i="3"/>
  <c r="E949" i="3"/>
  <c r="D949" i="3"/>
  <c r="H948" i="3"/>
  <c r="G948" i="3"/>
  <c r="F948" i="3"/>
  <c r="E948" i="3"/>
  <c r="D948" i="3"/>
  <c r="H947" i="3"/>
  <c r="G947" i="3"/>
  <c r="F947" i="3"/>
  <c r="E947" i="3"/>
  <c r="D947" i="3"/>
  <c r="H946" i="3"/>
  <c r="G946" i="3"/>
  <c r="F946" i="3"/>
  <c r="E946" i="3"/>
  <c r="D946" i="3"/>
  <c r="H945" i="3"/>
  <c r="G945" i="3"/>
  <c r="F945" i="3"/>
  <c r="E945" i="3"/>
  <c r="D945" i="3"/>
  <c r="H944" i="3"/>
  <c r="G944" i="3"/>
  <c r="F944" i="3"/>
  <c r="E944" i="3"/>
  <c r="D944" i="3"/>
  <c r="H943" i="3"/>
  <c r="G943" i="3"/>
  <c r="F943" i="3"/>
  <c r="E943" i="3"/>
  <c r="D943" i="3"/>
  <c r="H942" i="3"/>
  <c r="G942" i="3"/>
  <c r="F942" i="3"/>
  <c r="E942" i="3"/>
  <c r="D942" i="3"/>
  <c r="H941" i="3"/>
  <c r="G941" i="3"/>
  <c r="F941" i="3"/>
  <c r="E941" i="3"/>
  <c r="D941" i="3"/>
  <c r="H940" i="3"/>
  <c r="G940" i="3"/>
  <c r="F940" i="3"/>
  <c r="E940" i="3"/>
  <c r="D940" i="3"/>
  <c r="H939" i="3"/>
  <c r="G939" i="3"/>
  <c r="F939" i="3"/>
  <c r="E939" i="3"/>
  <c r="D939" i="3"/>
  <c r="H938" i="3"/>
  <c r="G938" i="3"/>
  <c r="F938" i="3"/>
  <c r="E938" i="3"/>
  <c r="D938" i="3"/>
  <c r="H937" i="3"/>
  <c r="G937" i="3"/>
  <c r="F937" i="3"/>
  <c r="E937" i="3"/>
  <c r="D937" i="3"/>
  <c r="H936" i="3"/>
  <c r="G936" i="3"/>
  <c r="F936" i="3"/>
  <c r="E936" i="3"/>
  <c r="D936" i="3"/>
  <c r="H935" i="3"/>
  <c r="G935" i="3"/>
  <c r="F935" i="3"/>
  <c r="E935" i="3"/>
  <c r="D935" i="3"/>
  <c r="H934" i="3"/>
  <c r="G934" i="3"/>
  <c r="F934" i="3"/>
  <c r="E934" i="3"/>
  <c r="D934" i="3"/>
  <c r="H933" i="3"/>
  <c r="G933" i="3"/>
  <c r="F933" i="3"/>
  <c r="E933" i="3"/>
  <c r="D933" i="3"/>
  <c r="H932" i="3"/>
  <c r="G932" i="3"/>
  <c r="F932" i="3"/>
  <c r="E932" i="3"/>
  <c r="D932" i="3"/>
  <c r="H931" i="3"/>
  <c r="G931" i="3"/>
  <c r="F931" i="3"/>
  <c r="E931" i="3"/>
  <c r="D931" i="3"/>
  <c r="H930" i="3"/>
  <c r="G930" i="3"/>
  <c r="F930" i="3"/>
  <c r="E930" i="3"/>
  <c r="D930" i="3"/>
  <c r="H929" i="3"/>
  <c r="G929" i="3"/>
  <c r="F929" i="3"/>
  <c r="E929" i="3"/>
  <c r="D929" i="3"/>
  <c r="H928" i="3"/>
  <c r="G928" i="3"/>
  <c r="F928" i="3"/>
  <c r="E928" i="3"/>
  <c r="D928" i="3"/>
  <c r="H927" i="3"/>
  <c r="G927" i="3"/>
  <c r="F927" i="3"/>
  <c r="E927" i="3"/>
  <c r="D927" i="3"/>
  <c r="H926" i="3"/>
  <c r="G926" i="3"/>
  <c r="F926" i="3"/>
  <c r="E926" i="3"/>
  <c r="D926" i="3"/>
  <c r="H925" i="3"/>
  <c r="G925" i="3"/>
  <c r="F925" i="3"/>
  <c r="E925" i="3"/>
  <c r="D925" i="3"/>
  <c r="H924" i="3"/>
  <c r="G924" i="3"/>
  <c r="F924" i="3"/>
  <c r="E924" i="3"/>
  <c r="D924" i="3"/>
  <c r="H923" i="3"/>
  <c r="G923" i="3"/>
  <c r="F923" i="3"/>
  <c r="E923" i="3"/>
  <c r="D923" i="3"/>
  <c r="H922" i="3"/>
  <c r="G922" i="3"/>
  <c r="F922" i="3"/>
  <c r="E922" i="3"/>
  <c r="D922" i="3"/>
  <c r="H921" i="3"/>
  <c r="G921" i="3"/>
  <c r="F921" i="3"/>
  <c r="E921" i="3"/>
  <c r="D921" i="3"/>
  <c r="H920" i="3"/>
  <c r="G920" i="3"/>
  <c r="F920" i="3"/>
  <c r="E920" i="3"/>
  <c r="D920" i="3"/>
  <c r="H919" i="3"/>
  <c r="G919" i="3"/>
  <c r="F919" i="3"/>
  <c r="E919" i="3"/>
  <c r="D919" i="3"/>
  <c r="H918" i="3"/>
  <c r="G918" i="3"/>
  <c r="F918" i="3"/>
  <c r="E918" i="3"/>
  <c r="D918" i="3"/>
  <c r="H917" i="3"/>
  <c r="G917" i="3"/>
  <c r="F917" i="3"/>
  <c r="E917" i="3"/>
  <c r="D917" i="3"/>
  <c r="H916" i="3"/>
  <c r="G916" i="3"/>
  <c r="F916" i="3"/>
  <c r="E916" i="3"/>
  <c r="D916" i="3"/>
  <c r="H915" i="3"/>
  <c r="G915" i="3"/>
  <c r="F915" i="3"/>
  <c r="E915" i="3"/>
  <c r="D915" i="3"/>
  <c r="H914" i="3"/>
  <c r="G914" i="3"/>
  <c r="F914" i="3"/>
  <c r="E914" i="3"/>
  <c r="D914" i="3"/>
  <c r="H913" i="3"/>
  <c r="G913" i="3"/>
  <c r="F913" i="3"/>
  <c r="E913" i="3"/>
  <c r="D913" i="3"/>
  <c r="H912" i="3"/>
  <c r="G912" i="3"/>
  <c r="F912" i="3"/>
  <c r="E912" i="3"/>
  <c r="D912" i="3"/>
  <c r="H911" i="3"/>
  <c r="G911" i="3"/>
  <c r="F911" i="3"/>
  <c r="E911" i="3"/>
  <c r="D911" i="3"/>
  <c r="H910" i="3"/>
  <c r="G910" i="3"/>
  <c r="F910" i="3"/>
  <c r="E910" i="3"/>
  <c r="D910" i="3"/>
  <c r="H909" i="3"/>
  <c r="G909" i="3"/>
  <c r="F909" i="3"/>
  <c r="E909" i="3"/>
  <c r="D909" i="3"/>
  <c r="H908" i="3"/>
  <c r="G908" i="3"/>
  <c r="F908" i="3"/>
  <c r="E908" i="3"/>
  <c r="D908" i="3"/>
  <c r="H907" i="3"/>
  <c r="G907" i="3"/>
  <c r="F907" i="3"/>
  <c r="E907" i="3"/>
  <c r="D907" i="3"/>
  <c r="H906" i="3"/>
  <c r="G906" i="3"/>
  <c r="F906" i="3"/>
  <c r="E906" i="3"/>
  <c r="D906" i="3"/>
  <c r="H905" i="3"/>
  <c r="G905" i="3"/>
  <c r="F905" i="3"/>
  <c r="E905" i="3"/>
  <c r="D905" i="3"/>
  <c r="H904" i="3"/>
  <c r="G904" i="3"/>
  <c r="F904" i="3"/>
  <c r="E904" i="3"/>
  <c r="D904" i="3"/>
  <c r="H903" i="3"/>
  <c r="G903" i="3"/>
  <c r="F903" i="3"/>
  <c r="E903" i="3"/>
  <c r="D903" i="3"/>
  <c r="H902" i="3"/>
  <c r="G902" i="3"/>
  <c r="F902" i="3"/>
  <c r="E902" i="3"/>
  <c r="D902" i="3"/>
  <c r="H901" i="3"/>
  <c r="G901" i="3"/>
  <c r="F901" i="3"/>
  <c r="E901" i="3"/>
  <c r="D901" i="3"/>
  <c r="H900" i="3"/>
  <c r="G900" i="3"/>
  <c r="F900" i="3"/>
  <c r="E900" i="3"/>
  <c r="D900" i="3"/>
  <c r="H899" i="3"/>
  <c r="G899" i="3"/>
  <c r="F899" i="3"/>
  <c r="E899" i="3"/>
  <c r="D899" i="3"/>
  <c r="H898" i="3"/>
  <c r="G898" i="3"/>
  <c r="F898" i="3"/>
  <c r="E898" i="3"/>
  <c r="D898" i="3"/>
  <c r="H897" i="3"/>
  <c r="G897" i="3"/>
  <c r="F897" i="3"/>
  <c r="E897" i="3"/>
  <c r="D897" i="3"/>
  <c r="H896" i="3"/>
  <c r="G896" i="3"/>
  <c r="F896" i="3"/>
  <c r="E896" i="3"/>
  <c r="D896" i="3"/>
  <c r="H895" i="3"/>
  <c r="G895" i="3"/>
  <c r="F895" i="3"/>
  <c r="E895" i="3"/>
  <c r="D895" i="3"/>
  <c r="H894" i="3"/>
  <c r="G894" i="3"/>
  <c r="F894" i="3"/>
  <c r="E894" i="3"/>
  <c r="D894" i="3"/>
  <c r="H893" i="3"/>
  <c r="G893" i="3"/>
  <c r="F893" i="3"/>
  <c r="E893" i="3"/>
  <c r="D893" i="3"/>
  <c r="H892" i="3"/>
  <c r="G892" i="3"/>
  <c r="F892" i="3"/>
  <c r="E892" i="3"/>
  <c r="D892" i="3"/>
  <c r="H891" i="3"/>
  <c r="G891" i="3"/>
  <c r="F891" i="3"/>
  <c r="E891" i="3"/>
  <c r="D891" i="3"/>
  <c r="H890" i="3"/>
  <c r="G890" i="3"/>
  <c r="F890" i="3"/>
  <c r="E890" i="3"/>
  <c r="D890" i="3"/>
  <c r="H889" i="3"/>
  <c r="G889" i="3"/>
  <c r="F889" i="3"/>
  <c r="E889" i="3"/>
  <c r="D889" i="3"/>
  <c r="H888" i="3"/>
  <c r="G888" i="3"/>
  <c r="F888" i="3"/>
  <c r="E888" i="3"/>
  <c r="D888" i="3"/>
  <c r="H887" i="3"/>
  <c r="G887" i="3"/>
  <c r="F887" i="3"/>
  <c r="E887" i="3"/>
  <c r="D887" i="3"/>
  <c r="H886" i="3"/>
  <c r="G886" i="3"/>
  <c r="F886" i="3"/>
  <c r="E886" i="3"/>
  <c r="D886" i="3"/>
  <c r="H885" i="3"/>
  <c r="G885" i="3"/>
  <c r="F885" i="3"/>
  <c r="E885" i="3"/>
  <c r="D885" i="3"/>
  <c r="H884" i="3"/>
  <c r="G884" i="3"/>
  <c r="F884" i="3"/>
  <c r="E884" i="3"/>
  <c r="D884" i="3"/>
  <c r="H883" i="3"/>
  <c r="G883" i="3"/>
  <c r="F883" i="3"/>
  <c r="E883" i="3"/>
  <c r="D883" i="3"/>
  <c r="H882" i="3"/>
  <c r="G882" i="3"/>
  <c r="F882" i="3"/>
  <c r="E882" i="3"/>
  <c r="D882" i="3"/>
  <c r="H881" i="3"/>
  <c r="G881" i="3"/>
  <c r="F881" i="3"/>
  <c r="E881" i="3"/>
  <c r="D881" i="3"/>
  <c r="H880" i="3"/>
  <c r="G880" i="3"/>
  <c r="F880" i="3"/>
  <c r="E880" i="3"/>
  <c r="D880" i="3"/>
  <c r="H879" i="3"/>
  <c r="G879" i="3"/>
  <c r="F879" i="3"/>
  <c r="E879" i="3"/>
  <c r="D879" i="3"/>
  <c r="H878" i="3"/>
  <c r="G878" i="3"/>
  <c r="F878" i="3"/>
  <c r="E878" i="3"/>
  <c r="D878" i="3"/>
  <c r="H877" i="3"/>
  <c r="G877" i="3"/>
  <c r="F877" i="3"/>
  <c r="E877" i="3"/>
  <c r="D877" i="3"/>
  <c r="H876" i="3"/>
  <c r="G876" i="3"/>
  <c r="F876" i="3"/>
  <c r="E876" i="3"/>
  <c r="D876" i="3"/>
  <c r="H875" i="3"/>
  <c r="G875" i="3"/>
  <c r="F875" i="3"/>
  <c r="E875" i="3"/>
  <c r="D875" i="3"/>
  <c r="H874" i="3"/>
  <c r="G874" i="3"/>
  <c r="F874" i="3"/>
  <c r="E874" i="3"/>
  <c r="D874" i="3"/>
  <c r="H873" i="3"/>
  <c r="G873" i="3"/>
  <c r="F873" i="3"/>
  <c r="E873" i="3"/>
  <c r="D873" i="3"/>
  <c r="H872" i="3"/>
  <c r="G872" i="3"/>
  <c r="F872" i="3"/>
  <c r="E872" i="3"/>
  <c r="D872" i="3"/>
  <c r="H871" i="3"/>
  <c r="G871" i="3"/>
  <c r="F871" i="3"/>
  <c r="E871" i="3"/>
  <c r="D871" i="3"/>
  <c r="H870" i="3"/>
  <c r="G870" i="3"/>
  <c r="F870" i="3"/>
  <c r="E870" i="3"/>
  <c r="D870" i="3"/>
  <c r="H869" i="3"/>
  <c r="G869" i="3"/>
  <c r="F869" i="3"/>
  <c r="E869" i="3"/>
  <c r="D869" i="3"/>
  <c r="H868" i="3"/>
  <c r="G868" i="3"/>
  <c r="F868" i="3"/>
  <c r="E868" i="3"/>
  <c r="D868" i="3"/>
  <c r="H867" i="3"/>
  <c r="G867" i="3"/>
  <c r="F867" i="3"/>
  <c r="E867" i="3"/>
  <c r="D867" i="3"/>
  <c r="H866" i="3"/>
  <c r="G866" i="3"/>
  <c r="F866" i="3"/>
  <c r="E866" i="3"/>
  <c r="D866" i="3"/>
  <c r="H865" i="3"/>
  <c r="G865" i="3"/>
  <c r="F865" i="3"/>
  <c r="E865" i="3"/>
  <c r="D865" i="3"/>
  <c r="H864" i="3"/>
  <c r="G864" i="3"/>
  <c r="F864" i="3"/>
  <c r="E864" i="3"/>
  <c r="D864" i="3"/>
  <c r="H863" i="3"/>
  <c r="G863" i="3"/>
  <c r="F863" i="3"/>
  <c r="E863" i="3"/>
  <c r="D863" i="3"/>
  <c r="H862" i="3"/>
  <c r="G862" i="3"/>
  <c r="F862" i="3"/>
  <c r="E862" i="3"/>
  <c r="D862" i="3"/>
  <c r="H861" i="3"/>
  <c r="G861" i="3"/>
  <c r="F861" i="3"/>
  <c r="E861" i="3"/>
  <c r="D861" i="3"/>
  <c r="H860" i="3"/>
  <c r="G860" i="3"/>
  <c r="F860" i="3"/>
  <c r="E860" i="3"/>
  <c r="D860" i="3"/>
  <c r="H859" i="3"/>
  <c r="G859" i="3"/>
  <c r="F859" i="3"/>
  <c r="E859" i="3"/>
  <c r="D859" i="3"/>
  <c r="H858" i="3"/>
  <c r="G858" i="3"/>
  <c r="F858" i="3"/>
  <c r="E858" i="3"/>
  <c r="D858" i="3"/>
  <c r="H857" i="3"/>
  <c r="G857" i="3"/>
  <c r="F857" i="3"/>
  <c r="E857" i="3"/>
  <c r="D857" i="3"/>
  <c r="H856" i="3"/>
  <c r="G856" i="3"/>
  <c r="F856" i="3"/>
  <c r="E856" i="3"/>
  <c r="D856" i="3"/>
  <c r="H855" i="3"/>
  <c r="G855" i="3"/>
  <c r="F855" i="3"/>
  <c r="E855" i="3"/>
  <c r="D855" i="3"/>
  <c r="H854" i="3"/>
  <c r="G854" i="3"/>
  <c r="F854" i="3"/>
  <c r="E854" i="3"/>
  <c r="D854" i="3"/>
  <c r="H853" i="3"/>
  <c r="G853" i="3"/>
  <c r="F853" i="3"/>
  <c r="E853" i="3"/>
  <c r="D853" i="3"/>
  <c r="H852" i="3"/>
  <c r="G852" i="3"/>
  <c r="F852" i="3"/>
  <c r="E852" i="3"/>
  <c r="D852" i="3"/>
  <c r="H851" i="3"/>
  <c r="G851" i="3"/>
  <c r="F851" i="3"/>
  <c r="E851" i="3"/>
  <c r="D851" i="3"/>
  <c r="H850" i="3"/>
  <c r="G850" i="3"/>
  <c r="F850" i="3"/>
  <c r="E850" i="3"/>
  <c r="D850" i="3"/>
  <c r="H849" i="3"/>
  <c r="G849" i="3"/>
  <c r="F849" i="3"/>
  <c r="E849" i="3"/>
  <c r="D849" i="3"/>
  <c r="H848" i="3"/>
  <c r="G848" i="3"/>
  <c r="F848" i="3"/>
  <c r="E848" i="3"/>
  <c r="D848" i="3"/>
  <c r="H847" i="3"/>
  <c r="G847" i="3"/>
  <c r="F847" i="3"/>
  <c r="E847" i="3"/>
  <c r="D847" i="3"/>
  <c r="H846" i="3"/>
  <c r="G846" i="3"/>
  <c r="F846" i="3"/>
  <c r="E846" i="3"/>
  <c r="D846" i="3"/>
  <c r="H845" i="3"/>
  <c r="G845" i="3"/>
  <c r="F845" i="3"/>
  <c r="E845" i="3"/>
  <c r="D845" i="3"/>
  <c r="H844" i="3"/>
  <c r="G844" i="3"/>
  <c r="F844" i="3"/>
  <c r="E844" i="3"/>
  <c r="D844" i="3"/>
  <c r="H843" i="3"/>
  <c r="G843" i="3"/>
  <c r="F843" i="3"/>
  <c r="E843" i="3"/>
  <c r="D843" i="3"/>
  <c r="H842" i="3"/>
  <c r="G842" i="3"/>
  <c r="F842" i="3"/>
  <c r="E842" i="3"/>
  <c r="D842" i="3"/>
  <c r="H841" i="3"/>
  <c r="G841" i="3"/>
  <c r="F841" i="3"/>
  <c r="E841" i="3"/>
  <c r="D841" i="3"/>
  <c r="H840" i="3"/>
  <c r="G840" i="3"/>
  <c r="F840" i="3"/>
  <c r="E840" i="3"/>
  <c r="D840" i="3"/>
  <c r="H839" i="3"/>
  <c r="G839" i="3"/>
  <c r="F839" i="3"/>
  <c r="E839" i="3"/>
  <c r="D839" i="3"/>
  <c r="H838" i="3"/>
  <c r="G838" i="3"/>
  <c r="F838" i="3"/>
  <c r="E838" i="3"/>
  <c r="D838" i="3"/>
  <c r="H837" i="3"/>
  <c r="G837" i="3"/>
  <c r="F837" i="3"/>
  <c r="E837" i="3"/>
  <c r="D837" i="3"/>
  <c r="H836" i="3"/>
  <c r="G836" i="3"/>
  <c r="F836" i="3"/>
  <c r="E836" i="3"/>
  <c r="D836" i="3"/>
  <c r="H835" i="3"/>
  <c r="G835" i="3"/>
  <c r="F835" i="3"/>
  <c r="E835" i="3"/>
  <c r="D835" i="3"/>
  <c r="H834" i="3"/>
  <c r="G834" i="3"/>
  <c r="F834" i="3"/>
  <c r="E834" i="3"/>
  <c r="D834" i="3"/>
  <c r="H833" i="3"/>
  <c r="G833" i="3"/>
  <c r="F833" i="3"/>
  <c r="E833" i="3"/>
  <c r="D833" i="3"/>
  <c r="H832" i="3"/>
  <c r="G832" i="3"/>
  <c r="F832" i="3"/>
  <c r="E832" i="3"/>
  <c r="D832" i="3"/>
  <c r="H831" i="3"/>
  <c r="G831" i="3"/>
  <c r="F831" i="3"/>
  <c r="E831" i="3"/>
  <c r="D831" i="3"/>
  <c r="H830" i="3"/>
  <c r="G830" i="3"/>
  <c r="F830" i="3"/>
  <c r="E830" i="3"/>
  <c r="D830" i="3"/>
  <c r="H829" i="3"/>
  <c r="G829" i="3"/>
  <c r="F829" i="3"/>
  <c r="E829" i="3"/>
  <c r="D829" i="3"/>
  <c r="H828" i="3"/>
  <c r="G828" i="3"/>
  <c r="F828" i="3"/>
  <c r="E828" i="3"/>
  <c r="D828" i="3"/>
  <c r="H827" i="3"/>
  <c r="G827" i="3"/>
  <c r="F827" i="3"/>
  <c r="E827" i="3"/>
  <c r="D827" i="3"/>
  <c r="H826" i="3"/>
  <c r="G826" i="3"/>
  <c r="F826" i="3"/>
  <c r="E826" i="3"/>
  <c r="D826" i="3"/>
  <c r="H825" i="3"/>
  <c r="G825" i="3"/>
  <c r="F825" i="3"/>
  <c r="E825" i="3"/>
  <c r="D825" i="3"/>
  <c r="H824" i="3"/>
  <c r="G824" i="3"/>
  <c r="F824" i="3"/>
  <c r="E824" i="3"/>
  <c r="D824" i="3"/>
  <c r="H823" i="3"/>
  <c r="G823" i="3"/>
  <c r="F823" i="3"/>
  <c r="E823" i="3"/>
  <c r="D823" i="3"/>
  <c r="H822" i="3"/>
  <c r="G822" i="3"/>
  <c r="F822" i="3"/>
  <c r="E822" i="3"/>
  <c r="D822" i="3"/>
  <c r="H821" i="3"/>
  <c r="G821" i="3"/>
  <c r="F821" i="3"/>
  <c r="E821" i="3"/>
  <c r="D821" i="3"/>
  <c r="H820" i="3"/>
  <c r="G820" i="3"/>
  <c r="F820" i="3"/>
  <c r="E820" i="3"/>
  <c r="D820" i="3"/>
  <c r="H819" i="3"/>
  <c r="G819" i="3"/>
  <c r="F819" i="3"/>
  <c r="E819" i="3"/>
  <c r="D819" i="3"/>
  <c r="H818" i="3"/>
  <c r="G818" i="3"/>
  <c r="F818" i="3"/>
  <c r="E818" i="3"/>
  <c r="D818" i="3"/>
  <c r="H817" i="3"/>
  <c r="G817" i="3"/>
  <c r="F817" i="3"/>
  <c r="E817" i="3"/>
  <c r="D817" i="3"/>
  <c r="H816" i="3"/>
  <c r="G816" i="3"/>
  <c r="F816" i="3"/>
  <c r="E816" i="3"/>
  <c r="D816" i="3"/>
  <c r="H815" i="3"/>
  <c r="G815" i="3"/>
  <c r="F815" i="3"/>
  <c r="E815" i="3"/>
  <c r="D815" i="3"/>
  <c r="H814" i="3"/>
  <c r="G814" i="3"/>
  <c r="F814" i="3"/>
  <c r="E814" i="3"/>
  <c r="D814" i="3"/>
  <c r="H813" i="3"/>
  <c r="G813" i="3"/>
  <c r="F813" i="3"/>
  <c r="E813" i="3"/>
  <c r="D813" i="3"/>
  <c r="H812" i="3"/>
  <c r="G812" i="3"/>
  <c r="F812" i="3"/>
  <c r="E812" i="3"/>
  <c r="D812" i="3"/>
  <c r="H811" i="3"/>
  <c r="G811" i="3"/>
  <c r="F811" i="3"/>
  <c r="E811" i="3"/>
  <c r="D811" i="3"/>
  <c r="H810" i="3"/>
  <c r="G810" i="3"/>
  <c r="F810" i="3"/>
  <c r="E810" i="3"/>
  <c r="D810" i="3"/>
  <c r="H809" i="3"/>
  <c r="G809" i="3"/>
  <c r="F809" i="3"/>
  <c r="E809" i="3"/>
  <c r="D809" i="3"/>
  <c r="H808" i="3"/>
  <c r="G808" i="3"/>
  <c r="F808" i="3"/>
  <c r="E808" i="3"/>
  <c r="D808" i="3"/>
  <c r="H807" i="3"/>
  <c r="G807" i="3"/>
  <c r="F807" i="3"/>
  <c r="E807" i="3"/>
  <c r="D807" i="3"/>
  <c r="H806" i="3"/>
  <c r="G806" i="3"/>
  <c r="F806" i="3"/>
  <c r="E806" i="3"/>
  <c r="D806" i="3"/>
  <c r="H805" i="3"/>
  <c r="G805" i="3"/>
  <c r="F805" i="3"/>
  <c r="E805" i="3"/>
  <c r="D805" i="3"/>
  <c r="H804" i="3"/>
  <c r="G804" i="3"/>
  <c r="F804" i="3"/>
  <c r="E804" i="3"/>
  <c r="D804" i="3"/>
  <c r="H803" i="3"/>
  <c r="G803" i="3"/>
  <c r="F803" i="3"/>
  <c r="E803" i="3"/>
  <c r="D803" i="3"/>
  <c r="H802" i="3"/>
  <c r="G802" i="3"/>
  <c r="F802" i="3"/>
  <c r="E802" i="3"/>
  <c r="D802" i="3"/>
  <c r="H801" i="3"/>
  <c r="G801" i="3"/>
  <c r="F801" i="3"/>
  <c r="E801" i="3"/>
  <c r="D801" i="3"/>
  <c r="H800" i="3"/>
  <c r="G800" i="3"/>
  <c r="F800" i="3"/>
  <c r="E800" i="3"/>
  <c r="D800" i="3"/>
  <c r="H799" i="3"/>
  <c r="G799" i="3"/>
  <c r="F799" i="3"/>
  <c r="E799" i="3"/>
  <c r="D799" i="3"/>
  <c r="H798" i="3"/>
  <c r="G798" i="3"/>
  <c r="F798" i="3"/>
  <c r="E798" i="3"/>
  <c r="D798" i="3"/>
  <c r="H797" i="3"/>
  <c r="G797" i="3"/>
  <c r="F797" i="3"/>
  <c r="E797" i="3"/>
  <c r="D797" i="3"/>
  <c r="H796" i="3"/>
  <c r="G796" i="3"/>
  <c r="F796" i="3"/>
  <c r="E796" i="3"/>
  <c r="D796" i="3"/>
  <c r="H795" i="3"/>
  <c r="G795" i="3"/>
  <c r="F795" i="3"/>
  <c r="E795" i="3"/>
  <c r="D795" i="3"/>
  <c r="H794" i="3"/>
  <c r="G794" i="3"/>
  <c r="F794" i="3"/>
  <c r="E794" i="3"/>
  <c r="D794" i="3"/>
  <c r="H793" i="3"/>
  <c r="G793" i="3"/>
  <c r="F793" i="3"/>
  <c r="E793" i="3"/>
  <c r="D793" i="3"/>
  <c r="H792" i="3"/>
  <c r="G792" i="3"/>
  <c r="F792" i="3"/>
  <c r="E792" i="3"/>
  <c r="D792" i="3"/>
  <c r="H791" i="3"/>
  <c r="G791" i="3"/>
  <c r="F791" i="3"/>
  <c r="E791" i="3"/>
  <c r="D791" i="3"/>
  <c r="H790" i="3"/>
  <c r="G790" i="3"/>
  <c r="F790" i="3"/>
  <c r="E790" i="3"/>
  <c r="D790" i="3"/>
  <c r="H789" i="3"/>
  <c r="G789" i="3"/>
  <c r="F789" i="3"/>
  <c r="E789" i="3"/>
  <c r="D789" i="3"/>
  <c r="H788" i="3"/>
  <c r="G788" i="3"/>
  <c r="F788" i="3"/>
  <c r="E788" i="3"/>
  <c r="D788" i="3"/>
  <c r="H787" i="3"/>
  <c r="G787" i="3"/>
  <c r="F787" i="3"/>
  <c r="E787" i="3"/>
  <c r="D787" i="3"/>
  <c r="H786" i="3"/>
  <c r="G786" i="3"/>
  <c r="F786" i="3"/>
  <c r="E786" i="3"/>
  <c r="D786" i="3"/>
  <c r="H785" i="3"/>
  <c r="G785" i="3"/>
  <c r="F785" i="3"/>
  <c r="E785" i="3"/>
  <c r="D785" i="3"/>
  <c r="H784" i="3"/>
  <c r="G784" i="3"/>
  <c r="F784" i="3"/>
  <c r="E784" i="3"/>
  <c r="D784" i="3"/>
  <c r="H783" i="3"/>
  <c r="G783" i="3"/>
  <c r="F783" i="3"/>
  <c r="E783" i="3"/>
  <c r="D783" i="3"/>
  <c r="H782" i="3"/>
  <c r="G782" i="3"/>
  <c r="F782" i="3"/>
  <c r="E782" i="3"/>
  <c r="D782" i="3"/>
  <c r="H781" i="3"/>
  <c r="G781" i="3"/>
  <c r="F781" i="3"/>
  <c r="E781" i="3"/>
  <c r="D781" i="3"/>
  <c r="H780" i="3"/>
  <c r="G780" i="3"/>
  <c r="F780" i="3"/>
  <c r="E780" i="3"/>
  <c r="D780" i="3"/>
  <c r="H779" i="3"/>
  <c r="G779" i="3"/>
  <c r="F779" i="3"/>
  <c r="E779" i="3"/>
  <c r="D779" i="3"/>
  <c r="H778" i="3"/>
  <c r="G778" i="3"/>
  <c r="F778" i="3"/>
  <c r="E778" i="3"/>
  <c r="D778" i="3"/>
  <c r="H777" i="3"/>
  <c r="G777" i="3"/>
  <c r="F777" i="3"/>
  <c r="E777" i="3"/>
  <c r="D777" i="3"/>
  <c r="H776" i="3"/>
  <c r="G776" i="3"/>
  <c r="F776" i="3"/>
  <c r="E776" i="3"/>
  <c r="D776" i="3"/>
  <c r="H775" i="3"/>
  <c r="G775" i="3"/>
  <c r="F775" i="3"/>
  <c r="E775" i="3"/>
  <c r="D775" i="3"/>
  <c r="H774" i="3"/>
  <c r="G774" i="3"/>
  <c r="F774" i="3"/>
  <c r="E774" i="3"/>
  <c r="D774" i="3"/>
  <c r="H773" i="3"/>
  <c r="G773" i="3"/>
  <c r="F773" i="3"/>
  <c r="E773" i="3"/>
  <c r="D773" i="3"/>
  <c r="H772" i="3"/>
  <c r="G772" i="3"/>
  <c r="F772" i="3"/>
  <c r="E772" i="3"/>
  <c r="D772" i="3"/>
  <c r="H771" i="3"/>
  <c r="G771" i="3"/>
  <c r="F771" i="3"/>
  <c r="E771" i="3"/>
  <c r="D771" i="3"/>
  <c r="H770" i="3"/>
  <c r="G770" i="3"/>
  <c r="F770" i="3"/>
  <c r="E770" i="3"/>
  <c r="D770" i="3"/>
  <c r="H769" i="3"/>
  <c r="G769" i="3"/>
  <c r="F769" i="3"/>
  <c r="E769" i="3"/>
  <c r="D769" i="3"/>
  <c r="H768" i="3"/>
  <c r="G768" i="3"/>
  <c r="F768" i="3"/>
  <c r="E768" i="3"/>
  <c r="D768" i="3"/>
  <c r="H767" i="3"/>
  <c r="G767" i="3"/>
  <c r="F767" i="3"/>
  <c r="E767" i="3"/>
  <c r="D767" i="3"/>
  <c r="H766" i="3"/>
  <c r="G766" i="3"/>
  <c r="F766" i="3"/>
  <c r="E766" i="3"/>
  <c r="D766" i="3"/>
  <c r="H765" i="3"/>
  <c r="G765" i="3"/>
  <c r="F765" i="3"/>
  <c r="E765" i="3"/>
  <c r="D765" i="3"/>
  <c r="H764" i="3"/>
  <c r="G764" i="3"/>
  <c r="F764" i="3"/>
  <c r="E764" i="3"/>
  <c r="D764" i="3"/>
  <c r="H763" i="3"/>
  <c r="G763" i="3"/>
  <c r="F763" i="3"/>
  <c r="E763" i="3"/>
  <c r="D763" i="3"/>
  <c r="H762" i="3"/>
  <c r="G762" i="3"/>
  <c r="F762" i="3"/>
  <c r="E762" i="3"/>
  <c r="D762" i="3"/>
  <c r="H761" i="3"/>
  <c r="G761" i="3"/>
  <c r="F761" i="3"/>
  <c r="E761" i="3"/>
  <c r="D761" i="3"/>
  <c r="H760" i="3"/>
  <c r="G760" i="3"/>
  <c r="F760" i="3"/>
  <c r="E760" i="3"/>
  <c r="D760" i="3"/>
  <c r="H759" i="3"/>
  <c r="G759" i="3"/>
  <c r="F759" i="3"/>
  <c r="E759" i="3"/>
  <c r="D759" i="3"/>
  <c r="H758" i="3"/>
  <c r="G758" i="3"/>
  <c r="F758" i="3"/>
  <c r="E758" i="3"/>
  <c r="D758" i="3"/>
  <c r="H757" i="3"/>
  <c r="G757" i="3"/>
  <c r="F757" i="3"/>
  <c r="E757" i="3"/>
  <c r="D757" i="3"/>
  <c r="H756" i="3"/>
  <c r="G756" i="3"/>
  <c r="F756" i="3"/>
  <c r="E756" i="3"/>
  <c r="D756" i="3"/>
  <c r="H755" i="3"/>
  <c r="G755" i="3"/>
  <c r="F755" i="3"/>
  <c r="E755" i="3"/>
  <c r="D755" i="3"/>
  <c r="H754" i="3"/>
  <c r="G754" i="3"/>
  <c r="F754" i="3"/>
  <c r="E754" i="3"/>
  <c r="D754" i="3"/>
  <c r="H753" i="3"/>
  <c r="G753" i="3"/>
  <c r="F753" i="3"/>
  <c r="E753" i="3"/>
  <c r="D753" i="3"/>
  <c r="H752" i="3"/>
  <c r="G752" i="3"/>
  <c r="F752" i="3"/>
  <c r="E752" i="3"/>
  <c r="D752" i="3"/>
  <c r="H751" i="3"/>
  <c r="G751" i="3"/>
  <c r="F751" i="3"/>
  <c r="E751" i="3"/>
  <c r="D751" i="3"/>
  <c r="H750" i="3"/>
  <c r="G750" i="3"/>
  <c r="F750" i="3"/>
  <c r="E750" i="3"/>
  <c r="D750" i="3"/>
  <c r="H749" i="3"/>
  <c r="G749" i="3"/>
  <c r="F749" i="3"/>
  <c r="E749" i="3"/>
  <c r="D749" i="3"/>
  <c r="H748" i="3"/>
  <c r="G748" i="3"/>
  <c r="F748" i="3"/>
  <c r="E748" i="3"/>
  <c r="D748" i="3"/>
  <c r="H747" i="3"/>
  <c r="G747" i="3"/>
  <c r="F747" i="3"/>
  <c r="E747" i="3"/>
  <c r="D747" i="3"/>
  <c r="H746" i="3"/>
  <c r="G746" i="3"/>
  <c r="F746" i="3"/>
  <c r="E746" i="3"/>
  <c r="D746" i="3"/>
  <c r="H745" i="3"/>
  <c r="G745" i="3"/>
  <c r="F745" i="3"/>
  <c r="E745" i="3"/>
  <c r="D745" i="3"/>
  <c r="H744" i="3"/>
  <c r="G744" i="3"/>
  <c r="F744" i="3"/>
  <c r="E744" i="3"/>
  <c r="D744" i="3"/>
  <c r="H743" i="3"/>
  <c r="G743" i="3"/>
  <c r="F743" i="3"/>
  <c r="E743" i="3"/>
  <c r="D743" i="3"/>
  <c r="H742" i="3"/>
  <c r="G742" i="3"/>
  <c r="F742" i="3"/>
  <c r="E742" i="3"/>
  <c r="D742" i="3"/>
  <c r="H741" i="3"/>
  <c r="G741" i="3"/>
  <c r="F741" i="3"/>
  <c r="E741" i="3"/>
  <c r="D741" i="3"/>
  <c r="H740" i="3"/>
  <c r="G740" i="3"/>
  <c r="F740" i="3"/>
  <c r="E740" i="3"/>
  <c r="D740" i="3"/>
  <c r="H739" i="3"/>
  <c r="G739" i="3"/>
  <c r="F739" i="3"/>
  <c r="E739" i="3"/>
  <c r="D739" i="3"/>
  <c r="H738" i="3"/>
  <c r="G738" i="3"/>
  <c r="F738" i="3"/>
  <c r="E738" i="3"/>
  <c r="D738" i="3"/>
  <c r="H737" i="3"/>
  <c r="G737" i="3"/>
  <c r="F737" i="3"/>
  <c r="E737" i="3"/>
  <c r="D737" i="3"/>
  <c r="H736" i="3"/>
  <c r="G736" i="3"/>
  <c r="F736" i="3"/>
  <c r="E736" i="3"/>
  <c r="D736" i="3"/>
  <c r="H735" i="3"/>
  <c r="G735" i="3"/>
  <c r="F735" i="3"/>
  <c r="E735" i="3"/>
  <c r="D735" i="3"/>
  <c r="H734" i="3"/>
  <c r="G734" i="3"/>
  <c r="F734" i="3"/>
  <c r="E734" i="3"/>
  <c r="D734" i="3"/>
  <c r="H733" i="3"/>
  <c r="G733" i="3"/>
  <c r="F733" i="3"/>
  <c r="E733" i="3"/>
  <c r="D733" i="3"/>
  <c r="H732" i="3"/>
  <c r="G732" i="3"/>
  <c r="F732" i="3"/>
  <c r="E732" i="3"/>
  <c r="D732" i="3"/>
  <c r="H731" i="3"/>
  <c r="G731" i="3"/>
  <c r="F731" i="3"/>
  <c r="E731" i="3"/>
  <c r="D731" i="3"/>
  <c r="H730" i="3"/>
  <c r="G730" i="3"/>
  <c r="F730" i="3"/>
  <c r="E730" i="3"/>
  <c r="D730" i="3"/>
  <c r="H729" i="3"/>
  <c r="G729" i="3"/>
  <c r="F729" i="3"/>
  <c r="E729" i="3"/>
  <c r="D729" i="3"/>
  <c r="H728" i="3"/>
  <c r="G728" i="3"/>
  <c r="F728" i="3"/>
  <c r="E728" i="3"/>
  <c r="D728" i="3"/>
  <c r="H727" i="3"/>
  <c r="G727" i="3"/>
  <c r="F727" i="3"/>
  <c r="E727" i="3"/>
  <c r="D727" i="3"/>
  <c r="H726" i="3"/>
  <c r="G726" i="3"/>
  <c r="F726" i="3"/>
  <c r="E726" i="3"/>
  <c r="D726" i="3"/>
  <c r="H725" i="3"/>
  <c r="G725" i="3"/>
  <c r="F725" i="3"/>
  <c r="E725" i="3"/>
  <c r="D725" i="3"/>
  <c r="H724" i="3"/>
  <c r="G724" i="3"/>
  <c r="F724" i="3"/>
  <c r="E724" i="3"/>
  <c r="D724" i="3"/>
  <c r="H723" i="3"/>
  <c r="G723" i="3"/>
  <c r="F723" i="3"/>
  <c r="E723" i="3"/>
  <c r="D723" i="3"/>
  <c r="H722" i="3"/>
  <c r="G722" i="3"/>
  <c r="F722" i="3"/>
  <c r="E722" i="3"/>
  <c r="D722" i="3"/>
  <c r="H721" i="3"/>
  <c r="G721" i="3"/>
  <c r="F721" i="3"/>
  <c r="E721" i="3"/>
  <c r="D721" i="3"/>
  <c r="H720" i="3"/>
  <c r="G720" i="3"/>
  <c r="F720" i="3"/>
  <c r="E720" i="3"/>
  <c r="D720" i="3"/>
  <c r="H719" i="3"/>
  <c r="G719" i="3"/>
  <c r="F719" i="3"/>
  <c r="E719" i="3"/>
  <c r="D719" i="3"/>
  <c r="H718" i="3"/>
  <c r="G718" i="3"/>
  <c r="F718" i="3"/>
  <c r="E718" i="3"/>
  <c r="D718" i="3"/>
  <c r="H717" i="3"/>
  <c r="G717" i="3"/>
  <c r="F717" i="3"/>
  <c r="E717" i="3"/>
  <c r="D717" i="3"/>
  <c r="H716" i="3"/>
  <c r="G716" i="3"/>
  <c r="F716" i="3"/>
  <c r="E716" i="3"/>
  <c r="D716" i="3"/>
  <c r="H715" i="3"/>
  <c r="G715" i="3"/>
  <c r="F715" i="3"/>
  <c r="E715" i="3"/>
  <c r="D715" i="3"/>
  <c r="H714" i="3"/>
  <c r="G714" i="3"/>
  <c r="F714" i="3"/>
  <c r="E714" i="3"/>
  <c r="D714" i="3"/>
  <c r="H713" i="3"/>
  <c r="G713" i="3"/>
  <c r="F713" i="3"/>
  <c r="E713" i="3"/>
  <c r="D713" i="3"/>
  <c r="H712" i="3"/>
  <c r="G712" i="3"/>
  <c r="F712" i="3"/>
  <c r="E712" i="3"/>
  <c r="D712" i="3"/>
  <c r="H711" i="3"/>
  <c r="G711" i="3"/>
  <c r="F711" i="3"/>
  <c r="E711" i="3"/>
  <c r="D711" i="3"/>
  <c r="H710" i="3"/>
  <c r="G710" i="3"/>
  <c r="F710" i="3"/>
  <c r="E710" i="3"/>
  <c r="D710" i="3"/>
  <c r="H709" i="3"/>
  <c r="G709" i="3"/>
  <c r="F709" i="3"/>
  <c r="E709" i="3"/>
  <c r="D709" i="3"/>
  <c r="H708" i="3"/>
  <c r="G708" i="3"/>
  <c r="F708" i="3"/>
  <c r="E708" i="3"/>
  <c r="D708" i="3"/>
  <c r="H707" i="3"/>
  <c r="G707" i="3"/>
  <c r="F707" i="3"/>
  <c r="E707" i="3"/>
  <c r="D707" i="3"/>
  <c r="H706" i="3"/>
  <c r="G706" i="3"/>
  <c r="F706" i="3"/>
  <c r="E706" i="3"/>
  <c r="D706" i="3"/>
  <c r="H705" i="3"/>
  <c r="G705" i="3"/>
  <c r="F705" i="3"/>
  <c r="E705" i="3"/>
  <c r="D705" i="3"/>
  <c r="H704" i="3"/>
  <c r="G704" i="3"/>
  <c r="F704" i="3"/>
  <c r="E704" i="3"/>
  <c r="D704" i="3"/>
  <c r="H703" i="3"/>
  <c r="G703" i="3"/>
  <c r="F703" i="3"/>
  <c r="E703" i="3"/>
  <c r="D703" i="3"/>
  <c r="H702" i="3"/>
  <c r="G702" i="3"/>
  <c r="F702" i="3"/>
  <c r="E702" i="3"/>
  <c r="D702" i="3"/>
  <c r="H701" i="3"/>
  <c r="G701" i="3"/>
  <c r="F701" i="3"/>
  <c r="E701" i="3"/>
  <c r="D701" i="3"/>
  <c r="H700" i="3"/>
  <c r="G700" i="3"/>
  <c r="F700" i="3"/>
  <c r="E700" i="3"/>
  <c r="D700" i="3"/>
  <c r="H699" i="3"/>
  <c r="G699" i="3"/>
  <c r="F699" i="3"/>
  <c r="E699" i="3"/>
  <c r="D699" i="3"/>
  <c r="H698" i="3"/>
  <c r="G698" i="3"/>
  <c r="F698" i="3"/>
  <c r="E698" i="3"/>
  <c r="D698" i="3"/>
  <c r="H697" i="3"/>
  <c r="G697" i="3"/>
  <c r="F697" i="3"/>
  <c r="E697" i="3"/>
  <c r="D697" i="3"/>
  <c r="H696" i="3"/>
  <c r="G696" i="3"/>
  <c r="F696" i="3"/>
  <c r="E696" i="3"/>
  <c r="D696" i="3"/>
  <c r="H695" i="3"/>
  <c r="G695" i="3"/>
  <c r="F695" i="3"/>
  <c r="E695" i="3"/>
  <c r="D695" i="3"/>
  <c r="H694" i="3"/>
  <c r="G694" i="3"/>
  <c r="F694" i="3"/>
  <c r="E694" i="3"/>
  <c r="D694" i="3"/>
  <c r="H693" i="3"/>
  <c r="G693" i="3"/>
  <c r="F693" i="3"/>
  <c r="E693" i="3"/>
  <c r="D693" i="3"/>
  <c r="H692" i="3"/>
  <c r="G692" i="3"/>
  <c r="F692" i="3"/>
  <c r="E692" i="3"/>
  <c r="D692" i="3"/>
  <c r="H691" i="3"/>
  <c r="G691" i="3"/>
  <c r="F691" i="3"/>
  <c r="E691" i="3"/>
  <c r="D691" i="3"/>
  <c r="H690" i="3"/>
  <c r="G690" i="3"/>
  <c r="F690" i="3"/>
  <c r="E690" i="3"/>
  <c r="D690" i="3"/>
  <c r="H689" i="3"/>
  <c r="G689" i="3"/>
  <c r="F689" i="3"/>
  <c r="E689" i="3"/>
  <c r="D689" i="3"/>
  <c r="H688" i="3"/>
  <c r="G688" i="3"/>
  <c r="F688" i="3"/>
  <c r="E688" i="3"/>
  <c r="D688" i="3"/>
  <c r="H687" i="3"/>
  <c r="G687" i="3"/>
  <c r="F687" i="3"/>
  <c r="E687" i="3"/>
  <c r="D687" i="3"/>
  <c r="H686" i="3"/>
  <c r="G686" i="3"/>
  <c r="F686" i="3"/>
  <c r="E686" i="3"/>
  <c r="D686" i="3"/>
  <c r="H685" i="3"/>
  <c r="G685" i="3"/>
  <c r="F685" i="3"/>
  <c r="E685" i="3"/>
  <c r="D685" i="3"/>
  <c r="H684" i="3"/>
  <c r="G684" i="3"/>
  <c r="F684" i="3"/>
  <c r="E684" i="3"/>
  <c r="D684" i="3"/>
  <c r="H683" i="3"/>
  <c r="G683" i="3"/>
  <c r="F683" i="3"/>
  <c r="E683" i="3"/>
  <c r="D683" i="3"/>
  <c r="H682" i="3"/>
  <c r="G682" i="3"/>
  <c r="F682" i="3"/>
  <c r="E682" i="3"/>
  <c r="D682" i="3"/>
  <c r="H681" i="3"/>
  <c r="G681" i="3"/>
  <c r="F681" i="3"/>
  <c r="E681" i="3"/>
  <c r="D681" i="3"/>
  <c r="H680" i="3"/>
  <c r="G680" i="3"/>
  <c r="F680" i="3"/>
  <c r="E680" i="3"/>
  <c r="D680" i="3"/>
  <c r="H679" i="3"/>
  <c r="G679" i="3"/>
  <c r="F679" i="3"/>
  <c r="E679" i="3"/>
  <c r="D679" i="3"/>
  <c r="H678" i="3"/>
  <c r="G678" i="3"/>
  <c r="F678" i="3"/>
  <c r="E678" i="3"/>
  <c r="D678" i="3"/>
  <c r="H677" i="3"/>
  <c r="G677" i="3"/>
  <c r="F677" i="3"/>
  <c r="E677" i="3"/>
  <c r="D677" i="3"/>
  <c r="H676" i="3"/>
  <c r="G676" i="3"/>
  <c r="F676" i="3"/>
  <c r="E676" i="3"/>
  <c r="D676" i="3"/>
  <c r="H675" i="3"/>
  <c r="G675" i="3"/>
  <c r="F675" i="3"/>
  <c r="E675" i="3"/>
  <c r="D675" i="3"/>
  <c r="H674" i="3"/>
  <c r="G674" i="3"/>
  <c r="F674" i="3"/>
  <c r="E674" i="3"/>
  <c r="D674" i="3"/>
  <c r="H673" i="3"/>
  <c r="G673" i="3"/>
  <c r="F673" i="3"/>
  <c r="E673" i="3"/>
  <c r="D673" i="3"/>
  <c r="H672" i="3"/>
  <c r="G672" i="3"/>
  <c r="F672" i="3"/>
  <c r="E672" i="3"/>
  <c r="D672" i="3"/>
  <c r="H671" i="3"/>
  <c r="G671" i="3"/>
  <c r="F671" i="3"/>
  <c r="E671" i="3"/>
  <c r="D671" i="3"/>
  <c r="H670" i="3"/>
  <c r="G670" i="3"/>
  <c r="F670" i="3"/>
  <c r="E670" i="3"/>
  <c r="D670" i="3"/>
  <c r="H669" i="3"/>
  <c r="G669" i="3"/>
  <c r="F669" i="3"/>
  <c r="E669" i="3"/>
  <c r="D669" i="3"/>
  <c r="H668" i="3"/>
  <c r="G668" i="3"/>
  <c r="F668" i="3"/>
  <c r="E668" i="3"/>
  <c r="D668" i="3"/>
  <c r="H667" i="3"/>
  <c r="G667" i="3"/>
  <c r="F667" i="3"/>
  <c r="E667" i="3"/>
  <c r="D667" i="3"/>
  <c r="H666" i="3"/>
  <c r="G666" i="3"/>
  <c r="F666" i="3"/>
  <c r="E666" i="3"/>
  <c r="D666" i="3"/>
  <c r="H665" i="3"/>
  <c r="G665" i="3"/>
  <c r="F665" i="3"/>
  <c r="E665" i="3"/>
  <c r="D665" i="3"/>
  <c r="H664" i="3"/>
  <c r="G664" i="3"/>
  <c r="F664" i="3"/>
  <c r="E664" i="3"/>
  <c r="D664" i="3"/>
  <c r="H663" i="3"/>
  <c r="G663" i="3"/>
  <c r="F663" i="3"/>
  <c r="E663" i="3"/>
  <c r="D663" i="3"/>
  <c r="H662" i="3"/>
  <c r="G662" i="3"/>
  <c r="F662" i="3"/>
  <c r="E662" i="3"/>
  <c r="D662" i="3"/>
  <c r="H661" i="3"/>
  <c r="G661" i="3"/>
  <c r="F661" i="3"/>
  <c r="E661" i="3"/>
  <c r="D661" i="3"/>
  <c r="H660" i="3"/>
  <c r="G660" i="3"/>
  <c r="F660" i="3"/>
  <c r="E660" i="3"/>
  <c r="D660" i="3"/>
  <c r="H659" i="3"/>
  <c r="G659" i="3"/>
  <c r="F659" i="3"/>
  <c r="E659" i="3"/>
  <c r="D659" i="3"/>
  <c r="H658" i="3"/>
  <c r="G658" i="3"/>
  <c r="F658" i="3"/>
  <c r="E658" i="3"/>
  <c r="D658" i="3"/>
  <c r="H657" i="3"/>
  <c r="G657" i="3"/>
  <c r="F657" i="3"/>
  <c r="E657" i="3"/>
  <c r="D657" i="3"/>
  <c r="H656" i="3"/>
  <c r="G656" i="3"/>
  <c r="F656" i="3"/>
  <c r="E656" i="3"/>
  <c r="D656" i="3"/>
  <c r="H655" i="3"/>
  <c r="G655" i="3"/>
  <c r="F655" i="3"/>
  <c r="E655" i="3"/>
  <c r="D655" i="3"/>
  <c r="H654" i="3"/>
  <c r="G654" i="3"/>
  <c r="F654" i="3"/>
  <c r="E654" i="3"/>
  <c r="D654" i="3"/>
  <c r="H653" i="3"/>
  <c r="G653" i="3"/>
  <c r="F653" i="3"/>
  <c r="E653" i="3"/>
  <c r="D653" i="3"/>
  <c r="H652" i="3"/>
  <c r="G652" i="3"/>
  <c r="F652" i="3"/>
  <c r="E652" i="3"/>
  <c r="D652" i="3"/>
  <c r="H651" i="3"/>
  <c r="G651" i="3"/>
  <c r="F651" i="3"/>
  <c r="E651" i="3"/>
  <c r="D651" i="3"/>
  <c r="H650" i="3"/>
  <c r="G650" i="3"/>
  <c r="F650" i="3"/>
  <c r="E650" i="3"/>
  <c r="D650" i="3"/>
  <c r="H649" i="3"/>
  <c r="G649" i="3"/>
  <c r="F649" i="3"/>
  <c r="E649" i="3"/>
  <c r="D649" i="3"/>
  <c r="H648" i="3"/>
  <c r="G648" i="3"/>
  <c r="F648" i="3"/>
  <c r="E648" i="3"/>
  <c r="D648" i="3"/>
  <c r="H647" i="3"/>
  <c r="G647" i="3"/>
  <c r="F647" i="3"/>
  <c r="E647" i="3"/>
  <c r="D647" i="3"/>
  <c r="H646" i="3"/>
  <c r="G646" i="3"/>
  <c r="F646" i="3"/>
  <c r="E646" i="3"/>
  <c r="D646" i="3"/>
  <c r="H645" i="3"/>
  <c r="G645" i="3"/>
  <c r="F645" i="3"/>
  <c r="E645" i="3"/>
  <c r="D645" i="3"/>
  <c r="H644" i="3"/>
  <c r="G644" i="3"/>
  <c r="F644" i="3"/>
  <c r="E644" i="3"/>
  <c r="D644" i="3"/>
  <c r="H643" i="3"/>
  <c r="G643" i="3"/>
  <c r="F643" i="3"/>
  <c r="E643" i="3"/>
  <c r="D643" i="3"/>
  <c r="H642" i="3"/>
  <c r="G642" i="3"/>
  <c r="F642" i="3"/>
  <c r="E642" i="3"/>
  <c r="D642" i="3"/>
  <c r="H641" i="3"/>
  <c r="G641" i="3"/>
  <c r="F641" i="3"/>
  <c r="E641" i="3"/>
  <c r="D641" i="3"/>
  <c r="H640" i="3"/>
  <c r="G640" i="3"/>
  <c r="F640" i="3"/>
  <c r="E640" i="3"/>
  <c r="D640" i="3"/>
  <c r="H639" i="3"/>
  <c r="G639" i="3"/>
  <c r="F639" i="3"/>
  <c r="E639" i="3"/>
  <c r="D639" i="3"/>
  <c r="H638" i="3"/>
  <c r="G638" i="3"/>
  <c r="F638" i="3"/>
  <c r="E638" i="3"/>
  <c r="D638" i="3"/>
  <c r="H637" i="3"/>
  <c r="G637" i="3"/>
  <c r="F637" i="3"/>
  <c r="E637" i="3"/>
  <c r="D637" i="3"/>
  <c r="H636" i="3"/>
  <c r="G636" i="3"/>
  <c r="F636" i="3"/>
  <c r="E636" i="3"/>
  <c r="D636" i="3"/>
  <c r="H635" i="3"/>
  <c r="G635" i="3"/>
  <c r="F635" i="3"/>
  <c r="E635" i="3"/>
  <c r="D635" i="3"/>
  <c r="H634" i="3"/>
  <c r="G634" i="3"/>
  <c r="F634" i="3"/>
  <c r="E634" i="3"/>
  <c r="D634" i="3"/>
  <c r="H633" i="3"/>
  <c r="G633" i="3"/>
  <c r="F633" i="3"/>
  <c r="E633" i="3"/>
  <c r="D633" i="3"/>
  <c r="H632" i="3"/>
  <c r="G632" i="3"/>
  <c r="F632" i="3"/>
  <c r="E632" i="3"/>
  <c r="D632" i="3"/>
  <c r="H631" i="3"/>
  <c r="G631" i="3"/>
  <c r="F631" i="3"/>
  <c r="E631" i="3"/>
  <c r="D631" i="3"/>
  <c r="H630" i="3"/>
  <c r="G630" i="3"/>
  <c r="F630" i="3"/>
  <c r="E630" i="3"/>
  <c r="D630" i="3"/>
  <c r="H629" i="3"/>
  <c r="G629" i="3"/>
  <c r="F629" i="3"/>
  <c r="E629" i="3"/>
  <c r="D629" i="3"/>
  <c r="H628" i="3"/>
  <c r="G628" i="3"/>
  <c r="F628" i="3"/>
  <c r="E628" i="3"/>
  <c r="D628" i="3"/>
  <c r="H627" i="3"/>
  <c r="G627" i="3"/>
  <c r="F627" i="3"/>
  <c r="E627" i="3"/>
  <c r="D627" i="3"/>
  <c r="H626" i="3"/>
  <c r="G626" i="3"/>
  <c r="F626" i="3"/>
  <c r="E626" i="3"/>
  <c r="D626" i="3"/>
  <c r="H625" i="3"/>
  <c r="G625" i="3"/>
  <c r="F625" i="3"/>
  <c r="E625" i="3"/>
  <c r="D625" i="3"/>
  <c r="H624" i="3"/>
  <c r="G624" i="3"/>
  <c r="F624" i="3"/>
  <c r="E624" i="3"/>
  <c r="D624" i="3"/>
  <c r="H623" i="3"/>
  <c r="G623" i="3"/>
  <c r="F623" i="3"/>
  <c r="E623" i="3"/>
  <c r="D623" i="3"/>
  <c r="H622" i="3"/>
  <c r="G622" i="3"/>
  <c r="F622" i="3"/>
  <c r="E622" i="3"/>
  <c r="D622" i="3"/>
  <c r="H621" i="3"/>
  <c r="G621" i="3"/>
  <c r="F621" i="3"/>
  <c r="E621" i="3"/>
  <c r="D621" i="3"/>
  <c r="H620" i="3"/>
  <c r="G620" i="3"/>
  <c r="F620" i="3"/>
  <c r="E620" i="3"/>
  <c r="D620" i="3"/>
  <c r="H619" i="3"/>
  <c r="G619" i="3"/>
  <c r="F619" i="3"/>
  <c r="E619" i="3"/>
  <c r="D619" i="3"/>
  <c r="H618" i="3"/>
  <c r="G618" i="3"/>
  <c r="F618" i="3"/>
  <c r="E618" i="3"/>
  <c r="D618" i="3"/>
  <c r="H617" i="3"/>
  <c r="G617" i="3"/>
  <c r="F617" i="3"/>
  <c r="E617" i="3"/>
  <c r="D617" i="3"/>
  <c r="H616" i="3"/>
  <c r="G616" i="3"/>
  <c r="F616" i="3"/>
  <c r="E616" i="3"/>
  <c r="D616" i="3"/>
  <c r="H615" i="3"/>
  <c r="G615" i="3"/>
  <c r="F615" i="3"/>
  <c r="E615" i="3"/>
  <c r="D615" i="3"/>
  <c r="H614" i="3"/>
  <c r="G614" i="3"/>
  <c r="F614" i="3"/>
  <c r="E614" i="3"/>
  <c r="D614" i="3"/>
  <c r="H613" i="3"/>
  <c r="G613" i="3"/>
  <c r="F613" i="3"/>
  <c r="E613" i="3"/>
  <c r="D613" i="3"/>
  <c r="H612" i="3"/>
  <c r="G612" i="3"/>
  <c r="F612" i="3"/>
  <c r="E612" i="3"/>
  <c r="D612" i="3"/>
  <c r="H611" i="3"/>
  <c r="G611" i="3"/>
  <c r="F611" i="3"/>
  <c r="E611" i="3"/>
  <c r="D611" i="3"/>
  <c r="H610" i="3"/>
  <c r="G610" i="3"/>
  <c r="F610" i="3"/>
  <c r="E610" i="3"/>
  <c r="D610" i="3"/>
  <c r="H609" i="3"/>
  <c r="G609" i="3"/>
  <c r="F609" i="3"/>
  <c r="E609" i="3"/>
  <c r="D609" i="3"/>
  <c r="H608" i="3"/>
  <c r="G608" i="3"/>
  <c r="F608" i="3"/>
  <c r="E608" i="3"/>
  <c r="D608" i="3"/>
  <c r="H607" i="3"/>
  <c r="G607" i="3"/>
  <c r="F607" i="3"/>
  <c r="E607" i="3"/>
  <c r="D607" i="3"/>
  <c r="H606" i="3"/>
  <c r="G606" i="3"/>
  <c r="F606" i="3"/>
  <c r="E606" i="3"/>
  <c r="D606" i="3"/>
  <c r="H605" i="3"/>
  <c r="G605" i="3"/>
  <c r="F605" i="3"/>
  <c r="E605" i="3"/>
  <c r="D605" i="3"/>
  <c r="H604" i="3"/>
  <c r="G604" i="3"/>
  <c r="F604" i="3"/>
  <c r="E604" i="3"/>
  <c r="D604" i="3"/>
  <c r="H603" i="3"/>
  <c r="G603" i="3"/>
  <c r="F603" i="3"/>
  <c r="E603" i="3"/>
  <c r="D603" i="3"/>
  <c r="H602" i="3"/>
  <c r="G602" i="3"/>
  <c r="F602" i="3"/>
  <c r="E602" i="3"/>
  <c r="D602" i="3"/>
  <c r="H601" i="3"/>
  <c r="G601" i="3"/>
  <c r="F601" i="3"/>
  <c r="E601" i="3"/>
  <c r="D601" i="3"/>
  <c r="H600" i="3"/>
  <c r="G600" i="3"/>
  <c r="F600" i="3"/>
  <c r="E600" i="3"/>
  <c r="D600" i="3"/>
  <c r="H599" i="3"/>
  <c r="G599" i="3"/>
  <c r="F599" i="3"/>
  <c r="E599" i="3"/>
  <c r="D599" i="3"/>
  <c r="H598" i="3"/>
  <c r="G598" i="3"/>
  <c r="F598" i="3"/>
  <c r="E598" i="3"/>
  <c r="D598" i="3"/>
  <c r="H597" i="3"/>
  <c r="G597" i="3"/>
  <c r="F597" i="3"/>
  <c r="E597" i="3"/>
  <c r="D597" i="3"/>
  <c r="H596" i="3"/>
  <c r="G596" i="3"/>
  <c r="F596" i="3"/>
  <c r="E596" i="3"/>
  <c r="D596" i="3"/>
  <c r="H595" i="3"/>
  <c r="G595" i="3"/>
  <c r="F595" i="3"/>
  <c r="E595" i="3"/>
  <c r="D595" i="3"/>
  <c r="H594" i="3"/>
  <c r="G594" i="3"/>
  <c r="F594" i="3"/>
  <c r="E594" i="3"/>
  <c r="D594" i="3"/>
  <c r="H593" i="3"/>
  <c r="G593" i="3"/>
  <c r="F593" i="3"/>
  <c r="E593" i="3"/>
  <c r="D593" i="3"/>
  <c r="H592" i="3"/>
  <c r="G592" i="3"/>
  <c r="F592" i="3"/>
  <c r="E592" i="3"/>
  <c r="D592" i="3"/>
  <c r="H591" i="3"/>
  <c r="G591" i="3"/>
  <c r="F591" i="3"/>
  <c r="E591" i="3"/>
  <c r="D591" i="3"/>
  <c r="H590" i="3"/>
  <c r="G590" i="3"/>
  <c r="F590" i="3"/>
  <c r="E590" i="3"/>
  <c r="D590" i="3"/>
  <c r="H589" i="3"/>
  <c r="G589" i="3"/>
  <c r="F589" i="3"/>
  <c r="E589" i="3"/>
  <c r="D589" i="3"/>
  <c r="H588" i="3"/>
  <c r="G588" i="3"/>
  <c r="F588" i="3"/>
  <c r="E588" i="3"/>
  <c r="D588" i="3"/>
  <c r="H587" i="3"/>
  <c r="G587" i="3"/>
  <c r="F587" i="3"/>
  <c r="E587" i="3"/>
  <c r="D587" i="3"/>
  <c r="H586" i="3"/>
  <c r="G586" i="3"/>
  <c r="F586" i="3"/>
  <c r="E586" i="3"/>
  <c r="D586" i="3"/>
  <c r="H585" i="3"/>
  <c r="G585" i="3"/>
  <c r="F585" i="3"/>
  <c r="E585" i="3"/>
  <c r="D585" i="3"/>
  <c r="H584" i="3"/>
  <c r="G584" i="3"/>
  <c r="F584" i="3"/>
  <c r="E584" i="3"/>
  <c r="D584" i="3"/>
  <c r="H583" i="3"/>
  <c r="G583" i="3"/>
  <c r="F583" i="3"/>
  <c r="E583" i="3"/>
  <c r="D583" i="3"/>
  <c r="H582" i="3"/>
  <c r="G582" i="3"/>
  <c r="F582" i="3"/>
  <c r="E582" i="3"/>
  <c r="D582" i="3"/>
  <c r="H581" i="3"/>
  <c r="G581" i="3"/>
  <c r="F581" i="3"/>
  <c r="E581" i="3"/>
  <c r="D581" i="3"/>
  <c r="H580" i="3"/>
  <c r="G580" i="3"/>
  <c r="F580" i="3"/>
  <c r="E580" i="3"/>
  <c r="D580" i="3"/>
  <c r="H579" i="3"/>
  <c r="G579" i="3"/>
  <c r="F579" i="3"/>
  <c r="E579" i="3"/>
  <c r="D579" i="3"/>
  <c r="H578" i="3"/>
  <c r="G578" i="3"/>
  <c r="F578" i="3"/>
  <c r="E578" i="3"/>
  <c r="D578" i="3"/>
  <c r="H577" i="3"/>
  <c r="G577" i="3"/>
  <c r="F577" i="3"/>
  <c r="E577" i="3"/>
  <c r="D577" i="3"/>
  <c r="H576" i="3"/>
  <c r="G576" i="3"/>
  <c r="F576" i="3"/>
  <c r="E576" i="3"/>
  <c r="D576" i="3"/>
  <c r="H575" i="3"/>
  <c r="G575" i="3"/>
  <c r="F575" i="3"/>
  <c r="E575" i="3"/>
  <c r="D575" i="3"/>
  <c r="H574" i="3"/>
  <c r="G574" i="3"/>
  <c r="F574" i="3"/>
  <c r="E574" i="3"/>
  <c r="D574" i="3"/>
  <c r="H573" i="3"/>
  <c r="G573" i="3"/>
  <c r="F573" i="3"/>
  <c r="E573" i="3"/>
  <c r="D573" i="3"/>
  <c r="H572" i="3"/>
  <c r="G572" i="3"/>
  <c r="F572" i="3"/>
  <c r="E572" i="3"/>
  <c r="D572" i="3"/>
  <c r="H571" i="3"/>
  <c r="G571" i="3"/>
  <c r="F571" i="3"/>
  <c r="E571" i="3"/>
  <c r="D571" i="3"/>
  <c r="H570" i="3"/>
  <c r="G570" i="3"/>
  <c r="F570" i="3"/>
  <c r="E570" i="3"/>
  <c r="D570" i="3"/>
  <c r="H569" i="3"/>
  <c r="G569" i="3"/>
  <c r="F569" i="3"/>
  <c r="E569" i="3"/>
  <c r="D569" i="3"/>
  <c r="H568" i="3"/>
  <c r="G568" i="3"/>
  <c r="F568" i="3"/>
  <c r="E568" i="3"/>
  <c r="D568" i="3"/>
  <c r="H567" i="3"/>
  <c r="G567" i="3"/>
  <c r="F567" i="3"/>
  <c r="E567" i="3"/>
  <c r="D567" i="3"/>
  <c r="H566" i="3"/>
  <c r="G566" i="3"/>
  <c r="F566" i="3"/>
  <c r="E566" i="3"/>
  <c r="D566" i="3"/>
  <c r="H565" i="3"/>
  <c r="G565" i="3"/>
  <c r="F565" i="3"/>
  <c r="E565" i="3"/>
  <c r="D565" i="3"/>
  <c r="H564" i="3"/>
  <c r="G564" i="3"/>
  <c r="F564" i="3"/>
  <c r="E564" i="3"/>
  <c r="D564" i="3"/>
  <c r="H563" i="3"/>
  <c r="G563" i="3"/>
  <c r="F563" i="3"/>
  <c r="E563" i="3"/>
  <c r="D563" i="3"/>
  <c r="H562" i="3"/>
  <c r="G562" i="3"/>
  <c r="F562" i="3"/>
  <c r="E562" i="3"/>
  <c r="D562" i="3"/>
  <c r="H561" i="3"/>
  <c r="G561" i="3"/>
  <c r="F561" i="3"/>
  <c r="E561" i="3"/>
  <c r="D561" i="3"/>
  <c r="H560" i="3"/>
  <c r="G560" i="3"/>
  <c r="F560" i="3"/>
  <c r="E560" i="3"/>
  <c r="D560" i="3"/>
  <c r="H559" i="3"/>
  <c r="G559" i="3"/>
  <c r="F559" i="3"/>
  <c r="E559" i="3"/>
  <c r="D559" i="3"/>
  <c r="H558" i="3"/>
  <c r="G558" i="3"/>
  <c r="F558" i="3"/>
  <c r="E558" i="3"/>
  <c r="D558" i="3"/>
  <c r="H557" i="3"/>
  <c r="G557" i="3"/>
  <c r="F557" i="3"/>
  <c r="E557" i="3"/>
  <c r="D557" i="3"/>
  <c r="H556" i="3"/>
  <c r="G556" i="3"/>
  <c r="F556" i="3"/>
  <c r="E556" i="3"/>
  <c r="D556" i="3"/>
  <c r="H555" i="3"/>
  <c r="G555" i="3"/>
  <c r="F555" i="3"/>
  <c r="E555" i="3"/>
  <c r="D555" i="3"/>
  <c r="H554" i="3"/>
  <c r="G554" i="3"/>
  <c r="F554" i="3"/>
  <c r="E554" i="3"/>
  <c r="D554" i="3"/>
  <c r="H553" i="3"/>
  <c r="G553" i="3"/>
  <c r="F553" i="3"/>
  <c r="E553" i="3"/>
  <c r="D553" i="3"/>
  <c r="H552" i="3"/>
  <c r="G552" i="3"/>
  <c r="F552" i="3"/>
  <c r="E552" i="3"/>
  <c r="D552" i="3"/>
  <c r="H551" i="3"/>
  <c r="G551" i="3"/>
  <c r="F551" i="3"/>
  <c r="E551" i="3"/>
  <c r="D551" i="3"/>
  <c r="H550" i="3"/>
  <c r="G550" i="3"/>
  <c r="F550" i="3"/>
  <c r="E550" i="3"/>
  <c r="D550" i="3"/>
  <c r="H549" i="3"/>
  <c r="G549" i="3"/>
  <c r="F549" i="3"/>
  <c r="E549" i="3"/>
  <c r="D549" i="3"/>
  <c r="H548" i="3"/>
  <c r="G548" i="3"/>
  <c r="F548" i="3"/>
  <c r="E548" i="3"/>
  <c r="D548" i="3"/>
  <c r="H547" i="3"/>
  <c r="G547" i="3"/>
  <c r="F547" i="3"/>
  <c r="E547" i="3"/>
  <c r="D547" i="3"/>
  <c r="H546" i="3"/>
  <c r="G546" i="3"/>
  <c r="F546" i="3"/>
  <c r="E546" i="3"/>
  <c r="D546" i="3"/>
  <c r="H545" i="3"/>
  <c r="G545" i="3"/>
  <c r="F545" i="3"/>
  <c r="E545" i="3"/>
  <c r="D545" i="3"/>
  <c r="H544" i="3"/>
  <c r="G544" i="3"/>
  <c r="F544" i="3"/>
  <c r="E544" i="3"/>
  <c r="D544" i="3"/>
  <c r="H543" i="3"/>
  <c r="G543" i="3"/>
  <c r="F543" i="3"/>
  <c r="E543" i="3"/>
  <c r="D543" i="3"/>
  <c r="H542" i="3"/>
  <c r="G542" i="3"/>
  <c r="F542" i="3"/>
  <c r="E542" i="3"/>
  <c r="D542" i="3"/>
  <c r="H541" i="3"/>
  <c r="G541" i="3"/>
  <c r="F541" i="3"/>
  <c r="E541" i="3"/>
  <c r="D541" i="3"/>
  <c r="H540" i="3"/>
  <c r="G540" i="3"/>
  <c r="F540" i="3"/>
  <c r="E540" i="3"/>
  <c r="D540" i="3"/>
  <c r="H539" i="3"/>
  <c r="G539" i="3"/>
  <c r="F539" i="3"/>
  <c r="E539" i="3"/>
  <c r="D539" i="3"/>
  <c r="H538" i="3"/>
  <c r="G538" i="3"/>
  <c r="F538" i="3"/>
  <c r="E538" i="3"/>
  <c r="D538" i="3"/>
  <c r="H537" i="3"/>
  <c r="G537" i="3"/>
  <c r="F537" i="3"/>
  <c r="E537" i="3"/>
  <c r="D537" i="3"/>
  <c r="H536" i="3"/>
  <c r="G536" i="3"/>
  <c r="F536" i="3"/>
  <c r="E536" i="3"/>
  <c r="D536" i="3"/>
  <c r="H535" i="3"/>
  <c r="G535" i="3"/>
  <c r="F535" i="3"/>
  <c r="E535" i="3"/>
  <c r="D535" i="3"/>
  <c r="H534" i="3"/>
  <c r="G534" i="3"/>
  <c r="F534" i="3"/>
  <c r="E534" i="3"/>
  <c r="D534" i="3"/>
  <c r="H533" i="3"/>
  <c r="G533" i="3"/>
  <c r="F533" i="3"/>
  <c r="E533" i="3"/>
  <c r="D533" i="3"/>
  <c r="H532" i="3"/>
  <c r="G532" i="3"/>
  <c r="F532" i="3"/>
  <c r="E532" i="3"/>
  <c r="D532" i="3"/>
  <c r="H531" i="3"/>
  <c r="G531" i="3"/>
  <c r="F531" i="3"/>
  <c r="E531" i="3"/>
  <c r="D531" i="3"/>
  <c r="H530" i="3"/>
  <c r="G530" i="3"/>
  <c r="F530" i="3"/>
  <c r="E530" i="3"/>
  <c r="D530" i="3"/>
  <c r="H529" i="3"/>
  <c r="G529" i="3"/>
  <c r="F529" i="3"/>
  <c r="E529" i="3"/>
  <c r="D529" i="3"/>
  <c r="H528" i="3"/>
  <c r="G528" i="3"/>
  <c r="F528" i="3"/>
  <c r="E528" i="3"/>
  <c r="D528" i="3"/>
  <c r="H527" i="3"/>
  <c r="G527" i="3"/>
  <c r="F527" i="3"/>
  <c r="E527" i="3"/>
  <c r="D527" i="3"/>
  <c r="H526" i="3"/>
  <c r="G526" i="3"/>
  <c r="F526" i="3"/>
  <c r="E526" i="3"/>
  <c r="D526" i="3"/>
  <c r="H525" i="3"/>
  <c r="G525" i="3"/>
  <c r="F525" i="3"/>
  <c r="E525" i="3"/>
  <c r="D525" i="3"/>
  <c r="H524" i="3"/>
  <c r="G524" i="3"/>
  <c r="F524" i="3"/>
  <c r="E524" i="3"/>
  <c r="D524" i="3"/>
  <c r="H523" i="3"/>
  <c r="G523" i="3"/>
  <c r="F523" i="3"/>
  <c r="E523" i="3"/>
  <c r="D523" i="3"/>
  <c r="H522" i="3"/>
  <c r="G522" i="3"/>
  <c r="F522" i="3"/>
  <c r="E522" i="3"/>
  <c r="D522" i="3"/>
  <c r="H521" i="3"/>
  <c r="G521" i="3"/>
  <c r="F521" i="3"/>
  <c r="E521" i="3"/>
  <c r="D521" i="3"/>
  <c r="H520" i="3"/>
  <c r="G520" i="3"/>
  <c r="F520" i="3"/>
  <c r="E520" i="3"/>
  <c r="D520" i="3"/>
  <c r="H519" i="3"/>
  <c r="G519" i="3"/>
  <c r="F519" i="3"/>
  <c r="E519" i="3"/>
  <c r="D519" i="3"/>
  <c r="H518" i="3"/>
  <c r="G518" i="3"/>
  <c r="F518" i="3"/>
  <c r="E518" i="3"/>
  <c r="D518" i="3"/>
  <c r="H517" i="3"/>
  <c r="G517" i="3"/>
  <c r="F517" i="3"/>
  <c r="E517" i="3"/>
  <c r="D517" i="3"/>
  <c r="H516" i="3"/>
  <c r="G516" i="3"/>
  <c r="F516" i="3"/>
  <c r="E516" i="3"/>
  <c r="D516" i="3"/>
  <c r="H515" i="3"/>
  <c r="G515" i="3"/>
  <c r="F515" i="3"/>
  <c r="E515" i="3"/>
  <c r="D515" i="3"/>
  <c r="H514" i="3"/>
  <c r="G514" i="3"/>
  <c r="F514" i="3"/>
  <c r="E514" i="3"/>
  <c r="D514" i="3"/>
  <c r="H513" i="3"/>
  <c r="G513" i="3"/>
  <c r="F513" i="3"/>
  <c r="E513" i="3"/>
  <c r="D513" i="3"/>
  <c r="H512" i="3"/>
  <c r="G512" i="3"/>
  <c r="F512" i="3"/>
  <c r="E512" i="3"/>
  <c r="D512" i="3"/>
  <c r="H511" i="3"/>
  <c r="G511" i="3"/>
  <c r="F511" i="3"/>
  <c r="E511" i="3"/>
  <c r="D511" i="3"/>
  <c r="H510" i="3"/>
  <c r="G510" i="3"/>
  <c r="F510" i="3"/>
  <c r="E510" i="3"/>
  <c r="D510" i="3"/>
  <c r="H509" i="3"/>
  <c r="G509" i="3"/>
  <c r="F509" i="3"/>
  <c r="E509" i="3"/>
  <c r="D509" i="3"/>
  <c r="H508" i="3"/>
  <c r="G508" i="3"/>
  <c r="F508" i="3"/>
  <c r="E508" i="3"/>
  <c r="D508" i="3"/>
  <c r="H507" i="3"/>
  <c r="G507" i="3"/>
  <c r="F507" i="3"/>
  <c r="E507" i="3"/>
  <c r="D507" i="3"/>
  <c r="H506" i="3"/>
  <c r="G506" i="3"/>
  <c r="F506" i="3"/>
  <c r="E506" i="3"/>
  <c r="D506" i="3"/>
  <c r="H505" i="3"/>
  <c r="G505" i="3"/>
  <c r="F505" i="3"/>
  <c r="E505" i="3"/>
  <c r="D505" i="3"/>
  <c r="H504" i="3"/>
  <c r="G504" i="3"/>
  <c r="F504" i="3"/>
  <c r="E504" i="3"/>
  <c r="D504" i="3"/>
  <c r="H503" i="3"/>
  <c r="G503" i="3"/>
  <c r="F503" i="3"/>
  <c r="E503" i="3"/>
  <c r="D503" i="3"/>
  <c r="H502" i="3"/>
  <c r="G502" i="3"/>
  <c r="F502" i="3"/>
  <c r="E502" i="3"/>
  <c r="D502" i="3"/>
  <c r="H501" i="3"/>
  <c r="G501" i="3"/>
  <c r="F501" i="3"/>
  <c r="E501" i="3"/>
  <c r="D501" i="3"/>
  <c r="H500" i="3"/>
  <c r="G500" i="3"/>
  <c r="F500" i="3"/>
  <c r="E500" i="3"/>
  <c r="D500" i="3"/>
  <c r="H499" i="3"/>
  <c r="G499" i="3"/>
  <c r="F499" i="3"/>
  <c r="E499" i="3"/>
  <c r="D499" i="3"/>
  <c r="H498" i="3"/>
  <c r="G498" i="3"/>
  <c r="F498" i="3"/>
  <c r="E498" i="3"/>
  <c r="D498" i="3"/>
  <c r="H497" i="3"/>
  <c r="G497" i="3"/>
  <c r="F497" i="3"/>
  <c r="E497" i="3"/>
  <c r="D497" i="3"/>
  <c r="H496" i="3"/>
  <c r="G496" i="3"/>
  <c r="F496" i="3"/>
  <c r="E496" i="3"/>
  <c r="D496" i="3"/>
  <c r="H495" i="3"/>
  <c r="G495" i="3"/>
  <c r="F495" i="3"/>
  <c r="E495" i="3"/>
  <c r="D495" i="3"/>
  <c r="H494" i="3"/>
  <c r="G494" i="3"/>
  <c r="F494" i="3"/>
  <c r="E494" i="3"/>
  <c r="D494" i="3"/>
  <c r="H493" i="3"/>
  <c r="G493" i="3"/>
  <c r="F493" i="3"/>
  <c r="E493" i="3"/>
  <c r="D493" i="3"/>
  <c r="H492" i="3"/>
  <c r="G492" i="3"/>
  <c r="F492" i="3"/>
  <c r="E492" i="3"/>
  <c r="D492" i="3"/>
  <c r="H491" i="3"/>
  <c r="G491" i="3"/>
  <c r="F491" i="3"/>
  <c r="E491" i="3"/>
  <c r="D491" i="3"/>
  <c r="H490" i="3"/>
  <c r="G490" i="3"/>
  <c r="F490" i="3"/>
  <c r="E490" i="3"/>
  <c r="D490" i="3"/>
  <c r="H489" i="3"/>
  <c r="G489" i="3"/>
  <c r="F489" i="3"/>
  <c r="E489" i="3"/>
  <c r="D489" i="3"/>
  <c r="H488" i="3"/>
  <c r="G488" i="3"/>
  <c r="F488" i="3"/>
  <c r="E488" i="3"/>
  <c r="D488" i="3"/>
  <c r="H487" i="3"/>
  <c r="G487" i="3"/>
  <c r="F487" i="3"/>
  <c r="E487" i="3"/>
  <c r="D487" i="3"/>
  <c r="H486" i="3"/>
  <c r="G486" i="3"/>
  <c r="F486" i="3"/>
  <c r="E486" i="3"/>
  <c r="D486" i="3"/>
  <c r="H485" i="3"/>
  <c r="G485" i="3"/>
  <c r="F485" i="3"/>
  <c r="E485" i="3"/>
  <c r="D485" i="3"/>
  <c r="H484" i="3"/>
  <c r="G484" i="3"/>
  <c r="F484" i="3"/>
  <c r="E484" i="3"/>
  <c r="D484" i="3"/>
  <c r="H483" i="3"/>
  <c r="G483" i="3"/>
  <c r="F483" i="3"/>
  <c r="E483" i="3"/>
  <c r="D483" i="3"/>
  <c r="H482" i="3"/>
  <c r="G482" i="3"/>
  <c r="F482" i="3"/>
  <c r="E482" i="3"/>
  <c r="D482" i="3"/>
  <c r="H481" i="3"/>
  <c r="G481" i="3"/>
  <c r="F481" i="3"/>
  <c r="E481" i="3"/>
  <c r="D481" i="3"/>
  <c r="H480" i="3"/>
  <c r="G480" i="3"/>
  <c r="F480" i="3"/>
  <c r="E480" i="3"/>
  <c r="D480" i="3"/>
  <c r="H479" i="3"/>
  <c r="G479" i="3"/>
  <c r="F479" i="3"/>
  <c r="E479" i="3"/>
  <c r="D479" i="3"/>
  <c r="H478" i="3"/>
  <c r="G478" i="3"/>
  <c r="F478" i="3"/>
  <c r="E478" i="3"/>
  <c r="D478" i="3"/>
  <c r="H477" i="3"/>
  <c r="G477" i="3"/>
  <c r="F477" i="3"/>
  <c r="E477" i="3"/>
  <c r="D477" i="3"/>
  <c r="H476" i="3"/>
  <c r="G476" i="3"/>
  <c r="F476" i="3"/>
  <c r="E476" i="3"/>
  <c r="D476" i="3"/>
  <c r="H475" i="3"/>
  <c r="G475" i="3"/>
  <c r="F475" i="3"/>
  <c r="E475" i="3"/>
  <c r="D475" i="3"/>
  <c r="H474" i="3"/>
  <c r="G474" i="3"/>
  <c r="F474" i="3"/>
  <c r="E474" i="3"/>
  <c r="D474" i="3"/>
  <c r="H473" i="3"/>
  <c r="G473" i="3"/>
  <c r="F473" i="3"/>
  <c r="E473" i="3"/>
  <c r="D473" i="3"/>
  <c r="H472" i="3"/>
  <c r="G472" i="3"/>
  <c r="F472" i="3"/>
  <c r="E472" i="3"/>
  <c r="D472" i="3"/>
  <c r="H471" i="3"/>
  <c r="G471" i="3"/>
  <c r="F471" i="3"/>
  <c r="E471" i="3"/>
  <c r="D471" i="3"/>
  <c r="H470" i="3"/>
  <c r="G470" i="3"/>
  <c r="F470" i="3"/>
  <c r="E470" i="3"/>
  <c r="D470" i="3"/>
  <c r="H469" i="3"/>
  <c r="G469" i="3"/>
  <c r="F469" i="3"/>
  <c r="E469" i="3"/>
  <c r="D469" i="3"/>
  <c r="H468" i="3"/>
  <c r="G468" i="3"/>
  <c r="F468" i="3"/>
  <c r="E468" i="3"/>
  <c r="D468" i="3"/>
  <c r="H467" i="3"/>
  <c r="G467" i="3"/>
  <c r="F467" i="3"/>
  <c r="E467" i="3"/>
  <c r="D467" i="3"/>
  <c r="H466" i="3"/>
  <c r="G466" i="3"/>
  <c r="F466" i="3"/>
  <c r="E466" i="3"/>
  <c r="D466" i="3"/>
  <c r="H465" i="3"/>
  <c r="G465" i="3"/>
  <c r="F465" i="3"/>
  <c r="E465" i="3"/>
  <c r="D465" i="3"/>
  <c r="H464" i="3"/>
  <c r="G464" i="3"/>
  <c r="F464" i="3"/>
  <c r="E464" i="3"/>
  <c r="D464" i="3"/>
  <c r="H463" i="3"/>
  <c r="G463" i="3"/>
  <c r="F463" i="3"/>
  <c r="E463" i="3"/>
  <c r="D463" i="3"/>
  <c r="H462" i="3"/>
  <c r="G462" i="3"/>
  <c r="F462" i="3"/>
  <c r="E462" i="3"/>
  <c r="D462" i="3"/>
  <c r="H461" i="3"/>
  <c r="G461" i="3"/>
  <c r="F461" i="3"/>
  <c r="E461" i="3"/>
  <c r="D461" i="3"/>
  <c r="H460" i="3"/>
  <c r="G460" i="3"/>
  <c r="F460" i="3"/>
  <c r="E460" i="3"/>
  <c r="D460" i="3"/>
  <c r="H459" i="3"/>
  <c r="G459" i="3"/>
  <c r="F459" i="3"/>
  <c r="E459" i="3"/>
  <c r="D459" i="3"/>
  <c r="H458" i="3"/>
  <c r="G458" i="3"/>
  <c r="F458" i="3"/>
  <c r="E458" i="3"/>
  <c r="D458" i="3"/>
  <c r="H457" i="3"/>
  <c r="G457" i="3"/>
  <c r="F457" i="3"/>
  <c r="E457" i="3"/>
  <c r="D457" i="3"/>
  <c r="H456" i="3"/>
  <c r="G456" i="3"/>
  <c r="F456" i="3"/>
  <c r="E456" i="3"/>
  <c r="D456" i="3"/>
  <c r="H455" i="3"/>
  <c r="G455" i="3"/>
  <c r="F455" i="3"/>
  <c r="E455" i="3"/>
  <c r="D455" i="3"/>
  <c r="H454" i="3"/>
  <c r="G454" i="3"/>
  <c r="F454" i="3"/>
  <c r="E454" i="3"/>
  <c r="D454" i="3"/>
  <c r="H453" i="3"/>
  <c r="G453" i="3"/>
  <c r="F453" i="3"/>
  <c r="E453" i="3"/>
  <c r="D453" i="3"/>
  <c r="H452" i="3"/>
  <c r="G452" i="3"/>
  <c r="F452" i="3"/>
  <c r="E452" i="3"/>
  <c r="D452" i="3"/>
  <c r="H451" i="3"/>
  <c r="G451" i="3"/>
  <c r="F451" i="3"/>
  <c r="E451" i="3"/>
  <c r="D451" i="3"/>
  <c r="H450" i="3"/>
  <c r="G450" i="3"/>
  <c r="F450" i="3"/>
  <c r="E450" i="3"/>
  <c r="D450" i="3"/>
  <c r="H449" i="3"/>
  <c r="G449" i="3"/>
  <c r="F449" i="3"/>
  <c r="E449" i="3"/>
  <c r="D449" i="3"/>
  <c r="H448" i="3"/>
  <c r="G448" i="3"/>
  <c r="F448" i="3"/>
  <c r="E448" i="3"/>
  <c r="D448" i="3"/>
  <c r="H447" i="3"/>
  <c r="G447" i="3"/>
  <c r="F447" i="3"/>
  <c r="E447" i="3"/>
  <c r="D447" i="3"/>
  <c r="H446" i="3"/>
  <c r="G446" i="3"/>
  <c r="F446" i="3"/>
  <c r="E446" i="3"/>
  <c r="D446" i="3"/>
  <c r="H445" i="3"/>
  <c r="G445" i="3"/>
  <c r="F445" i="3"/>
  <c r="E445" i="3"/>
  <c r="D445" i="3"/>
  <c r="H444" i="3"/>
  <c r="G444" i="3"/>
  <c r="F444" i="3"/>
  <c r="E444" i="3"/>
  <c r="D444" i="3"/>
  <c r="H443" i="3"/>
  <c r="G443" i="3"/>
  <c r="F443" i="3"/>
  <c r="E443" i="3"/>
  <c r="D443" i="3"/>
  <c r="H442" i="3"/>
  <c r="G442" i="3"/>
  <c r="F442" i="3"/>
  <c r="E442" i="3"/>
  <c r="D442" i="3"/>
  <c r="H441" i="3"/>
  <c r="G441" i="3"/>
  <c r="F441" i="3"/>
  <c r="E441" i="3"/>
  <c r="D441" i="3"/>
  <c r="H440" i="3"/>
  <c r="G440" i="3"/>
  <c r="F440" i="3"/>
  <c r="E440" i="3"/>
  <c r="D440" i="3"/>
  <c r="H439" i="3"/>
  <c r="G439" i="3"/>
  <c r="F439" i="3"/>
  <c r="E439" i="3"/>
  <c r="D439" i="3"/>
  <c r="H438" i="3"/>
  <c r="G438" i="3"/>
  <c r="F438" i="3"/>
  <c r="E438" i="3"/>
  <c r="D438" i="3"/>
  <c r="H437" i="3"/>
  <c r="G437" i="3"/>
  <c r="F437" i="3"/>
  <c r="E437" i="3"/>
  <c r="D437" i="3"/>
  <c r="H436" i="3"/>
  <c r="G436" i="3"/>
  <c r="F436" i="3"/>
  <c r="E436" i="3"/>
  <c r="D436" i="3"/>
  <c r="H435" i="3"/>
  <c r="G435" i="3"/>
  <c r="F435" i="3"/>
  <c r="E435" i="3"/>
  <c r="D435" i="3"/>
  <c r="H434" i="3"/>
  <c r="G434" i="3"/>
  <c r="F434" i="3"/>
  <c r="E434" i="3"/>
  <c r="D434" i="3"/>
  <c r="H433" i="3"/>
  <c r="G433" i="3"/>
  <c r="F433" i="3"/>
  <c r="E433" i="3"/>
  <c r="D433" i="3"/>
  <c r="H432" i="3"/>
  <c r="G432" i="3"/>
  <c r="F432" i="3"/>
  <c r="E432" i="3"/>
  <c r="D432" i="3"/>
  <c r="H431" i="3"/>
  <c r="G431" i="3"/>
  <c r="F431" i="3"/>
  <c r="E431" i="3"/>
  <c r="D431" i="3"/>
  <c r="H430" i="3"/>
  <c r="G430" i="3"/>
  <c r="F430" i="3"/>
  <c r="E430" i="3"/>
  <c r="D430" i="3"/>
  <c r="H429" i="3"/>
  <c r="G429" i="3"/>
  <c r="F429" i="3"/>
  <c r="E429" i="3"/>
  <c r="D429" i="3"/>
  <c r="H428" i="3"/>
  <c r="G428" i="3"/>
  <c r="F428" i="3"/>
  <c r="E428" i="3"/>
  <c r="D428" i="3"/>
  <c r="H427" i="3"/>
  <c r="G427" i="3"/>
  <c r="F427" i="3"/>
  <c r="E427" i="3"/>
  <c r="D427" i="3"/>
  <c r="H426" i="3"/>
  <c r="G426" i="3"/>
  <c r="F426" i="3"/>
  <c r="E426" i="3"/>
  <c r="D426" i="3"/>
  <c r="H425" i="3"/>
  <c r="G425" i="3"/>
  <c r="F425" i="3"/>
  <c r="E425" i="3"/>
  <c r="D425" i="3"/>
  <c r="H424" i="3"/>
  <c r="G424" i="3"/>
  <c r="F424" i="3"/>
  <c r="E424" i="3"/>
  <c r="D424" i="3"/>
  <c r="H423" i="3"/>
  <c r="G423" i="3"/>
  <c r="F423" i="3"/>
  <c r="E423" i="3"/>
  <c r="D423" i="3"/>
  <c r="H422" i="3"/>
  <c r="G422" i="3"/>
  <c r="F422" i="3"/>
  <c r="E422" i="3"/>
  <c r="D422" i="3"/>
  <c r="H421" i="3"/>
  <c r="G421" i="3"/>
  <c r="F421" i="3"/>
  <c r="E421" i="3"/>
  <c r="D421" i="3"/>
  <c r="H420" i="3"/>
  <c r="G420" i="3"/>
  <c r="F420" i="3"/>
  <c r="E420" i="3"/>
  <c r="D420" i="3"/>
  <c r="H419" i="3"/>
  <c r="G419" i="3"/>
  <c r="F419" i="3"/>
  <c r="E419" i="3"/>
  <c r="D419" i="3"/>
  <c r="H418" i="3"/>
  <c r="G418" i="3"/>
  <c r="F418" i="3"/>
  <c r="E418" i="3"/>
  <c r="D418" i="3"/>
  <c r="H417" i="3"/>
  <c r="G417" i="3"/>
  <c r="F417" i="3"/>
  <c r="E417" i="3"/>
  <c r="D417" i="3"/>
  <c r="H416" i="3"/>
  <c r="G416" i="3"/>
  <c r="F416" i="3"/>
  <c r="E416" i="3"/>
  <c r="D416" i="3"/>
  <c r="H415" i="3"/>
  <c r="G415" i="3"/>
  <c r="F415" i="3"/>
  <c r="E415" i="3"/>
  <c r="D415" i="3"/>
  <c r="H414" i="3"/>
  <c r="G414" i="3"/>
  <c r="F414" i="3"/>
  <c r="E414" i="3"/>
  <c r="D414" i="3"/>
  <c r="H413" i="3"/>
  <c r="G413" i="3"/>
  <c r="F413" i="3"/>
  <c r="E413" i="3"/>
  <c r="D413" i="3"/>
  <c r="H412" i="3"/>
  <c r="G412" i="3"/>
  <c r="F412" i="3"/>
  <c r="E412" i="3"/>
  <c r="D412" i="3"/>
  <c r="H411" i="3"/>
  <c r="G411" i="3"/>
  <c r="F411" i="3"/>
  <c r="E411" i="3"/>
  <c r="D411" i="3"/>
  <c r="H410" i="3"/>
  <c r="G410" i="3"/>
  <c r="F410" i="3"/>
  <c r="E410" i="3"/>
  <c r="D410" i="3"/>
  <c r="H409" i="3"/>
  <c r="G409" i="3"/>
  <c r="F409" i="3"/>
  <c r="E409" i="3"/>
  <c r="D409" i="3"/>
  <c r="H408" i="3"/>
  <c r="G408" i="3"/>
  <c r="F408" i="3"/>
  <c r="E408" i="3"/>
  <c r="D408" i="3"/>
  <c r="H407" i="3"/>
  <c r="G407" i="3"/>
  <c r="F407" i="3"/>
  <c r="E407" i="3"/>
  <c r="D407" i="3"/>
  <c r="H406" i="3"/>
  <c r="G406" i="3"/>
  <c r="F406" i="3"/>
  <c r="E406" i="3"/>
  <c r="D406" i="3"/>
  <c r="H405" i="3"/>
  <c r="G405" i="3"/>
  <c r="F405" i="3"/>
  <c r="E405" i="3"/>
  <c r="D405" i="3"/>
  <c r="H404" i="3"/>
  <c r="G404" i="3"/>
  <c r="F404" i="3"/>
  <c r="E404" i="3"/>
  <c r="D404" i="3"/>
  <c r="H403" i="3"/>
  <c r="G403" i="3"/>
  <c r="F403" i="3"/>
  <c r="E403" i="3"/>
  <c r="D403" i="3"/>
  <c r="H402" i="3"/>
  <c r="G402" i="3"/>
  <c r="F402" i="3"/>
  <c r="E402" i="3"/>
  <c r="D402" i="3"/>
  <c r="H401" i="3"/>
  <c r="G401" i="3"/>
  <c r="F401" i="3"/>
  <c r="E401" i="3"/>
  <c r="D401" i="3"/>
  <c r="H400" i="3"/>
  <c r="G400" i="3"/>
  <c r="F400" i="3"/>
  <c r="E400" i="3"/>
  <c r="D400" i="3"/>
  <c r="H399" i="3"/>
  <c r="G399" i="3"/>
  <c r="F399" i="3"/>
  <c r="E399" i="3"/>
  <c r="D399" i="3"/>
  <c r="H398" i="3"/>
  <c r="G398" i="3"/>
  <c r="F398" i="3"/>
  <c r="E398" i="3"/>
  <c r="D398" i="3"/>
  <c r="H397" i="3"/>
  <c r="G397" i="3"/>
  <c r="F397" i="3"/>
  <c r="E397" i="3"/>
  <c r="D397" i="3"/>
  <c r="H396" i="3"/>
  <c r="G396" i="3"/>
  <c r="F396" i="3"/>
  <c r="E396" i="3"/>
  <c r="D396" i="3"/>
  <c r="H395" i="3"/>
  <c r="G395" i="3"/>
  <c r="F395" i="3"/>
  <c r="E395" i="3"/>
  <c r="D395" i="3"/>
  <c r="H394" i="3"/>
  <c r="G394" i="3"/>
  <c r="F394" i="3"/>
  <c r="E394" i="3"/>
  <c r="D394" i="3"/>
  <c r="H393" i="3"/>
  <c r="G393" i="3"/>
  <c r="F393" i="3"/>
  <c r="E393" i="3"/>
  <c r="D393" i="3"/>
  <c r="H392" i="3"/>
  <c r="G392" i="3"/>
  <c r="F392" i="3"/>
  <c r="E392" i="3"/>
  <c r="D392" i="3"/>
  <c r="H391" i="3"/>
  <c r="G391" i="3"/>
  <c r="F391" i="3"/>
  <c r="E391" i="3"/>
  <c r="D391" i="3"/>
  <c r="H390" i="3"/>
  <c r="G390" i="3"/>
  <c r="F390" i="3"/>
  <c r="E390" i="3"/>
  <c r="D390" i="3"/>
  <c r="H389" i="3"/>
  <c r="G389" i="3"/>
  <c r="F389" i="3"/>
  <c r="E389" i="3"/>
  <c r="D389" i="3"/>
  <c r="H388" i="3"/>
  <c r="G388" i="3"/>
  <c r="F388" i="3"/>
  <c r="E388" i="3"/>
  <c r="D388" i="3"/>
  <c r="H387" i="3"/>
  <c r="G387" i="3"/>
  <c r="F387" i="3"/>
  <c r="E387" i="3"/>
  <c r="D387" i="3"/>
  <c r="H386" i="3"/>
  <c r="G386" i="3"/>
  <c r="F386" i="3"/>
  <c r="E386" i="3"/>
  <c r="D386" i="3"/>
  <c r="H385" i="3"/>
  <c r="G385" i="3"/>
  <c r="F385" i="3"/>
  <c r="E385" i="3"/>
  <c r="D385" i="3"/>
  <c r="H384" i="3"/>
  <c r="G384" i="3"/>
  <c r="F384" i="3"/>
  <c r="E384" i="3"/>
  <c r="D384" i="3"/>
  <c r="H383" i="3"/>
  <c r="G383" i="3"/>
  <c r="F383" i="3"/>
  <c r="E383" i="3"/>
  <c r="D383" i="3"/>
  <c r="H382" i="3"/>
  <c r="G382" i="3"/>
  <c r="F382" i="3"/>
  <c r="E382" i="3"/>
  <c r="D382" i="3"/>
  <c r="H381" i="3"/>
  <c r="G381" i="3"/>
  <c r="F381" i="3"/>
  <c r="E381" i="3"/>
  <c r="D381" i="3"/>
  <c r="H380" i="3"/>
  <c r="G380" i="3"/>
  <c r="F380" i="3"/>
  <c r="E380" i="3"/>
  <c r="D380" i="3"/>
  <c r="H379" i="3"/>
  <c r="G379" i="3"/>
  <c r="F379" i="3"/>
  <c r="E379" i="3"/>
  <c r="D379" i="3"/>
  <c r="H378" i="3"/>
  <c r="G378" i="3"/>
  <c r="F378" i="3"/>
  <c r="E378" i="3"/>
  <c r="D378" i="3"/>
  <c r="H377" i="3"/>
  <c r="G377" i="3"/>
  <c r="F377" i="3"/>
  <c r="E377" i="3"/>
  <c r="D377" i="3"/>
  <c r="H376" i="3"/>
  <c r="G376" i="3"/>
  <c r="F376" i="3"/>
  <c r="E376" i="3"/>
  <c r="D376" i="3"/>
  <c r="H375" i="3"/>
  <c r="G375" i="3"/>
  <c r="F375" i="3"/>
  <c r="E375" i="3"/>
  <c r="D375" i="3"/>
  <c r="H374" i="3"/>
  <c r="G374" i="3"/>
  <c r="F374" i="3"/>
  <c r="E374" i="3"/>
  <c r="D374" i="3"/>
  <c r="H373" i="3"/>
  <c r="G373" i="3"/>
  <c r="F373" i="3"/>
  <c r="E373" i="3"/>
  <c r="D373" i="3"/>
  <c r="H372" i="3"/>
  <c r="G372" i="3"/>
  <c r="F372" i="3"/>
  <c r="E372" i="3"/>
  <c r="D372" i="3"/>
  <c r="H371" i="3"/>
  <c r="G371" i="3"/>
  <c r="F371" i="3"/>
  <c r="E371" i="3"/>
  <c r="D371" i="3"/>
  <c r="H370" i="3"/>
  <c r="G370" i="3"/>
  <c r="F370" i="3"/>
  <c r="E370" i="3"/>
  <c r="D370" i="3"/>
  <c r="H369" i="3"/>
  <c r="G369" i="3"/>
  <c r="F369" i="3"/>
  <c r="E369" i="3"/>
  <c r="D369" i="3"/>
  <c r="H368" i="3"/>
  <c r="G368" i="3"/>
  <c r="F368" i="3"/>
  <c r="E368" i="3"/>
  <c r="D368" i="3"/>
  <c r="H367" i="3"/>
  <c r="G367" i="3"/>
  <c r="F367" i="3"/>
  <c r="E367" i="3"/>
  <c r="D367" i="3"/>
  <c r="H366" i="3"/>
  <c r="G366" i="3"/>
  <c r="F366" i="3"/>
  <c r="E366" i="3"/>
  <c r="D366" i="3"/>
  <c r="H365" i="3"/>
  <c r="G365" i="3"/>
  <c r="F365" i="3"/>
  <c r="E365" i="3"/>
  <c r="D365" i="3"/>
  <c r="H364" i="3"/>
  <c r="G364" i="3"/>
  <c r="F364" i="3"/>
  <c r="E364" i="3"/>
  <c r="D364" i="3"/>
  <c r="H363" i="3"/>
  <c r="G363" i="3"/>
  <c r="F363" i="3"/>
  <c r="E363" i="3"/>
  <c r="D363" i="3"/>
  <c r="H362" i="3"/>
  <c r="G362" i="3"/>
  <c r="F362" i="3"/>
  <c r="E362" i="3"/>
  <c r="D362" i="3"/>
  <c r="H361" i="3"/>
  <c r="G361" i="3"/>
  <c r="F361" i="3"/>
  <c r="E361" i="3"/>
  <c r="D361" i="3"/>
  <c r="H360" i="3"/>
  <c r="G360" i="3"/>
  <c r="F360" i="3"/>
  <c r="E360" i="3"/>
  <c r="D360" i="3"/>
  <c r="H359" i="3"/>
  <c r="G359" i="3"/>
  <c r="F359" i="3"/>
  <c r="E359" i="3"/>
  <c r="D359" i="3"/>
  <c r="H358" i="3"/>
  <c r="G358" i="3"/>
  <c r="F358" i="3"/>
  <c r="E358" i="3"/>
  <c r="D358" i="3"/>
  <c r="H357" i="3"/>
  <c r="G357" i="3"/>
  <c r="F357" i="3"/>
  <c r="E357" i="3"/>
  <c r="D357" i="3"/>
  <c r="H356" i="3"/>
  <c r="G356" i="3"/>
  <c r="F356" i="3"/>
  <c r="E356" i="3"/>
  <c r="D356" i="3"/>
  <c r="H355" i="3"/>
  <c r="G355" i="3"/>
  <c r="F355" i="3"/>
  <c r="E355" i="3"/>
  <c r="D355" i="3"/>
  <c r="H354" i="3"/>
  <c r="G354" i="3"/>
  <c r="F354" i="3"/>
  <c r="E354" i="3"/>
  <c r="D354" i="3"/>
  <c r="H353" i="3"/>
  <c r="G353" i="3"/>
  <c r="F353" i="3"/>
  <c r="E353" i="3"/>
  <c r="D353" i="3"/>
  <c r="H352" i="3"/>
  <c r="G352" i="3"/>
  <c r="F352" i="3"/>
  <c r="E352" i="3"/>
  <c r="D352" i="3"/>
  <c r="H351" i="3"/>
  <c r="G351" i="3"/>
  <c r="F351" i="3"/>
  <c r="E351" i="3"/>
  <c r="D351" i="3"/>
  <c r="H350" i="3"/>
  <c r="G350" i="3"/>
  <c r="F350" i="3"/>
  <c r="E350" i="3"/>
  <c r="D350" i="3"/>
  <c r="H349" i="3"/>
  <c r="G349" i="3"/>
  <c r="F349" i="3"/>
  <c r="E349" i="3"/>
  <c r="D349" i="3"/>
  <c r="H348" i="3"/>
  <c r="G348" i="3"/>
  <c r="F348" i="3"/>
  <c r="E348" i="3"/>
  <c r="D348" i="3"/>
  <c r="H347" i="3"/>
  <c r="G347" i="3"/>
  <c r="F347" i="3"/>
  <c r="E347" i="3"/>
  <c r="D347" i="3"/>
  <c r="H346" i="3"/>
  <c r="G346" i="3"/>
  <c r="F346" i="3"/>
  <c r="E346" i="3"/>
  <c r="D346" i="3"/>
  <c r="H345" i="3"/>
  <c r="G345" i="3"/>
  <c r="F345" i="3"/>
  <c r="E345" i="3"/>
  <c r="D345" i="3"/>
  <c r="H344" i="3"/>
  <c r="G344" i="3"/>
  <c r="F344" i="3"/>
  <c r="E344" i="3"/>
  <c r="D344" i="3"/>
  <c r="H343" i="3"/>
  <c r="G343" i="3"/>
  <c r="F343" i="3"/>
  <c r="E343" i="3"/>
  <c r="D343" i="3"/>
  <c r="H342" i="3"/>
  <c r="G342" i="3"/>
  <c r="F342" i="3"/>
  <c r="E342" i="3"/>
  <c r="D342" i="3"/>
  <c r="H341" i="3"/>
  <c r="G341" i="3"/>
  <c r="F341" i="3"/>
  <c r="E341" i="3"/>
  <c r="D341" i="3"/>
  <c r="H340" i="3"/>
  <c r="G340" i="3"/>
  <c r="F340" i="3"/>
  <c r="E340" i="3"/>
  <c r="D340" i="3"/>
  <c r="H339" i="3"/>
  <c r="G339" i="3"/>
  <c r="F339" i="3"/>
  <c r="E339" i="3"/>
  <c r="D339" i="3"/>
  <c r="H338" i="3"/>
  <c r="G338" i="3"/>
  <c r="F338" i="3"/>
  <c r="E338" i="3"/>
  <c r="D338" i="3"/>
  <c r="H337" i="3"/>
  <c r="G337" i="3"/>
  <c r="F337" i="3"/>
  <c r="E337" i="3"/>
  <c r="D337" i="3"/>
  <c r="H336" i="3"/>
  <c r="G336" i="3"/>
  <c r="F336" i="3"/>
  <c r="E336" i="3"/>
  <c r="D336" i="3"/>
  <c r="H335" i="3"/>
  <c r="G335" i="3"/>
  <c r="F335" i="3"/>
  <c r="E335" i="3"/>
  <c r="D335" i="3"/>
  <c r="H334" i="3"/>
  <c r="G334" i="3"/>
  <c r="F334" i="3"/>
  <c r="E334" i="3"/>
  <c r="D334" i="3"/>
  <c r="H333" i="3"/>
  <c r="G333" i="3"/>
  <c r="F333" i="3"/>
  <c r="E333" i="3"/>
  <c r="D333" i="3"/>
  <c r="H332" i="3"/>
  <c r="G332" i="3"/>
  <c r="F332" i="3"/>
  <c r="E332" i="3"/>
  <c r="D332" i="3"/>
  <c r="H331" i="3"/>
  <c r="G331" i="3"/>
  <c r="F331" i="3"/>
  <c r="E331" i="3"/>
  <c r="D331" i="3"/>
  <c r="H330" i="3"/>
  <c r="G330" i="3"/>
  <c r="F330" i="3"/>
  <c r="E330" i="3"/>
  <c r="D330" i="3"/>
  <c r="H329" i="3"/>
  <c r="G329" i="3"/>
  <c r="F329" i="3"/>
  <c r="E329" i="3"/>
  <c r="D329" i="3"/>
  <c r="H328" i="3"/>
  <c r="G328" i="3"/>
  <c r="F328" i="3"/>
  <c r="E328" i="3"/>
  <c r="D328" i="3"/>
  <c r="H327" i="3"/>
  <c r="G327" i="3"/>
  <c r="F327" i="3"/>
  <c r="E327" i="3"/>
  <c r="D327" i="3"/>
  <c r="H326" i="3"/>
  <c r="G326" i="3"/>
  <c r="F326" i="3"/>
  <c r="E326" i="3"/>
  <c r="D326" i="3"/>
  <c r="H325" i="3"/>
  <c r="G325" i="3"/>
  <c r="F325" i="3"/>
  <c r="E325" i="3"/>
  <c r="D325" i="3"/>
  <c r="H324" i="3"/>
  <c r="G324" i="3"/>
  <c r="F324" i="3"/>
  <c r="E324" i="3"/>
  <c r="D324" i="3"/>
  <c r="H323" i="3"/>
  <c r="G323" i="3"/>
  <c r="F323" i="3"/>
  <c r="E323" i="3"/>
  <c r="D323" i="3"/>
  <c r="H322" i="3"/>
  <c r="G322" i="3"/>
  <c r="F322" i="3"/>
  <c r="E322" i="3"/>
  <c r="D322" i="3"/>
  <c r="H321" i="3"/>
  <c r="G321" i="3"/>
  <c r="F321" i="3"/>
  <c r="E321" i="3"/>
  <c r="D321" i="3"/>
  <c r="H320" i="3"/>
  <c r="G320" i="3"/>
  <c r="F320" i="3"/>
  <c r="E320" i="3"/>
  <c r="D320" i="3"/>
  <c r="H319" i="3"/>
  <c r="G319" i="3"/>
  <c r="F319" i="3"/>
  <c r="E319" i="3"/>
  <c r="D319" i="3"/>
  <c r="H318" i="3"/>
  <c r="G318" i="3"/>
  <c r="F318" i="3"/>
  <c r="E318" i="3"/>
  <c r="D318" i="3"/>
  <c r="H317" i="3"/>
  <c r="G317" i="3"/>
  <c r="F317" i="3"/>
  <c r="E317" i="3"/>
  <c r="D317" i="3"/>
  <c r="H316" i="3"/>
  <c r="G316" i="3"/>
  <c r="F316" i="3"/>
  <c r="E316" i="3"/>
  <c r="D316" i="3"/>
  <c r="H315" i="3"/>
  <c r="G315" i="3"/>
  <c r="F315" i="3"/>
  <c r="E315" i="3"/>
  <c r="D315" i="3"/>
  <c r="H314" i="3"/>
  <c r="G314" i="3"/>
  <c r="F314" i="3"/>
  <c r="E314" i="3"/>
  <c r="D314" i="3"/>
  <c r="H313" i="3"/>
  <c r="G313" i="3"/>
  <c r="F313" i="3"/>
  <c r="E313" i="3"/>
  <c r="D313" i="3"/>
  <c r="H312" i="3"/>
  <c r="G312" i="3"/>
  <c r="F312" i="3"/>
  <c r="E312" i="3"/>
  <c r="D312" i="3"/>
  <c r="H311" i="3"/>
  <c r="G311" i="3"/>
  <c r="F311" i="3"/>
  <c r="E311" i="3"/>
  <c r="D311" i="3"/>
  <c r="H310" i="3"/>
  <c r="G310" i="3"/>
  <c r="F310" i="3"/>
  <c r="E310" i="3"/>
  <c r="D310" i="3"/>
  <c r="H309" i="3"/>
  <c r="G309" i="3"/>
  <c r="F309" i="3"/>
  <c r="E309" i="3"/>
  <c r="D309" i="3"/>
  <c r="H308" i="3"/>
  <c r="G308" i="3"/>
  <c r="F308" i="3"/>
  <c r="E308" i="3"/>
  <c r="D308" i="3"/>
  <c r="H307" i="3"/>
  <c r="G307" i="3"/>
  <c r="F307" i="3"/>
  <c r="E307" i="3"/>
  <c r="D307" i="3"/>
  <c r="H306" i="3"/>
  <c r="G306" i="3"/>
  <c r="F306" i="3"/>
  <c r="E306" i="3"/>
  <c r="D306" i="3"/>
  <c r="H305" i="3"/>
  <c r="G305" i="3"/>
  <c r="F305" i="3"/>
  <c r="E305" i="3"/>
  <c r="D305" i="3"/>
  <c r="H304" i="3"/>
  <c r="G304" i="3"/>
  <c r="F304" i="3"/>
  <c r="E304" i="3"/>
  <c r="D304" i="3"/>
  <c r="H303" i="3"/>
  <c r="G303" i="3"/>
  <c r="F303" i="3"/>
  <c r="E303" i="3"/>
  <c r="D303" i="3"/>
  <c r="H302" i="3"/>
  <c r="G302" i="3"/>
  <c r="F302" i="3"/>
  <c r="E302" i="3"/>
  <c r="D302" i="3"/>
  <c r="H301" i="3"/>
  <c r="G301" i="3"/>
  <c r="F301" i="3"/>
  <c r="E301" i="3"/>
  <c r="D301" i="3"/>
  <c r="H300" i="3"/>
  <c r="G300" i="3"/>
  <c r="F300" i="3"/>
  <c r="E300" i="3"/>
  <c r="D300" i="3"/>
  <c r="H299" i="3"/>
  <c r="G299" i="3"/>
  <c r="F299" i="3"/>
  <c r="E299" i="3"/>
  <c r="D299" i="3"/>
  <c r="H298" i="3"/>
  <c r="G298" i="3"/>
  <c r="F298" i="3"/>
  <c r="E298" i="3"/>
  <c r="D298" i="3"/>
  <c r="H297" i="3"/>
  <c r="G297" i="3"/>
  <c r="F297" i="3"/>
  <c r="E297" i="3"/>
  <c r="D297" i="3"/>
  <c r="H296" i="3"/>
  <c r="G296" i="3"/>
  <c r="F296" i="3"/>
  <c r="E296" i="3"/>
  <c r="D296" i="3"/>
  <c r="H295" i="3"/>
  <c r="G295" i="3"/>
  <c r="F295" i="3"/>
  <c r="E295" i="3"/>
  <c r="D295" i="3"/>
  <c r="H294" i="3"/>
  <c r="G294" i="3"/>
  <c r="F294" i="3"/>
  <c r="E294" i="3"/>
  <c r="D294" i="3"/>
  <c r="H293" i="3"/>
  <c r="G293" i="3"/>
  <c r="F293" i="3"/>
  <c r="E293" i="3"/>
  <c r="D293" i="3"/>
  <c r="H292" i="3"/>
  <c r="G292" i="3"/>
  <c r="F292" i="3"/>
  <c r="E292" i="3"/>
  <c r="D292" i="3"/>
  <c r="H291" i="3"/>
  <c r="G291" i="3"/>
  <c r="F291" i="3"/>
  <c r="E291" i="3"/>
  <c r="D291" i="3"/>
  <c r="H290" i="3"/>
  <c r="G290" i="3"/>
  <c r="F290" i="3"/>
  <c r="E290" i="3"/>
  <c r="D290" i="3"/>
  <c r="H289" i="3"/>
  <c r="G289" i="3"/>
  <c r="F289" i="3"/>
  <c r="E289" i="3"/>
  <c r="D289" i="3"/>
  <c r="H288" i="3"/>
  <c r="G288" i="3"/>
  <c r="F288" i="3"/>
  <c r="E288" i="3"/>
  <c r="D288" i="3"/>
  <c r="H287" i="3"/>
  <c r="G287" i="3"/>
  <c r="F287" i="3"/>
  <c r="E287" i="3"/>
  <c r="D287" i="3"/>
  <c r="H286" i="3"/>
  <c r="G286" i="3"/>
  <c r="F286" i="3"/>
  <c r="E286" i="3"/>
  <c r="D286" i="3"/>
  <c r="H285" i="3"/>
  <c r="G285" i="3"/>
  <c r="F285" i="3"/>
  <c r="E285" i="3"/>
  <c r="D285" i="3"/>
  <c r="H284" i="3"/>
  <c r="G284" i="3"/>
  <c r="F284" i="3"/>
  <c r="E284" i="3"/>
  <c r="D284" i="3"/>
  <c r="H283" i="3"/>
  <c r="G283" i="3"/>
  <c r="F283" i="3"/>
  <c r="E283" i="3"/>
  <c r="D283" i="3"/>
  <c r="H282" i="3"/>
  <c r="G282" i="3"/>
  <c r="F282" i="3"/>
  <c r="E282" i="3"/>
  <c r="D282" i="3"/>
  <c r="H281" i="3"/>
  <c r="G281" i="3"/>
  <c r="F281" i="3"/>
  <c r="E281" i="3"/>
  <c r="D281" i="3"/>
  <c r="H280" i="3"/>
  <c r="G280" i="3"/>
  <c r="F280" i="3"/>
  <c r="E280" i="3"/>
  <c r="D280" i="3"/>
  <c r="H279" i="3"/>
  <c r="G279" i="3"/>
  <c r="F279" i="3"/>
  <c r="E279" i="3"/>
  <c r="D279" i="3"/>
  <c r="H278" i="3"/>
  <c r="G278" i="3"/>
  <c r="F278" i="3"/>
  <c r="E278" i="3"/>
  <c r="D278" i="3"/>
  <c r="H277" i="3"/>
  <c r="G277" i="3"/>
  <c r="F277" i="3"/>
  <c r="E277" i="3"/>
  <c r="D277" i="3"/>
  <c r="H276" i="3"/>
  <c r="G276" i="3"/>
  <c r="F276" i="3"/>
  <c r="E276" i="3"/>
  <c r="D276" i="3"/>
  <c r="H275" i="3"/>
  <c r="G275" i="3"/>
  <c r="F275" i="3"/>
  <c r="E275" i="3"/>
  <c r="D275" i="3"/>
  <c r="H274" i="3"/>
  <c r="G274" i="3"/>
  <c r="F274" i="3"/>
  <c r="E274" i="3"/>
  <c r="D274" i="3"/>
  <c r="H273" i="3"/>
  <c r="G273" i="3"/>
  <c r="F273" i="3"/>
  <c r="E273" i="3"/>
  <c r="D273" i="3"/>
  <c r="H272" i="3"/>
  <c r="G272" i="3"/>
  <c r="F272" i="3"/>
  <c r="E272" i="3"/>
  <c r="D272" i="3"/>
  <c r="H271" i="3"/>
  <c r="G271" i="3"/>
  <c r="F271" i="3"/>
  <c r="E271" i="3"/>
  <c r="D271" i="3"/>
  <c r="H270" i="3"/>
  <c r="G270" i="3"/>
  <c r="F270" i="3"/>
  <c r="E270" i="3"/>
  <c r="D270" i="3"/>
  <c r="H269" i="3"/>
  <c r="G269" i="3"/>
  <c r="F269" i="3"/>
  <c r="E269" i="3"/>
  <c r="D269" i="3"/>
  <c r="H268" i="3"/>
  <c r="G268" i="3"/>
  <c r="F268" i="3"/>
  <c r="E268" i="3"/>
  <c r="D268" i="3"/>
  <c r="H267" i="3"/>
  <c r="G267" i="3"/>
  <c r="F267" i="3"/>
  <c r="E267" i="3"/>
  <c r="D267" i="3"/>
  <c r="H266" i="3"/>
  <c r="G266" i="3"/>
  <c r="F266" i="3"/>
  <c r="E266" i="3"/>
  <c r="D266" i="3"/>
  <c r="H265" i="3"/>
  <c r="G265" i="3"/>
  <c r="F265" i="3"/>
  <c r="E265" i="3"/>
  <c r="D265" i="3"/>
  <c r="H264" i="3"/>
  <c r="G264" i="3"/>
  <c r="F264" i="3"/>
  <c r="E264" i="3"/>
  <c r="D264" i="3"/>
  <c r="H263" i="3"/>
  <c r="G263" i="3"/>
  <c r="F263" i="3"/>
  <c r="E263" i="3"/>
  <c r="D263" i="3"/>
  <c r="H262" i="3"/>
  <c r="G262" i="3"/>
  <c r="F262" i="3"/>
  <c r="E262" i="3"/>
  <c r="D262" i="3"/>
  <c r="H261" i="3"/>
  <c r="G261" i="3"/>
  <c r="F261" i="3"/>
  <c r="E261" i="3"/>
  <c r="D261" i="3"/>
  <c r="H260" i="3"/>
  <c r="G260" i="3"/>
  <c r="F260" i="3"/>
  <c r="E260" i="3"/>
  <c r="D260" i="3"/>
  <c r="H259" i="3"/>
  <c r="G259" i="3"/>
  <c r="F259" i="3"/>
  <c r="E259" i="3"/>
  <c r="D259" i="3"/>
  <c r="H258" i="3"/>
  <c r="G258" i="3"/>
  <c r="F258" i="3"/>
  <c r="E258" i="3"/>
  <c r="D258" i="3"/>
  <c r="H257" i="3"/>
  <c r="G257" i="3"/>
  <c r="F257" i="3"/>
  <c r="E257" i="3"/>
  <c r="D257" i="3"/>
  <c r="H256" i="3"/>
  <c r="G256" i="3"/>
  <c r="F256" i="3"/>
  <c r="E256" i="3"/>
  <c r="D256" i="3"/>
  <c r="H255" i="3"/>
  <c r="G255" i="3"/>
  <c r="F255" i="3"/>
  <c r="E255" i="3"/>
  <c r="D255" i="3"/>
  <c r="H254" i="3"/>
  <c r="G254" i="3"/>
  <c r="F254" i="3"/>
  <c r="E254" i="3"/>
  <c r="D254" i="3"/>
  <c r="H253" i="3"/>
  <c r="G253" i="3"/>
  <c r="F253" i="3"/>
  <c r="E253" i="3"/>
  <c r="D253" i="3"/>
  <c r="H252" i="3"/>
  <c r="G252" i="3"/>
  <c r="F252" i="3"/>
  <c r="E252" i="3"/>
  <c r="D252" i="3"/>
  <c r="H251" i="3"/>
  <c r="G251" i="3"/>
  <c r="F251" i="3"/>
  <c r="E251" i="3"/>
  <c r="D251" i="3"/>
  <c r="H250" i="3"/>
  <c r="G250" i="3"/>
  <c r="F250" i="3"/>
  <c r="E250" i="3"/>
  <c r="D250" i="3"/>
  <c r="H249" i="3"/>
  <c r="G249" i="3"/>
  <c r="F249" i="3"/>
  <c r="E249" i="3"/>
  <c r="D249" i="3"/>
  <c r="H248" i="3"/>
  <c r="G248" i="3"/>
  <c r="F248" i="3"/>
  <c r="E248" i="3"/>
  <c r="D248" i="3"/>
  <c r="H247" i="3"/>
  <c r="G247" i="3"/>
  <c r="F247" i="3"/>
  <c r="E247" i="3"/>
  <c r="D247" i="3"/>
  <c r="H246" i="3"/>
  <c r="G246" i="3"/>
  <c r="F246" i="3"/>
  <c r="E246" i="3"/>
  <c r="D246" i="3"/>
  <c r="H245" i="3"/>
  <c r="G245" i="3"/>
  <c r="F245" i="3"/>
  <c r="E245" i="3"/>
  <c r="D245" i="3"/>
  <c r="H244" i="3"/>
  <c r="G244" i="3"/>
  <c r="F244" i="3"/>
  <c r="E244" i="3"/>
  <c r="D244" i="3"/>
  <c r="H243" i="3"/>
  <c r="G243" i="3"/>
  <c r="F243" i="3"/>
  <c r="E243" i="3"/>
  <c r="D243" i="3"/>
  <c r="H242" i="3"/>
  <c r="G242" i="3"/>
  <c r="F242" i="3"/>
  <c r="E242" i="3"/>
  <c r="D242" i="3"/>
  <c r="H241" i="3"/>
  <c r="G241" i="3"/>
  <c r="F241" i="3"/>
  <c r="E241" i="3"/>
  <c r="D241" i="3"/>
  <c r="H240" i="3"/>
  <c r="G240" i="3"/>
  <c r="F240" i="3"/>
  <c r="E240" i="3"/>
  <c r="D240" i="3"/>
  <c r="H239" i="3"/>
  <c r="G239" i="3"/>
  <c r="F239" i="3"/>
  <c r="E239" i="3"/>
  <c r="D239" i="3"/>
  <c r="H238" i="3"/>
  <c r="G238" i="3"/>
  <c r="F238" i="3"/>
  <c r="E238" i="3"/>
  <c r="D238" i="3"/>
  <c r="H237" i="3"/>
  <c r="G237" i="3"/>
  <c r="F237" i="3"/>
  <c r="E237" i="3"/>
  <c r="D237" i="3"/>
  <c r="H236" i="3"/>
  <c r="G236" i="3"/>
  <c r="F236" i="3"/>
  <c r="E236" i="3"/>
  <c r="D236" i="3"/>
  <c r="H235" i="3"/>
  <c r="G235" i="3"/>
  <c r="F235" i="3"/>
  <c r="E235" i="3"/>
  <c r="D235" i="3"/>
  <c r="H234" i="3"/>
  <c r="G234" i="3"/>
  <c r="F234" i="3"/>
  <c r="E234" i="3"/>
  <c r="D234" i="3"/>
  <c r="H233" i="3"/>
  <c r="G233" i="3"/>
  <c r="F233" i="3"/>
  <c r="E233" i="3"/>
  <c r="D233" i="3"/>
  <c r="H232" i="3"/>
  <c r="G232" i="3"/>
  <c r="F232" i="3"/>
  <c r="E232" i="3"/>
  <c r="D232" i="3"/>
  <c r="H231" i="3"/>
  <c r="G231" i="3"/>
  <c r="F231" i="3"/>
  <c r="E231" i="3"/>
  <c r="D231" i="3"/>
  <c r="H230" i="3"/>
  <c r="G230" i="3"/>
  <c r="F230" i="3"/>
  <c r="E230" i="3"/>
  <c r="D230" i="3"/>
  <c r="H229" i="3"/>
  <c r="G229" i="3"/>
  <c r="F229" i="3"/>
  <c r="E229" i="3"/>
  <c r="D229" i="3"/>
  <c r="H228" i="3"/>
  <c r="G228" i="3"/>
  <c r="F228" i="3"/>
  <c r="E228" i="3"/>
  <c r="D228" i="3"/>
  <c r="H227" i="3"/>
  <c r="G227" i="3"/>
  <c r="F227" i="3"/>
  <c r="E227" i="3"/>
  <c r="D227" i="3"/>
  <c r="H226" i="3"/>
  <c r="G226" i="3"/>
  <c r="F226" i="3"/>
  <c r="E226" i="3"/>
  <c r="D226" i="3"/>
  <c r="H225" i="3"/>
  <c r="G225" i="3"/>
  <c r="F225" i="3"/>
  <c r="E225" i="3"/>
  <c r="D225" i="3"/>
  <c r="H224" i="3"/>
  <c r="G224" i="3"/>
  <c r="F224" i="3"/>
  <c r="E224" i="3"/>
  <c r="D224" i="3"/>
  <c r="H223" i="3"/>
  <c r="G223" i="3"/>
  <c r="F223" i="3"/>
  <c r="E223" i="3"/>
  <c r="D223" i="3"/>
  <c r="H222" i="3"/>
  <c r="G222" i="3"/>
  <c r="F222" i="3"/>
  <c r="E222" i="3"/>
  <c r="D222" i="3"/>
  <c r="H221" i="3"/>
  <c r="G221" i="3"/>
  <c r="F221" i="3"/>
  <c r="E221" i="3"/>
  <c r="D221" i="3"/>
  <c r="H220" i="3"/>
  <c r="G220" i="3"/>
  <c r="F220" i="3"/>
  <c r="E220" i="3"/>
  <c r="D220" i="3"/>
  <c r="H219" i="3"/>
  <c r="G219" i="3"/>
  <c r="F219" i="3"/>
  <c r="E219" i="3"/>
  <c r="D219" i="3"/>
  <c r="H218" i="3"/>
  <c r="G218" i="3"/>
  <c r="F218" i="3"/>
  <c r="E218" i="3"/>
  <c r="D218" i="3"/>
  <c r="H217" i="3"/>
  <c r="G217" i="3"/>
  <c r="F217" i="3"/>
  <c r="E217" i="3"/>
  <c r="D217" i="3"/>
  <c r="H216" i="3"/>
  <c r="G216" i="3"/>
  <c r="F216" i="3"/>
  <c r="E216" i="3"/>
  <c r="D216" i="3"/>
  <c r="H215" i="3"/>
  <c r="G215" i="3"/>
  <c r="F215" i="3"/>
  <c r="E215" i="3"/>
  <c r="D215" i="3"/>
  <c r="H214" i="3"/>
  <c r="G214" i="3"/>
  <c r="F214" i="3"/>
  <c r="E214" i="3"/>
  <c r="D214" i="3"/>
  <c r="H213" i="3"/>
  <c r="G213" i="3"/>
  <c r="F213" i="3"/>
  <c r="E213" i="3"/>
  <c r="D213" i="3"/>
  <c r="H212" i="3"/>
  <c r="G212" i="3"/>
  <c r="F212" i="3"/>
  <c r="E212" i="3"/>
  <c r="D212" i="3"/>
  <c r="H211" i="3"/>
  <c r="G211" i="3"/>
  <c r="F211" i="3"/>
  <c r="E211" i="3"/>
  <c r="D211" i="3"/>
  <c r="H210" i="3"/>
  <c r="G210" i="3"/>
  <c r="F210" i="3"/>
  <c r="E210" i="3"/>
  <c r="D210" i="3"/>
  <c r="H209" i="3"/>
  <c r="G209" i="3"/>
  <c r="F209" i="3"/>
  <c r="E209" i="3"/>
  <c r="D209" i="3"/>
  <c r="H208" i="3"/>
  <c r="G208" i="3"/>
  <c r="F208" i="3"/>
  <c r="E208" i="3"/>
  <c r="D208" i="3"/>
  <c r="H207" i="3"/>
  <c r="G207" i="3"/>
  <c r="F207" i="3"/>
  <c r="E207" i="3"/>
  <c r="D207" i="3"/>
  <c r="H206" i="3"/>
  <c r="G206" i="3"/>
  <c r="F206" i="3"/>
  <c r="E206" i="3"/>
  <c r="D206" i="3"/>
  <c r="H205" i="3"/>
  <c r="G205" i="3"/>
  <c r="F205" i="3"/>
  <c r="E205" i="3"/>
  <c r="D205" i="3"/>
  <c r="H204" i="3"/>
  <c r="G204" i="3"/>
  <c r="F204" i="3"/>
  <c r="E204" i="3"/>
  <c r="D204" i="3"/>
  <c r="H203" i="3"/>
  <c r="G203" i="3"/>
  <c r="F203" i="3"/>
  <c r="E203" i="3"/>
  <c r="D203" i="3"/>
  <c r="H202" i="3"/>
  <c r="G202" i="3"/>
  <c r="F202" i="3"/>
  <c r="E202" i="3"/>
  <c r="D202" i="3"/>
  <c r="H201" i="3"/>
  <c r="G201" i="3"/>
  <c r="F201" i="3"/>
  <c r="E201" i="3"/>
  <c r="D201" i="3"/>
  <c r="H200" i="3"/>
  <c r="G200" i="3"/>
  <c r="F200" i="3"/>
  <c r="E200" i="3"/>
  <c r="D200" i="3"/>
  <c r="H199" i="3"/>
  <c r="G199" i="3"/>
  <c r="F199" i="3"/>
  <c r="E199" i="3"/>
  <c r="D199" i="3"/>
  <c r="H198" i="3"/>
  <c r="G198" i="3"/>
  <c r="F198" i="3"/>
  <c r="E198" i="3"/>
  <c r="D198" i="3"/>
  <c r="H197" i="3"/>
  <c r="G197" i="3"/>
  <c r="F197" i="3"/>
  <c r="E197" i="3"/>
  <c r="D197" i="3"/>
  <c r="H196" i="3"/>
  <c r="G196" i="3"/>
  <c r="F196" i="3"/>
  <c r="E196" i="3"/>
  <c r="D196" i="3"/>
  <c r="H195" i="3"/>
  <c r="G195" i="3"/>
  <c r="F195" i="3"/>
  <c r="E195" i="3"/>
  <c r="D195" i="3"/>
  <c r="H194" i="3"/>
  <c r="G194" i="3"/>
  <c r="F194" i="3"/>
  <c r="E194" i="3"/>
  <c r="D194" i="3"/>
  <c r="H193" i="3"/>
  <c r="G193" i="3"/>
  <c r="F193" i="3"/>
  <c r="E193" i="3"/>
  <c r="D193" i="3"/>
  <c r="H192" i="3"/>
  <c r="G192" i="3"/>
  <c r="F192" i="3"/>
  <c r="E192" i="3"/>
  <c r="D192" i="3"/>
  <c r="H191" i="3"/>
  <c r="G191" i="3"/>
  <c r="F191" i="3"/>
  <c r="E191" i="3"/>
  <c r="D191" i="3"/>
  <c r="H190" i="3"/>
  <c r="G190" i="3"/>
  <c r="F190" i="3"/>
  <c r="E190" i="3"/>
  <c r="D190" i="3"/>
  <c r="H189" i="3"/>
  <c r="G189" i="3"/>
  <c r="F189" i="3"/>
  <c r="E189" i="3"/>
  <c r="D189" i="3"/>
  <c r="H188" i="3"/>
  <c r="G188" i="3"/>
  <c r="F188" i="3"/>
  <c r="E188" i="3"/>
  <c r="D188" i="3"/>
  <c r="H187" i="3"/>
  <c r="G187" i="3"/>
  <c r="F187" i="3"/>
  <c r="E187" i="3"/>
  <c r="D187" i="3"/>
  <c r="H186" i="3"/>
  <c r="G186" i="3"/>
  <c r="F186" i="3"/>
  <c r="E186" i="3"/>
  <c r="D186" i="3"/>
  <c r="H185" i="3"/>
  <c r="G185" i="3"/>
  <c r="F185" i="3"/>
  <c r="E185" i="3"/>
  <c r="D185" i="3"/>
  <c r="H184" i="3"/>
  <c r="G184" i="3"/>
  <c r="F184" i="3"/>
  <c r="E184" i="3"/>
  <c r="D184" i="3"/>
  <c r="H183" i="3"/>
  <c r="G183" i="3"/>
  <c r="F183" i="3"/>
  <c r="E183" i="3"/>
  <c r="D183" i="3"/>
  <c r="H182" i="3"/>
  <c r="G182" i="3"/>
  <c r="F182" i="3"/>
  <c r="E182" i="3"/>
  <c r="D182" i="3"/>
  <c r="H181" i="3"/>
  <c r="G181" i="3"/>
  <c r="F181" i="3"/>
  <c r="E181" i="3"/>
  <c r="D181" i="3"/>
  <c r="H180" i="3"/>
  <c r="G180" i="3"/>
  <c r="F180" i="3"/>
  <c r="E180" i="3"/>
  <c r="D180" i="3"/>
  <c r="H179" i="3"/>
  <c r="G179" i="3"/>
  <c r="F179" i="3"/>
  <c r="E179" i="3"/>
  <c r="D179" i="3"/>
  <c r="H178" i="3"/>
  <c r="G178" i="3"/>
  <c r="F178" i="3"/>
  <c r="E178" i="3"/>
  <c r="D178" i="3"/>
  <c r="H177" i="3"/>
  <c r="G177" i="3"/>
  <c r="F177" i="3"/>
  <c r="E177" i="3"/>
  <c r="D177" i="3"/>
  <c r="H176" i="3"/>
  <c r="G176" i="3"/>
  <c r="F176" i="3"/>
  <c r="E176" i="3"/>
  <c r="D176" i="3"/>
  <c r="H175" i="3"/>
  <c r="G175" i="3"/>
  <c r="F175" i="3"/>
  <c r="E175" i="3"/>
  <c r="D175" i="3"/>
  <c r="H174" i="3"/>
  <c r="G174" i="3"/>
  <c r="F174" i="3"/>
  <c r="E174" i="3"/>
  <c r="D174" i="3"/>
  <c r="H173" i="3"/>
  <c r="G173" i="3"/>
  <c r="F173" i="3"/>
  <c r="E173" i="3"/>
  <c r="D173" i="3"/>
  <c r="H172" i="3"/>
  <c r="G172" i="3"/>
  <c r="F172" i="3"/>
  <c r="E172" i="3"/>
  <c r="D172" i="3"/>
  <c r="H171" i="3"/>
  <c r="G171" i="3"/>
  <c r="F171" i="3"/>
  <c r="E171" i="3"/>
  <c r="D171" i="3"/>
  <c r="H170" i="3"/>
  <c r="G170" i="3"/>
  <c r="F170" i="3"/>
  <c r="E170" i="3"/>
  <c r="D170" i="3"/>
  <c r="H169" i="3"/>
  <c r="G169" i="3"/>
  <c r="F169" i="3"/>
  <c r="E169" i="3"/>
  <c r="D169" i="3"/>
  <c r="H168" i="3"/>
  <c r="G168" i="3"/>
  <c r="F168" i="3"/>
  <c r="E168" i="3"/>
  <c r="D168" i="3"/>
  <c r="H167" i="3"/>
  <c r="G167" i="3"/>
  <c r="F167" i="3"/>
  <c r="E167" i="3"/>
  <c r="D167" i="3"/>
  <c r="H166" i="3"/>
  <c r="G166" i="3"/>
  <c r="F166" i="3"/>
  <c r="E166" i="3"/>
  <c r="D166" i="3"/>
  <c r="H165" i="3"/>
  <c r="G165" i="3"/>
  <c r="F165" i="3"/>
  <c r="E165" i="3"/>
  <c r="D165" i="3"/>
  <c r="H164" i="3"/>
  <c r="G164" i="3"/>
  <c r="F164" i="3"/>
  <c r="E164" i="3"/>
  <c r="D164" i="3"/>
  <c r="H163" i="3"/>
  <c r="G163" i="3"/>
  <c r="F163" i="3"/>
  <c r="E163" i="3"/>
  <c r="D163" i="3"/>
  <c r="H162" i="3"/>
  <c r="G162" i="3"/>
  <c r="F162" i="3"/>
  <c r="E162" i="3"/>
  <c r="D162" i="3"/>
  <c r="H161" i="3"/>
  <c r="G161" i="3"/>
  <c r="F161" i="3"/>
  <c r="E161" i="3"/>
  <c r="D161" i="3"/>
  <c r="H160" i="3"/>
  <c r="G160" i="3"/>
  <c r="F160" i="3"/>
  <c r="E160" i="3"/>
  <c r="D160" i="3"/>
  <c r="H159" i="3"/>
  <c r="G159" i="3"/>
  <c r="F159" i="3"/>
  <c r="E159" i="3"/>
  <c r="D159" i="3"/>
  <c r="H158" i="3"/>
  <c r="G158" i="3"/>
  <c r="F158" i="3"/>
  <c r="E158" i="3"/>
  <c r="D158" i="3"/>
  <c r="H157" i="3"/>
  <c r="G157" i="3"/>
  <c r="F157" i="3"/>
  <c r="E157" i="3"/>
  <c r="D157" i="3"/>
  <c r="H156" i="3"/>
  <c r="G156" i="3"/>
  <c r="F156" i="3"/>
  <c r="E156" i="3"/>
  <c r="D156" i="3"/>
  <c r="H155" i="3"/>
  <c r="G155" i="3"/>
  <c r="F155" i="3"/>
  <c r="E155" i="3"/>
  <c r="D155" i="3"/>
  <c r="H154" i="3"/>
  <c r="G154" i="3"/>
  <c r="F154" i="3"/>
  <c r="E154" i="3"/>
  <c r="D154" i="3"/>
  <c r="H153" i="3"/>
  <c r="G153" i="3"/>
  <c r="F153" i="3"/>
  <c r="E153" i="3"/>
  <c r="D153" i="3"/>
  <c r="H152" i="3"/>
  <c r="G152" i="3"/>
  <c r="F152" i="3"/>
  <c r="E152" i="3"/>
  <c r="D152" i="3"/>
  <c r="H151" i="3"/>
  <c r="G151" i="3"/>
  <c r="F151" i="3"/>
  <c r="E151" i="3"/>
  <c r="D151" i="3"/>
  <c r="H150" i="3"/>
  <c r="G150" i="3"/>
  <c r="F150" i="3"/>
  <c r="E150" i="3"/>
  <c r="D150" i="3"/>
  <c r="H149" i="3"/>
  <c r="G149" i="3"/>
  <c r="F149" i="3"/>
  <c r="E149" i="3"/>
  <c r="D149" i="3"/>
  <c r="H148" i="3"/>
  <c r="G148" i="3"/>
  <c r="F148" i="3"/>
  <c r="E148" i="3"/>
  <c r="D148" i="3"/>
  <c r="H147" i="3"/>
  <c r="G147" i="3"/>
  <c r="F147" i="3"/>
  <c r="E147" i="3"/>
  <c r="D147" i="3"/>
  <c r="H146" i="3"/>
  <c r="G146" i="3"/>
  <c r="F146" i="3"/>
  <c r="E146" i="3"/>
  <c r="D146" i="3"/>
  <c r="H145" i="3"/>
  <c r="G145" i="3"/>
  <c r="F145" i="3"/>
  <c r="E145" i="3"/>
  <c r="D145" i="3"/>
  <c r="H144" i="3"/>
  <c r="G144" i="3"/>
  <c r="F144" i="3"/>
  <c r="E144" i="3"/>
  <c r="D144" i="3"/>
  <c r="H143" i="3"/>
  <c r="G143" i="3"/>
  <c r="F143" i="3"/>
  <c r="E143" i="3"/>
  <c r="D143" i="3"/>
  <c r="H142" i="3"/>
  <c r="G142" i="3"/>
  <c r="F142" i="3"/>
  <c r="E142" i="3"/>
  <c r="D142" i="3"/>
  <c r="H141" i="3"/>
  <c r="G141" i="3"/>
  <c r="F141" i="3"/>
  <c r="E141" i="3"/>
  <c r="D141" i="3"/>
  <c r="H140" i="3"/>
  <c r="G140" i="3"/>
  <c r="F140" i="3"/>
  <c r="E140" i="3"/>
  <c r="D140" i="3"/>
  <c r="H139" i="3"/>
  <c r="G139" i="3"/>
  <c r="F139" i="3"/>
  <c r="E139" i="3"/>
  <c r="D139" i="3"/>
  <c r="H138" i="3"/>
  <c r="G138" i="3"/>
  <c r="F138" i="3"/>
  <c r="E138" i="3"/>
  <c r="D138" i="3"/>
  <c r="H137" i="3"/>
  <c r="G137" i="3"/>
  <c r="F137" i="3"/>
  <c r="E137" i="3"/>
  <c r="D137" i="3"/>
  <c r="H136" i="3"/>
  <c r="G136" i="3"/>
  <c r="F136" i="3"/>
  <c r="E136" i="3"/>
  <c r="D136" i="3"/>
  <c r="H135" i="3"/>
  <c r="G135" i="3"/>
  <c r="F135" i="3"/>
  <c r="E135" i="3"/>
  <c r="D135" i="3"/>
  <c r="H134" i="3"/>
  <c r="G134" i="3"/>
  <c r="F134" i="3"/>
  <c r="E134" i="3"/>
  <c r="D134" i="3"/>
  <c r="H133" i="3"/>
  <c r="G133" i="3"/>
  <c r="F133" i="3"/>
  <c r="E133" i="3"/>
  <c r="D133" i="3"/>
  <c r="H132" i="3"/>
  <c r="G132" i="3"/>
  <c r="F132" i="3"/>
  <c r="E132" i="3"/>
  <c r="D132" i="3"/>
  <c r="H131" i="3"/>
  <c r="G131" i="3"/>
  <c r="F131" i="3"/>
  <c r="E131" i="3"/>
  <c r="D131" i="3"/>
  <c r="H130" i="3"/>
  <c r="G130" i="3"/>
  <c r="F130" i="3"/>
  <c r="E130" i="3"/>
  <c r="D130" i="3"/>
  <c r="H129" i="3"/>
  <c r="G129" i="3"/>
  <c r="F129" i="3"/>
  <c r="E129" i="3"/>
  <c r="D129" i="3"/>
  <c r="H128" i="3"/>
  <c r="G128" i="3"/>
  <c r="F128" i="3"/>
  <c r="E128" i="3"/>
  <c r="D128" i="3"/>
  <c r="H127" i="3"/>
  <c r="G127" i="3"/>
  <c r="F127" i="3"/>
  <c r="E127" i="3"/>
  <c r="D127" i="3"/>
  <c r="H126" i="3"/>
  <c r="G126" i="3"/>
  <c r="F126" i="3"/>
  <c r="E126" i="3"/>
  <c r="D126" i="3"/>
  <c r="H125" i="3"/>
  <c r="G125" i="3"/>
  <c r="F125" i="3"/>
  <c r="E125" i="3"/>
  <c r="D125" i="3"/>
  <c r="H124" i="3"/>
  <c r="G124" i="3"/>
  <c r="F124" i="3"/>
  <c r="E124" i="3"/>
  <c r="D124" i="3"/>
  <c r="H123" i="3"/>
  <c r="G123" i="3"/>
  <c r="F123" i="3"/>
  <c r="E123" i="3"/>
  <c r="D123" i="3"/>
  <c r="H122" i="3"/>
  <c r="G122" i="3"/>
  <c r="F122" i="3"/>
  <c r="E122" i="3"/>
  <c r="D122" i="3"/>
  <c r="H121" i="3"/>
  <c r="G121" i="3"/>
  <c r="F121" i="3"/>
  <c r="E121" i="3"/>
  <c r="D121" i="3"/>
  <c r="H120" i="3"/>
  <c r="G120" i="3"/>
  <c r="F120" i="3"/>
  <c r="E120" i="3"/>
  <c r="D120" i="3"/>
  <c r="H119" i="3"/>
  <c r="G119" i="3"/>
  <c r="F119" i="3"/>
  <c r="E119" i="3"/>
  <c r="D119" i="3"/>
  <c r="H118" i="3"/>
  <c r="G118" i="3"/>
  <c r="F118" i="3"/>
  <c r="E118" i="3"/>
  <c r="D118" i="3"/>
  <c r="H117" i="3"/>
  <c r="G117" i="3"/>
  <c r="F117" i="3"/>
  <c r="E117" i="3"/>
  <c r="D117" i="3"/>
  <c r="H116" i="3"/>
  <c r="G116" i="3"/>
  <c r="F116" i="3"/>
  <c r="E116" i="3"/>
  <c r="D116" i="3"/>
  <c r="H115" i="3"/>
  <c r="G115" i="3"/>
  <c r="F115" i="3"/>
  <c r="E115" i="3"/>
  <c r="D115" i="3"/>
  <c r="H114" i="3"/>
  <c r="G114" i="3"/>
  <c r="F114" i="3"/>
  <c r="E114" i="3"/>
  <c r="D114" i="3"/>
  <c r="H113" i="3"/>
  <c r="G113" i="3"/>
  <c r="F113" i="3"/>
  <c r="E113" i="3"/>
  <c r="D113" i="3"/>
  <c r="H112" i="3"/>
  <c r="G112" i="3"/>
  <c r="F112" i="3"/>
  <c r="E112" i="3"/>
  <c r="D112" i="3"/>
  <c r="H111" i="3"/>
  <c r="G111" i="3"/>
  <c r="F111" i="3"/>
  <c r="E111" i="3"/>
  <c r="D111" i="3"/>
  <c r="H110" i="3"/>
  <c r="G110" i="3"/>
  <c r="F110" i="3"/>
  <c r="E110" i="3"/>
  <c r="D110" i="3"/>
  <c r="H109" i="3"/>
  <c r="G109" i="3"/>
  <c r="F109" i="3"/>
  <c r="E109" i="3"/>
  <c r="D109" i="3"/>
  <c r="H108" i="3"/>
  <c r="G108" i="3"/>
  <c r="F108" i="3"/>
  <c r="E108" i="3"/>
  <c r="D108" i="3"/>
  <c r="H107" i="3"/>
  <c r="G107" i="3"/>
  <c r="F107" i="3"/>
  <c r="E107" i="3"/>
  <c r="D107" i="3"/>
  <c r="H106" i="3"/>
  <c r="G106" i="3"/>
  <c r="F106" i="3"/>
  <c r="E106" i="3"/>
  <c r="D106" i="3"/>
  <c r="H105" i="3"/>
  <c r="G105" i="3"/>
  <c r="F105" i="3"/>
  <c r="E105" i="3"/>
  <c r="D105" i="3"/>
  <c r="H104" i="3"/>
  <c r="G104" i="3"/>
  <c r="F104" i="3"/>
  <c r="E104" i="3"/>
  <c r="D104" i="3"/>
  <c r="H103" i="3"/>
  <c r="G103" i="3"/>
  <c r="F103" i="3"/>
  <c r="E103" i="3"/>
  <c r="D103" i="3"/>
  <c r="H102" i="3"/>
  <c r="G102" i="3"/>
  <c r="F102" i="3"/>
  <c r="E102" i="3"/>
  <c r="D102" i="3"/>
  <c r="H101" i="3"/>
  <c r="G101" i="3"/>
  <c r="F101" i="3"/>
  <c r="E101" i="3"/>
  <c r="D101" i="3"/>
  <c r="H100" i="3"/>
  <c r="G100" i="3"/>
  <c r="F100" i="3"/>
  <c r="E100" i="3"/>
  <c r="D100" i="3"/>
  <c r="H99" i="3"/>
  <c r="G99" i="3"/>
  <c r="F99" i="3"/>
  <c r="E99" i="3"/>
  <c r="D99" i="3"/>
  <c r="H98" i="3"/>
  <c r="G98" i="3"/>
  <c r="F98" i="3"/>
  <c r="E98" i="3"/>
  <c r="D98" i="3"/>
  <c r="H97" i="3"/>
  <c r="G97" i="3"/>
  <c r="F97" i="3"/>
  <c r="E97" i="3"/>
  <c r="D97" i="3"/>
  <c r="H96" i="3"/>
  <c r="G96" i="3"/>
  <c r="F96" i="3"/>
  <c r="E96" i="3"/>
  <c r="D96" i="3"/>
  <c r="H95" i="3"/>
  <c r="G95" i="3"/>
  <c r="F95" i="3"/>
  <c r="E95" i="3"/>
  <c r="D95" i="3"/>
  <c r="H94" i="3"/>
  <c r="G94" i="3"/>
  <c r="F94" i="3"/>
  <c r="E94" i="3"/>
  <c r="D94" i="3"/>
  <c r="H93" i="3"/>
  <c r="G93" i="3"/>
  <c r="F93" i="3"/>
  <c r="E93" i="3"/>
  <c r="D93" i="3"/>
  <c r="H92" i="3"/>
  <c r="G92" i="3"/>
  <c r="F92" i="3"/>
  <c r="E92" i="3"/>
  <c r="D92" i="3"/>
  <c r="H91" i="3"/>
  <c r="G91" i="3"/>
  <c r="F91" i="3"/>
  <c r="E91" i="3"/>
  <c r="D91" i="3"/>
  <c r="H90" i="3"/>
  <c r="G90" i="3"/>
  <c r="F90" i="3"/>
  <c r="E90" i="3"/>
  <c r="D90" i="3"/>
  <c r="H89" i="3"/>
  <c r="G89" i="3"/>
  <c r="F89" i="3"/>
  <c r="E89" i="3"/>
  <c r="D89" i="3"/>
  <c r="H88" i="3"/>
  <c r="G88" i="3"/>
  <c r="F88" i="3"/>
  <c r="E88" i="3"/>
  <c r="D88" i="3"/>
  <c r="H87" i="3"/>
  <c r="G87" i="3"/>
  <c r="F87" i="3"/>
  <c r="E87" i="3"/>
  <c r="D87" i="3"/>
  <c r="H86" i="3"/>
  <c r="G86" i="3"/>
  <c r="F86" i="3"/>
  <c r="E86" i="3"/>
  <c r="D86" i="3"/>
  <c r="H85" i="3"/>
  <c r="G85" i="3"/>
  <c r="F85" i="3"/>
  <c r="E85" i="3"/>
  <c r="D85" i="3"/>
  <c r="H84" i="3"/>
  <c r="G84" i="3"/>
  <c r="F84" i="3"/>
  <c r="E84" i="3"/>
  <c r="D84" i="3"/>
  <c r="H83" i="3"/>
  <c r="G83" i="3"/>
  <c r="F83" i="3"/>
  <c r="E83" i="3"/>
  <c r="D83" i="3"/>
  <c r="H82" i="3"/>
  <c r="G82" i="3"/>
  <c r="F82" i="3"/>
  <c r="E82" i="3"/>
  <c r="D82" i="3"/>
  <c r="H81" i="3"/>
  <c r="G81" i="3"/>
  <c r="F81" i="3"/>
  <c r="E81" i="3"/>
  <c r="D81" i="3"/>
  <c r="H80" i="3"/>
  <c r="G80" i="3"/>
  <c r="F80" i="3"/>
  <c r="E80" i="3"/>
  <c r="D80" i="3"/>
  <c r="H79" i="3"/>
  <c r="G79" i="3"/>
  <c r="F79" i="3"/>
  <c r="E79" i="3"/>
  <c r="D79" i="3"/>
  <c r="H78" i="3"/>
  <c r="G78" i="3"/>
  <c r="F78" i="3"/>
  <c r="E78" i="3"/>
  <c r="D78" i="3"/>
  <c r="H77" i="3"/>
  <c r="G77" i="3"/>
  <c r="F77" i="3"/>
  <c r="E77" i="3"/>
  <c r="D77" i="3"/>
  <c r="H76" i="3"/>
  <c r="G76" i="3"/>
  <c r="F76" i="3"/>
  <c r="E76" i="3"/>
  <c r="D76" i="3"/>
  <c r="H75" i="3"/>
  <c r="G75" i="3"/>
  <c r="F75" i="3"/>
  <c r="E75" i="3"/>
  <c r="D75" i="3"/>
  <c r="H74" i="3"/>
  <c r="G74" i="3"/>
  <c r="F74" i="3"/>
  <c r="E74" i="3"/>
  <c r="D74" i="3"/>
  <c r="H73" i="3"/>
  <c r="G73" i="3"/>
  <c r="F73" i="3"/>
  <c r="E73" i="3"/>
  <c r="D73" i="3"/>
  <c r="H72" i="3"/>
  <c r="G72" i="3"/>
  <c r="F72" i="3"/>
  <c r="E72" i="3"/>
  <c r="D72" i="3"/>
  <c r="H71" i="3"/>
  <c r="G71" i="3"/>
  <c r="F71" i="3"/>
  <c r="E71" i="3"/>
  <c r="D71" i="3"/>
  <c r="H70" i="3"/>
  <c r="G70" i="3"/>
  <c r="F70" i="3"/>
  <c r="E70" i="3"/>
  <c r="D70" i="3"/>
  <c r="H69" i="3"/>
  <c r="G69" i="3"/>
  <c r="F69" i="3"/>
  <c r="E69" i="3"/>
  <c r="D69" i="3"/>
  <c r="H68" i="3"/>
  <c r="G68" i="3"/>
  <c r="F68" i="3"/>
  <c r="E68" i="3"/>
  <c r="D68" i="3"/>
  <c r="H67" i="3"/>
  <c r="G67" i="3"/>
  <c r="F67" i="3"/>
  <c r="E67" i="3"/>
  <c r="D67" i="3"/>
  <c r="H66" i="3"/>
  <c r="G66" i="3"/>
  <c r="F66" i="3"/>
  <c r="E66" i="3"/>
  <c r="D66" i="3"/>
  <c r="H65" i="3"/>
  <c r="G65" i="3"/>
  <c r="F65" i="3"/>
  <c r="E65" i="3"/>
  <c r="D65" i="3"/>
  <c r="H64" i="3"/>
  <c r="G64" i="3"/>
  <c r="F64" i="3"/>
  <c r="E64" i="3"/>
  <c r="D64" i="3"/>
  <c r="H63" i="3"/>
  <c r="G63" i="3"/>
  <c r="F63" i="3"/>
  <c r="E63" i="3"/>
  <c r="D63" i="3"/>
  <c r="H62" i="3"/>
  <c r="G62" i="3"/>
  <c r="F62" i="3"/>
  <c r="E62" i="3"/>
  <c r="D62" i="3"/>
  <c r="H61" i="3"/>
  <c r="G61" i="3"/>
  <c r="F61" i="3"/>
  <c r="E61" i="3"/>
  <c r="D61" i="3"/>
  <c r="H60" i="3"/>
  <c r="G60" i="3"/>
  <c r="F60" i="3"/>
  <c r="E60" i="3"/>
  <c r="D60" i="3"/>
  <c r="H59" i="3"/>
  <c r="G59" i="3"/>
  <c r="F59" i="3"/>
  <c r="E59" i="3"/>
  <c r="D59" i="3"/>
  <c r="H58" i="3"/>
  <c r="G58" i="3"/>
  <c r="F58" i="3"/>
  <c r="E58" i="3"/>
  <c r="D58" i="3"/>
  <c r="H57" i="3"/>
  <c r="G57" i="3"/>
  <c r="F57" i="3"/>
  <c r="E57" i="3"/>
  <c r="D57" i="3"/>
  <c r="H56" i="3"/>
  <c r="G56" i="3"/>
  <c r="F56" i="3"/>
  <c r="E56" i="3"/>
  <c r="D56" i="3"/>
  <c r="H55" i="3"/>
  <c r="G55" i="3"/>
  <c r="F55" i="3"/>
  <c r="E55" i="3"/>
  <c r="D55" i="3"/>
  <c r="H54" i="3"/>
  <c r="G54" i="3"/>
  <c r="F54" i="3"/>
  <c r="E54" i="3"/>
  <c r="D54" i="3"/>
  <c r="H53" i="3"/>
  <c r="G53" i="3"/>
  <c r="F53" i="3"/>
  <c r="E53" i="3"/>
  <c r="D53" i="3"/>
  <c r="H52" i="3"/>
  <c r="G52" i="3"/>
  <c r="F52" i="3"/>
  <c r="E52" i="3"/>
  <c r="D52" i="3"/>
  <c r="H51" i="3"/>
  <c r="G51" i="3"/>
  <c r="F51" i="3"/>
  <c r="E51" i="3"/>
  <c r="D51" i="3"/>
  <c r="H50" i="3"/>
  <c r="G50" i="3"/>
  <c r="F50" i="3"/>
  <c r="E50" i="3"/>
  <c r="D50" i="3"/>
  <c r="H49" i="3"/>
  <c r="G49" i="3"/>
  <c r="F49" i="3"/>
  <c r="E49" i="3"/>
  <c r="D49" i="3"/>
  <c r="H48" i="3"/>
  <c r="G48" i="3"/>
  <c r="F48" i="3"/>
  <c r="E48" i="3"/>
  <c r="D48" i="3"/>
  <c r="H47" i="3"/>
  <c r="G47" i="3"/>
  <c r="F47" i="3"/>
  <c r="E47" i="3"/>
  <c r="D47" i="3"/>
  <c r="H46" i="3"/>
  <c r="G46" i="3"/>
  <c r="F46" i="3"/>
  <c r="E46" i="3"/>
  <c r="D46" i="3"/>
  <c r="H45" i="3"/>
  <c r="G45" i="3"/>
  <c r="F45" i="3"/>
  <c r="E45" i="3"/>
  <c r="D45" i="3"/>
  <c r="H44" i="3"/>
  <c r="G44" i="3"/>
  <c r="F44" i="3"/>
  <c r="E44" i="3"/>
  <c r="D44" i="3"/>
  <c r="H43" i="3"/>
  <c r="G43" i="3"/>
  <c r="F43" i="3"/>
  <c r="E43" i="3"/>
  <c r="D43" i="3"/>
  <c r="H42" i="3"/>
  <c r="G42" i="3"/>
  <c r="F42" i="3"/>
  <c r="E42" i="3"/>
  <c r="D42" i="3"/>
  <c r="H41" i="3"/>
  <c r="G41" i="3"/>
  <c r="F41" i="3"/>
  <c r="E41" i="3"/>
  <c r="D41" i="3"/>
  <c r="H40" i="3"/>
  <c r="G40" i="3"/>
  <c r="F40" i="3"/>
  <c r="E40" i="3"/>
  <c r="D40" i="3"/>
  <c r="H39" i="3"/>
  <c r="G39" i="3"/>
  <c r="F39" i="3"/>
  <c r="E39" i="3"/>
  <c r="D39" i="3"/>
  <c r="H38" i="3"/>
  <c r="G38" i="3"/>
  <c r="F38" i="3"/>
  <c r="E38" i="3"/>
  <c r="D38" i="3"/>
  <c r="H37" i="3"/>
  <c r="G37" i="3"/>
  <c r="F37" i="3"/>
  <c r="E37" i="3"/>
  <c r="D37" i="3"/>
  <c r="H36" i="3"/>
  <c r="G36" i="3"/>
  <c r="F36" i="3"/>
  <c r="E36" i="3"/>
  <c r="D36" i="3"/>
  <c r="H35" i="3"/>
  <c r="G35" i="3"/>
  <c r="F35" i="3"/>
  <c r="E35" i="3"/>
  <c r="D35" i="3"/>
  <c r="H34" i="3"/>
  <c r="G34" i="3"/>
  <c r="F34" i="3"/>
  <c r="E34" i="3"/>
  <c r="D34" i="3"/>
  <c r="H33" i="3"/>
  <c r="G33" i="3"/>
  <c r="F33" i="3"/>
  <c r="E33" i="3"/>
  <c r="D33" i="3"/>
  <c r="H32" i="3"/>
  <c r="G32" i="3"/>
  <c r="F32" i="3"/>
  <c r="E32" i="3"/>
  <c r="D32" i="3"/>
  <c r="H31" i="3"/>
  <c r="G31" i="3"/>
  <c r="F31" i="3"/>
  <c r="E31" i="3"/>
  <c r="D31" i="3"/>
  <c r="H30" i="3"/>
  <c r="G30" i="3"/>
  <c r="F30" i="3"/>
  <c r="E30" i="3"/>
  <c r="D30" i="3"/>
  <c r="H29" i="3"/>
  <c r="G29" i="3"/>
  <c r="F29" i="3"/>
  <c r="E29" i="3"/>
  <c r="D29" i="3"/>
  <c r="H28" i="3"/>
  <c r="G28" i="3"/>
  <c r="F28" i="3"/>
  <c r="E28" i="3"/>
  <c r="D28" i="3"/>
  <c r="H27" i="3"/>
  <c r="G27" i="3"/>
  <c r="F27" i="3"/>
  <c r="E27" i="3"/>
  <c r="D27" i="3"/>
  <c r="H26" i="3"/>
  <c r="G26" i="3"/>
  <c r="F26" i="3"/>
  <c r="E26" i="3"/>
  <c r="D26" i="3"/>
  <c r="H25" i="3"/>
  <c r="G25" i="3"/>
  <c r="F25" i="3"/>
  <c r="E25" i="3"/>
  <c r="D25" i="3"/>
  <c r="H24" i="3"/>
  <c r="G24" i="3"/>
  <c r="F24" i="3"/>
  <c r="E24" i="3"/>
  <c r="D24" i="3"/>
  <c r="H23" i="3"/>
  <c r="G23" i="3"/>
  <c r="F23" i="3"/>
  <c r="E23" i="3"/>
  <c r="D23" i="3"/>
  <c r="H22" i="3"/>
  <c r="G22" i="3"/>
  <c r="F22" i="3"/>
  <c r="E22" i="3"/>
  <c r="D22" i="3"/>
  <c r="H21" i="3"/>
  <c r="G21" i="3"/>
  <c r="F21" i="3"/>
  <c r="E21" i="3"/>
  <c r="D21" i="3"/>
  <c r="H20" i="3"/>
  <c r="G20" i="3"/>
  <c r="F20" i="3"/>
  <c r="E20" i="3"/>
  <c r="D20" i="3"/>
  <c r="H19" i="3"/>
  <c r="G19" i="3"/>
  <c r="F19" i="3"/>
  <c r="E19" i="3"/>
  <c r="D19" i="3"/>
  <c r="H18" i="3"/>
  <c r="G18" i="3"/>
  <c r="F18" i="3"/>
  <c r="E18" i="3"/>
  <c r="D18" i="3"/>
  <c r="H17" i="3"/>
  <c r="G17" i="3"/>
  <c r="F17" i="3"/>
  <c r="E17" i="3"/>
  <c r="D17" i="3"/>
  <c r="H16" i="3"/>
  <c r="G16" i="3"/>
  <c r="F16" i="3"/>
  <c r="E16" i="3"/>
  <c r="D16" i="3"/>
  <c r="H15" i="3"/>
  <c r="G15" i="3"/>
  <c r="F15" i="3"/>
  <c r="E15" i="3"/>
  <c r="D15" i="3"/>
  <c r="H14" i="3"/>
  <c r="G14" i="3"/>
  <c r="F14" i="3"/>
  <c r="E14" i="3"/>
  <c r="D14" i="3"/>
  <c r="H13" i="3"/>
  <c r="G13" i="3"/>
  <c r="F13" i="3"/>
  <c r="E13" i="3"/>
  <c r="D13" i="3"/>
  <c r="H12" i="3"/>
  <c r="G12" i="3"/>
  <c r="F12" i="3"/>
  <c r="E12" i="3"/>
  <c r="D12" i="3"/>
  <c r="H11" i="3"/>
  <c r="G11" i="3"/>
  <c r="F11" i="3"/>
  <c r="E11" i="3"/>
  <c r="D11" i="3"/>
  <c r="H10" i="3"/>
  <c r="G10" i="3"/>
  <c r="F10" i="3"/>
  <c r="E10" i="3"/>
  <c r="D10" i="3"/>
  <c r="H9" i="3"/>
  <c r="G9" i="3"/>
  <c r="F9" i="3"/>
  <c r="E9" i="3"/>
  <c r="D9" i="3"/>
  <c r="H8" i="3"/>
  <c r="G8" i="3"/>
  <c r="F8" i="3"/>
  <c r="E8" i="3"/>
  <c r="D8" i="3"/>
  <c r="H7" i="3"/>
  <c r="G7" i="3"/>
  <c r="F7" i="3"/>
  <c r="E7" i="3"/>
  <c r="D7" i="3"/>
  <c r="H6" i="3"/>
  <c r="G6" i="3"/>
  <c r="F6" i="3"/>
  <c r="E6" i="3"/>
  <c r="D6" i="3"/>
  <c r="H5" i="3"/>
  <c r="G5" i="3"/>
  <c r="F5" i="3"/>
  <c r="E5" i="3"/>
  <c r="D5" i="3"/>
  <c r="H4" i="3"/>
  <c r="G4" i="3"/>
  <c r="F4" i="3"/>
  <c r="E4" i="3"/>
  <c r="D4" i="3"/>
  <c r="H3" i="3"/>
  <c r="G3" i="3"/>
  <c r="F3" i="3"/>
  <c r="E3" i="3"/>
  <c r="D3" i="3"/>
  <c r="H2" i="3"/>
  <c r="G2" i="3"/>
  <c r="F2" i="3"/>
  <c r="E2" i="3"/>
  <c r="D2" i="3"/>
  <c r="J1001" i="3" l="1"/>
  <c r="J1305" i="3"/>
  <c r="I646" i="3"/>
  <c r="J737" i="3"/>
  <c r="J1081" i="3"/>
  <c r="I1177" i="3"/>
  <c r="J185" i="3"/>
  <c r="J465" i="3"/>
  <c r="I553" i="3"/>
  <c r="I119" i="3"/>
  <c r="J649" i="3"/>
  <c r="I825" i="3"/>
  <c r="I921" i="3"/>
  <c r="J103" i="3"/>
  <c r="J135" i="3"/>
  <c r="I220" i="3"/>
  <c r="J327" i="3"/>
  <c r="J359" i="3"/>
  <c r="J97" i="3"/>
  <c r="J273" i="3"/>
  <c r="I377" i="3"/>
  <c r="J391" i="3"/>
  <c r="J551" i="3"/>
  <c r="J647" i="3"/>
  <c r="I819" i="3"/>
  <c r="J1095" i="3"/>
  <c r="J1127" i="3"/>
  <c r="J1191" i="3"/>
  <c r="J1223" i="3"/>
  <c r="J1255" i="3"/>
  <c r="J1287" i="3"/>
  <c r="J1319" i="3"/>
  <c r="I1332" i="3"/>
  <c r="J1351" i="3"/>
  <c r="J1383" i="3"/>
  <c r="J1404" i="3"/>
  <c r="J1415" i="3"/>
  <c r="J1453" i="3"/>
  <c r="J455" i="3"/>
  <c r="J583" i="3"/>
  <c r="J679" i="3"/>
  <c r="J743" i="3"/>
  <c r="J812" i="3"/>
  <c r="J839" i="3"/>
  <c r="J903" i="3"/>
  <c r="J967" i="3"/>
  <c r="J1063" i="3"/>
  <c r="J1159" i="3"/>
  <c r="J120" i="3"/>
  <c r="J184" i="3"/>
  <c r="J216" i="3"/>
  <c r="J248" i="3"/>
  <c r="J280" i="3"/>
  <c r="J384" i="3"/>
  <c r="J51" i="3"/>
  <c r="J307" i="3"/>
  <c r="I476" i="3"/>
  <c r="J487" i="3"/>
  <c r="J563" i="3"/>
  <c r="J711" i="3"/>
  <c r="J935" i="3"/>
  <c r="J1031" i="3"/>
  <c r="J24" i="3"/>
  <c r="J152" i="3"/>
  <c r="I464" i="3"/>
  <c r="I480" i="3"/>
  <c r="I504" i="3"/>
  <c r="J536" i="3"/>
  <c r="I584" i="3"/>
  <c r="J624" i="3"/>
  <c r="J423" i="3"/>
  <c r="J519" i="3"/>
  <c r="J615" i="3"/>
  <c r="J775" i="3"/>
  <c r="J807" i="3"/>
  <c r="J871" i="3"/>
  <c r="J999" i="3"/>
  <c r="J34" i="3"/>
  <c r="J424" i="3"/>
  <c r="J466" i="3"/>
  <c r="I672" i="3"/>
  <c r="I696" i="3"/>
  <c r="J760" i="3"/>
  <c r="I832" i="3"/>
  <c r="J896" i="3"/>
  <c r="J960" i="3"/>
  <c r="J1024" i="3"/>
  <c r="J1088" i="3"/>
  <c r="J1152" i="3"/>
  <c r="J1216" i="3"/>
  <c r="J1280" i="3"/>
  <c r="J1344" i="3"/>
  <c r="J1408" i="3"/>
  <c r="I1463" i="3"/>
  <c r="J1462" i="3"/>
  <c r="I1455" i="3"/>
  <c r="J1446" i="3"/>
  <c r="J231" i="3"/>
  <c r="I247" i="3"/>
  <c r="I279" i="3"/>
  <c r="J26" i="3"/>
  <c r="I26" i="3"/>
  <c r="J90" i="3"/>
  <c r="I90" i="3"/>
  <c r="J162" i="3"/>
  <c r="I162" i="3"/>
  <c r="J194" i="3"/>
  <c r="I194" i="3"/>
  <c r="J226" i="3"/>
  <c r="I226" i="3"/>
  <c r="J242" i="3"/>
  <c r="I242" i="3"/>
  <c r="J306" i="3"/>
  <c r="I306" i="3"/>
  <c r="J346" i="3"/>
  <c r="I346" i="3"/>
  <c r="J362" i="3"/>
  <c r="I362" i="3"/>
  <c r="J506" i="3"/>
  <c r="I506" i="3"/>
  <c r="J530" i="3"/>
  <c r="I530" i="3"/>
  <c r="J570" i="3"/>
  <c r="I570" i="3"/>
  <c r="J602" i="3"/>
  <c r="I602" i="3"/>
  <c r="I618" i="3"/>
  <c r="J618" i="3"/>
  <c r="J706" i="3"/>
  <c r="I706" i="3"/>
  <c r="J722" i="3"/>
  <c r="I722" i="3"/>
  <c r="J786" i="3"/>
  <c r="I786" i="3"/>
  <c r="J794" i="3"/>
  <c r="I794" i="3"/>
  <c r="J834" i="3"/>
  <c r="I834" i="3"/>
  <c r="J858" i="3"/>
  <c r="I858" i="3"/>
  <c r="I906" i="3"/>
  <c r="J906" i="3"/>
  <c r="J986" i="3"/>
  <c r="I986" i="3"/>
  <c r="J1018" i="3"/>
  <c r="I1018" i="3"/>
  <c r="J1042" i="3"/>
  <c r="I1042" i="3"/>
  <c r="J1058" i="3"/>
  <c r="I1058" i="3"/>
  <c r="J1178" i="3"/>
  <c r="I1178" i="3"/>
  <c r="J1202" i="3"/>
  <c r="I1202" i="3"/>
  <c r="J1266" i="3"/>
  <c r="I1266" i="3"/>
  <c r="J1298" i="3"/>
  <c r="I1298" i="3"/>
  <c r="J1314" i="3"/>
  <c r="I1314" i="3"/>
  <c r="J1338" i="3"/>
  <c r="I1338" i="3"/>
  <c r="J1346" i="3"/>
  <c r="I1346" i="3"/>
  <c r="J1378" i="3"/>
  <c r="I1378" i="3"/>
  <c r="I1386" i="3"/>
  <c r="J1386" i="3"/>
  <c r="J1394" i="3"/>
  <c r="I1394" i="3"/>
  <c r="J1402" i="3"/>
  <c r="I1402" i="3"/>
  <c r="J1410" i="3"/>
  <c r="I1410" i="3"/>
  <c r="J1418" i="3"/>
  <c r="I1418" i="3"/>
  <c r="J1426" i="3"/>
  <c r="I1426" i="3"/>
  <c r="J1454" i="3"/>
  <c r="I1454" i="3"/>
  <c r="J1438" i="3"/>
  <c r="I1438" i="3"/>
  <c r="I1470" i="3"/>
  <c r="J1470" i="3"/>
  <c r="I2" i="3"/>
  <c r="J2" i="3"/>
  <c r="J42" i="3"/>
  <c r="I42" i="3"/>
  <c r="J82" i="3"/>
  <c r="I82" i="3"/>
  <c r="J130" i="3"/>
  <c r="I130" i="3"/>
  <c r="J258" i="3"/>
  <c r="I258" i="3"/>
  <c r="J290" i="3"/>
  <c r="I290" i="3"/>
  <c r="J322" i="3"/>
  <c r="I322" i="3"/>
  <c r="J330" i="3"/>
  <c r="I330" i="3"/>
  <c r="J354" i="3"/>
  <c r="I354" i="3"/>
  <c r="J370" i="3"/>
  <c r="I370" i="3"/>
  <c r="J490" i="3"/>
  <c r="I490" i="3"/>
  <c r="J514" i="3"/>
  <c r="I514" i="3"/>
  <c r="J562" i="3"/>
  <c r="I562" i="3"/>
  <c r="J578" i="3"/>
  <c r="I578" i="3"/>
  <c r="J610" i="3"/>
  <c r="I610" i="3"/>
  <c r="I650" i="3"/>
  <c r="J650" i="3"/>
  <c r="I746" i="3"/>
  <c r="J746" i="3"/>
  <c r="J770" i="3"/>
  <c r="I770" i="3"/>
  <c r="I778" i="3"/>
  <c r="J778" i="3"/>
  <c r="I874" i="3"/>
  <c r="J874" i="3"/>
  <c r="J890" i="3"/>
  <c r="I890" i="3"/>
  <c r="J898" i="3"/>
  <c r="I898" i="3"/>
  <c r="I938" i="3"/>
  <c r="J938" i="3"/>
  <c r="J978" i="3"/>
  <c r="I978" i="3"/>
  <c r="J1026" i="3"/>
  <c r="I1026" i="3"/>
  <c r="I1034" i="3"/>
  <c r="J1034" i="3"/>
  <c r="J1082" i="3"/>
  <c r="I1082" i="3"/>
  <c r="J1122" i="3"/>
  <c r="I1122" i="3"/>
  <c r="J1146" i="3"/>
  <c r="I1146" i="3"/>
  <c r="I1162" i="3"/>
  <c r="J1162" i="3"/>
  <c r="J1210" i="3"/>
  <c r="I1210" i="3"/>
  <c r="J1242" i="3"/>
  <c r="I1242" i="3"/>
  <c r="J1274" i="3"/>
  <c r="I1274" i="3"/>
  <c r="I1290" i="3"/>
  <c r="J1290" i="3"/>
  <c r="I7" i="3"/>
  <c r="J15" i="3"/>
  <c r="I15" i="3"/>
  <c r="I39" i="3"/>
  <c r="J47" i="3"/>
  <c r="I47" i="3"/>
  <c r="I71" i="3"/>
  <c r="I103" i="3"/>
  <c r="J111" i="3"/>
  <c r="I111" i="3"/>
  <c r="J143" i="3"/>
  <c r="I143" i="3"/>
  <c r="J175" i="3"/>
  <c r="I175" i="3"/>
  <c r="J191" i="3"/>
  <c r="I191" i="3"/>
  <c r="I231" i="3"/>
  <c r="J239" i="3"/>
  <c r="I239" i="3"/>
  <c r="J271" i="3"/>
  <c r="I271" i="3"/>
  <c r="I327" i="3"/>
  <c r="J351" i="3"/>
  <c r="J383" i="3"/>
  <c r="J415" i="3"/>
  <c r="J439" i="3"/>
  <c r="J463" i="3"/>
  <c r="I487" i="3"/>
  <c r="J527" i="3"/>
  <c r="I551" i="3"/>
  <c r="J575" i="3"/>
  <c r="J607" i="3"/>
  <c r="J631" i="3"/>
  <c r="J663" i="3"/>
  <c r="J687" i="3"/>
  <c r="I711" i="3"/>
  <c r="J735" i="3"/>
  <c r="J767" i="3"/>
  <c r="J791" i="3"/>
  <c r="J815" i="3"/>
  <c r="J855" i="3"/>
  <c r="J879" i="3"/>
  <c r="I903" i="3"/>
  <c r="I935" i="3"/>
  <c r="I967" i="3"/>
  <c r="J991" i="3"/>
  <c r="J1015" i="3"/>
  <c r="J1055" i="3"/>
  <c r="J1071" i="3"/>
  <c r="J1103" i="3"/>
  <c r="I1127" i="3"/>
  <c r="I1159" i="3"/>
  <c r="I1191" i="3"/>
  <c r="J1199" i="3"/>
  <c r="J1207" i="3"/>
  <c r="J1215" i="3"/>
  <c r="I1223" i="3"/>
  <c r="J1231" i="3"/>
  <c r="J1239" i="3"/>
  <c r="J1247" i="3"/>
  <c r="I1255" i="3"/>
  <c r="J1263" i="3"/>
  <c r="J1271" i="3"/>
  <c r="J1279" i="3"/>
  <c r="I1287" i="3"/>
  <c r="J1295" i="3"/>
  <c r="J1303" i="3"/>
  <c r="J1311" i="3"/>
  <c r="I1319" i="3"/>
  <c r="J1327" i="3"/>
  <c r="J1335" i="3"/>
  <c r="J1343" i="3"/>
  <c r="I1351" i="3"/>
  <c r="J1359" i="3"/>
  <c r="J1367" i="3"/>
  <c r="J1375" i="3"/>
  <c r="I1383" i="3"/>
  <c r="J1391" i="3"/>
  <c r="J1399" i="3"/>
  <c r="J1407" i="3"/>
  <c r="I1415" i="3"/>
  <c r="J1423" i="3"/>
  <c r="J1441" i="3"/>
  <c r="J106" i="3"/>
  <c r="I106" i="3"/>
  <c r="J114" i="3"/>
  <c r="I114" i="3"/>
  <c r="J146" i="3"/>
  <c r="I146" i="3"/>
  <c r="J250" i="3"/>
  <c r="I250" i="3"/>
  <c r="J298" i="3"/>
  <c r="I298" i="3"/>
  <c r="J402" i="3"/>
  <c r="I402" i="3"/>
  <c r="J474" i="3"/>
  <c r="I474" i="3"/>
  <c r="J522" i="3"/>
  <c r="I522" i="3"/>
  <c r="I586" i="3"/>
  <c r="J586" i="3"/>
  <c r="I682" i="3"/>
  <c r="J682" i="3"/>
  <c r="J730" i="3"/>
  <c r="I730" i="3"/>
  <c r="J738" i="3"/>
  <c r="I738" i="3"/>
  <c r="J802" i="3"/>
  <c r="I802" i="3"/>
  <c r="J850" i="3"/>
  <c r="I850" i="3"/>
  <c r="J866" i="3"/>
  <c r="I866" i="3"/>
  <c r="J914" i="3"/>
  <c r="I914" i="3"/>
  <c r="J922" i="3"/>
  <c r="I922" i="3"/>
  <c r="J930" i="3"/>
  <c r="I930" i="3"/>
  <c r="J954" i="3"/>
  <c r="I954" i="3"/>
  <c r="J962" i="3"/>
  <c r="I962" i="3"/>
  <c r="I970" i="3"/>
  <c r="J970" i="3"/>
  <c r="J994" i="3"/>
  <c r="I994" i="3"/>
  <c r="J1010" i="3"/>
  <c r="I1010" i="3"/>
  <c r="J1050" i="3"/>
  <c r="I1050" i="3"/>
  <c r="J1074" i="3"/>
  <c r="I1074" i="3"/>
  <c r="J1098" i="3"/>
  <c r="I1098" i="3"/>
  <c r="J1138" i="3"/>
  <c r="I1138" i="3"/>
  <c r="I1194" i="3"/>
  <c r="J1194" i="3"/>
  <c r="J1218" i="3"/>
  <c r="I1218" i="3"/>
  <c r="J1234" i="3"/>
  <c r="I1234" i="3"/>
  <c r="J1250" i="3"/>
  <c r="I1250" i="3"/>
  <c r="J1306" i="3"/>
  <c r="I1306" i="3"/>
  <c r="J1370" i="3"/>
  <c r="I1370" i="3"/>
  <c r="J23" i="3"/>
  <c r="J63" i="3"/>
  <c r="I63" i="3"/>
  <c r="J79" i="3"/>
  <c r="I79" i="3"/>
  <c r="J95" i="3"/>
  <c r="I95" i="3"/>
  <c r="J119" i="3"/>
  <c r="J127" i="3"/>
  <c r="I127" i="3"/>
  <c r="J151" i="3"/>
  <c r="J159" i="3"/>
  <c r="I159" i="3"/>
  <c r="I199" i="3"/>
  <c r="J215" i="3"/>
  <c r="I263" i="3"/>
  <c r="J287" i="3"/>
  <c r="I287" i="3"/>
  <c r="J311" i="3"/>
  <c r="I311" i="3"/>
  <c r="J335" i="3"/>
  <c r="I359" i="3"/>
  <c r="J375" i="3"/>
  <c r="J399" i="3"/>
  <c r="I423" i="3"/>
  <c r="J447" i="3"/>
  <c r="J479" i="3"/>
  <c r="J495" i="3"/>
  <c r="I519" i="3"/>
  <c r="J543" i="3"/>
  <c r="J567" i="3"/>
  <c r="J591" i="3"/>
  <c r="I615" i="3"/>
  <c r="J639" i="3"/>
  <c r="J655" i="3"/>
  <c r="I679" i="3"/>
  <c r="J703" i="3"/>
  <c r="J727" i="3"/>
  <c r="J751" i="3"/>
  <c r="I775" i="3"/>
  <c r="J799" i="3"/>
  <c r="J823" i="3"/>
  <c r="I839" i="3"/>
  <c r="J863" i="3"/>
  <c r="J895" i="3"/>
  <c r="J919" i="3"/>
  <c r="J943" i="3"/>
  <c r="J959" i="3"/>
  <c r="J983" i="3"/>
  <c r="J1007" i="3"/>
  <c r="I1031" i="3"/>
  <c r="J1047" i="3"/>
  <c r="J1079" i="3"/>
  <c r="J1087" i="3"/>
  <c r="J1111" i="3"/>
  <c r="J1135" i="3"/>
  <c r="J1151" i="3"/>
  <c r="J1175" i="3"/>
  <c r="J12" i="3"/>
  <c r="I12" i="3"/>
  <c r="J20" i="3"/>
  <c r="I20" i="3"/>
  <c r="J28" i="3"/>
  <c r="I28" i="3"/>
  <c r="J60" i="3"/>
  <c r="I60" i="3"/>
  <c r="J84" i="3"/>
  <c r="I84" i="3"/>
  <c r="J92" i="3"/>
  <c r="I92" i="3"/>
  <c r="J100" i="3"/>
  <c r="I100" i="3"/>
  <c r="J116" i="3"/>
  <c r="I116" i="3"/>
  <c r="J124" i="3"/>
  <c r="I124" i="3"/>
  <c r="J132" i="3"/>
  <c r="I132" i="3"/>
  <c r="J148" i="3"/>
  <c r="I148" i="3"/>
  <c r="J180" i="3"/>
  <c r="I180" i="3"/>
  <c r="J188" i="3"/>
  <c r="I188" i="3"/>
  <c r="J196" i="3"/>
  <c r="I196" i="3"/>
  <c r="J204" i="3"/>
  <c r="I204" i="3"/>
  <c r="J228" i="3"/>
  <c r="I228" i="3"/>
  <c r="J236" i="3"/>
  <c r="I236" i="3"/>
  <c r="J252" i="3"/>
  <c r="I252" i="3"/>
  <c r="J276" i="3"/>
  <c r="I276" i="3"/>
  <c r="J284" i="3"/>
  <c r="I284" i="3"/>
  <c r="J292" i="3"/>
  <c r="I292" i="3"/>
  <c r="J300" i="3"/>
  <c r="I300" i="3"/>
  <c r="J308" i="3"/>
  <c r="I308" i="3"/>
  <c r="J316" i="3"/>
  <c r="I316" i="3"/>
  <c r="J332" i="3"/>
  <c r="I332" i="3"/>
  <c r="J340" i="3"/>
  <c r="I340" i="3"/>
  <c r="J348" i="3"/>
  <c r="I348" i="3"/>
  <c r="J356" i="3"/>
  <c r="I356" i="3"/>
  <c r="J372" i="3"/>
  <c r="I372" i="3"/>
  <c r="I508" i="3"/>
  <c r="I572" i="3"/>
  <c r="I772" i="3"/>
  <c r="I916" i="3"/>
  <c r="I1028" i="3"/>
  <c r="I1268" i="3"/>
  <c r="I1364" i="3"/>
  <c r="J9" i="3"/>
  <c r="I9" i="3"/>
  <c r="J17" i="3"/>
  <c r="I17" i="3"/>
  <c r="I49" i="3"/>
  <c r="J49" i="3"/>
  <c r="J73" i="3"/>
  <c r="I73" i="3"/>
  <c r="I97" i="3"/>
  <c r="J105" i="3"/>
  <c r="I105" i="3"/>
  <c r="J121" i="3"/>
  <c r="I121" i="3"/>
  <c r="I153" i="3"/>
  <c r="J153" i="3"/>
  <c r="J193" i="3"/>
  <c r="I193" i="3"/>
  <c r="J209" i="3"/>
  <c r="I209" i="3"/>
  <c r="I217" i="3"/>
  <c r="J217" i="3"/>
  <c r="I233" i="3"/>
  <c r="J233" i="3"/>
  <c r="J249" i="3"/>
  <c r="I249" i="3"/>
  <c r="J265" i="3"/>
  <c r="I265" i="3"/>
  <c r="I273" i="3"/>
  <c r="J281" i="3"/>
  <c r="I281" i="3"/>
  <c r="J289" i="3"/>
  <c r="I289" i="3"/>
  <c r="J297" i="3"/>
  <c r="I297" i="3"/>
  <c r="I305" i="3"/>
  <c r="J305" i="3"/>
  <c r="J313" i="3"/>
  <c r="I313" i="3"/>
  <c r="J321" i="3"/>
  <c r="I321" i="3"/>
  <c r="I329" i="3"/>
  <c r="J329" i="3"/>
  <c r="J353" i="3"/>
  <c r="I353" i="3"/>
  <c r="I361" i="3"/>
  <c r="J361" i="3"/>
  <c r="J369" i="3"/>
  <c r="I369" i="3"/>
  <c r="J385" i="3"/>
  <c r="I385" i="3"/>
  <c r="I393" i="3"/>
  <c r="J393" i="3"/>
  <c r="J409" i="3"/>
  <c r="I417" i="3"/>
  <c r="I433" i="3"/>
  <c r="I449" i="3"/>
  <c r="J481" i="3"/>
  <c r="J497" i="3"/>
  <c r="J513" i="3"/>
  <c r="J545" i="3"/>
  <c r="I569" i="3"/>
  <c r="J577" i="3"/>
  <c r="J585" i="3"/>
  <c r="J601" i="3"/>
  <c r="J617" i="3"/>
  <c r="J633" i="3"/>
  <c r="I649" i="3"/>
  <c r="I657" i="3"/>
  <c r="I673" i="3"/>
  <c r="J681" i="3"/>
  <c r="I689" i="3"/>
  <c r="I705" i="3"/>
  <c r="I721" i="3"/>
  <c r="J753" i="3"/>
  <c r="J769" i="3"/>
  <c r="J785" i="3"/>
  <c r="I793" i="3"/>
  <c r="J817" i="3"/>
  <c r="J841" i="3"/>
  <c r="J857" i="3"/>
  <c r="J873" i="3"/>
  <c r="J889" i="3"/>
  <c r="J905" i="3"/>
  <c r="J921" i="3"/>
  <c r="J937" i="3"/>
  <c r="J953" i="3"/>
  <c r="J969" i="3"/>
  <c r="I985" i="3"/>
  <c r="J1017" i="3"/>
  <c r="J1033" i="3"/>
  <c r="J1049" i="3"/>
  <c r="I1081" i="3"/>
  <c r="J1097" i="3"/>
  <c r="J1113" i="3"/>
  <c r="J1129" i="3"/>
  <c r="J1145" i="3"/>
  <c r="J1161" i="3"/>
  <c r="J1177" i="3"/>
  <c r="J1209" i="3"/>
  <c r="J1241" i="3"/>
  <c r="I1281" i="3"/>
  <c r="I1313" i="3"/>
  <c r="J1337" i="3"/>
  <c r="I1345" i="3"/>
  <c r="I1377" i="3"/>
  <c r="I1409" i="3"/>
  <c r="J1439" i="3"/>
  <c r="J1431" i="3"/>
  <c r="I23" i="3"/>
  <c r="I151" i="3"/>
  <c r="I466" i="3"/>
  <c r="J66" i="3"/>
  <c r="I66" i="3"/>
  <c r="J74" i="3"/>
  <c r="I74" i="3"/>
  <c r="J154" i="3"/>
  <c r="I154" i="3"/>
  <c r="J186" i="3"/>
  <c r="I186" i="3"/>
  <c r="J378" i="3"/>
  <c r="I378" i="3"/>
  <c r="J410" i="3"/>
  <c r="I410" i="3"/>
  <c r="J442" i="3"/>
  <c r="I442" i="3"/>
  <c r="J642" i="3"/>
  <c r="I642" i="3"/>
  <c r="J826" i="3"/>
  <c r="I826" i="3"/>
  <c r="I842" i="3"/>
  <c r="J842" i="3"/>
  <c r="J882" i="3"/>
  <c r="I882" i="3"/>
  <c r="J946" i="3"/>
  <c r="I946" i="3"/>
  <c r="I1002" i="3"/>
  <c r="J1002" i="3"/>
  <c r="I1066" i="3"/>
  <c r="J1066" i="3"/>
  <c r="J1090" i="3"/>
  <c r="I1090" i="3"/>
  <c r="J1106" i="3"/>
  <c r="I1106" i="3"/>
  <c r="J1114" i="3"/>
  <c r="I1114" i="3"/>
  <c r="I1130" i="3"/>
  <c r="J1130" i="3"/>
  <c r="J1154" i="3"/>
  <c r="I1154" i="3"/>
  <c r="J1170" i="3"/>
  <c r="I1170" i="3"/>
  <c r="J1186" i="3"/>
  <c r="I1186" i="3"/>
  <c r="I1226" i="3"/>
  <c r="J1226" i="3"/>
  <c r="I1258" i="3"/>
  <c r="J1258" i="3"/>
  <c r="J1282" i="3"/>
  <c r="I1282" i="3"/>
  <c r="I1322" i="3"/>
  <c r="J1322" i="3"/>
  <c r="J1330" i="3"/>
  <c r="I1330" i="3"/>
  <c r="I1354" i="3"/>
  <c r="J1354" i="3"/>
  <c r="J1362" i="3"/>
  <c r="I1362" i="3"/>
  <c r="J31" i="3"/>
  <c r="I31" i="3"/>
  <c r="J55" i="3"/>
  <c r="J87" i="3"/>
  <c r="I135" i="3"/>
  <c r="I167" i="3"/>
  <c r="J183" i="3"/>
  <c r="J207" i="3"/>
  <c r="I207" i="3"/>
  <c r="J223" i="3"/>
  <c r="I223" i="3"/>
  <c r="J247" i="3"/>
  <c r="J255" i="3"/>
  <c r="I255" i="3"/>
  <c r="J279" i="3"/>
  <c r="I295" i="3"/>
  <c r="J303" i="3"/>
  <c r="I303" i="3"/>
  <c r="J319" i="3"/>
  <c r="J343" i="3"/>
  <c r="J367" i="3"/>
  <c r="I391" i="3"/>
  <c r="J407" i="3"/>
  <c r="J431" i="3"/>
  <c r="I455" i="3"/>
  <c r="J471" i="3"/>
  <c r="J503" i="3"/>
  <c r="J511" i="3"/>
  <c r="J535" i="3"/>
  <c r="J559" i="3"/>
  <c r="I583" i="3"/>
  <c r="J599" i="3"/>
  <c r="J623" i="3"/>
  <c r="I647" i="3"/>
  <c r="J671" i="3"/>
  <c r="J695" i="3"/>
  <c r="J719" i="3"/>
  <c r="I743" i="3"/>
  <c r="J759" i="3"/>
  <c r="J783" i="3"/>
  <c r="I807" i="3"/>
  <c r="J831" i="3"/>
  <c r="J847" i="3"/>
  <c r="I871" i="3"/>
  <c r="J887" i="3"/>
  <c r="J911" i="3"/>
  <c r="J927" i="3"/>
  <c r="J951" i="3"/>
  <c r="J975" i="3"/>
  <c r="I999" i="3"/>
  <c r="J1023" i="3"/>
  <c r="J1039" i="3"/>
  <c r="I1063" i="3"/>
  <c r="I1095" i="3"/>
  <c r="J1119" i="3"/>
  <c r="J1143" i="3"/>
  <c r="J1167" i="3"/>
  <c r="J1183" i="3"/>
  <c r="J4" i="3"/>
  <c r="I4" i="3"/>
  <c r="J36" i="3"/>
  <c r="I36" i="3"/>
  <c r="J44" i="3"/>
  <c r="I44" i="3"/>
  <c r="J52" i="3"/>
  <c r="I52" i="3"/>
  <c r="J68" i="3"/>
  <c r="I68" i="3"/>
  <c r="J76" i="3"/>
  <c r="I76" i="3"/>
  <c r="J108" i="3"/>
  <c r="I108" i="3"/>
  <c r="J140" i="3"/>
  <c r="I140" i="3"/>
  <c r="J156" i="3"/>
  <c r="I156" i="3"/>
  <c r="J164" i="3"/>
  <c r="I164" i="3"/>
  <c r="J172" i="3"/>
  <c r="I172" i="3"/>
  <c r="J212" i="3"/>
  <c r="I212" i="3"/>
  <c r="J220" i="3"/>
  <c r="J244" i="3"/>
  <c r="I244" i="3"/>
  <c r="J260" i="3"/>
  <c r="I260" i="3"/>
  <c r="J268" i="3"/>
  <c r="I268" i="3"/>
  <c r="J324" i="3"/>
  <c r="I324" i="3"/>
  <c r="J364" i="3"/>
  <c r="I364" i="3"/>
  <c r="I444" i="3"/>
  <c r="I540" i="3"/>
  <c r="J612" i="3"/>
  <c r="I868" i="3"/>
  <c r="I972" i="3"/>
  <c r="J1260" i="3"/>
  <c r="I1300" i="3"/>
  <c r="I1404" i="3"/>
  <c r="J7" i="3"/>
  <c r="J263" i="3"/>
  <c r="J25" i="3"/>
  <c r="I25" i="3"/>
  <c r="J33" i="3"/>
  <c r="I33" i="3"/>
  <c r="J41" i="3"/>
  <c r="I41" i="3"/>
  <c r="J57" i="3"/>
  <c r="I57" i="3"/>
  <c r="J65" i="3"/>
  <c r="I65" i="3"/>
  <c r="I81" i="3"/>
  <c r="J81" i="3"/>
  <c r="J89" i="3"/>
  <c r="I89" i="3"/>
  <c r="J113" i="3"/>
  <c r="I113" i="3"/>
  <c r="I129" i="3"/>
  <c r="J129" i="3"/>
  <c r="J137" i="3"/>
  <c r="I137" i="3"/>
  <c r="J145" i="3"/>
  <c r="I145" i="3"/>
  <c r="J161" i="3"/>
  <c r="I161" i="3"/>
  <c r="I169" i="3"/>
  <c r="J169" i="3"/>
  <c r="J177" i="3"/>
  <c r="I177" i="3"/>
  <c r="I185" i="3"/>
  <c r="J201" i="3"/>
  <c r="I201" i="3"/>
  <c r="J225" i="3"/>
  <c r="I225" i="3"/>
  <c r="J241" i="3"/>
  <c r="I241" i="3"/>
  <c r="I257" i="3"/>
  <c r="J257" i="3"/>
  <c r="J337" i="3"/>
  <c r="I337" i="3"/>
  <c r="J345" i="3"/>
  <c r="I345" i="3"/>
  <c r="J377" i="3"/>
  <c r="I401" i="3"/>
  <c r="J6" i="3"/>
  <c r="I6" i="3"/>
  <c r="J14" i="3"/>
  <c r="I14" i="3"/>
  <c r="J22" i="3"/>
  <c r="I22" i="3"/>
  <c r="I30" i="3"/>
  <c r="J30" i="3"/>
  <c r="J38" i="3"/>
  <c r="I38" i="3"/>
  <c r="I46" i="3"/>
  <c r="J46" i="3"/>
  <c r="J54" i="3"/>
  <c r="I54" i="3"/>
  <c r="I62" i="3"/>
  <c r="J62" i="3"/>
  <c r="J70" i="3"/>
  <c r="I70" i="3"/>
  <c r="J78" i="3"/>
  <c r="I78" i="3"/>
  <c r="J86" i="3"/>
  <c r="I86" i="3"/>
  <c r="J94" i="3"/>
  <c r="I94" i="3"/>
  <c r="J102" i="3"/>
  <c r="I102" i="3"/>
  <c r="J110" i="3"/>
  <c r="I110" i="3"/>
  <c r="J118" i="3"/>
  <c r="I118" i="3"/>
  <c r="I126" i="3"/>
  <c r="J126" i="3"/>
  <c r="J134" i="3"/>
  <c r="I134" i="3"/>
  <c r="J142" i="3"/>
  <c r="I142" i="3"/>
  <c r="J150" i="3"/>
  <c r="I150" i="3"/>
  <c r="I158" i="3"/>
  <c r="J158" i="3"/>
  <c r="J166" i="3"/>
  <c r="I166" i="3"/>
  <c r="J174" i="3"/>
  <c r="I174" i="3"/>
  <c r="J182" i="3"/>
  <c r="I182" i="3"/>
  <c r="I190" i="3"/>
  <c r="J190" i="3"/>
  <c r="J198" i="3"/>
  <c r="I198" i="3"/>
  <c r="J206" i="3"/>
  <c r="I206" i="3"/>
  <c r="J214" i="3"/>
  <c r="I214" i="3"/>
  <c r="I222" i="3"/>
  <c r="J222" i="3"/>
  <c r="J230" i="3"/>
  <c r="I230" i="3"/>
  <c r="J238" i="3"/>
  <c r="I238" i="3"/>
  <c r="J246" i="3"/>
  <c r="I246" i="3"/>
  <c r="J254" i="3"/>
  <c r="I254" i="3"/>
  <c r="J262" i="3"/>
  <c r="I262" i="3"/>
  <c r="J270" i="3"/>
  <c r="I270" i="3"/>
  <c r="J278" i="3"/>
  <c r="I278" i="3"/>
  <c r="J286" i="3"/>
  <c r="I286" i="3"/>
  <c r="J294" i="3"/>
  <c r="I294" i="3"/>
  <c r="J302" i="3"/>
  <c r="I302" i="3"/>
  <c r="J310" i="3"/>
  <c r="I310" i="3"/>
  <c r="I318" i="3"/>
  <c r="J318" i="3"/>
  <c r="J326" i="3"/>
  <c r="I326" i="3"/>
  <c r="J334" i="3"/>
  <c r="I334" i="3"/>
  <c r="J342" i="3"/>
  <c r="I342" i="3"/>
  <c r="I350" i="3"/>
  <c r="J350" i="3"/>
  <c r="J358" i="3"/>
  <c r="I358" i="3"/>
  <c r="J366" i="3"/>
  <c r="I366" i="3"/>
  <c r="J374" i="3"/>
  <c r="I374" i="3"/>
  <c r="I382" i="3"/>
  <c r="J382" i="3"/>
  <c r="J39" i="3"/>
  <c r="J167" i="3"/>
  <c r="J295" i="3"/>
  <c r="J18" i="3"/>
  <c r="I18" i="3"/>
  <c r="J50" i="3"/>
  <c r="I50" i="3"/>
  <c r="J122" i="3"/>
  <c r="I122" i="3"/>
  <c r="J138" i="3"/>
  <c r="I138" i="3"/>
  <c r="J210" i="3"/>
  <c r="I210" i="3"/>
  <c r="J218" i="3"/>
  <c r="I218" i="3"/>
  <c r="J282" i="3"/>
  <c r="I282" i="3"/>
  <c r="J418" i="3"/>
  <c r="I418" i="3"/>
  <c r="J426" i="3"/>
  <c r="I426" i="3"/>
  <c r="J458" i="3"/>
  <c r="I458" i="3"/>
  <c r="J482" i="3"/>
  <c r="I482" i="3"/>
  <c r="I554" i="3"/>
  <c r="J554" i="3"/>
  <c r="J626" i="3"/>
  <c r="I626" i="3"/>
  <c r="J690" i="3"/>
  <c r="I690" i="3"/>
  <c r="J754" i="3"/>
  <c r="I754" i="3"/>
  <c r="I810" i="3"/>
  <c r="J810" i="3"/>
  <c r="J3" i="3"/>
  <c r="I3" i="3"/>
  <c r="J35" i="3"/>
  <c r="I35" i="3"/>
  <c r="J43" i="3"/>
  <c r="I43" i="3"/>
  <c r="J59" i="3"/>
  <c r="I59" i="3"/>
  <c r="J67" i="3"/>
  <c r="I67" i="3"/>
  <c r="J123" i="3"/>
  <c r="I123" i="3"/>
  <c r="J139" i="3"/>
  <c r="I139" i="3"/>
  <c r="I147" i="3"/>
  <c r="J147" i="3"/>
  <c r="J187" i="3"/>
  <c r="I187" i="3"/>
  <c r="I211" i="3"/>
  <c r="J211" i="3"/>
  <c r="J219" i="3"/>
  <c r="I219" i="3"/>
  <c r="I243" i="3"/>
  <c r="J243" i="3"/>
  <c r="I275" i="3"/>
  <c r="J275" i="3"/>
  <c r="I307" i="3"/>
  <c r="J323" i="3"/>
  <c r="I323" i="3"/>
  <c r="I339" i="3"/>
  <c r="J339" i="3"/>
  <c r="J347" i="3"/>
  <c r="I347" i="3"/>
  <c r="J355" i="3"/>
  <c r="I355" i="3"/>
  <c r="J387" i="3"/>
  <c r="I387" i="3"/>
  <c r="J395" i="3"/>
  <c r="I395" i="3"/>
  <c r="J411" i="3"/>
  <c r="I411" i="3"/>
  <c r="J427" i="3"/>
  <c r="I427" i="3"/>
  <c r="J451" i="3"/>
  <c r="I451" i="3"/>
  <c r="I531" i="3"/>
  <c r="J531" i="3"/>
  <c r="J547" i="3"/>
  <c r="I547" i="3"/>
  <c r="J579" i="3"/>
  <c r="I579" i="3"/>
  <c r="J587" i="3"/>
  <c r="I587" i="3"/>
  <c r="I595" i="3"/>
  <c r="J595" i="3"/>
  <c r="J603" i="3"/>
  <c r="I603" i="3"/>
  <c r="J611" i="3"/>
  <c r="I611" i="3"/>
  <c r="I627" i="3"/>
  <c r="J627" i="3"/>
  <c r="J651" i="3"/>
  <c r="I651" i="3"/>
  <c r="I659" i="3"/>
  <c r="J659" i="3"/>
  <c r="J691" i="3"/>
  <c r="I691" i="3"/>
  <c r="J707" i="3"/>
  <c r="I707" i="3"/>
  <c r="J723" i="3"/>
  <c r="I723" i="3"/>
  <c r="J739" i="3"/>
  <c r="I739" i="3"/>
  <c r="J779" i="3"/>
  <c r="I779" i="3"/>
  <c r="J787" i="3"/>
  <c r="I787" i="3"/>
  <c r="J795" i="3"/>
  <c r="I795" i="3"/>
  <c r="I851" i="3"/>
  <c r="J851" i="3"/>
  <c r="J867" i="3"/>
  <c r="I867" i="3"/>
  <c r="J883" i="3"/>
  <c r="I883" i="3"/>
  <c r="I891" i="3"/>
  <c r="J891" i="3"/>
  <c r="I899" i="3"/>
  <c r="J899" i="3"/>
  <c r="I907" i="3"/>
  <c r="J907" i="3"/>
  <c r="J939" i="3"/>
  <c r="I939" i="3"/>
  <c r="J947" i="3"/>
  <c r="I947" i="3"/>
  <c r="I971" i="3"/>
  <c r="J971" i="3"/>
  <c r="J979" i="3"/>
  <c r="I979" i="3"/>
  <c r="J987" i="3"/>
  <c r="I987" i="3"/>
  <c r="J1011" i="3"/>
  <c r="I1011" i="3"/>
  <c r="I1019" i="3"/>
  <c r="J1019" i="3"/>
  <c r="J1051" i="3"/>
  <c r="I1051" i="3"/>
  <c r="J1075" i="3"/>
  <c r="I1075" i="3"/>
  <c r="I1091" i="3"/>
  <c r="J1091" i="3"/>
  <c r="J1123" i="3"/>
  <c r="I1123" i="3"/>
  <c r="I1131" i="3"/>
  <c r="J1131" i="3"/>
  <c r="I1155" i="3"/>
  <c r="J1155" i="3"/>
  <c r="I1163" i="3"/>
  <c r="J1163" i="3"/>
  <c r="J1171" i="3"/>
  <c r="I1171" i="3"/>
  <c r="J1203" i="3"/>
  <c r="I1203" i="3"/>
  <c r="J1227" i="3"/>
  <c r="I1227" i="3"/>
  <c r="J1259" i="3"/>
  <c r="I1259" i="3"/>
  <c r="J1291" i="3"/>
  <c r="I1291" i="3"/>
  <c r="J1307" i="3"/>
  <c r="I1307" i="3"/>
  <c r="J1315" i="3"/>
  <c r="I1315" i="3"/>
  <c r="J1323" i="3"/>
  <c r="I1323" i="3"/>
  <c r="J1339" i="3"/>
  <c r="I1339" i="3"/>
  <c r="I1462" i="3"/>
  <c r="J1445" i="3"/>
  <c r="I1445" i="3"/>
  <c r="I55" i="3"/>
  <c r="I183" i="3"/>
  <c r="J98" i="3"/>
  <c r="I98" i="3"/>
  <c r="J170" i="3"/>
  <c r="I170" i="3"/>
  <c r="J266" i="3"/>
  <c r="I266" i="3"/>
  <c r="J386" i="3"/>
  <c r="I386" i="3"/>
  <c r="J450" i="3"/>
  <c r="I450" i="3"/>
  <c r="J538" i="3"/>
  <c r="I538" i="3"/>
  <c r="J546" i="3"/>
  <c r="I546" i="3"/>
  <c r="J594" i="3"/>
  <c r="I594" i="3"/>
  <c r="J634" i="3"/>
  <c r="I634" i="3"/>
  <c r="J698" i="3"/>
  <c r="I698" i="3"/>
  <c r="J11" i="3"/>
  <c r="I11" i="3"/>
  <c r="I19" i="3"/>
  <c r="J19" i="3"/>
  <c r="J27" i="3"/>
  <c r="I27" i="3"/>
  <c r="J75" i="3"/>
  <c r="I75" i="3"/>
  <c r="I115" i="3"/>
  <c r="J115" i="3"/>
  <c r="J155" i="3"/>
  <c r="I155" i="3"/>
  <c r="I179" i="3"/>
  <c r="J179" i="3"/>
  <c r="J291" i="3"/>
  <c r="I291" i="3"/>
  <c r="I371" i="3"/>
  <c r="J371" i="3"/>
  <c r="I403" i="3"/>
  <c r="J403" i="3"/>
  <c r="J419" i="3"/>
  <c r="I419" i="3"/>
  <c r="I435" i="3"/>
  <c r="J435" i="3"/>
  <c r="J483" i="3"/>
  <c r="I483" i="3"/>
  <c r="I499" i="3"/>
  <c r="J499" i="3"/>
  <c r="J515" i="3"/>
  <c r="I515" i="3"/>
  <c r="J523" i="3"/>
  <c r="I523" i="3"/>
  <c r="I563" i="3"/>
  <c r="J571" i="3"/>
  <c r="I571" i="3"/>
  <c r="J635" i="3"/>
  <c r="I635" i="3"/>
  <c r="J683" i="3"/>
  <c r="I683" i="3"/>
  <c r="J715" i="3"/>
  <c r="I715" i="3"/>
  <c r="I755" i="3"/>
  <c r="J755" i="3"/>
  <c r="J819" i="3"/>
  <c r="J827" i="3"/>
  <c r="I827" i="3"/>
  <c r="J843" i="3"/>
  <c r="I843" i="3"/>
  <c r="J923" i="3"/>
  <c r="I923" i="3"/>
  <c r="I931" i="3"/>
  <c r="J931" i="3"/>
  <c r="I955" i="3"/>
  <c r="J955" i="3"/>
  <c r="I963" i="3"/>
  <c r="J963" i="3"/>
  <c r="J995" i="3"/>
  <c r="I995" i="3"/>
  <c r="I1027" i="3"/>
  <c r="J1027" i="3"/>
  <c r="J1043" i="3"/>
  <c r="I1043" i="3"/>
  <c r="J1059" i="3"/>
  <c r="I1059" i="3"/>
  <c r="J1067" i="3"/>
  <c r="I1067" i="3"/>
  <c r="I1083" i="3"/>
  <c r="J1083" i="3"/>
  <c r="I1099" i="3"/>
  <c r="J1099" i="3"/>
  <c r="J1115" i="3"/>
  <c r="I1115" i="3"/>
  <c r="J1139" i="3"/>
  <c r="I1139" i="3"/>
  <c r="J1187" i="3"/>
  <c r="I1187" i="3"/>
  <c r="I1219" i="3"/>
  <c r="J1219" i="3"/>
  <c r="I1235" i="3"/>
  <c r="J1235" i="3"/>
  <c r="J1251" i="3"/>
  <c r="I1251" i="3"/>
  <c r="J1283" i="3"/>
  <c r="I1283" i="3"/>
  <c r="I1299" i="3"/>
  <c r="J1299" i="3"/>
  <c r="J1355" i="3"/>
  <c r="I1355" i="3"/>
  <c r="J1419" i="3"/>
  <c r="I1419" i="3"/>
  <c r="I1427" i="3"/>
  <c r="J1427" i="3"/>
  <c r="I1469" i="3"/>
  <c r="J1469" i="3"/>
  <c r="J1461" i="3"/>
  <c r="I1461" i="3"/>
  <c r="I1446" i="3"/>
  <c r="J8" i="3"/>
  <c r="I8" i="3"/>
  <c r="J16" i="3"/>
  <c r="I16" i="3"/>
  <c r="I24" i="3"/>
  <c r="J32" i="3"/>
  <c r="I32" i="3"/>
  <c r="J40" i="3"/>
  <c r="I40" i="3"/>
  <c r="J48" i="3"/>
  <c r="I48" i="3"/>
  <c r="I56" i="3"/>
  <c r="J64" i="3"/>
  <c r="I64" i="3"/>
  <c r="J72" i="3"/>
  <c r="I72" i="3"/>
  <c r="J80" i="3"/>
  <c r="I80" i="3"/>
  <c r="I88" i="3"/>
  <c r="J96" i="3"/>
  <c r="I96" i="3"/>
  <c r="J104" i="3"/>
  <c r="I104" i="3"/>
  <c r="J112" i="3"/>
  <c r="I112" i="3"/>
  <c r="I120" i="3"/>
  <c r="J128" i="3"/>
  <c r="I128" i="3"/>
  <c r="J136" i="3"/>
  <c r="I136" i="3"/>
  <c r="J144" i="3"/>
  <c r="I144" i="3"/>
  <c r="I152" i="3"/>
  <c r="J160" i="3"/>
  <c r="I160" i="3"/>
  <c r="J168" i="3"/>
  <c r="I168" i="3"/>
  <c r="J176" i="3"/>
  <c r="I176" i="3"/>
  <c r="I184" i="3"/>
  <c r="J192" i="3"/>
  <c r="I192" i="3"/>
  <c r="J200" i="3"/>
  <c r="I200" i="3"/>
  <c r="J208" i="3"/>
  <c r="I208" i="3"/>
  <c r="I216" i="3"/>
  <c r="J224" i="3"/>
  <c r="I224" i="3"/>
  <c r="J232" i="3"/>
  <c r="I232" i="3"/>
  <c r="J240" i="3"/>
  <c r="I240" i="3"/>
  <c r="I248" i="3"/>
  <c r="J256" i="3"/>
  <c r="I256" i="3"/>
  <c r="J264" i="3"/>
  <c r="I264" i="3"/>
  <c r="J272" i="3"/>
  <c r="I272" i="3"/>
  <c r="I280" i="3"/>
  <c r="J288" i="3"/>
  <c r="I288" i="3"/>
  <c r="J296" i="3"/>
  <c r="I296" i="3"/>
  <c r="J304" i="3"/>
  <c r="I304" i="3"/>
  <c r="I312" i="3"/>
  <c r="J320" i="3"/>
  <c r="I320" i="3"/>
  <c r="J328" i="3"/>
  <c r="I328" i="3"/>
  <c r="J336" i="3"/>
  <c r="I336" i="3"/>
  <c r="I344" i="3"/>
  <c r="I352" i="3"/>
  <c r="J352" i="3"/>
  <c r="J360" i="3"/>
  <c r="I360" i="3"/>
  <c r="J368" i="3"/>
  <c r="I368" i="3"/>
  <c r="I376" i="3"/>
  <c r="J376" i="3"/>
  <c r="I384" i="3"/>
  <c r="J392" i="3"/>
  <c r="I392" i="3"/>
  <c r="J400" i="3"/>
  <c r="I400" i="3"/>
  <c r="I408" i="3"/>
  <c r="J408" i="3"/>
  <c r="I424" i="3"/>
  <c r="J432" i="3"/>
  <c r="J448" i="3"/>
  <c r="I456" i="3"/>
  <c r="J464" i="3"/>
  <c r="J480" i="3"/>
  <c r="J488" i="3"/>
  <c r="I496" i="3"/>
  <c r="J504" i="3"/>
  <c r="J520" i="3"/>
  <c r="J528" i="3"/>
  <c r="I536" i="3"/>
  <c r="J552" i="3"/>
  <c r="J560" i="3"/>
  <c r="J568" i="3"/>
  <c r="I576" i="3"/>
  <c r="J584" i="3"/>
  <c r="J600" i="3"/>
  <c r="I624" i="3"/>
  <c r="J640" i="3"/>
  <c r="J656" i="3"/>
  <c r="J672" i="3"/>
  <c r="J688" i="3"/>
  <c r="J744" i="3"/>
  <c r="I760" i="3"/>
  <c r="J776" i="3"/>
  <c r="J792" i="3"/>
  <c r="J824" i="3"/>
  <c r="J880" i="3"/>
  <c r="I896" i="3"/>
  <c r="J912" i="3"/>
  <c r="J928" i="3"/>
  <c r="J944" i="3"/>
  <c r="I960" i="3"/>
  <c r="J976" i="3"/>
  <c r="J992" i="3"/>
  <c r="J1008" i="3"/>
  <c r="I1024" i="3"/>
  <c r="J1040" i="3"/>
  <c r="J1056" i="3"/>
  <c r="J1072" i="3"/>
  <c r="I1088" i="3"/>
  <c r="J1104" i="3"/>
  <c r="J1120" i="3"/>
  <c r="J1136" i="3"/>
  <c r="I1152" i="3"/>
  <c r="J1168" i="3"/>
  <c r="J1184" i="3"/>
  <c r="J1200" i="3"/>
  <c r="I1216" i="3"/>
  <c r="J1232" i="3"/>
  <c r="J1248" i="3"/>
  <c r="J1264" i="3"/>
  <c r="I1280" i="3"/>
  <c r="J1296" i="3"/>
  <c r="J1312" i="3"/>
  <c r="J1328" i="3"/>
  <c r="I1344" i="3"/>
  <c r="J1360" i="3"/>
  <c r="J1376" i="3"/>
  <c r="J1392" i="3"/>
  <c r="I1408" i="3"/>
  <c r="J1424" i="3"/>
  <c r="J1464" i="3"/>
  <c r="J1456" i="3"/>
  <c r="J1440" i="3"/>
  <c r="J71" i="3"/>
  <c r="J199" i="3"/>
  <c r="J56" i="3"/>
  <c r="J312" i="3"/>
  <c r="J10" i="3"/>
  <c r="I10" i="3"/>
  <c r="J58" i="3"/>
  <c r="I58" i="3"/>
  <c r="J178" i="3"/>
  <c r="I178" i="3"/>
  <c r="J202" i="3"/>
  <c r="I202" i="3"/>
  <c r="J234" i="3"/>
  <c r="I234" i="3"/>
  <c r="J274" i="3"/>
  <c r="I274" i="3"/>
  <c r="J314" i="3"/>
  <c r="I314" i="3"/>
  <c r="J338" i="3"/>
  <c r="I338" i="3"/>
  <c r="J394" i="3"/>
  <c r="I394" i="3"/>
  <c r="J434" i="3"/>
  <c r="I434" i="3"/>
  <c r="J498" i="3"/>
  <c r="I498" i="3"/>
  <c r="J658" i="3"/>
  <c r="I658" i="3"/>
  <c r="J666" i="3"/>
  <c r="I666" i="3"/>
  <c r="J674" i="3"/>
  <c r="I674" i="3"/>
  <c r="I714" i="3"/>
  <c r="J714" i="3"/>
  <c r="J762" i="3"/>
  <c r="I762" i="3"/>
  <c r="J818" i="3"/>
  <c r="I818" i="3"/>
  <c r="I51" i="3"/>
  <c r="I83" i="3"/>
  <c r="J83" i="3"/>
  <c r="J91" i="3"/>
  <c r="I91" i="3"/>
  <c r="J99" i="3"/>
  <c r="I99" i="3"/>
  <c r="J107" i="3"/>
  <c r="I107" i="3"/>
  <c r="J131" i="3"/>
  <c r="I131" i="3"/>
  <c r="J163" i="3"/>
  <c r="I163" i="3"/>
  <c r="J171" i="3"/>
  <c r="I171" i="3"/>
  <c r="J195" i="3"/>
  <c r="I195" i="3"/>
  <c r="J203" i="3"/>
  <c r="I203" i="3"/>
  <c r="J227" i="3"/>
  <c r="I227" i="3"/>
  <c r="J235" i="3"/>
  <c r="I235" i="3"/>
  <c r="J251" i="3"/>
  <c r="I251" i="3"/>
  <c r="J259" i="3"/>
  <c r="I259" i="3"/>
  <c r="J267" i="3"/>
  <c r="I267" i="3"/>
  <c r="J283" i="3"/>
  <c r="I283" i="3"/>
  <c r="J299" i="3"/>
  <c r="I299" i="3"/>
  <c r="J315" i="3"/>
  <c r="I315" i="3"/>
  <c r="J331" i="3"/>
  <c r="I331" i="3"/>
  <c r="J363" i="3"/>
  <c r="I363" i="3"/>
  <c r="J379" i="3"/>
  <c r="I379" i="3"/>
  <c r="J443" i="3"/>
  <c r="I443" i="3"/>
  <c r="J459" i="3"/>
  <c r="I459" i="3"/>
  <c r="I467" i="3"/>
  <c r="J467" i="3"/>
  <c r="J475" i="3"/>
  <c r="I475" i="3"/>
  <c r="J491" i="3"/>
  <c r="I491" i="3"/>
  <c r="J507" i="3"/>
  <c r="I507" i="3"/>
  <c r="J539" i="3"/>
  <c r="I539" i="3"/>
  <c r="J555" i="3"/>
  <c r="I555" i="3"/>
  <c r="J619" i="3"/>
  <c r="I619" i="3"/>
  <c r="J643" i="3"/>
  <c r="I643" i="3"/>
  <c r="J667" i="3"/>
  <c r="I667" i="3"/>
  <c r="J675" i="3"/>
  <c r="I675" i="3"/>
  <c r="J699" i="3"/>
  <c r="I699" i="3"/>
  <c r="J731" i="3"/>
  <c r="I731" i="3"/>
  <c r="J747" i="3"/>
  <c r="I747" i="3"/>
  <c r="J763" i="3"/>
  <c r="I763" i="3"/>
  <c r="J771" i="3"/>
  <c r="I771" i="3"/>
  <c r="J803" i="3"/>
  <c r="I803" i="3"/>
  <c r="J811" i="3"/>
  <c r="I811" i="3"/>
  <c r="J835" i="3"/>
  <c r="I835" i="3"/>
  <c r="J859" i="3"/>
  <c r="I859" i="3"/>
  <c r="J875" i="3"/>
  <c r="I875" i="3"/>
  <c r="J915" i="3"/>
  <c r="I915" i="3"/>
  <c r="J1003" i="3"/>
  <c r="I1003" i="3"/>
  <c r="I1035" i="3"/>
  <c r="J1035" i="3"/>
  <c r="J1107" i="3"/>
  <c r="J1147" i="3"/>
  <c r="I1147" i="3"/>
  <c r="J1179" i="3"/>
  <c r="I1179" i="3"/>
  <c r="I1195" i="3"/>
  <c r="J1195" i="3"/>
  <c r="J1211" i="3"/>
  <c r="I1211" i="3"/>
  <c r="J1243" i="3"/>
  <c r="I1243" i="3"/>
  <c r="I1267" i="3"/>
  <c r="J1267" i="3"/>
  <c r="J1275" i="3"/>
  <c r="I1275" i="3"/>
  <c r="I1331" i="3"/>
  <c r="J1331" i="3"/>
  <c r="J1347" i="3"/>
  <c r="I1347" i="3"/>
  <c r="I1363" i="3"/>
  <c r="J1363" i="3"/>
  <c r="J1371" i="3"/>
  <c r="I1371" i="3"/>
  <c r="J1379" i="3"/>
  <c r="I1379" i="3"/>
  <c r="J1387" i="3"/>
  <c r="I1387" i="3"/>
  <c r="I1395" i="3"/>
  <c r="J1395" i="3"/>
  <c r="J1403" i="3"/>
  <c r="I1403" i="3"/>
  <c r="J1411" i="3"/>
  <c r="I1411" i="3"/>
  <c r="I1437" i="3"/>
  <c r="J1437" i="3"/>
  <c r="J1471" i="3"/>
  <c r="I1471" i="3"/>
  <c r="J5" i="3"/>
  <c r="I5" i="3"/>
  <c r="J13" i="3"/>
  <c r="I13" i="3"/>
  <c r="J21" i="3"/>
  <c r="I21" i="3"/>
  <c r="J29" i="3"/>
  <c r="I29" i="3"/>
  <c r="I37" i="3"/>
  <c r="J37" i="3"/>
  <c r="I45" i="3"/>
  <c r="J45" i="3"/>
  <c r="J53" i="3"/>
  <c r="I53" i="3"/>
  <c r="J61" i="3"/>
  <c r="I61" i="3"/>
  <c r="J69" i="3"/>
  <c r="I69" i="3"/>
  <c r="I77" i="3"/>
  <c r="J77" i="3"/>
  <c r="J85" i="3"/>
  <c r="I85" i="3"/>
  <c r="J93" i="3"/>
  <c r="I93" i="3"/>
  <c r="J101" i="3"/>
  <c r="I101" i="3"/>
  <c r="I109" i="3"/>
  <c r="J109" i="3"/>
  <c r="J117" i="3"/>
  <c r="I117" i="3"/>
  <c r="I125" i="3"/>
  <c r="J125" i="3"/>
  <c r="J133" i="3"/>
  <c r="I133" i="3"/>
  <c r="I141" i="3"/>
  <c r="J141" i="3"/>
  <c r="J149" i="3"/>
  <c r="I149" i="3"/>
  <c r="J157" i="3"/>
  <c r="I157" i="3"/>
  <c r="J165" i="3"/>
  <c r="I165" i="3"/>
  <c r="I173" i="3"/>
  <c r="J173" i="3"/>
  <c r="J181" i="3"/>
  <c r="I181" i="3"/>
  <c r="J189" i="3"/>
  <c r="I189" i="3"/>
  <c r="J197" i="3"/>
  <c r="I197" i="3"/>
  <c r="I205" i="3"/>
  <c r="J205" i="3"/>
  <c r="I213" i="3"/>
  <c r="J213" i="3"/>
  <c r="I221" i="3"/>
  <c r="J221" i="3"/>
  <c r="J229" i="3"/>
  <c r="I229" i="3"/>
  <c r="J237" i="3"/>
  <c r="I237" i="3"/>
  <c r="J245" i="3"/>
  <c r="I245" i="3"/>
  <c r="I253" i="3"/>
  <c r="J253" i="3"/>
  <c r="I261" i="3"/>
  <c r="J261" i="3"/>
  <c r="J269" i="3"/>
  <c r="I269" i="3"/>
  <c r="J277" i="3"/>
  <c r="I277" i="3"/>
  <c r="J285" i="3"/>
  <c r="I285" i="3"/>
  <c r="I293" i="3"/>
  <c r="J293" i="3"/>
  <c r="J301" i="3"/>
  <c r="I301" i="3"/>
  <c r="J309" i="3"/>
  <c r="I309" i="3"/>
  <c r="I317" i="3"/>
  <c r="J317" i="3"/>
  <c r="J325" i="3"/>
  <c r="I325" i="3"/>
  <c r="I333" i="3"/>
  <c r="J333" i="3"/>
  <c r="J341" i="3"/>
  <c r="I341" i="3"/>
  <c r="J349" i="3"/>
  <c r="I349" i="3"/>
  <c r="J357" i="3"/>
  <c r="I357" i="3"/>
  <c r="I365" i="3"/>
  <c r="J365" i="3"/>
  <c r="J373" i="3"/>
  <c r="I373" i="3"/>
  <c r="J381" i="3"/>
  <c r="I381" i="3"/>
  <c r="J389" i="3"/>
  <c r="I389" i="3"/>
  <c r="J397" i="3"/>
  <c r="I397" i="3"/>
  <c r="I405" i="3"/>
  <c r="J405" i="3"/>
  <c r="J413" i="3"/>
  <c r="I413" i="3"/>
  <c r="J421" i="3"/>
  <c r="I421" i="3"/>
  <c r="I429" i="3"/>
  <c r="J429" i="3"/>
  <c r="J437" i="3"/>
  <c r="I437" i="3"/>
  <c r="J445" i="3"/>
  <c r="I445" i="3"/>
  <c r="J453" i="3"/>
  <c r="I453" i="3"/>
  <c r="I461" i="3"/>
  <c r="J461" i="3"/>
  <c r="J469" i="3"/>
  <c r="I469" i="3"/>
  <c r="I477" i="3"/>
  <c r="J477" i="3"/>
  <c r="J485" i="3"/>
  <c r="I485" i="3"/>
  <c r="I493" i="3"/>
  <c r="J493" i="3"/>
  <c r="J501" i="3"/>
  <c r="I501" i="3"/>
  <c r="J509" i="3"/>
  <c r="I509" i="3"/>
  <c r="I517" i="3"/>
  <c r="J517" i="3"/>
  <c r="J525" i="3"/>
  <c r="I525" i="3"/>
  <c r="J533" i="3"/>
  <c r="I533" i="3"/>
  <c r="I541" i="3"/>
  <c r="J541" i="3"/>
  <c r="J549" i="3"/>
  <c r="I549" i="3"/>
  <c r="J557" i="3"/>
  <c r="I557" i="3"/>
  <c r="J565" i="3"/>
  <c r="I565" i="3"/>
  <c r="J573" i="3"/>
  <c r="I573" i="3"/>
  <c r="J581" i="3"/>
  <c r="I581" i="3"/>
  <c r="I589" i="3"/>
  <c r="J597" i="3"/>
  <c r="I597" i="3"/>
  <c r="I605" i="3"/>
  <c r="J605" i="3"/>
  <c r="J613" i="3"/>
  <c r="I613" i="3"/>
  <c r="J621" i="3"/>
  <c r="I621" i="3"/>
  <c r="I629" i="3"/>
  <c r="J629" i="3"/>
  <c r="I637" i="3"/>
  <c r="J637" i="3"/>
  <c r="J645" i="3"/>
  <c r="I645" i="3"/>
  <c r="I653" i="3"/>
  <c r="J653" i="3"/>
  <c r="I87" i="3"/>
  <c r="I215" i="3"/>
  <c r="J88" i="3"/>
  <c r="J344" i="3"/>
  <c r="I34" i="3"/>
  <c r="J589" i="3"/>
  <c r="J390" i="3"/>
  <c r="J398" i="3"/>
  <c r="I398" i="3"/>
  <c r="J406" i="3"/>
  <c r="I406" i="3"/>
  <c r="J414" i="3"/>
  <c r="I414" i="3"/>
  <c r="J422" i="3"/>
  <c r="I422" i="3"/>
  <c r="J430" i="3"/>
  <c r="I430" i="3"/>
  <c r="J438" i="3"/>
  <c r="I438" i="3"/>
  <c r="J446" i="3"/>
  <c r="I446" i="3"/>
  <c r="J454" i="3"/>
  <c r="I454" i="3"/>
  <c r="J462" i="3"/>
  <c r="I462" i="3"/>
  <c r="J470" i="3"/>
  <c r="I470" i="3"/>
  <c r="I478" i="3"/>
  <c r="J478" i="3"/>
  <c r="J486" i="3"/>
  <c r="I486" i="3"/>
  <c r="J494" i="3"/>
  <c r="I494" i="3"/>
  <c r="J502" i="3"/>
  <c r="I502" i="3"/>
  <c r="I510" i="3"/>
  <c r="J510" i="3"/>
  <c r="J518" i="3"/>
  <c r="I518" i="3"/>
  <c r="J526" i="3"/>
  <c r="I526" i="3"/>
  <c r="J534" i="3"/>
  <c r="I534" i="3"/>
  <c r="I542" i="3"/>
  <c r="J542" i="3"/>
  <c r="J550" i="3"/>
  <c r="I550" i="3"/>
  <c r="J558" i="3"/>
  <c r="I558" i="3"/>
  <c r="J566" i="3"/>
  <c r="I566" i="3"/>
  <c r="J574" i="3"/>
  <c r="I574" i="3"/>
  <c r="J582" i="3"/>
  <c r="I582" i="3"/>
  <c r="J590" i="3"/>
  <c r="I590" i="3"/>
  <c r="J598" i="3"/>
  <c r="I598" i="3"/>
  <c r="J606" i="3"/>
  <c r="I606" i="3"/>
  <c r="J614" i="3"/>
  <c r="I614" i="3"/>
  <c r="J622" i="3"/>
  <c r="I622" i="3"/>
  <c r="J630" i="3"/>
  <c r="I630" i="3"/>
  <c r="I638" i="3"/>
  <c r="J638" i="3"/>
  <c r="J646" i="3"/>
  <c r="J654" i="3"/>
  <c r="I654" i="3"/>
  <c r="J662" i="3"/>
  <c r="I662" i="3"/>
  <c r="I670" i="3"/>
  <c r="J670" i="3"/>
  <c r="J678" i="3"/>
  <c r="I678" i="3"/>
  <c r="J686" i="3"/>
  <c r="I686" i="3"/>
  <c r="J694" i="3"/>
  <c r="I694" i="3"/>
  <c r="I702" i="3"/>
  <c r="J702" i="3"/>
  <c r="J710" i="3"/>
  <c r="I710" i="3"/>
  <c r="J718" i="3"/>
  <c r="I718" i="3"/>
  <c r="J726" i="3"/>
  <c r="I726" i="3"/>
  <c r="I734" i="3"/>
  <c r="J734" i="3"/>
  <c r="J742" i="3"/>
  <c r="I742" i="3"/>
  <c r="J750" i="3"/>
  <c r="I750" i="3"/>
  <c r="J758" i="3"/>
  <c r="I758" i="3"/>
  <c r="I766" i="3"/>
  <c r="J766" i="3"/>
  <c r="J774" i="3"/>
  <c r="I774" i="3"/>
  <c r="J782" i="3"/>
  <c r="I782" i="3"/>
  <c r="J790" i="3"/>
  <c r="I790" i="3"/>
  <c r="I798" i="3"/>
  <c r="J798" i="3"/>
  <c r="J806" i="3"/>
  <c r="I806" i="3"/>
  <c r="J814" i="3"/>
  <c r="I814" i="3"/>
  <c r="J822" i="3"/>
  <c r="I822" i="3"/>
  <c r="I830" i="3"/>
  <c r="J830" i="3"/>
  <c r="J838" i="3"/>
  <c r="I838" i="3"/>
  <c r="J846" i="3"/>
  <c r="I846" i="3"/>
  <c r="J854" i="3"/>
  <c r="I854" i="3"/>
  <c r="I862" i="3"/>
  <c r="J862" i="3"/>
  <c r="J870" i="3"/>
  <c r="I870" i="3"/>
  <c r="J878" i="3"/>
  <c r="I878" i="3"/>
  <c r="J886" i="3"/>
  <c r="I886" i="3"/>
  <c r="I894" i="3"/>
  <c r="J894" i="3"/>
  <c r="J902" i="3"/>
  <c r="J910" i="3"/>
  <c r="I910" i="3"/>
  <c r="J918" i="3"/>
  <c r="I918" i="3"/>
  <c r="I926" i="3"/>
  <c r="J926" i="3"/>
  <c r="J934" i="3"/>
  <c r="I934" i="3"/>
  <c r="J942" i="3"/>
  <c r="I942" i="3"/>
  <c r="J950" i="3"/>
  <c r="I950" i="3"/>
  <c r="I958" i="3"/>
  <c r="J958" i="3"/>
  <c r="J966" i="3"/>
  <c r="I966" i="3"/>
  <c r="J974" i="3"/>
  <c r="I974" i="3"/>
  <c r="J982" i="3"/>
  <c r="I982" i="3"/>
  <c r="I990" i="3"/>
  <c r="J990" i="3"/>
  <c r="J998" i="3"/>
  <c r="I998" i="3"/>
  <c r="J1006" i="3"/>
  <c r="I1006" i="3"/>
  <c r="J1014" i="3"/>
  <c r="I1014" i="3"/>
  <c r="I1022" i="3"/>
  <c r="J1022" i="3"/>
  <c r="J1030" i="3"/>
  <c r="I1030" i="3"/>
  <c r="J1038" i="3"/>
  <c r="I1038" i="3"/>
  <c r="J1046" i="3"/>
  <c r="I1046" i="3"/>
  <c r="I1054" i="3"/>
  <c r="J1054" i="3"/>
  <c r="J1062" i="3"/>
  <c r="I1062" i="3"/>
  <c r="J1070" i="3"/>
  <c r="I1070" i="3"/>
  <c r="I1078" i="3"/>
  <c r="J1078" i="3"/>
  <c r="I1086" i="3"/>
  <c r="J1086" i="3"/>
  <c r="J1094" i="3"/>
  <c r="I1094" i="3"/>
  <c r="J1102" i="3"/>
  <c r="I1102" i="3"/>
  <c r="J1110" i="3"/>
  <c r="I1110" i="3"/>
  <c r="I1118" i="3"/>
  <c r="J1118" i="3"/>
  <c r="J1126" i="3"/>
  <c r="I1126" i="3"/>
  <c r="J1134" i="3"/>
  <c r="I1134" i="3"/>
  <c r="I1142" i="3"/>
  <c r="J1142" i="3"/>
  <c r="I1150" i="3"/>
  <c r="J1150" i="3"/>
  <c r="J1158" i="3"/>
  <c r="I1158" i="3"/>
  <c r="J1166" i="3"/>
  <c r="I1166" i="3"/>
  <c r="I1174" i="3"/>
  <c r="J1174" i="3"/>
  <c r="J1182" i="3"/>
  <c r="J1190" i="3"/>
  <c r="I1190" i="3"/>
  <c r="I1198" i="3"/>
  <c r="J1198" i="3"/>
  <c r="I1206" i="3"/>
  <c r="J1206" i="3"/>
  <c r="I1214" i="3"/>
  <c r="J1214" i="3"/>
  <c r="J1222" i="3"/>
  <c r="I1222" i="3"/>
  <c r="I1230" i="3"/>
  <c r="J1230" i="3"/>
  <c r="J1238" i="3"/>
  <c r="I1238" i="3"/>
  <c r="J1246" i="3"/>
  <c r="I1246" i="3"/>
  <c r="I1254" i="3"/>
  <c r="J1262" i="3"/>
  <c r="I1262" i="3"/>
  <c r="I1270" i="3"/>
  <c r="J1270" i="3"/>
  <c r="I1278" i="3"/>
  <c r="J1278" i="3"/>
  <c r="J1286" i="3"/>
  <c r="I1286" i="3"/>
  <c r="J1294" i="3"/>
  <c r="I1294" i="3"/>
  <c r="I1302" i="3"/>
  <c r="J1302" i="3"/>
  <c r="J1310" i="3"/>
  <c r="I1310" i="3"/>
  <c r="J1318" i="3"/>
  <c r="I1318" i="3"/>
  <c r="J1326" i="3"/>
  <c r="I1326" i="3"/>
  <c r="I1334" i="3"/>
  <c r="J1334" i="3"/>
  <c r="J1342" i="3"/>
  <c r="I1342" i="3"/>
  <c r="I1350" i="3"/>
  <c r="J1350" i="3"/>
  <c r="J1358" i="3"/>
  <c r="I1358" i="3"/>
  <c r="J1366" i="3"/>
  <c r="I1366" i="3"/>
  <c r="I1374" i="3"/>
  <c r="J1374" i="3"/>
  <c r="J1382" i="3"/>
  <c r="I1382" i="3"/>
  <c r="J1390" i="3"/>
  <c r="I1390" i="3"/>
  <c r="I1398" i="3"/>
  <c r="J1398" i="3"/>
  <c r="J1406" i="3"/>
  <c r="I1406" i="3"/>
  <c r="J1414" i="3"/>
  <c r="I1414" i="3"/>
  <c r="J1422" i="3"/>
  <c r="I1422" i="3"/>
  <c r="J1430" i="3"/>
  <c r="I1430" i="3"/>
  <c r="J1466" i="3"/>
  <c r="J1458" i="3"/>
  <c r="J1450" i="3"/>
  <c r="J1442" i="3"/>
  <c r="I1442" i="3"/>
  <c r="J1434" i="3"/>
  <c r="J456" i="3"/>
  <c r="J496" i="3"/>
  <c r="J721" i="3"/>
  <c r="J985" i="3"/>
  <c r="I390" i="3"/>
  <c r="I416" i="3"/>
  <c r="J440" i="3"/>
  <c r="J472" i="3"/>
  <c r="I512" i="3"/>
  <c r="I544" i="3"/>
  <c r="J544" i="3"/>
  <c r="J576" i="3"/>
  <c r="J592" i="3"/>
  <c r="I608" i="3"/>
  <c r="I616" i="3"/>
  <c r="J632" i="3"/>
  <c r="I632" i="3"/>
  <c r="J648" i="3"/>
  <c r="I648" i="3"/>
  <c r="J664" i="3"/>
  <c r="I664" i="3"/>
  <c r="J680" i="3"/>
  <c r="I688" i="3"/>
  <c r="J696" i="3"/>
  <c r="I704" i="3"/>
  <c r="J712" i="3"/>
  <c r="I720" i="3"/>
  <c r="J728" i="3"/>
  <c r="I736" i="3"/>
  <c r="J736" i="3"/>
  <c r="J752" i="3"/>
  <c r="I752" i="3"/>
  <c r="J768" i="3"/>
  <c r="I768" i="3"/>
  <c r="J784" i="3"/>
  <c r="I784" i="3"/>
  <c r="I800" i="3"/>
  <c r="J800" i="3"/>
  <c r="I808" i="3"/>
  <c r="J816" i="3"/>
  <c r="I824" i="3"/>
  <c r="J832" i="3"/>
  <c r="I840" i="3"/>
  <c r="J848" i="3"/>
  <c r="I856" i="3"/>
  <c r="I864" i="3"/>
  <c r="J872" i="3"/>
  <c r="I872" i="3"/>
  <c r="J888" i="3"/>
  <c r="I888" i="3"/>
  <c r="J904" i="3"/>
  <c r="I904" i="3"/>
  <c r="J920" i="3"/>
  <c r="I920" i="3"/>
  <c r="J936" i="3"/>
  <c r="I936" i="3"/>
  <c r="J952" i="3"/>
  <c r="I952" i="3"/>
  <c r="J968" i="3"/>
  <c r="I968" i="3"/>
  <c r="J984" i="3"/>
  <c r="I984" i="3"/>
  <c r="J1000" i="3"/>
  <c r="I1000" i="3"/>
  <c r="J1016" i="3"/>
  <c r="I1016" i="3"/>
  <c r="J1032" i="3"/>
  <c r="I1032" i="3"/>
  <c r="J1048" i="3"/>
  <c r="I1048" i="3"/>
  <c r="J1064" i="3"/>
  <c r="I1064" i="3"/>
  <c r="J1080" i="3"/>
  <c r="I1080" i="3"/>
  <c r="J1096" i="3"/>
  <c r="I1096" i="3"/>
  <c r="J1112" i="3"/>
  <c r="I1112" i="3"/>
  <c r="J1128" i="3"/>
  <c r="I1128" i="3"/>
  <c r="J1144" i="3"/>
  <c r="I1144" i="3"/>
  <c r="J1160" i="3"/>
  <c r="I1160" i="3"/>
  <c r="J1176" i="3"/>
  <c r="I1176" i="3"/>
  <c r="J1192" i="3"/>
  <c r="I1192" i="3"/>
  <c r="J1208" i="3"/>
  <c r="I1208" i="3"/>
  <c r="J1224" i="3"/>
  <c r="I1224" i="3"/>
  <c r="J1240" i="3"/>
  <c r="I1240" i="3"/>
  <c r="J1256" i="3"/>
  <c r="I1256" i="3"/>
  <c r="J1272" i="3"/>
  <c r="I1272" i="3"/>
  <c r="J1288" i="3"/>
  <c r="I1288" i="3"/>
  <c r="J1304" i="3"/>
  <c r="I1304" i="3"/>
  <c r="J1320" i="3"/>
  <c r="I1320" i="3"/>
  <c r="J1336" i="3"/>
  <c r="I1336" i="3"/>
  <c r="J1352" i="3"/>
  <c r="I1352" i="3"/>
  <c r="J1368" i="3"/>
  <c r="I1368" i="3"/>
  <c r="J1384" i="3"/>
  <c r="I1384" i="3"/>
  <c r="J1400" i="3"/>
  <c r="I1400" i="3"/>
  <c r="J1416" i="3"/>
  <c r="I1416" i="3"/>
  <c r="I1457" i="3"/>
  <c r="J1448" i="3"/>
  <c r="I1448" i="3"/>
  <c r="I1441" i="3"/>
  <c r="J1432" i="3"/>
  <c r="I1432" i="3"/>
  <c r="I335" i="3"/>
  <c r="I367" i="3"/>
  <c r="I399" i="3"/>
  <c r="I431" i="3"/>
  <c r="I463" i="3"/>
  <c r="I495" i="3"/>
  <c r="I527" i="3"/>
  <c r="I559" i="3"/>
  <c r="I591" i="3"/>
  <c r="I623" i="3"/>
  <c r="I655" i="3"/>
  <c r="I687" i="3"/>
  <c r="I719" i="3"/>
  <c r="I751" i="3"/>
  <c r="I783" i="3"/>
  <c r="I815" i="3"/>
  <c r="I847" i="3"/>
  <c r="I879" i="3"/>
  <c r="I911" i="3"/>
  <c r="I943" i="3"/>
  <c r="I975" i="3"/>
  <c r="I1007" i="3"/>
  <c r="I1039" i="3"/>
  <c r="I1071" i="3"/>
  <c r="I1103" i="3"/>
  <c r="I1135" i="3"/>
  <c r="I1167" i="3"/>
  <c r="I1199" i="3"/>
  <c r="I1231" i="3"/>
  <c r="I1263" i="3"/>
  <c r="I1295" i="3"/>
  <c r="I1327" i="3"/>
  <c r="I1359" i="3"/>
  <c r="I1391" i="3"/>
  <c r="I1423" i="3"/>
  <c r="I841" i="3"/>
  <c r="I432" i="3"/>
  <c r="I552" i="3"/>
  <c r="I640" i="3"/>
  <c r="J704" i="3"/>
  <c r="I776" i="3"/>
  <c r="J840" i="3"/>
  <c r="I912" i="3"/>
  <c r="I976" i="3"/>
  <c r="I1040" i="3"/>
  <c r="I1104" i="3"/>
  <c r="I1168" i="3"/>
  <c r="I1232" i="3"/>
  <c r="I1296" i="3"/>
  <c r="I1360" i="3"/>
  <c r="I1424" i="3"/>
  <c r="I481" i="3"/>
  <c r="I753" i="3"/>
  <c r="I1017" i="3"/>
  <c r="I902" i="3"/>
  <c r="J661" i="3"/>
  <c r="I661" i="3"/>
  <c r="J669" i="3"/>
  <c r="I669" i="3"/>
  <c r="J677" i="3"/>
  <c r="I677" i="3"/>
  <c r="I685" i="3"/>
  <c r="J685" i="3"/>
  <c r="J693" i="3"/>
  <c r="I693" i="3"/>
  <c r="J701" i="3"/>
  <c r="I701" i="3"/>
  <c r="J709" i="3"/>
  <c r="I709" i="3"/>
  <c r="J717" i="3"/>
  <c r="I717" i="3"/>
  <c r="I725" i="3"/>
  <c r="J725" i="3"/>
  <c r="J733" i="3"/>
  <c r="I733" i="3"/>
  <c r="J741" i="3"/>
  <c r="I741" i="3"/>
  <c r="J749" i="3"/>
  <c r="I749" i="3"/>
  <c r="J757" i="3"/>
  <c r="I757" i="3"/>
  <c r="I765" i="3"/>
  <c r="J765" i="3"/>
  <c r="I773" i="3"/>
  <c r="J773" i="3"/>
  <c r="J781" i="3"/>
  <c r="I781" i="3"/>
  <c r="J789" i="3"/>
  <c r="I789" i="3"/>
  <c r="J797" i="3"/>
  <c r="I797" i="3"/>
  <c r="I805" i="3"/>
  <c r="J805" i="3"/>
  <c r="J813" i="3"/>
  <c r="I813" i="3"/>
  <c r="J821" i="3"/>
  <c r="I821" i="3"/>
  <c r="J829" i="3"/>
  <c r="I829" i="3"/>
  <c r="J837" i="3"/>
  <c r="I837" i="3"/>
  <c r="J845" i="3"/>
  <c r="I845" i="3"/>
  <c r="I853" i="3"/>
  <c r="J853" i="3"/>
  <c r="J861" i="3"/>
  <c r="I861" i="3"/>
  <c r="J869" i="3"/>
  <c r="I869" i="3"/>
  <c r="J877" i="3"/>
  <c r="I877" i="3"/>
  <c r="I885" i="3"/>
  <c r="J885" i="3"/>
  <c r="J893" i="3"/>
  <c r="I893" i="3"/>
  <c r="I901" i="3"/>
  <c r="J901" i="3"/>
  <c r="J909" i="3"/>
  <c r="J917" i="3"/>
  <c r="I917" i="3"/>
  <c r="I925" i="3"/>
  <c r="J925" i="3"/>
  <c r="J933" i="3"/>
  <c r="I933" i="3"/>
  <c r="J941" i="3"/>
  <c r="I941" i="3"/>
  <c r="J949" i="3"/>
  <c r="I949" i="3"/>
  <c r="J957" i="3"/>
  <c r="I957" i="3"/>
  <c r="J965" i="3"/>
  <c r="I965" i="3"/>
  <c r="J973" i="3"/>
  <c r="I973" i="3"/>
  <c r="J981" i="3"/>
  <c r="I981" i="3"/>
  <c r="I989" i="3"/>
  <c r="J989" i="3"/>
  <c r="J997" i="3"/>
  <c r="I997" i="3"/>
  <c r="I1005" i="3"/>
  <c r="J1005" i="3"/>
  <c r="I1013" i="3"/>
  <c r="J1013" i="3"/>
  <c r="I1021" i="3"/>
  <c r="J1021" i="3"/>
  <c r="J1029" i="3"/>
  <c r="I1029" i="3"/>
  <c r="I1037" i="3"/>
  <c r="J1037" i="3"/>
  <c r="J1045" i="3"/>
  <c r="I1045" i="3"/>
  <c r="J1053" i="3"/>
  <c r="I1053" i="3"/>
  <c r="J1061" i="3"/>
  <c r="I1061" i="3"/>
  <c r="J1069" i="3"/>
  <c r="I1069" i="3"/>
  <c r="J1077" i="3"/>
  <c r="I1077" i="3"/>
  <c r="I1085" i="3"/>
  <c r="J1085" i="3"/>
  <c r="J1093" i="3"/>
  <c r="I1093" i="3"/>
  <c r="J1101" i="3"/>
  <c r="I1101" i="3"/>
  <c r="J1109" i="3"/>
  <c r="I1109" i="3"/>
  <c r="J1117" i="3"/>
  <c r="I1117" i="3"/>
  <c r="I1125" i="3"/>
  <c r="J1125" i="3"/>
  <c r="J1133" i="3"/>
  <c r="I1133" i="3"/>
  <c r="I1141" i="3"/>
  <c r="J1141" i="3"/>
  <c r="J1149" i="3"/>
  <c r="I1149" i="3"/>
  <c r="I1157" i="3"/>
  <c r="J1165" i="3"/>
  <c r="I1165" i="3"/>
  <c r="J1173" i="3"/>
  <c r="I1173" i="3"/>
  <c r="I1181" i="3"/>
  <c r="J1181" i="3"/>
  <c r="J1189" i="3"/>
  <c r="I1189" i="3"/>
  <c r="J1197" i="3"/>
  <c r="I1197" i="3"/>
  <c r="J1205" i="3"/>
  <c r="I1205" i="3"/>
  <c r="I1213" i="3"/>
  <c r="J1221" i="3"/>
  <c r="I1221" i="3"/>
  <c r="J1229" i="3"/>
  <c r="I1229" i="3"/>
  <c r="J1237" i="3"/>
  <c r="I1237" i="3"/>
  <c r="J1245" i="3"/>
  <c r="I1245" i="3"/>
  <c r="J1253" i="3"/>
  <c r="I1253" i="3"/>
  <c r="J1261" i="3"/>
  <c r="I1261" i="3"/>
  <c r="I1269" i="3"/>
  <c r="J1269" i="3"/>
  <c r="J1277" i="3"/>
  <c r="I1277" i="3"/>
  <c r="J1285" i="3"/>
  <c r="I1285" i="3"/>
  <c r="I1293" i="3"/>
  <c r="J1293" i="3"/>
  <c r="J1301" i="3"/>
  <c r="I1301" i="3"/>
  <c r="I1309" i="3"/>
  <c r="J1309" i="3"/>
  <c r="I1317" i="3"/>
  <c r="J1317" i="3"/>
  <c r="J1325" i="3"/>
  <c r="I1325" i="3"/>
  <c r="I1333" i="3"/>
  <c r="J1333" i="3"/>
  <c r="I1341" i="3"/>
  <c r="J1341" i="3"/>
  <c r="J1349" i="3"/>
  <c r="I1349" i="3"/>
  <c r="J1357" i="3"/>
  <c r="I1357" i="3"/>
  <c r="J1365" i="3"/>
  <c r="I1365" i="3"/>
  <c r="J1373" i="3"/>
  <c r="I1373" i="3"/>
  <c r="J1381" i="3"/>
  <c r="I1381" i="3"/>
  <c r="J1389" i="3"/>
  <c r="I1389" i="3"/>
  <c r="J1397" i="3"/>
  <c r="I1397" i="3"/>
  <c r="J1405" i="3"/>
  <c r="I1405" i="3"/>
  <c r="J1413" i="3"/>
  <c r="I1413" i="3"/>
  <c r="J1421" i="3"/>
  <c r="I1421" i="3"/>
  <c r="J1429" i="3"/>
  <c r="I1429" i="3"/>
  <c r="J1467" i="3"/>
  <c r="I1467" i="3"/>
  <c r="I1459" i="3"/>
  <c r="J1459" i="3"/>
  <c r="J1451" i="3"/>
  <c r="I1451" i="3"/>
  <c r="J1443" i="3"/>
  <c r="I1443" i="3"/>
  <c r="J1435" i="3"/>
  <c r="I1435" i="3"/>
  <c r="I472" i="3"/>
  <c r="J512" i="3"/>
  <c r="I592" i="3"/>
  <c r="I712" i="3"/>
  <c r="I848" i="3"/>
  <c r="I857" i="3"/>
  <c r="I1113" i="3"/>
  <c r="I1209" i="3"/>
  <c r="I1182" i="3"/>
  <c r="I343" i="3"/>
  <c r="I375" i="3"/>
  <c r="I407" i="3"/>
  <c r="I439" i="3"/>
  <c r="I471" i="3"/>
  <c r="I503" i="3"/>
  <c r="I535" i="3"/>
  <c r="I567" i="3"/>
  <c r="I599" i="3"/>
  <c r="I631" i="3"/>
  <c r="I663" i="3"/>
  <c r="I695" i="3"/>
  <c r="I727" i="3"/>
  <c r="I759" i="3"/>
  <c r="I791" i="3"/>
  <c r="I823" i="3"/>
  <c r="I855" i="3"/>
  <c r="I887" i="3"/>
  <c r="I919" i="3"/>
  <c r="I951" i="3"/>
  <c r="I983" i="3"/>
  <c r="I1015" i="3"/>
  <c r="I1047" i="3"/>
  <c r="I1079" i="3"/>
  <c r="I1111" i="3"/>
  <c r="I1143" i="3"/>
  <c r="I1175" i="3"/>
  <c r="I1207" i="3"/>
  <c r="I1239" i="3"/>
  <c r="I1271" i="3"/>
  <c r="I1303" i="3"/>
  <c r="I1335" i="3"/>
  <c r="I1367" i="3"/>
  <c r="I1399" i="3"/>
  <c r="I1431" i="3"/>
  <c r="I440" i="3"/>
  <c r="I520" i="3"/>
  <c r="I560" i="3"/>
  <c r="I600" i="3"/>
  <c r="I656" i="3"/>
  <c r="J720" i="3"/>
  <c r="I792" i="3"/>
  <c r="J856" i="3"/>
  <c r="I928" i="3"/>
  <c r="I992" i="3"/>
  <c r="I1056" i="3"/>
  <c r="I1120" i="3"/>
  <c r="I1184" i="3"/>
  <c r="I1248" i="3"/>
  <c r="I1312" i="3"/>
  <c r="I1376" i="3"/>
  <c r="I1440" i="3"/>
  <c r="I953" i="3"/>
  <c r="J1213" i="3"/>
  <c r="I1466" i="3"/>
  <c r="I1465" i="3"/>
  <c r="J1465" i="3"/>
  <c r="J1457" i="3"/>
  <c r="I1450" i="3"/>
  <c r="J1449" i="3"/>
  <c r="I1434" i="3"/>
  <c r="J1433" i="3"/>
  <c r="I1433" i="3"/>
  <c r="I448" i="3"/>
  <c r="I488" i="3"/>
  <c r="I728" i="3"/>
  <c r="J864" i="3"/>
  <c r="I513" i="3"/>
  <c r="I1049" i="3"/>
  <c r="I1241" i="3"/>
  <c r="J1157" i="3"/>
  <c r="J380" i="3"/>
  <c r="J388" i="3"/>
  <c r="I388" i="3"/>
  <c r="J396" i="3"/>
  <c r="I396" i="3"/>
  <c r="J404" i="3"/>
  <c r="I404" i="3"/>
  <c r="J412" i="3"/>
  <c r="J420" i="3"/>
  <c r="I420" i="3"/>
  <c r="J428" i="3"/>
  <c r="I428" i="3"/>
  <c r="J436" i="3"/>
  <c r="I436" i="3"/>
  <c r="J444" i="3"/>
  <c r="J452" i="3"/>
  <c r="I452" i="3"/>
  <c r="J460" i="3"/>
  <c r="I460" i="3"/>
  <c r="J468" i="3"/>
  <c r="I468" i="3"/>
  <c r="J476" i="3"/>
  <c r="J484" i="3"/>
  <c r="I484" i="3"/>
  <c r="J492" i="3"/>
  <c r="I492" i="3"/>
  <c r="J500" i="3"/>
  <c r="I500" i="3"/>
  <c r="J508" i="3"/>
  <c r="J516" i="3"/>
  <c r="I516" i="3"/>
  <c r="J524" i="3"/>
  <c r="I524" i="3"/>
  <c r="J532" i="3"/>
  <c r="I532" i="3"/>
  <c r="J540" i="3"/>
  <c r="J548" i="3"/>
  <c r="I548" i="3"/>
  <c r="J556" i="3"/>
  <c r="I556" i="3"/>
  <c r="J564" i="3"/>
  <c r="I564" i="3"/>
  <c r="J572" i="3"/>
  <c r="J580" i="3"/>
  <c r="I580" i="3"/>
  <c r="J588" i="3"/>
  <c r="I588" i="3"/>
  <c r="J596" i="3"/>
  <c r="I596" i="3"/>
  <c r="J604" i="3"/>
  <c r="I604" i="3"/>
  <c r="I612" i="3"/>
  <c r="J620" i="3"/>
  <c r="I620" i="3"/>
  <c r="J628" i="3"/>
  <c r="I628" i="3"/>
  <c r="J636" i="3"/>
  <c r="I636" i="3"/>
  <c r="J644" i="3"/>
  <c r="I644" i="3"/>
  <c r="J652" i="3"/>
  <c r="I652" i="3"/>
  <c r="J660" i="3"/>
  <c r="J668" i="3"/>
  <c r="I668" i="3"/>
  <c r="J676" i="3"/>
  <c r="I676" i="3"/>
  <c r="J684" i="3"/>
  <c r="I684" i="3"/>
  <c r="I692" i="3"/>
  <c r="J692" i="3"/>
  <c r="J700" i="3"/>
  <c r="I700" i="3"/>
  <c r="I708" i="3"/>
  <c r="J708" i="3"/>
  <c r="J716" i="3"/>
  <c r="I724" i="3"/>
  <c r="J724" i="3"/>
  <c r="J732" i="3"/>
  <c r="I732" i="3"/>
  <c r="I740" i="3"/>
  <c r="J740" i="3"/>
  <c r="J748" i="3"/>
  <c r="I748" i="3"/>
  <c r="J756" i="3"/>
  <c r="I756" i="3"/>
  <c r="J764" i="3"/>
  <c r="I764" i="3"/>
  <c r="J772" i="3"/>
  <c r="J780" i="3"/>
  <c r="I780" i="3"/>
  <c r="I788" i="3"/>
  <c r="J788" i="3"/>
  <c r="J796" i="3"/>
  <c r="I796" i="3"/>
  <c r="I804" i="3"/>
  <c r="J804" i="3"/>
  <c r="I812" i="3"/>
  <c r="I820" i="3"/>
  <c r="J820" i="3"/>
  <c r="J828" i="3"/>
  <c r="I828" i="3"/>
  <c r="J836" i="3"/>
  <c r="I836" i="3"/>
  <c r="J844" i="3"/>
  <c r="I844" i="3"/>
  <c r="J852" i="3"/>
  <c r="I852" i="3"/>
  <c r="J860" i="3"/>
  <c r="I860" i="3"/>
  <c r="J868" i="3"/>
  <c r="J876" i="3"/>
  <c r="I876" i="3"/>
  <c r="J884" i="3"/>
  <c r="I884" i="3"/>
  <c r="J892" i="3"/>
  <c r="I892" i="3"/>
  <c r="J900" i="3"/>
  <c r="I900" i="3"/>
  <c r="J908" i="3"/>
  <c r="I908" i="3"/>
  <c r="J916" i="3"/>
  <c r="J924" i="3"/>
  <c r="I924" i="3"/>
  <c r="J932" i="3"/>
  <c r="I932" i="3"/>
  <c r="J940" i="3"/>
  <c r="I940" i="3"/>
  <c r="J948" i="3"/>
  <c r="I948" i="3"/>
  <c r="J956" i="3"/>
  <c r="I956" i="3"/>
  <c r="J964" i="3"/>
  <c r="I964" i="3"/>
  <c r="J972" i="3"/>
  <c r="J980" i="3"/>
  <c r="I980" i="3"/>
  <c r="J988" i="3"/>
  <c r="I988" i="3"/>
  <c r="J996" i="3"/>
  <c r="I996" i="3"/>
  <c r="J1004" i="3"/>
  <c r="I1004" i="3"/>
  <c r="J1012" i="3"/>
  <c r="I1012" i="3"/>
  <c r="J1020" i="3"/>
  <c r="I1020" i="3"/>
  <c r="J1028" i="3"/>
  <c r="J1036" i="3"/>
  <c r="I1036" i="3"/>
  <c r="J1044" i="3"/>
  <c r="I1044" i="3"/>
  <c r="J1052" i="3"/>
  <c r="I1052" i="3"/>
  <c r="J1060" i="3"/>
  <c r="I1060" i="3"/>
  <c r="J1068" i="3"/>
  <c r="I1068" i="3"/>
  <c r="J1076" i="3"/>
  <c r="I1076" i="3"/>
  <c r="J1084" i="3"/>
  <c r="I1084" i="3"/>
  <c r="J1092" i="3"/>
  <c r="J1100" i="3"/>
  <c r="I1100" i="3"/>
  <c r="J1108" i="3"/>
  <c r="I1108" i="3"/>
  <c r="J1116" i="3"/>
  <c r="I1116" i="3"/>
  <c r="J1124" i="3"/>
  <c r="I1124" i="3"/>
  <c r="J1132" i="3"/>
  <c r="I1132" i="3"/>
  <c r="J1140" i="3"/>
  <c r="I1140" i="3"/>
  <c r="J1148" i="3"/>
  <c r="I1148" i="3"/>
  <c r="I1156" i="3"/>
  <c r="J1164" i="3"/>
  <c r="I1164" i="3"/>
  <c r="J1172" i="3"/>
  <c r="I1172" i="3"/>
  <c r="J1180" i="3"/>
  <c r="I1180" i="3"/>
  <c r="J1188" i="3"/>
  <c r="I1188" i="3"/>
  <c r="J1196" i="3"/>
  <c r="I1196" i="3"/>
  <c r="J1204" i="3"/>
  <c r="I1204" i="3"/>
  <c r="J1212" i="3"/>
  <c r="I1212" i="3"/>
  <c r="J1220" i="3"/>
  <c r="I1220" i="3"/>
  <c r="J1228" i="3"/>
  <c r="I1228" i="3"/>
  <c r="J1236" i="3"/>
  <c r="I1236" i="3"/>
  <c r="J1244" i="3"/>
  <c r="I1244" i="3"/>
  <c r="J1252" i="3"/>
  <c r="I1252" i="3"/>
  <c r="I1260" i="3"/>
  <c r="J1268" i="3"/>
  <c r="I1276" i="3"/>
  <c r="J1276" i="3"/>
  <c r="J1284" i="3"/>
  <c r="I1284" i="3"/>
  <c r="I1292" i="3"/>
  <c r="J1292" i="3"/>
  <c r="J1300" i="3"/>
  <c r="J1308" i="3"/>
  <c r="J1316" i="3"/>
  <c r="I1316" i="3"/>
  <c r="I1324" i="3"/>
  <c r="J1324" i="3"/>
  <c r="J1332" i="3"/>
  <c r="J1340" i="3"/>
  <c r="I1340" i="3"/>
  <c r="J1348" i="3"/>
  <c r="I1348" i="3"/>
  <c r="I1356" i="3"/>
  <c r="J1356" i="3"/>
  <c r="J1364" i="3"/>
  <c r="J1372" i="3"/>
  <c r="I1372" i="3"/>
  <c r="J1380" i="3"/>
  <c r="I1388" i="3"/>
  <c r="J1388" i="3"/>
  <c r="J1396" i="3"/>
  <c r="J1412" i="3"/>
  <c r="I1412" i="3"/>
  <c r="I1420" i="3"/>
  <c r="J1420" i="3"/>
  <c r="J1428" i="3"/>
  <c r="J1468" i="3"/>
  <c r="I1468" i="3"/>
  <c r="J1460" i="3"/>
  <c r="I1460" i="3"/>
  <c r="I1453" i="3"/>
  <c r="J1452" i="3"/>
  <c r="I1452" i="3"/>
  <c r="I1444" i="3"/>
  <c r="J1444" i="3"/>
  <c r="J1436" i="3"/>
  <c r="I1396" i="3"/>
  <c r="I319" i="3"/>
  <c r="I351" i="3"/>
  <c r="I383" i="3"/>
  <c r="I415" i="3"/>
  <c r="I447" i="3"/>
  <c r="I479" i="3"/>
  <c r="I511" i="3"/>
  <c r="I543" i="3"/>
  <c r="I575" i="3"/>
  <c r="I607" i="3"/>
  <c r="I639" i="3"/>
  <c r="I671" i="3"/>
  <c r="I703" i="3"/>
  <c r="I735" i="3"/>
  <c r="I767" i="3"/>
  <c r="I799" i="3"/>
  <c r="I831" i="3"/>
  <c r="I863" i="3"/>
  <c r="I895" i="3"/>
  <c r="I927" i="3"/>
  <c r="I959" i="3"/>
  <c r="I991" i="3"/>
  <c r="I1023" i="3"/>
  <c r="I1055" i="3"/>
  <c r="I1087" i="3"/>
  <c r="I1119" i="3"/>
  <c r="I1151" i="3"/>
  <c r="I1183" i="3"/>
  <c r="I1215" i="3"/>
  <c r="I1247" i="3"/>
  <c r="I1279" i="3"/>
  <c r="I1311" i="3"/>
  <c r="I1343" i="3"/>
  <c r="I1375" i="3"/>
  <c r="I1407" i="3"/>
  <c r="I1439" i="3"/>
  <c r="I528" i="3"/>
  <c r="I568" i="3"/>
  <c r="J608" i="3"/>
  <c r="I744" i="3"/>
  <c r="J808" i="3"/>
  <c r="I880" i="3"/>
  <c r="I944" i="3"/>
  <c r="I1008" i="3"/>
  <c r="I1072" i="3"/>
  <c r="I1136" i="3"/>
  <c r="I1200" i="3"/>
  <c r="I1264" i="3"/>
  <c r="I1328" i="3"/>
  <c r="I1392" i="3"/>
  <c r="I1308" i="3"/>
  <c r="I617" i="3"/>
  <c r="I889" i="3"/>
  <c r="I1145" i="3"/>
  <c r="I1380" i="3"/>
  <c r="I380" i="3"/>
  <c r="I660" i="3"/>
  <c r="I1092" i="3"/>
  <c r="J1254" i="3"/>
  <c r="J401" i="3"/>
  <c r="I409" i="3"/>
  <c r="J417" i="3"/>
  <c r="J425" i="3"/>
  <c r="I425" i="3"/>
  <c r="J433" i="3"/>
  <c r="I441" i="3"/>
  <c r="J449" i="3"/>
  <c r="I457" i="3"/>
  <c r="J457" i="3"/>
  <c r="I465" i="3"/>
  <c r="J473" i="3"/>
  <c r="I473" i="3"/>
  <c r="J489" i="3"/>
  <c r="I489" i="3"/>
  <c r="I497" i="3"/>
  <c r="J505" i="3"/>
  <c r="I505" i="3"/>
  <c r="I521" i="3"/>
  <c r="J521" i="3"/>
  <c r="J529" i="3"/>
  <c r="I529" i="3"/>
  <c r="J537" i="3"/>
  <c r="I545" i="3"/>
  <c r="J553" i="3"/>
  <c r="J561" i="3"/>
  <c r="I561" i="3"/>
  <c r="J569" i="3"/>
  <c r="I577" i="3"/>
  <c r="I585" i="3"/>
  <c r="J593" i="3"/>
  <c r="I593" i="3"/>
  <c r="I601" i="3"/>
  <c r="J609" i="3"/>
  <c r="I609" i="3"/>
  <c r="J625" i="3"/>
  <c r="I625" i="3"/>
  <c r="I633" i="3"/>
  <c r="J641" i="3"/>
  <c r="I641" i="3"/>
  <c r="J657" i="3"/>
  <c r="J665" i="3"/>
  <c r="I665" i="3"/>
  <c r="J673" i="3"/>
  <c r="I681" i="3"/>
  <c r="J689" i="3"/>
  <c r="J697" i="3"/>
  <c r="I697" i="3"/>
  <c r="J705" i="3"/>
  <c r="J713" i="3"/>
  <c r="I713" i="3"/>
  <c r="J729" i="3"/>
  <c r="I729" i="3"/>
  <c r="I737" i="3"/>
  <c r="J745" i="3"/>
  <c r="I745" i="3"/>
  <c r="J761" i="3"/>
  <c r="I761" i="3"/>
  <c r="I769" i="3"/>
  <c r="I777" i="3"/>
  <c r="J777" i="3"/>
  <c r="I785" i="3"/>
  <c r="J793" i="3"/>
  <c r="J801" i="3"/>
  <c r="I801" i="3"/>
  <c r="J809" i="3"/>
  <c r="I817" i="3"/>
  <c r="J825" i="3"/>
  <c r="J833" i="3"/>
  <c r="I833" i="3"/>
  <c r="J849" i="3"/>
  <c r="I849" i="3"/>
  <c r="J865" i="3"/>
  <c r="I865" i="3"/>
  <c r="I873" i="3"/>
  <c r="J881" i="3"/>
  <c r="I881" i="3"/>
  <c r="J897" i="3"/>
  <c r="I897" i="3"/>
  <c r="I905" i="3"/>
  <c r="J913" i="3"/>
  <c r="I913" i="3"/>
  <c r="J929" i="3"/>
  <c r="I929" i="3"/>
  <c r="I937" i="3"/>
  <c r="J945" i="3"/>
  <c r="I945" i="3"/>
  <c r="J961" i="3"/>
  <c r="I961" i="3"/>
  <c r="I969" i="3"/>
  <c r="J977" i="3"/>
  <c r="I977" i="3"/>
  <c r="J993" i="3"/>
  <c r="I993" i="3"/>
  <c r="I1001" i="3"/>
  <c r="J1009" i="3"/>
  <c r="I1009" i="3"/>
  <c r="J1025" i="3"/>
  <c r="I1025" i="3"/>
  <c r="I1033" i="3"/>
  <c r="J1041" i="3"/>
  <c r="I1041" i="3"/>
  <c r="I1057" i="3"/>
  <c r="J1057" i="3"/>
  <c r="I1065" i="3"/>
  <c r="J1073" i="3"/>
  <c r="I1073" i="3"/>
  <c r="J1089" i="3"/>
  <c r="I1089" i="3"/>
  <c r="I1097" i="3"/>
  <c r="J1105" i="3"/>
  <c r="I1105" i="3"/>
  <c r="J1121" i="3"/>
  <c r="I1121" i="3"/>
  <c r="I1129" i="3"/>
  <c r="J1137" i="3"/>
  <c r="I1137" i="3"/>
  <c r="J1153" i="3"/>
  <c r="I1153" i="3"/>
  <c r="I1161" i="3"/>
  <c r="J1169" i="3"/>
  <c r="I1169" i="3"/>
  <c r="J1185" i="3"/>
  <c r="I1185" i="3"/>
  <c r="J1193" i="3"/>
  <c r="I1193" i="3"/>
  <c r="J1201" i="3"/>
  <c r="I1201" i="3"/>
  <c r="J1217" i="3"/>
  <c r="I1217" i="3"/>
  <c r="J1225" i="3"/>
  <c r="I1225" i="3"/>
  <c r="J1233" i="3"/>
  <c r="I1233" i="3"/>
  <c r="J1249" i="3"/>
  <c r="I1249" i="3"/>
  <c r="J1257" i="3"/>
  <c r="I1257" i="3"/>
  <c r="J1265" i="3"/>
  <c r="I1265" i="3"/>
  <c r="I1273" i="3"/>
  <c r="J1281" i="3"/>
  <c r="J1289" i="3"/>
  <c r="I1289" i="3"/>
  <c r="J1297" i="3"/>
  <c r="I1297" i="3"/>
  <c r="I1305" i="3"/>
  <c r="J1313" i="3"/>
  <c r="J1321" i="3"/>
  <c r="I1321" i="3"/>
  <c r="J1329" i="3"/>
  <c r="I1329" i="3"/>
  <c r="I1337" i="3"/>
  <c r="J1345" i="3"/>
  <c r="J1353" i="3"/>
  <c r="I1353" i="3"/>
  <c r="J1361" i="3"/>
  <c r="I1361" i="3"/>
  <c r="J1369" i="3"/>
  <c r="I1369" i="3"/>
  <c r="J1377" i="3"/>
  <c r="J1385" i="3"/>
  <c r="I1385" i="3"/>
  <c r="J1393" i="3"/>
  <c r="I1393" i="3"/>
  <c r="J1401" i="3"/>
  <c r="I1401" i="3"/>
  <c r="J1409" i="3"/>
  <c r="J1417" i="3"/>
  <c r="I1417" i="3"/>
  <c r="J1425" i="3"/>
  <c r="I1425" i="3"/>
  <c r="I1464" i="3"/>
  <c r="J1463" i="3"/>
  <c r="I1456" i="3"/>
  <c r="J1455" i="3"/>
  <c r="I1447" i="3"/>
  <c r="J1447" i="3"/>
  <c r="I1428" i="3"/>
  <c r="I1436" i="3"/>
  <c r="J416" i="3"/>
  <c r="J616" i="3"/>
  <c r="I680" i="3"/>
  <c r="I816" i="3"/>
  <c r="J441" i="3"/>
  <c r="I537" i="3"/>
  <c r="I809" i="3"/>
  <c r="J1065" i="3"/>
  <c r="J1273" i="3"/>
  <c r="I412" i="3"/>
  <c r="I716" i="3"/>
  <c r="J1156" i="3"/>
  <c r="I909" i="3"/>
  <c r="I1458" i="3"/>
  <c r="I1449" i="3"/>
</calcChain>
</file>

<file path=xl/sharedStrings.xml><?xml version="1.0" encoding="utf-8"?>
<sst xmlns="http://schemas.openxmlformats.org/spreadsheetml/2006/main" count="11286" uniqueCount="743">
  <si>
    <t>blt_numero</t>
  </si>
  <si>
    <t>blt_ano</t>
  </si>
  <si>
    <t>blt_data_lev</t>
  </si>
  <si>
    <t>Grupo</t>
  </si>
  <si>
    <t>Produto</t>
  </si>
  <si>
    <t>Unidade</t>
  </si>
  <si>
    <t>Comum</t>
  </si>
  <si>
    <t>Mínimo</t>
  </si>
  <si>
    <t>Máximo</t>
  </si>
  <si>
    <t>Média</t>
  </si>
  <si>
    <t>Mediana</t>
  </si>
  <si>
    <t>GRUPO A - Verduras (Folhosas, Flores e Hastes)</t>
  </si>
  <si>
    <t>Acelga</t>
  </si>
  <si>
    <t>12 unidades</t>
  </si>
  <si>
    <t>Agrião</t>
  </si>
  <si>
    <t>Alface Americana</t>
  </si>
  <si>
    <t>Alface crespa</t>
  </si>
  <si>
    <t>Alface lisa</t>
  </si>
  <si>
    <t>Almeirão</t>
  </si>
  <si>
    <t>Brócolos ninja/japonês</t>
  </si>
  <si>
    <t>Brócolos ramoso</t>
  </si>
  <si>
    <t>Couve-Manteiga</t>
  </si>
  <si>
    <t>Couve</t>
  </si>
  <si>
    <t>Escarola</t>
  </si>
  <si>
    <t>Espinafre</t>
  </si>
  <si>
    <t>Rabanete</t>
  </si>
  <si>
    <t>12 maços</t>
  </si>
  <si>
    <t>Repolho roxo</t>
  </si>
  <si>
    <t>Repolho Verde</t>
  </si>
  <si>
    <t>Rúcula</t>
  </si>
  <si>
    <t>GRUPO B - Hortaliças Condimentares (Temperos)</t>
  </si>
  <si>
    <t>Cebolinha</t>
  </si>
  <si>
    <t>Maço 0,5 kg</t>
  </si>
  <si>
    <t>3.67</t>
  </si>
  <si>
    <t>Coentro</t>
  </si>
  <si>
    <t>Maço 2 kg</t>
  </si>
  <si>
    <t>Salsinha</t>
  </si>
  <si>
    <t>22.5</t>
  </si>
  <si>
    <t>GRUPO C - Hortaliças Legumes (Leguminosas (Vagens), Frutos, Raízes Tuberosas, Tubérculos e Bulbos)</t>
  </si>
  <si>
    <t>Abobrinha Italiana</t>
  </si>
  <si>
    <t>17 kg</t>
  </si>
  <si>
    <t>57.5</t>
  </si>
  <si>
    <t>Batata-doce</t>
  </si>
  <si>
    <t>18 kg</t>
  </si>
  <si>
    <t>Berinjela comum</t>
  </si>
  <si>
    <t>10 kg</t>
  </si>
  <si>
    <t>44.17</t>
  </si>
  <si>
    <t>42.5</t>
  </si>
  <si>
    <t>Berinjela japonesa</t>
  </si>
  <si>
    <t>Beterraba</t>
  </si>
  <si>
    <t>20 kg</t>
  </si>
  <si>
    <t>52.67</t>
  </si>
  <si>
    <t>Cenoura</t>
  </si>
  <si>
    <t>Chuchu</t>
  </si>
  <si>
    <t>Jiló</t>
  </si>
  <si>
    <t>56.67</t>
  </si>
  <si>
    <t>Mandioca</t>
  </si>
  <si>
    <t>Pepino comum</t>
  </si>
  <si>
    <t>Pepino japonês</t>
  </si>
  <si>
    <t>Pimentão verde</t>
  </si>
  <si>
    <t>Quiabo</t>
  </si>
  <si>
    <t>12 kg</t>
  </si>
  <si>
    <t>68.33</t>
  </si>
  <si>
    <t>Tomate Débora</t>
  </si>
  <si>
    <t>Vagem macarrão</t>
  </si>
  <si>
    <t>GRUPO D - Frutas</t>
  </si>
  <si>
    <t>Caqui Fuyu</t>
  </si>
  <si>
    <t>Caqui Guimbo</t>
  </si>
  <si>
    <t>Caqui Rama Forte</t>
  </si>
  <si>
    <t>Goiaba</t>
  </si>
  <si>
    <t>Mexerica Polkan</t>
  </si>
  <si>
    <t>22 kg</t>
  </si>
  <si>
    <t>21.5</t>
  </si>
  <si>
    <t>Couve-flor</t>
  </si>
  <si>
    <t>3.5</t>
  </si>
  <si>
    <t>4.13</t>
  </si>
  <si>
    <t>95.71</t>
  </si>
  <si>
    <t>Batata</t>
  </si>
  <si>
    <t>52.5</t>
  </si>
  <si>
    <t>71.43</t>
  </si>
  <si>
    <t>62.5</t>
  </si>
  <si>
    <t>39.38</t>
  </si>
  <si>
    <t>102.86</t>
  </si>
  <si>
    <t>64.67</t>
  </si>
  <si>
    <t>67.5</t>
  </si>
  <si>
    <t>28.33</t>
  </si>
  <si>
    <t>37.5</t>
  </si>
  <si>
    <t>4.33</t>
  </si>
  <si>
    <t>20.67</t>
  </si>
  <si>
    <t>55.83</t>
  </si>
  <si>
    <t>45.83</t>
  </si>
  <si>
    <t>47.5</t>
  </si>
  <si>
    <t>53.75</t>
  </si>
  <si>
    <t>73.33</t>
  </si>
  <si>
    <t>68.75</t>
  </si>
  <si>
    <t>84.17</t>
  </si>
  <si>
    <t>30.33</t>
  </si>
  <si>
    <t>4.5</t>
  </si>
  <si>
    <t>43.33</t>
  </si>
  <si>
    <t>47.86</t>
  </si>
  <si>
    <t>38.57</t>
  </si>
  <si>
    <t>58.75</t>
  </si>
  <si>
    <t>66.67</t>
  </si>
  <si>
    <t>70.83</t>
  </si>
  <si>
    <t>39.17</t>
  </si>
  <si>
    <t>107.5</t>
  </si>
  <si>
    <t>34.25</t>
  </si>
  <si>
    <t>32.5</t>
  </si>
  <si>
    <t>31.67</t>
  </si>
  <si>
    <t>4.17</t>
  </si>
  <si>
    <t>23.33</t>
  </si>
  <si>
    <t>50.71</t>
  </si>
  <si>
    <t>49.29</t>
  </si>
  <si>
    <t>37.86</t>
  </si>
  <si>
    <t>103.33</t>
  </si>
  <si>
    <t>49.17</t>
  </si>
  <si>
    <t>36.43</t>
  </si>
  <si>
    <t>78.57</t>
  </si>
  <si>
    <t>21.6</t>
  </si>
  <si>
    <t>24.75</t>
  </si>
  <si>
    <t>20.25</t>
  </si>
  <si>
    <t>69.33</t>
  </si>
  <si>
    <t>20.5</t>
  </si>
  <si>
    <t>36.75</t>
  </si>
  <si>
    <t>4.25</t>
  </si>
  <si>
    <t>21.4</t>
  </si>
  <si>
    <t>56.88</t>
  </si>
  <si>
    <t>46.67</t>
  </si>
  <si>
    <t>65.56</t>
  </si>
  <si>
    <t>59.38</t>
  </si>
  <si>
    <t>68.57</t>
  </si>
  <si>
    <t>61.67</t>
  </si>
  <si>
    <t>72.14</t>
  </si>
  <si>
    <t>73.13</t>
  </si>
  <si>
    <t>77.5</t>
  </si>
  <si>
    <t>4.38</t>
  </si>
  <si>
    <t>26.67</t>
  </si>
  <si>
    <t>48.75</t>
  </si>
  <si>
    <t>51.67</t>
  </si>
  <si>
    <t>38.75</t>
  </si>
  <si>
    <t>117.5</t>
  </si>
  <si>
    <t>61.5</t>
  </si>
  <si>
    <t>51.75</t>
  </si>
  <si>
    <t>38.6</t>
  </si>
  <si>
    <t>35.75</t>
  </si>
  <si>
    <t>35.5</t>
  </si>
  <si>
    <t>93.6</t>
  </si>
  <si>
    <t>33.25</t>
  </si>
  <si>
    <t>61.2</t>
  </si>
  <si>
    <t>4.63</t>
  </si>
  <si>
    <t>4.75</t>
  </si>
  <si>
    <t>26.25</t>
  </si>
  <si>
    <t>27.6</t>
  </si>
  <si>
    <t>Aboborá Cabotiá</t>
  </si>
  <si>
    <t>30 kg</t>
  </si>
  <si>
    <t>78.75</t>
  </si>
  <si>
    <t>97.5</t>
  </si>
  <si>
    <t>89.67</t>
  </si>
  <si>
    <t>76.67</t>
  </si>
  <si>
    <t>48.33</t>
  </si>
  <si>
    <t>117.14</t>
  </si>
  <si>
    <t>54.67</t>
  </si>
  <si>
    <t>30.5</t>
  </si>
  <si>
    <t>66.33</t>
  </si>
  <si>
    <t>4.83</t>
  </si>
  <si>
    <t>113.75</t>
  </si>
  <si>
    <t>112.5</t>
  </si>
  <si>
    <t>122.5</t>
  </si>
  <si>
    <t>82.5</t>
  </si>
  <si>
    <t>106.25</t>
  </si>
  <si>
    <t>137.5</t>
  </si>
  <si>
    <t>136.67</t>
  </si>
  <si>
    <t>62.67</t>
  </si>
  <si>
    <t>49.5</t>
  </si>
  <si>
    <t>46.5</t>
  </si>
  <si>
    <t>41.75</t>
  </si>
  <si>
    <t>38.5</t>
  </si>
  <si>
    <t>45.67</t>
  </si>
  <si>
    <t>64.5</t>
  </si>
  <si>
    <t>28.5</t>
  </si>
  <si>
    <t>35.67</t>
  </si>
  <si>
    <t>67.33</t>
  </si>
  <si>
    <t>20.83</t>
  </si>
  <si>
    <t>102.5</t>
  </si>
  <si>
    <t>96.67</t>
  </si>
  <si>
    <t>42.33</t>
  </si>
  <si>
    <t>81.8</t>
  </si>
  <si>
    <t>62.33</t>
  </si>
  <si>
    <t>115.83</t>
  </si>
  <si>
    <t>86.88</t>
  </si>
  <si>
    <t>117.86</t>
  </si>
  <si>
    <t>81.25</t>
  </si>
  <si>
    <t>82.14</t>
  </si>
  <si>
    <t>221.67</t>
  </si>
  <si>
    <t>144.29</t>
  </si>
  <si>
    <t>101.33</t>
  </si>
  <si>
    <t>93.33</t>
  </si>
  <si>
    <t>59.67</t>
  </si>
  <si>
    <t>118.33</t>
  </si>
  <si>
    <t>69.17</t>
  </si>
  <si>
    <t>72.5</t>
  </si>
  <si>
    <t>116.67</t>
  </si>
  <si>
    <t>56.33</t>
  </si>
  <si>
    <t>101.67</t>
  </si>
  <si>
    <t>172.5</t>
  </si>
  <si>
    <t>49.33</t>
  </si>
  <si>
    <t>78.67</t>
  </si>
  <si>
    <t>32.75</t>
  </si>
  <si>
    <t>33.67</t>
  </si>
  <si>
    <t>31.5</t>
  </si>
  <si>
    <t>54.33</t>
  </si>
  <si>
    <t>5.38</t>
  </si>
  <si>
    <t>5.5</t>
  </si>
  <si>
    <t>33.75</t>
  </si>
  <si>
    <t>113.33</t>
  </si>
  <si>
    <t>68.6</t>
  </si>
  <si>
    <t>91.25</t>
  </si>
  <si>
    <t>99.5</t>
  </si>
  <si>
    <t>81.5</t>
  </si>
  <si>
    <t>59.33</t>
  </si>
  <si>
    <t>27.67</t>
  </si>
  <si>
    <t>33.33</t>
  </si>
  <si>
    <t>62.78</t>
  </si>
  <si>
    <t>44.38</t>
  </si>
  <si>
    <t>125.71</t>
  </si>
  <si>
    <t>61.25</t>
  </si>
  <si>
    <t>98.57</t>
  </si>
  <si>
    <t>93.13</t>
  </si>
  <si>
    <t>74.29</t>
  </si>
  <si>
    <t>92.14</t>
  </si>
  <si>
    <t>91.67</t>
  </si>
  <si>
    <t>99.67</t>
  </si>
  <si>
    <t>70.33</t>
  </si>
  <si>
    <t>43.75</t>
  </si>
  <si>
    <t>132.5</t>
  </si>
  <si>
    <t>56.25</t>
  </si>
  <si>
    <t>25.25</t>
  </si>
  <si>
    <t>25.67</t>
  </si>
  <si>
    <t>60.5</t>
  </si>
  <si>
    <t>87.5</t>
  </si>
  <si>
    <t>127.5</t>
  </si>
  <si>
    <t>63.33</t>
  </si>
  <si>
    <t>53.33</t>
  </si>
  <si>
    <t>128.75</t>
  </si>
  <si>
    <t>86.67</t>
  </si>
  <si>
    <t>111.67</t>
  </si>
  <si>
    <t>58.5</t>
  </si>
  <si>
    <t>44.5</t>
  </si>
  <si>
    <t>75.5</t>
  </si>
  <si>
    <t>55.6</t>
  </si>
  <si>
    <t>5.25</t>
  </si>
  <si>
    <t>123.33</t>
  </si>
  <si>
    <t>85.33</t>
  </si>
  <si>
    <t>5.33</t>
  </si>
  <si>
    <t>51.25</t>
  </si>
  <si>
    <t>116.25</t>
  </si>
  <si>
    <t>193.75</t>
  </si>
  <si>
    <t>27.5</t>
  </si>
  <si>
    <t>58.33</t>
  </si>
  <si>
    <t>98.33</t>
  </si>
  <si>
    <t>108.33</t>
  </si>
  <si>
    <t>120.83</t>
  </si>
  <si>
    <t>78.33</t>
  </si>
  <si>
    <t>106.67</t>
  </si>
  <si>
    <t>223.33</t>
  </si>
  <si>
    <t>66.25</t>
  </si>
  <si>
    <t>176.67</t>
  </si>
  <si>
    <t>68.5</t>
  </si>
  <si>
    <t>60.83</t>
  </si>
  <si>
    <t>143.33</t>
  </si>
  <si>
    <t>83.33</t>
  </si>
  <si>
    <t>24.5</t>
  </si>
  <si>
    <t>71.5</t>
  </si>
  <si>
    <t>17.25</t>
  </si>
  <si>
    <t>71.25</t>
  </si>
  <si>
    <t>51.5</t>
  </si>
  <si>
    <t>25.5</t>
  </si>
  <si>
    <t>66.5</t>
  </si>
  <si>
    <t>13.5</t>
  </si>
  <si>
    <t>71.67</t>
  </si>
  <si>
    <t>74.4</t>
  </si>
  <si>
    <t>22.8</t>
  </si>
  <si>
    <t>25.2</t>
  </si>
  <si>
    <t>62.4</t>
  </si>
  <si>
    <t>43.4</t>
  </si>
  <si>
    <t>12.4</t>
  </si>
  <si>
    <t>63.75</t>
  </si>
  <si>
    <t>133.33</t>
  </si>
  <si>
    <t>21.8</t>
  </si>
  <si>
    <t>55.2</t>
  </si>
  <si>
    <t>50.4</t>
  </si>
  <si>
    <t>4.8</t>
  </si>
  <si>
    <t>143.75</t>
  </si>
  <si>
    <t>11.33</t>
  </si>
  <si>
    <t>21.67</t>
  </si>
  <si>
    <t>59.4</t>
  </si>
  <si>
    <t>118.75</t>
  </si>
  <si>
    <t>55.8</t>
  </si>
  <si>
    <t>53.25</t>
  </si>
  <si>
    <t>38.8</t>
  </si>
  <si>
    <t>49.2</t>
  </si>
  <si>
    <t>157.5</t>
  </si>
  <si>
    <t>39.25</t>
  </si>
  <si>
    <t>5.13</t>
  </si>
  <si>
    <t>18.75</t>
  </si>
  <si>
    <t>17.5</t>
  </si>
  <si>
    <t>93.75</t>
  </si>
  <si>
    <t>92.5</t>
  </si>
  <si>
    <t>147.5</t>
  </si>
  <si>
    <t>34.5</t>
  </si>
  <si>
    <t>23.75</t>
  </si>
  <si>
    <t>69.6</t>
  </si>
  <si>
    <t>20.4</t>
  </si>
  <si>
    <t>33.6</t>
  </si>
  <si>
    <t>32.2</t>
  </si>
  <si>
    <t>51.8</t>
  </si>
  <si>
    <t>46.6</t>
  </si>
  <si>
    <t>61.17</t>
  </si>
  <si>
    <t>18.33</t>
  </si>
  <si>
    <t>41.4</t>
  </si>
  <si>
    <t>44.2</t>
  </si>
  <si>
    <t>42.2</t>
  </si>
  <si>
    <t>42.4</t>
  </si>
  <si>
    <t>42.75</t>
  </si>
  <si>
    <t>41.67</t>
  </si>
  <si>
    <t>38.4</t>
  </si>
  <si>
    <t>23.4</t>
  </si>
  <si>
    <t>67.2</t>
  </si>
  <si>
    <t>65.5</t>
  </si>
  <si>
    <t>31.6</t>
  </si>
  <si>
    <t>10.4</t>
  </si>
  <si>
    <t>64.17</t>
  </si>
  <si>
    <t>50.83</t>
  </si>
  <si>
    <t>121.67</t>
  </si>
  <si>
    <t>39.6</t>
  </si>
  <si>
    <t>30.25</t>
  </si>
  <si>
    <t>25.6</t>
  </si>
  <si>
    <t>19.5</t>
  </si>
  <si>
    <t>4.67</t>
  </si>
  <si>
    <t>11.75</t>
  </si>
  <si>
    <t>21.25</t>
  </si>
  <si>
    <t>126.25</t>
  </si>
  <si>
    <t>43.67</t>
  </si>
  <si>
    <t>12.75</t>
  </si>
  <si>
    <t>41.25</t>
  </si>
  <si>
    <t>151.25</t>
  </si>
  <si>
    <t>73.75</t>
  </si>
  <si>
    <t>34.75</t>
  </si>
  <si>
    <t>28.75</t>
  </si>
  <si>
    <t>81.67</t>
  </si>
  <si>
    <t>88.75</t>
  </si>
  <si>
    <t>162.5</t>
  </si>
  <si>
    <t>Abóbora Cabotiá</t>
  </si>
  <si>
    <t>-</t>
  </si>
  <si>
    <t>Numero do boletim</t>
  </si>
  <si>
    <t>Ano do boletim</t>
  </si>
  <si>
    <t>Unidade de medida</t>
  </si>
  <si>
    <t>cot_id</t>
  </si>
  <si>
    <t>blt_id</t>
  </si>
  <si>
    <t>pap_id</t>
  </si>
  <si>
    <t>cot_prc_comum</t>
  </si>
  <si>
    <t>cot_prc_min</t>
  </si>
  <si>
    <t>cot_prc_max</t>
  </si>
  <si>
    <t>cot_prc_med</t>
  </si>
  <si>
    <t>cot_prc_mediana</t>
  </si>
  <si>
    <t>grp_id</t>
  </si>
  <si>
    <t>grp_nome</t>
  </si>
  <si>
    <t>grp_desc</t>
  </si>
  <si>
    <t>A</t>
  </si>
  <si>
    <t>Verduras (folhosas, flores e hastes)</t>
  </si>
  <si>
    <t>B</t>
  </si>
  <si>
    <t>Hortaliças condimentares (temperos)</t>
  </si>
  <si>
    <t>C</t>
  </si>
  <si>
    <t>Hortaliças legumes (leguminosas (vagens), frutos, raízes tuberosas, tuberculos, bulbos)</t>
  </si>
  <si>
    <t>D</t>
  </si>
  <si>
    <t>Frutas</t>
  </si>
  <si>
    <t>cat_id</t>
  </si>
  <si>
    <t>cat_nome</t>
  </si>
  <si>
    <t>Folhosas</t>
  </si>
  <si>
    <t>Flores</t>
  </si>
  <si>
    <t>Hastes</t>
  </si>
  <si>
    <t>Temperos</t>
  </si>
  <si>
    <t>Leguminosas (vagens)</t>
  </si>
  <si>
    <t>Frutos</t>
  </si>
  <si>
    <t>Raízes Tuberosas</t>
  </si>
  <si>
    <t>Tubérculos</t>
  </si>
  <si>
    <t>Bulbos</t>
  </si>
  <si>
    <t>prd_id</t>
  </si>
  <si>
    <t>prd_nome</t>
  </si>
  <si>
    <t>prd_var</t>
  </si>
  <si>
    <t>prd_atv</t>
  </si>
  <si>
    <t>Alface</t>
  </si>
  <si>
    <t>Americana</t>
  </si>
  <si>
    <t>Crespa</t>
  </si>
  <si>
    <t>Lisa</t>
  </si>
  <si>
    <t>Brócolis</t>
  </si>
  <si>
    <t>Ninja/Japonês</t>
  </si>
  <si>
    <t>Ramoso</t>
  </si>
  <si>
    <t>Manteiga</t>
  </si>
  <si>
    <t>Couve-Flor</t>
  </si>
  <si>
    <t>Repolho</t>
  </si>
  <si>
    <t>Roxo</t>
  </si>
  <si>
    <t>Verde</t>
  </si>
  <si>
    <t>Abóbora</t>
  </si>
  <si>
    <t>Cabotiá</t>
  </si>
  <si>
    <t>Abobrinha</t>
  </si>
  <si>
    <t>Italiana</t>
  </si>
  <si>
    <t>Berinjela</t>
  </si>
  <si>
    <t>Japonesa</t>
  </si>
  <si>
    <t>Pepino</t>
  </si>
  <si>
    <t>Japonês</t>
  </si>
  <si>
    <t>Pimentão</t>
  </si>
  <si>
    <t>Tomate</t>
  </si>
  <si>
    <t>Débora</t>
  </si>
  <si>
    <t>Vagem</t>
  </si>
  <si>
    <t>Macarrão</t>
  </si>
  <si>
    <t>Caqui</t>
  </si>
  <si>
    <t>Fuyu</t>
  </si>
  <si>
    <t>Guiombo</t>
  </si>
  <si>
    <t>Rama Forte</t>
  </si>
  <si>
    <t>Mexerica</t>
  </si>
  <si>
    <t>Ponkan</t>
  </si>
  <si>
    <t>umd_id</t>
  </si>
  <si>
    <t>umd_nome</t>
  </si>
  <si>
    <t>umd_sigla</t>
  </si>
  <si>
    <t>Quilograma</t>
  </si>
  <si>
    <t>kg</t>
  </si>
  <si>
    <t>Grama</t>
  </si>
  <si>
    <t>g</t>
  </si>
  <si>
    <t>un</t>
  </si>
  <si>
    <t>Mililitro</t>
  </si>
  <si>
    <t>ml</t>
  </si>
  <si>
    <t>Litro</t>
  </si>
  <si>
    <t>L</t>
  </si>
  <si>
    <t>tap_id</t>
  </si>
  <si>
    <t>tap_nome</t>
  </si>
  <si>
    <t>caixa</t>
  </si>
  <si>
    <t>maço</t>
  </si>
  <si>
    <t>dúzia</t>
  </si>
  <si>
    <t>saco</t>
  </si>
  <si>
    <t>blt_data_cad</t>
  </si>
  <si>
    <t>pap_qtd</t>
  </si>
  <si>
    <t>pap_atv</t>
  </si>
  <si>
    <t>CouveManteiga</t>
  </si>
  <si>
    <t>Couveflor</t>
  </si>
  <si>
    <t>Batatadoce</t>
  </si>
  <si>
    <t>cat_grp_id</t>
  </si>
  <si>
    <t>prd_cat_id</t>
  </si>
  <si>
    <t>pap_prd_id</t>
  </si>
  <si>
    <t>pap_tap_id</t>
  </si>
  <si>
    <t>pap_umd_id</t>
  </si>
  <si>
    <t>cot_blt_id</t>
  </si>
  <si>
    <t>cot_pap_id</t>
  </si>
  <si>
    <t>0.5</t>
  </si>
  <si>
    <t>18.67</t>
  </si>
  <si>
    <t>20.33</t>
  </si>
  <si>
    <t>28.57</t>
  </si>
  <si>
    <t>48.57</t>
  </si>
  <si>
    <t>51.43</t>
  </si>
  <si>
    <t>52.14</t>
  </si>
  <si>
    <t>166.67</t>
  </si>
  <si>
    <t>48.25</t>
  </si>
  <si>
    <t>76.5</t>
  </si>
  <si>
    <t xml:space="preserve"> 48.00</t>
  </si>
  <si>
    <t xml:space="preserve"> 60.00</t>
  </si>
  <si>
    <t xml:space="preserve"> 54.00</t>
  </si>
  <si>
    <t xml:space="preserve"> 72.00</t>
  </si>
  <si>
    <t xml:space="preserve"> 84.00</t>
  </si>
  <si>
    <t xml:space="preserve"> 30.00</t>
  </si>
  <si>
    <t xml:space="preserve"> 42.00</t>
  </si>
  <si>
    <t xml:space="preserve"> 34.50</t>
  </si>
  <si>
    <t xml:space="preserve"> 33.00</t>
  </si>
  <si>
    <t xml:space="preserve"> 24.00</t>
  </si>
  <si>
    <t xml:space="preserve"> 18.00</t>
  </si>
  <si>
    <t xml:space="preserve"> 22.50</t>
  </si>
  <si>
    <t xml:space="preserve"> 64.00</t>
  </si>
  <si>
    <t xml:space="preserve"> 70.00</t>
  </si>
  <si>
    <t xml:space="preserve"> 71.50</t>
  </si>
  <si>
    <t xml:space="preserve"> 21.50</t>
  </si>
  <si>
    <t xml:space="preserve"> 22.00</t>
  </si>
  <si>
    <t xml:space="preserve"> 63.33</t>
  </si>
  <si>
    <t xml:space="preserve"> 63.00</t>
  </si>
  <si>
    <t xml:space="preserve"> 25.50</t>
  </si>
  <si>
    <t xml:space="preserve"> 51.00</t>
  </si>
  <si>
    <t xml:space="preserve"> 5.00</t>
  </si>
  <si>
    <t xml:space="preserve"> 15.00</t>
  </si>
  <si>
    <t xml:space="preserve"> 12.00</t>
  </si>
  <si>
    <t xml:space="preserve"> 14.25</t>
  </si>
  <si>
    <t xml:space="preserve"> 20.00</t>
  </si>
  <si>
    <t xml:space="preserve"> 26.25</t>
  </si>
  <si>
    <t xml:space="preserve"> 27.50</t>
  </si>
  <si>
    <t xml:space="preserve"> 75.00</t>
  </si>
  <si>
    <t xml:space="preserve"> 80.00</t>
  </si>
  <si>
    <t xml:space="preserve"> 77.50</t>
  </si>
  <si>
    <t xml:space="preserve"> 35.00</t>
  </si>
  <si>
    <t xml:space="preserve"> 33.75</t>
  </si>
  <si>
    <t xml:space="preserve"> 45.00</t>
  </si>
  <si>
    <t xml:space="preserve"> 62.50</t>
  </si>
  <si>
    <t xml:space="preserve"> 51.67</t>
  </si>
  <si>
    <t xml:space="preserve"> 50.00</t>
  </si>
  <si>
    <t xml:space="preserve"> 65.00</t>
  </si>
  <si>
    <t xml:space="preserve"> 56.25</t>
  </si>
  <si>
    <t xml:space="preserve"> 55.00</t>
  </si>
  <si>
    <t xml:space="preserve"> 40.00</t>
  </si>
  <si>
    <t xml:space="preserve"> 48.75</t>
  </si>
  <si>
    <t xml:space="preserve"> 57.50</t>
  </si>
  <si>
    <t xml:space="preserve"> 52.50</t>
  </si>
  <si>
    <t xml:space="preserve"> 120.00</t>
  </si>
  <si>
    <t xml:space="preserve"> 103.33</t>
  </si>
  <si>
    <t xml:space="preserve"> 110.00</t>
  </si>
  <si>
    <t xml:space="preserve"> 47.50</t>
  </si>
  <si>
    <t xml:space="preserve"> 90.00</t>
  </si>
  <si>
    <t xml:space="preserve"> 73.75</t>
  </si>
  <si>
    <t xml:space="preserve"> 46.25</t>
  </si>
  <si>
    <t xml:space="preserve"> 150.00</t>
  </si>
  <si>
    <t xml:space="preserve"> 180.00</t>
  </si>
  <si>
    <t xml:space="preserve"> 163.33</t>
  </si>
  <si>
    <t xml:space="preserve"> 160.00</t>
  </si>
  <si>
    <t xml:space="preserve"> 95.00</t>
  </si>
  <si>
    <t xml:space="preserve"> 81.25</t>
  </si>
  <si>
    <t xml:space="preserve"> 123.33</t>
  </si>
  <si>
    <t xml:space="preserve"> 100.00</t>
  </si>
  <si>
    <t xml:space="preserve"> 66.00</t>
  </si>
  <si>
    <t xml:space="preserve"> 78.00</t>
  </si>
  <si>
    <t xml:space="preserve"> 69.00</t>
  </si>
  <si>
    <t xml:space="preserve"> 25.00</t>
  </si>
  <si>
    <t xml:space="preserve"> 17.50</t>
  </si>
  <si>
    <t xml:space="preserve"> 61.00</t>
  </si>
  <si>
    <t xml:space="preserve"> 53.00</t>
  </si>
  <si>
    <t xml:space="preserve"> 58.00</t>
  </si>
  <si>
    <t xml:space="preserve"> 113.33</t>
  </si>
  <si>
    <t xml:space="preserve"> 200.00</t>
  </si>
  <si>
    <t xml:space="preserve"> 178.00</t>
  </si>
  <si>
    <t xml:space="preserve"> 83.33</t>
  </si>
  <si>
    <t xml:space="preserve"> 52.00</t>
  </si>
  <si>
    <t xml:space="preserve"> 68.00</t>
  </si>
  <si>
    <t xml:space="preserve"> 36.00</t>
  </si>
  <si>
    <t xml:space="preserve"> 27.25</t>
  </si>
  <si>
    <t xml:space="preserve"> 26.33</t>
  </si>
  <si>
    <t xml:space="preserve"> 56.00</t>
  </si>
  <si>
    <t xml:space="preserve"> 67.50</t>
  </si>
  <si>
    <t xml:space="preserve"> 24.25</t>
  </si>
  <si>
    <t xml:space="preserve"> 24.50</t>
  </si>
  <si>
    <t xml:space="preserve"> 44.00</t>
  </si>
  <si>
    <t xml:space="preserve"> 28.50</t>
  </si>
  <si>
    <t xml:space="preserve"> 49.50</t>
  </si>
  <si>
    <t xml:space="preserve"> 42.50</t>
  </si>
  <si>
    <t xml:space="preserve"> 53.33</t>
  </si>
  <si>
    <t xml:space="preserve">             </t>
  </si>
  <si>
    <t xml:space="preserve"> 52.67</t>
  </si>
  <si>
    <t xml:space="preserve"> 74.00</t>
  </si>
  <si>
    <t xml:space="preserve"> 78.33</t>
  </si>
  <si>
    <t xml:space="preserve"> 58.60</t>
  </si>
  <si>
    <t xml:space="preserve"> 105.00</t>
  </si>
  <si>
    <t xml:space="preserve"> 59.00</t>
  </si>
  <si>
    <t xml:space="preserve"> 94.00</t>
  </si>
  <si>
    <t xml:space="preserve"> 43.75</t>
  </si>
  <si>
    <t xml:space="preserve"> 49.00</t>
  </si>
  <si>
    <t xml:space="preserve"> 130.00</t>
  </si>
  <si>
    <t xml:space="preserve"> 142.00</t>
  </si>
  <si>
    <t xml:space="preserve"> 79.00</t>
  </si>
  <si>
    <t xml:space="preserve"> 39.00</t>
  </si>
  <si>
    <t xml:space="preserve"> 31.50</t>
  </si>
  <si>
    <t xml:space="preserve"> 61.50</t>
  </si>
  <si>
    <t xml:space="preserve"> 58.50</t>
  </si>
  <si>
    <t xml:space="preserve"> 57.00</t>
  </si>
  <si>
    <t xml:space="preserve"> 23.00</t>
  </si>
  <si>
    <t xml:space="preserve"> 4.00</t>
  </si>
  <si>
    <t xml:space="preserve"> 4.75</t>
  </si>
  <si>
    <t xml:space="preserve"> 17.00</t>
  </si>
  <si>
    <t xml:space="preserve"> 16.50</t>
  </si>
  <si>
    <t xml:space="preserve"> 44.17</t>
  </si>
  <si>
    <t xml:space="preserve"> 45.71</t>
  </si>
  <si>
    <t xml:space="preserve"> 58.75</t>
  </si>
  <si>
    <t xml:space="preserve"> 33.33</t>
  </si>
  <si>
    <t xml:space="preserve"> 92.00</t>
  </si>
  <si>
    <t xml:space="preserve"> 43.00</t>
  </si>
  <si>
    <t xml:space="preserve"> 46.43</t>
  </si>
  <si>
    <t xml:space="preserve"> 50.71</t>
  </si>
  <si>
    <t xml:space="preserve"> 96.00</t>
  </si>
  <si>
    <t xml:space="preserve"> 67.00</t>
  </si>
  <si>
    <t xml:space="preserve"> 62.00</t>
  </si>
  <si>
    <t xml:space="preserve"> 30.20</t>
  </si>
  <si>
    <t xml:space="preserve"> 30.25</t>
  </si>
  <si>
    <t xml:space="preserve"> 21.20</t>
  </si>
  <si>
    <t xml:space="preserve"> 57.60</t>
  </si>
  <si>
    <t xml:space="preserve"> 37.20</t>
  </si>
  <si>
    <t xml:space="preserve"> 51.60</t>
  </si>
  <si>
    <t xml:space="preserve"> 4.80</t>
  </si>
  <si>
    <t xml:space="preserve"> 16.00</t>
  </si>
  <si>
    <t xml:space="preserve"> 71.67</t>
  </si>
  <si>
    <t xml:space="preserve"> 85.00</t>
  </si>
  <si>
    <t xml:space="preserve"> 46.00</t>
  </si>
  <si>
    <t xml:space="preserve"> 46.50</t>
  </si>
  <si>
    <t xml:space="preserve"> 28.33</t>
  </si>
  <si>
    <t xml:space="preserve"> 71.33</t>
  </si>
  <si>
    <t xml:space="preserve"> 20.50</t>
  </si>
  <si>
    <t xml:space="preserve"> 76.00</t>
  </si>
  <si>
    <t xml:space="preserve"> 58.67</t>
  </si>
  <si>
    <t xml:space="preserve"> 15.75</t>
  </si>
  <si>
    <t xml:space="preserve"> 60.83</t>
  </si>
  <si>
    <t xml:space="preserve"> 48.33</t>
  </si>
  <si>
    <t xml:space="preserve"> 50.83</t>
  </si>
  <si>
    <t xml:space="preserve"> 43.33</t>
  </si>
  <si>
    <t xml:space="preserve"> 82.50</t>
  </si>
  <si>
    <t xml:space="preserve"> 51.25</t>
  </si>
  <si>
    <t xml:space="preserve"> 140.00</t>
  </si>
  <si>
    <t xml:space="preserve"> 116.67</t>
  </si>
  <si>
    <t xml:space="preserve"> 138.00</t>
  </si>
  <si>
    <t xml:space="preserve"> 81.00</t>
  </si>
  <si>
    <t xml:space="preserve"> 46.80</t>
  </si>
  <si>
    <t xml:space="preserve"> 69.60</t>
  </si>
  <si>
    <t xml:space="preserve"> 82.00</t>
  </si>
  <si>
    <t xml:space="preserve"> 29.00</t>
  </si>
  <si>
    <t xml:space="preserve"> 68.50</t>
  </si>
  <si>
    <t xml:space="preserve"> 71.00</t>
  </si>
  <si>
    <t xml:space="preserve"> 35.60</t>
  </si>
  <si>
    <t xml:space="preserve"> 55.20</t>
  </si>
  <si>
    <t xml:space="preserve"> 19.20</t>
  </si>
  <si>
    <t xml:space="preserve"> 61.67</t>
  </si>
  <si>
    <t xml:space="preserve"> 83.75</t>
  </si>
  <si>
    <t xml:space="preserve"> 106.25</t>
  </si>
  <si>
    <t xml:space="preserve"> 166.67</t>
  </si>
  <si>
    <t xml:space="preserve"> 87.00</t>
  </si>
  <si>
    <t xml:space="preserve"> 45.60</t>
  </si>
  <si>
    <t xml:space="preserve"> 31.40</t>
  </si>
  <si>
    <t xml:space="preserve"> 31.75</t>
  </si>
  <si>
    <t xml:space="preserve"> 67.20</t>
  </si>
  <si>
    <t xml:space="preserve"> 26.40</t>
  </si>
  <si>
    <t xml:space="preserve"> 62.40</t>
  </si>
  <si>
    <t xml:space="preserve"> 60.50</t>
  </si>
  <si>
    <t xml:space="preserve"> 28.00</t>
  </si>
  <si>
    <t xml:space="preserve"> 97.50</t>
  </si>
  <si>
    <t xml:space="preserve"> 72.50</t>
  </si>
  <si>
    <t xml:space="preserve"> 66.67</t>
  </si>
  <si>
    <t xml:space="preserve"> 36.25</t>
  </si>
  <si>
    <t xml:space="preserve"> 88.75</t>
  </si>
  <si>
    <t xml:space="preserve"> 91.50</t>
  </si>
  <si>
    <t xml:space="preserve"> 49.20</t>
  </si>
  <si>
    <t xml:space="preserve"> 31.60</t>
  </si>
  <si>
    <t xml:space="preserve"> 27.60</t>
  </si>
  <si>
    <t xml:space="preserve"> 86.40</t>
  </si>
  <si>
    <t xml:space="preserve"> 24.40</t>
  </si>
  <si>
    <t xml:space="preserve"> 95.50</t>
  </si>
  <si>
    <t xml:space="preserve"> 56.75</t>
  </si>
  <si>
    <t xml:space="preserve"> 41.60</t>
  </si>
  <si>
    <t xml:space="preserve"> 55.50</t>
  </si>
  <si>
    <t xml:space="preserve"> 101.67</t>
  </si>
  <si>
    <t xml:space="preserve"> 88.00</t>
  </si>
  <si>
    <t xml:space="preserve"> 46.75</t>
  </si>
  <si>
    <t xml:space="preserve"> 43.50</t>
  </si>
  <si>
    <t xml:space="preserve"> 30.50</t>
  </si>
  <si>
    <t xml:space="preserve"> 27.00</t>
  </si>
  <si>
    <t xml:space="preserve"> 25.75</t>
  </si>
  <si>
    <t xml:space="preserve"> 67.67</t>
  </si>
  <si>
    <t xml:space="preserve"> 28.75</t>
  </si>
  <si>
    <t xml:space="preserve"> 53.75</t>
  </si>
  <si>
    <t xml:space="preserve"> 96.25</t>
  </si>
  <si>
    <t xml:space="preserve"> 76.25</t>
  </si>
  <si>
    <t xml:space="preserve"> 48.25</t>
  </si>
  <si>
    <t xml:space="preserve"> 64.50</t>
  </si>
  <si>
    <t xml:space="preserve"> 93.00</t>
  </si>
  <si>
    <t xml:space="preserve"> 76.50</t>
  </si>
  <si>
    <t xml:space="preserve"> 73.50</t>
  </si>
  <si>
    <t xml:space="preserve"> 30.75</t>
  </si>
  <si>
    <t xml:space="preserve"> 86.25</t>
  </si>
  <si>
    <t xml:space="preserve"> 87.50</t>
  </si>
  <si>
    <t xml:space="preserve"> 115.00</t>
  </si>
  <si>
    <t xml:space="preserve"> 31.00</t>
  </si>
  <si>
    <t xml:space="preserve"> 144.00</t>
  </si>
  <si>
    <t xml:space="preserve"> 104.00</t>
  </si>
  <si>
    <t xml:space="preserve"> 108.00</t>
  </si>
  <si>
    <t xml:space="preserve"> 98.00</t>
  </si>
  <si>
    <t xml:space="preserve"> 102.00</t>
  </si>
  <si>
    <t xml:space="preserve"> 32.33</t>
  </si>
  <si>
    <t xml:space="preserve"> 73.33</t>
  </si>
  <si>
    <t xml:space="preserve"> 37.50</t>
  </si>
  <si>
    <t xml:space="preserve"> 107.50</t>
  </si>
  <si>
    <t xml:space="preserve"> 250.00</t>
  </si>
  <si>
    <t xml:space="preserve"> 62.33</t>
  </si>
  <si>
    <t xml:space="preserve"> 44.50</t>
  </si>
  <si>
    <t xml:space="preserve"> 81.67</t>
  </si>
  <si>
    <t xml:space="preserve"> 38.75</t>
  </si>
  <si>
    <t xml:space="preserve"> 78.75</t>
  </si>
  <si>
    <t xml:space="preserve"> 99.67</t>
  </si>
  <si>
    <t xml:space="preserve"> 95.33</t>
  </si>
  <si>
    <t xml:space="preserve"> 32.67</t>
  </si>
  <si>
    <t xml:space="preserve"> 32.00</t>
  </si>
  <si>
    <t xml:space="preserve"> 111.00</t>
  </si>
  <si>
    <t xml:space="preserve"> 86.00</t>
  </si>
  <si>
    <t xml:space="preserve"> 84.67</t>
  </si>
  <si>
    <t xml:space="preserve"> 60.33</t>
  </si>
  <si>
    <t xml:space="preserve"> 36.67</t>
  </si>
  <si>
    <t xml:space="preserve"> 63.75</t>
  </si>
  <si>
    <t xml:space="preserve"> 89.00</t>
  </si>
  <si>
    <t xml:space="preserve"> 122.50</t>
  </si>
  <si>
    <t xml:space="preserve"> 125.00</t>
  </si>
  <si>
    <t xml:space="preserve"> 56.67</t>
  </si>
  <si>
    <t xml:space="preserve"> 77.00</t>
  </si>
  <si>
    <t xml:space="preserve"> 106.00</t>
  </si>
  <si>
    <t xml:space="preserve"> 99.00</t>
  </si>
  <si>
    <t xml:space="preserve"> 66.33</t>
  </si>
  <si>
    <t xml:space="preserve"> 5.50</t>
  </si>
  <si>
    <t xml:space="preserve"> 5.17</t>
  </si>
  <si>
    <t xml:space="preserve"> 92.50</t>
  </si>
  <si>
    <t xml:space="preserve"> 68.33</t>
  </si>
  <si>
    <t xml:space="preserve"> 97.00</t>
  </si>
  <si>
    <t xml:space="preserve"> 114.00</t>
  </si>
  <si>
    <t xml:space="preserve"> 38.00</t>
  </si>
  <si>
    <t xml:space="preserve"> 42.67</t>
  </si>
  <si>
    <t xml:space="preserve"> 146.67</t>
  </si>
  <si>
    <t xml:space="preserve"> 156.67</t>
  </si>
  <si>
    <t xml:space="preserve"> 50.25</t>
  </si>
  <si>
    <t xml:space="preserve"> 168.00</t>
  </si>
  <si>
    <t xml:space="preserve"> 93.50</t>
  </si>
  <si>
    <t xml:space="preserve"> 106.67</t>
  </si>
  <si>
    <t xml:space="preserve"> 53.50</t>
  </si>
  <si>
    <t xml:space="preserve"> 6.00</t>
  </si>
  <si>
    <t xml:space="preserve"> 5.25</t>
  </si>
  <si>
    <t xml:space="preserve"> 86.67</t>
  </si>
  <si>
    <t xml:space="preserve"> 93.75</t>
  </si>
  <si>
    <t xml:space="preserve"> 135.00</t>
  </si>
  <si>
    <t xml:space="preserve"> 152.50</t>
  </si>
  <si>
    <t xml:space="preserve"> 60.67</t>
  </si>
  <si>
    <t xml:space="preserve"> 5.33</t>
  </si>
  <si>
    <t xml:space="preserve"> 41.67</t>
  </si>
  <si>
    <t xml:space="preserve"> 170.00</t>
  </si>
  <si>
    <t xml:space="preserve"> 126.67</t>
  </si>
  <si>
    <t xml:space="preserve"> 67.33</t>
  </si>
  <si>
    <t xml:space="preserve"> 29.67</t>
  </si>
  <si>
    <t xml:space="preserve"> 104.67</t>
  </si>
  <si>
    <t xml:space="preserve"> 73.00</t>
  </si>
  <si>
    <t xml:space="preserve"> 58.33</t>
  </si>
  <si>
    <t xml:space="preserve"> 52.33</t>
  </si>
  <si>
    <t xml:space="preserve"> 46.67</t>
  </si>
  <si>
    <t xml:space="preserve"> 143.33</t>
  </si>
  <si>
    <t xml:space="preserve"> 190.00</t>
  </si>
  <si>
    <t>&gt;MAX</t>
  </si>
  <si>
    <t>&gt;MED</t>
  </si>
  <si>
    <t>GRUPO C - Hortaliças Legumes</t>
  </si>
  <si>
    <t>observações</t>
  </si>
  <si>
    <t>minimo e maximo invertidos</t>
  </si>
  <si>
    <t>MAX &lt;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</si>
</sst>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dd/mm/yy"/>
    <numFmt numFmtId="165" formatCode="&quot;R$ &quot;#,##0.00"/>
    <numFmt numFmtId="166" formatCode="[$R$-416]\ #,##0.00;[Red]\-[$R$-416]\ #,##0.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FFFFFF"/>
      </patternFill>
    </fill>
    <fill>
      <patternFill patternType="solid">
        <fgColor rgb="FFFFFFFF"/>
        <bgColor rgb="FFECF0F1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165" fontId="0" fillId="0" borderId="0" xfId="0" applyNumberFormat="1"/>
    <xf numFmtId="0" fontId="3" fillId="0" borderId="0" xfId="0" applyFont="1"/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165" fontId="0" fillId="3" borderId="0" xfId="0" applyNumberFormat="1" applyFill="1" applyAlignment="1">
      <alignment horizontal="right"/>
    </xf>
    <xf numFmtId="8" fontId="0" fillId="0" borderId="0" xfId="0" applyNumberFormat="1"/>
    <xf numFmtId="14" fontId="0" fillId="0" borderId="0" xfId="0" applyNumberFormat="1"/>
    <xf numFmtId="3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wrapText="1"/>
    </xf>
    <xf numFmtId="14" fontId="4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8" fontId="4" fillId="0" borderId="3" xfId="0" applyNumberFormat="1" applyFont="1" applyBorder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71"/>
  <sheetViews>
    <sheetView zoomScaleNormal="100" workbookViewId="0">
      <pane ySplit="1" topLeftCell="A774" activePane="bottomLeft" state="frozen"/>
      <selection pane="bottomLeft" activeCell="M1" sqref="M1"/>
    </sheetView>
  </sheetViews>
  <sheetFormatPr defaultColWidth="32.44140625" defaultRowHeight="14.4" x14ac:dyDescent="0.3"/>
  <cols>
    <col min="1" max="1" width="8" customWidth="1"/>
    <col min="2" max="2" width="7.88671875" customWidth="1"/>
    <col min="3" max="3" width="10.33203125" customWidth="1"/>
    <col min="4" max="4" width="31.88671875" customWidth="1"/>
    <col min="5" max="5" width="19.88671875" customWidth="1"/>
    <col min="6" max="6" width="10.77734375" customWidth="1"/>
    <col min="7" max="8" width="9" customWidth="1"/>
    <col min="9" max="9" width="12.33203125" bestFit="1" customWidth="1"/>
    <col min="10" max="10" width="9.33203125" customWidth="1"/>
    <col min="11" max="11" width="12.88671875" bestFit="1" customWidth="1"/>
    <col min="12" max="12" width="5.44140625" customWidth="1"/>
    <col min="13" max="13" width="10.44140625" bestFit="1" customWidth="1"/>
    <col min="14" max="14" width="10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3" t="s">
        <v>737</v>
      </c>
      <c r="M1" s="23" t="s">
        <v>738</v>
      </c>
      <c r="N1" s="23" t="s">
        <v>742</v>
      </c>
      <c r="O1" s="23" t="s">
        <v>740</v>
      </c>
    </row>
    <row r="2" spans="1:15" ht="28.8" x14ac:dyDescent="0.3">
      <c r="A2">
        <v>37</v>
      </c>
      <c r="B2">
        <v>2023</v>
      </c>
      <c r="C2" s="2">
        <v>44931</v>
      </c>
      <c r="D2" s="3" t="s">
        <v>11</v>
      </c>
      <c r="E2" s="4" t="s">
        <v>12</v>
      </c>
      <c r="F2" s="4" t="s">
        <v>13</v>
      </c>
      <c r="G2" s="5"/>
      <c r="H2" s="6">
        <v>32</v>
      </c>
      <c r="I2" s="6">
        <v>32</v>
      </c>
      <c r="J2" s="6">
        <v>32</v>
      </c>
      <c r="K2" s="6">
        <v>32</v>
      </c>
      <c r="L2" t="str">
        <f>IF(H2&gt;I2,"ERRO","OK")</f>
        <v>OK</v>
      </c>
      <c r="M2" t="str">
        <f>IF(H2&gt;J2,"ERRO","OK")</f>
        <v>OK</v>
      </c>
      <c r="N2" t="str">
        <f>IF(I2&lt;J2,"ERRO","OK")</f>
        <v>OK</v>
      </c>
    </row>
    <row r="3" spans="1:15" ht="28.8" x14ac:dyDescent="0.3">
      <c r="A3">
        <v>37</v>
      </c>
      <c r="B3">
        <v>2023</v>
      </c>
      <c r="C3" s="2">
        <v>44931</v>
      </c>
      <c r="D3" s="7" t="s">
        <v>11</v>
      </c>
      <c r="E3" s="8" t="s">
        <v>14</v>
      </c>
      <c r="F3" s="8" t="s">
        <v>13</v>
      </c>
      <c r="G3" s="9"/>
      <c r="H3" s="10">
        <v>60</v>
      </c>
      <c r="I3" s="10">
        <v>60</v>
      </c>
      <c r="J3" s="10">
        <v>60</v>
      </c>
      <c r="K3" s="10">
        <v>60</v>
      </c>
      <c r="L3" t="str">
        <f t="shared" ref="L3:L66" si="0">IF(H3&gt;I3,"ERRO","OK")</f>
        <v>OK</v>
      </c>
      <c r="M3" t="str">
        <f t="shared" ref="M3:M66" si="1">IF(H3&gt;J3,"ERRO","OK")</f>
        <v>OK</v>
      </c>
      <c r="N3" t="str">
        <f t="shared" ref="N3:N66" si="2">IF(I3&lt;J3,"ERRO","OK")</f>
        <v>OK</v>
      </c>
    </row>
    <row r="4" spans="1:15" ht="28.8" x14ac:dyDescent="0.3">
      <c r="A4">
        <v>37</v>
      </c>
      <c r="B4">
        <v>2023</v>
      </c>
      <c r="C4" s="2">
        <v>44931</v>
      </c>
      <c r="D4" s="3" t="s">
        <v>11</v>
      </c>
      <c r="E4" s="4" t="s">
        <v>15</v>
      </c>
      <c r="F4" s="4" t="s">
        <v>13</v>
      </c>
      <c r="G4" s="5"/>
      <c r="H4" s="6">
        <v>24</v>
      </c>
      <c r="I4" s="6">
        <v>36</v>
      </c>
      <c r="J4" s="6">
        <v>30</v>
      </c>
      <c r="K4" s="6">
        <v>30</v>
      </c>
      <c r="L4" t="str">
        <f t="shared" si="0"/>
        <v>OK</v>
      </c>
      <c r="M4" t="str">
        <f t="shared" si="1"/>
        <v>OK</v>
      </c>
      <c r="N4" t="str">
        <f t="shared" si="2"/>
        <v>OK</v>
      </c>
    </row>
    <row r="5" spans="1:15" ht="28.8" x14ac:dyDescent="0.3">
      <c r="A5">
        <v>37</v>
      </c>
      <c r="B5">
        <v>2023</v>
      </c>
      <c r="C5" s="2">
        <v>44931</v>
      </c>
      <c r="D5" s="7" t="s">
        <v>11</v>
      </c>
      <c r="E5" s="8" t="s">
        <v>16</v>
      </c>
      <c r="F5" s="8" t="s">
        <v>13</v>
      </c>
      <c r="G5" s="9"/>
      <c r="H5" s="10">
        <v>18</v>
      </c>
      <c r="I5" s="10">
        <v>30</v>
      </c>
      <c r="J5" s="10">
        <v>24</v>
      </c>
      <c r="K5" s="10">
        <v>24</v>
      </c>
      <c r="L5" t="str">
        <f t="shared" si="0"/>
        <v>OK</v>
      </c>
      <c r="M5" t="str">
        <f t="shared" si="1"/>
        <v>OK</v>
      </c>
      <c r="N5" t="str">
        <f t="shared" si="2"/>
        <v>OK</v>
      </c>
    </row>
    <row r="6" spans="1:15" ht="28.8" x14ac:dyDescent="0.3">
      <c r="A6">
        <v>37</v>
      </c>
      <c r="B6">
        <v>2023</v>
      </c>
      <c r="C6" s="2">
        <v>44931</v>
      </c>
      <c r="D6" s="3" t="s">
        <v>11</v>
      </c>
      <c r="E6" s="4" t="s">
        <v>17</v>
      </c>
      <c r="F6" s="4" t="s">
        <v>13</v>
      </c>
      <c r="G6" s="5"/>
      <c r="H6" s="6">
        <v>18</v>
      </c>
      <c r="I6" s="6">
        <v>30</v>
      </c>
      <c r="J6" s="6">
        <v>24</v>
      </c>
      <c r="K6" s="6">
        <v>24</v>
      </c>
      <c r="L6" t="str">
        <f t="shared" si="0"/>
        <v>OK</v>
      </c>
      <c r="M6" t="str">
        <f t="shared" si="1"/>
        <v>OK</v>
      </c>
      <c r="N6" t="str">
        <f t="shared" si="2"/>
        <v>OK</v>
      </c>
    </row>
    <row r="7" spans="1:15" ht="28.8" x14ac:dyDescent="0.3">
      <c r="A7">
        <v>37</v>
      </c>
      <c r="B7">
        <v>2023</v>
      </c>
      <c r="C7" s="2">
        <v>44931</v>
      </c>
      <c r="D7" s="7" t="s">
        <v>11</v>
      </c>
      <c r="E7" s="8" t="s">
        <v>18</v>
      </c>
      <c r="F7" s="8" t="s">
        <v>13</v>
      </c>
      <c r="G7" s="9"/>
      <c r="H7" s="10">
        <v>48</v>
      </c>
      <c r="I7" s="10">
        <v>48</v>
      </c>
      <c r="J7" s="10">
        <v>48</v>
      </c>
      <c r="K7" s="10">
        <v>48</v>
      </c>
      <c r="L7" t="str">
        <f t="shared" si="0"/>
        <v>OK</v>
      </c>
      <c r="M7" t="str">
        <f t="shared" si="1"/>
        <v>OK</v>
      </c>
      <c r="N7" t="str">
        <f t="shared" si="2"/>
        <v>OK</v>
      </c>
    </row>
    <row r="8" spans="1:15" ht="28.8" x14ac:dyDescent="0.3">
      <c r="A8">
        <v>37</v>
      </c>
      <c r="B8">
        <v>2023</v>
      </c>
      <c r="C8" s="2">
        <v>44931</v>
      </c>
      <c r="D8" s="3" t="s">
        <v>11</v>
      </c>
      <c r="E8" s="4" t="s">
        <v>19</v>
      </c>
      <c r="F8" s="4" t="s">
        <v>13</v>
      </c>
      <c r="G8" s="5"/>
      <c r="H8" s="6">
        <v>60</v>
      </c>
      <c r="I8" s="6">
        <v>60</v>
      </c>
      <c r="J8" s="6">
        <v>60</v>
      </c>
      <c r="K8" s="6">
        <v>60</v>
      </c>
      <c r="L8" t="str">
        <f t="shared" si="0"/>
        <v>OK</v>
      </c>
      <c r="M8" t="str">
        <f t="shared" si="1"/>
        <v>OK</v>
      </c>
      <c r="N8" t="str">
        <f t="shared" si="2"/>
        <v>OK</v>
      </c>
    </row>
    <row r="9" spans="1:15" ht="28.8" x14ac:dyDescent="0.3">
      <c r="A9">
        <v>37</v>
      </c>
      <c r="B9">
        <v>2023</v>
      </c>
      <c r="C9" s="2">
        <v>44931</v>
      </c>
      <c r="D9" s="7" t="s">
        <v>11</v>
      </c>
      <c r="E9" s="8" t="s">
        <v>20</v>
      </c>
      <c r="F9" s="8" t="s">
        <v>13</v>
      </c>
      <c r="G9" s="10">
        <v>48</v>
      </c>
      <c r="H9" s="10">
        <v>48</v>
      </c>
      <c r="I9" s="10">
        <v>60</v>
      </c>
      <c r="J9" s="10">
        <v>52</v>
      </c>
      <c r="K9" s="10">
        <v>48</v>
      </c>
      <c r="L9" t="str">
        <f t="shared" si="0"/>
        <v>OK</v>
      </c>
      <c r="M9" t="str">
        <f t="shared" si="1"/>
        <v>OK</v>
      </c>
      <c r="N9" t="str">
        <f t="shared" si="2"/>
        <v>OK</v>
      </c>
    </row>
    <row r="10" spans="1:15" ht="28.8" x14ac:dyDescent="0.3">
      <c r="A10">
        <v>37</v>
      </c>
      <c r="B10">
        <v>2023</v>
      </c>
      <c r="C10" s="2">
        <v>44931</v>
      </c>
      <c r="D10" s="3" t="s">
        <v>11</v>
      </c>
      <c r="E10" s="4" t="s">
        <v>21</v>
      </c>
      <c r="F10" s="4" t="s">
        <v>13</v>
      </c>
      <c r="G10" s="6">
        <v>15</v>
      </c>
      <c r="H10" s="6">
        <v>15</v>
      </c>
      <c r="I10" s="6">
        <v>24</v>
      </c>
      <c r="J10" s="6">
        <v>18</v>
      </c>
      <c r="K10" s="6">
        <v>15</v>
      </c>
      <c r="L10" t="str">
        <f t="shared" si="0"/>
        <v>OK</v>
      </c>
      <c r="M10" t="str">
        <f t="shared" si="1"/>
        <v>OK</v>
      </c>
      <c r="N10" t="str">
        <f t="shared" si="2"/>
        <v>OK</v>
      </c>
    </row>
    <row r="11" spans="1:15" ht="28.8" x14ac:dyDescent="0.3">
      <c r="A11">
        <v>37</v>
      </c>
      <c r="B11">
        <v>2023</v>
      </c>
      <c r="C11" s="2">
        <v>44931</v>
      </c>
      <c r="D11" s="7" t="s">
        <v>11</v>
      </c>
      <c r="E11" s="8" t="s">
        <v>22</v>
      </c>
      <c r="F11" s="8"/>
      <c r="G11" s="9"/>
      <c r="H11" s="10">
        <v>60</v>
      </c>
      <c r="I11" s="10">
        <v>60</v>
      </c>
      <c r="J11" s="10">
        <v>60</v>
      </c>
      <c r="K11" s="10">
        <v>60</v>
      </c>
      <c r="L11" t="str">
        <f t="shared" si="0"/>
        <v>OK</v>
      </c>
      <c r="M11" t="str">
        <f t="shared" si="1"/>
        <v>OK</v>
      </c>
      <c r="N11" t="str">
        <f t="shared" si="2"/>
        <v>OK</v>
      </c>
    </row>
    <row r="12" spans="1:15" ht="28.8" x14ac:dyDescent="0.3">
      <c r="A12">
        <v>37</v>
      </c>
      <c r="B12">
        <v>2023</v>
      </c>
      <c r="C12" s="2">
        <v>44931</v>
      </c>
      <c r="D12" s="3" t="s">
        <v>11</v>
      </c>
      <c r="E12" s="4" t="s">
        <v>23</v>
      </c>
      <c r="F12" s="4" t="s">
        <v>13</v>
      </c>
      <c r="G12" s="5"/>
      <c r="H12" s="6">
        <v>18</v>
      </c>
      <c r="I12" s="6">
        <v>30</v>
      </c>
      <c r="J12" s="6">
        <v>24</v>
      </c>
      <c r="K12" s="6">
        <v>24</v>
      </c>
      <c r="L12" t="str">
        <f t="shared" si="0"/>
        <v>OK</v>
      </c>
      <c r="M12" t="str">
        <f t="shared" si="1"/>
        <v>OK</v>
      </c>
      <c r="N12" t="str">
        <f t="shared" si="2"/>
        <v>OK</v>
      </c>
    </row>
    <row r="13" spans="1:15" ht="28.8" x14ac:dyDescent="0.3">
      <c r="A13">
        <v>37</v>
      </c>
      <c r="B13">
        <v>2023</v>
      </c>
      <c r="C13" s="2">
        <v>44931</v>
      </c>
      <c r="D13" s="7" t="s">
        <v>11</v>
      </c>
      <c r="E13" s="8" t="s">
        <v>24</v>
      </c>
      <c r="F13" s="8" t="s">
        <v>13</v>
      </c>
      <c r="G13" s="9"/>
      <c r="H13" s="10">
        <v>42</v>
      </c>
      <c r="I13" s="10">
        <v>54</v>
      </c>
      <c r="J13" s="10">
        <v>48</v>
      </c>
      <c r="K13" s="10">
        <v>48</v>
      </c>
      <c r="L13" t="str">
        <f t="shared" si="0"/>
        <v>OK</v>
      </c>
      <c r="M13" t="str">
        <f t="shared" si="1"/>
        <v>OK</v>
      </c>
      <c r="N13" t="str">
        <f t="shared" si="2"/>
        <v>OK</v>
      </c>
    </row>
    <row r="14" spans="1:15" ht="28.8" x14ac:dyDescent="0.3">
      <c r="A14">
        <v>37</v>
      </c>
      <c r="B14">
        <v>2023</v>
      </c>
      <c r="C14" s="2">
        <v>44931</v>
      </c>
      <c r="D14" s="3" t="s">
        <v>11</v>
      </c>
      <c r="E14" s="4" t="s">
        <v>25</v>
      </c>
      <c r="F14" s="4" t="s">
        <v>26</v>
      </c>
      <c r="G14" s="5"/>
      <c r="H14" s="6">
        <v>36</v>
      </c>
      <c r="I14" s="6">
        <v>48</v>
      </c>
      <c r="J14" s="6">
        <v>42</v>
      </c>
      <c r="K14" s="6">
        <v>42</v>
      </c>
      <c r="L14" t="str">
        <f t="shared" si="0"/>
        <v>OK</v>
      </c>
      <c r="M14" t="str">
        <f t="shared" si="1"/>
        <v>OK</v>
      </c>
      <c r="N14" t="str">
        <f t="shared" si="2"/>
        <v>OK</v>
      </c>
    </row>
    <row r="15" spans="1:15" ht="28.8" x14ac:dyDescent="0.3">
      <c r="A15">
        <v>37</v>
      </c>
      <c r="B15">
        <v>2023</v>
      </c>
      <c r="C15" s="2">
        <v>44931</v>
      </c>
      <c r="D15" s="7" t="s">
        <v>11</v>
      </c>
      <c r="E15" s="8" t="s">
        <v>27</v>
      </c>
      <c r="F15" s="8" t="s">
        <v>13</v>
      </c>
      <c r="G15" s="9"/>
      <c r="H15" s="10">
        <v>60</v>
      </c>
      <c r="I15" s="10">
        <v>60</v>
      </c>
      <c r="J15" s="10">
        <v>60</v>
      </c>
      <c r="K15" s="10">
        <v>60</v>
      </c>
      <c r="L15" t="str">
        <f t="shared" si="0"/>
        <v>OK</v>
      </c>
      <c r="M15" t="str">
        <f t="shared" si="1"/>
        <v>OK</v>
      </c>
      <c r="N15" t="str">
        <f t="shared" si="2"/>
        <v>OK</v>
      </c>
    </row>
    <row r="16" spans="1:15" ht="28.8" x14ac:dyDescent="0.3">
      <c r="A16">
        <v>37</v>
      </c>
      <c r="B16">
        <v>2023</v>
      </c>
      <c r="C16" s="2">
        <v>44931</v>
      </c>
      <c r="D16" s="3" t="s">
        <v>11</v>
      </c>
      <c r="E16" s="4" t="s">
        <v>28</v>
      </c>
      <c r="F16" s="4" t="s">
        <v>13</v>
      </c>
      <c r="G16" s="5"/>
      <c r="H16" s="6">
        <v>24</v>
      </c>
      <c r="I16" s="6">
        <v>36</v>
      </c>
      <c r="J16" s="6">
        <v>30</v>
      </c>
      <c r="K16" s="6">
        <v>30</v>
      </c>
      <c r="L16" t="str">
        <f t="shared" si="0"/>
        <v>OK</v>
      </c>
      <c r="M16" t="str">
        <f t="shared" si="1"/>
        <v>OK</v>
      </c>
      <c r="N16" t="str">
        <f t="shared" si="2"/>
        <v>OK</v>
      </c>
    </row>
    <row r="17" spans="1:14" ht="28.8" x14ac:dyDescent="0.3">
      <c r="A17">
        <v>37</v>
      </c>
      <c r="B17">
        <v>2023</v>
      </c>
      <c r="C17" s="2">
        <v>44931</v>
      </c>
      <c r="D17" s="7" t="s">
        <v>11</v>
      </c>
      <c r="E17" s="8" t="s">
        <v>29</v>
      </c>
      <c r="F17" s="8" t="s">
        <v>13</v>
      </c>
      <c r="G17" s="10">
        <v>42</v>
      </c>
      <c r="H17" s="10">
        <v>36</v>
      </c>
      <c r="I17" s="10">
        <v>42</v>
      </c>
      <c r="J17" s="10">
        <v>40</v>
      </c>
      <c r="K17" s="10">
        <v>42</v>
      </c>
      <c r="L17" t="str">
        <f t="shared" si="0"/>
        <v>OK</v>
      </c>
      <c r="M17" t="str">
        <f t="shared" si="1"/>
        <v>OK</v>
      </c>
      <c r="N17" t="str">
        <f t="shared" si="2"/>
        <v>OK</v>
      </c>
    </row>
    <row r="18" spans="1:14" ht="28.8" x14ac:dyDescent="0.3">
      <c r="A18">
        <v>37</v>
      </c>
      <c r="B18">
        <v>2023</v>
      </c>
      <c r="C18" s="2">
        <v>44931</v>
      </c>
      <c r="D18" s="3" t="s">
        <v>30</v>
      </c>
      <c r="E18" s="4" t="s">
        <v>31</v>
      </c>
      <c r="F18" s="4" t="s">
        <v>32</v>
      </c>
      <c r="G18" s="6">
        <v>4</v>
      </c>
      <c r="H18" s="6">
        <v>3</v>
      </c>
      <c r="I18" s="6">
        <v>4</v>
      </c>
      <c r="J18" s="6" t="s">
        <v>33</v>
      </c>
      <c r="K18" s="6">
        <v>4</v>
      </c>
      <c r="L18" t="str">
        <f t="shared" si="0"/>
        <v>OK</v>
      </c>
      <c r="M18" t="str">
        <f t="shared" si="1"/>
        <v>OK</v>
      </c>
      <c r="N18" t="str">
        <f t="shared" si="2"/>
        <v>ERRO</v>
      </c>
    </row>
    <row r="19" spans="1:14" ht="28.8" x14ac:dyDescent="0.3">
      <c r="A19">
        <v>37</v>
      </c>
      <c r="B19">
        <v>2023</v>
      </c>
      <c r="C19" s="2">
        <v>44931</v>
      </c>
      <c r="D19" s="7" t="s">
        <v>30</v>
      </c>
      <c r="E19" s="8" t="s">
        <v>34</v>
      </c>
      <c r="F19" s="8" t="s">
        <v>35</v>
      </c>
      <c r="G19" s="10">
        <v>25</v>
      </c>
      <c r="H19" s="10">
        <v>25</v>
      </c>
      <c r="I19" s="10">
        <v>25</v>
      </c>
      <c r="J19" s="10">
        <v>25</v>
      </c>
      <c r="K19" s="10">
        <v>25</v>
      </c>
      <c r="L19" t="str">
        <f t="shared" si="0"/>
        <v>OK</v>
      </c>
      <c r="M19" t="str">
        <f t="shared" si="1"/>
        <v>OK</v>
      </c>
      <c r="N19" t="str">
        <f t="shared" si="2"/>
        <v>OK</v>
      </c>
    </row>
    <row r="20" spans="1:14" ht="28.8" x14ac:dyDescent="0.3">
      <c r="A20">
        <v>37</v>
      </c>
      <c r="B20">
        <v>2023</v>
      </c>
      <c r="C20" s="2">
        <v>44931</v>
      </c>
      <c r="D20" s="3" t="s">
        <v>30</v>
      </c>
      <c r="E20" s="4" t="s">
        <v>36</v>
      </c>
      <c r="F20" s="4" t="s">
        <v>35</v>
      </c>
      <c r="G20" s="6">
        <v>25</v>
      </c>
      <c r="H20" s="6">
        <v>20</v>
      </c>
      <c r="I20" s="6">
        <v>25</v>
      </c>
      <c r="J20" s="6" t="s">
        <v>37</v>
      </c>
      <c r="K20" s="6" t="s">
        <v>37</v>
      </c>
      <c r="L20" t="str">
        <f t="shared" si="0"/>
        <v>OK</v>
      </c>
      <c r="M20" t="str">
        <f t="shared" si="1"/>
        <v>OK</v>
      </c>
      <c r="N20" t="str">
        <f t="shared" si="2"/>
        <v>ERRO</v>
      </c>
    </row>
    <row r="21" spans="1:14" ht="43.2" x14ac:dyDescent="0.3">
      <c r="A21">
        <v>37</v>
      </c>
      <c r="B21">
        <v>2023</v>
      </c>
      <c r="C21" s="2">
        <v>44931</v>
      </c>
      <c r="D21" s="7" t="s">
        <v>38</v>
      </c>
      <c r="E21" s="8" t="s">
        <v>39</v>
      </c>
      <c r="F21" s="8" t="s">
        <v>40</v>
      </c>
      <c r="G21" s="10">
        <v>60</v>
      </c>
      <c r="H21" s="10">
        <v>50</v>
      </c>
      <c r="I21" s="10">
        <v>60</v>
      </c>
      <c r="J21" s="10" t="s">
        <v>41</v>
      </c>
      <c r="K21" s="10">
        <v>60</v>
      </c>
      <c r="L21" t="str">
        <f t="shared" si="0"/>
        <v>OK</v>
      </c>
      <c r="M21" t="str">
        <f t="shared" si="1"/>
        <v>OK</v>
      </c>
      <c r="N21" t="str">
        <f t="shared" si="2"/>
        <v>ERRO</v>
      </c>
    </row>
    <row r="22" spans="1:14" ht="43.2" x14ac:dyDescent="0.3">
      <c r="A22">
        <v>37</v>
      </c>
      <c r="B22">
        <v>2023</v>
      </c>
      <c r="C22" s="2">
        <v>44931</v>
      </c>
      <c r="D22" s="3" t="s">
        <v>38</v>
      </c>
      <c r="E22" s="4" t="s">
        <v>42</v>
      </c>
      <c r="F22" s="4" t="s">
        <v>43</v>
      </c>
      <c r="G22" s="6">
        <v>50</v>
      </c>
      <c r="H22" s="6">
        <v>50</v>
      </c>
      <c r="I22" s="6">
        <v>65</v>
      </c>
      <c r="J22" s="6">
        <v>55</v>
      </c>
      <c r="K22" s="6">
        <v>50</v>
      </c>
      <c r="L22" t="str">
        <f t="shared" si="0"/>
        <v>OK</v>
      </c>
      <c r="M22" t="str">
        <f t="shared" si="1"/>
        <v>OK</v>
      </c>
      <c r="N22" t="str">
        <f t="shared" si="2"/>
        <v>OK</v>
      </c>
    </row>
    <row r="23" spans="1:14" ht="43.2" x14ac:dyDescent="0.3">
      <c r="A23">
        <v>37</v>
      </c>
      <c r="B23">
        <v>2023</v>
      </c>
      <c r="C23" s="2">
        <v>44931</v>
      </c>
      <c r="D23" s="7" t="s">
        <v>38</v>
      </c>
      <c r="E23" s="8" t="s">
        <v>44</v>
      </c>
      <c r="F23" s="8" t="s">
        <v>45</v>
      </c>
      <c r="G23" s="10">
        <v>40</v>
      </c>
      <c r="H23" s="10">
        <v>40</v>
      </c>
      <c r="I23" s="10">
        <v>50</v>
      </c>
      <c r="J23" s="10" t="s">
        <v>46</v>
      </c>
      <c r="K23" s="10" t="s">
        <v>47</v>
      </c>
      <c r="L23" t="str">
        <f t="shared" si="0"/>
        <v>OK</v>
      </c>
      <c r="M23" t="str">
        <f t="shared" si="1"/>
        <v>OK</v>
      </c>
      <c r="N23" t="str">
        <f t="shared" si="2"/>
        <v>ERRO</v>
      </c>
    </row>
    <row r="24" spans="1:14" ht="43.2" x14ac:dyDescent="0.3">
      <c r="A24">
        <v>37</v>
      </c>
      <c r="B24">
        <v>2023</v>
      </c>
      <c r="C24" s="2">
        <v>44931</v>
      </c>
      <c r="D24" s="3" t="s">
        <v>38</v>
      </c>
      <c r="E24" s="4" t="s">
        <v>48</v>
      </c>
      <c r="F24" s="4" t="s">
        <v>45</v>
      </c>
      <c r="G24" s="5"/>
      <c r="H24" s="5"/>
      <c r="I24" s="5"/>
      <c r="J24" s="5"/>
      <c r="K24" s="5"/>
      <c r="L24" t="str">
        <f t="shared" si="0"/>
        <v>OK</v>
      </c>
      <c r="M24" t="str">
        <f t="shared" si="1"/>
        <v>OK</v>
      </c>
      <c r="N24" t="str">
        <f t="shared" si="2"/>
        <v>OK</v>
      </c>
    </row>
    <row r="25" spans="1:14" ht="43.2" x14ac:dyDescent="0.3">
      <c r="A25">
        <v>37</v>
      </c>
      <c r="B25">
        <v>2023</v>
      </c>
      <c r="C25" s="2">
        <v>44931</v>
      </c>
      <c r="D25" s="7" t="s">
        <v>38</v>
      </c>
      <c r="E25" s="8" t="s">
        <v>49</v>
      </c>
      <c r="F25" s="8" t="s">
        <v>50</v>
      </c>
      <c r="G25" s="9"/>
      <c r="H25" s="10">
        <v>48</v>
      </c>
      <c r="I25" s="10">
        <v>60</v>
      </c>
      <c r="J25" s="10" t="s">
        <v>51</v>
      </c>
      <c r="K25" s="10">
        <v>50</v>
      </c>
      <c r="L25" t="str">
        <f t="shared" si="0"/>
        <v>OK</v>
      </c>
      <c r="M25" t="str">
        <f t="shared" si="1"/>
        <v>OK</v>
      </c>
      <c r="N25" t="str">
        <f t="shared" si="2"/>
        <v>ERRO</v>
      </c>
    </row>
    <row r="26" spans="1:14" ht="43.2" x14ac:dyDescent="0.3">
      <c r="A26">
        <v>37</v>
      </c>
      <c r="B26">
        <v>2023</v>
      </c>
      <c r="C26" s="2">
        <v>44931</v>
      </c>
      <c r="D26" s="3" t="s">
        <v>38</v>
      </c>
      <c r="E26" s="4" t="s">
        <v>52</v>
      </c>
      <c r="F26" s="4" t="s">
        <v>43</v>
      </c>
      <c r="G26" s="6">
        <v>55</v>
      </c>
      <c r="H26" s="6">
        <v>50</v>
      </c>
      <c r="I26" s="6">
        <v>60</v>
      </c>
      <c r="J26" s="6">
        <v>55</v>
      </c>
      <c r="K26" s="6">
        <v>55</v>
      </c>
      <c r="L26" t="str">
        <f t="shared" si="0"/>
        <v>OK</v>
      </c>
      <c r="M26" t="str">
        <f t="shared" si="1"/>
        <v>OK</v>
      </c>
      <c r="N26" t="str">
        <f t="shared" si="2"/>
        <v>OK</v>
      </c>
    </row>
    <row r="27" spans="1:14" ht="43.2" x14ac:dyDescent="0.3">
      <c r="A27">
        <v>37</v>
      </c>
      <c r="B27">
        <v>2023</v>
      </c>
      <c r="C27" s="2">
        <v>44931</v>
      </c>
      <c r="D27" s="7" t="s">
        <v>38</v>
      </c>
      <c r="E27" s="8" t="s">
        <v>53</v>
      </c>
      <c r="F27" s="8" t="s">
        <v>43</v>
      </c>
      <c r="G27" s="10">
        <v>40</v>
      </c>
      <c r="H27" s="10">
        <v>30</v>
      </c>
      <c r="I27" s="10">
        <v>50</v>
      </c>
      <c r="J27" s="10">
        <v>40</v>
      </c>
      <c r="K27" s="10">
        <v>40</v>
      </c>
      <c r="L27" t="str">
        <f t="shared" si="0"/>
        <v>OK</v>
      </c>
      <c r="M27" t="str">
        <f t="shared" si="1"/>
        <v>OK</v>
      </c>
      <c r="N27" t="str">
        <f t="shared" si="2"/>
        <v>OK</v>
      </c>
    </row>
    <row r="28" spans="1:14" ht="43.2" x14ac:dyDescent="0.3">
      <c r="A28">
        <v>37</v>
      </c>
      <c r="B28">
        <v>2023</v>
      </c>
      <c r="C28" s="2">
        <v>44931</v>
      </c>
      <c r="D28" s="3" t="s">
        <v>38</v>
      </c>
      <c r="E28" s="4" t="s">
        <v>54</v>
      </c>
      <c r="F28" s="4" t="s">
        <v>40</v>
      </c>
      <c r="G28" s="6">
        <v>50</v>
      </c>
      <c r="H28" s="6">
        <v>50</v>
      </c>
      <c r="I28" s="6">
        <v>70</v>
      </c>
      <c r="J28" s="6" t="s">
        <v>55</v>
      </c>
      <c r="K28" s="6">
        <v>50</v>
      </c>
      <c r="L28" t="str">
        <f t="shared" si="0"/>
        <v>OK</v>
      </c>
      <c r="M28" t="str">
        <f t="shared" si="1"/>
        <v>OK</v>
      </c>
      <c r="N28" t="str">
        <f t="shared" si="2"/>
        <v>ERRO</v>
      </c>
    </row>
    <row r="29" spans="1:14" ht="43.2" x14ac:dyDescent="0.3">
      <c r="A29">
        <v>37</v>
      </c>
      <c r="B29">
        <v>2023</v>
      </c>
      <c r="C29" s="2">
        <v>44931</v>
      </c>
      <c r="D29" s="7" t="s">
        <v>38</v>
      </c>
      <c r="E29" s="8" t="s">
        <v>56</v>
      </c>
      <c r="F29" s="8" t="s">
        <v>43</v>
      </c>
      <c r="G29" s="9"/>
      <c r="H29" s="9"/>
      <c r="I29" s="9"/>
      <c r="J29" s="9"/>
      <c r="K29" s="9"/>
      <c r="L29" t="str">
        <f t="shared" si="0"/>
        <v>OK</v>
      </c>
      <c r="M29" t="str">
        <f t="shared" si="1"/>
        <v>OK</v>
      </c>
      <c r="N29" t="str">
        <f t="shared" si="2"/>
        <v>OK</v>
      </c>
    </row>
    <row r="30" spans="1:14" ht="43.2" x14ac:dyDescent="0.3">
      <c r="A30">
        <v>37</v>
      </c>
      <c r="B30">
        <v>2023</v>
      </c>
      <c r="C30" s="2">
        <v>44931</v>
      </c>
      <c r="D30" s="3" t="s">
        <v>38</v>
      </c>
      <c r="E30" s="4" t="s">
        <v>57</v>
      </c>
      <c r="F30" s="4" t="s">
        <v>40</v>
      </c>
      <c r="G30" s="6">
        <v>50</v>
      </c>
      <c r="H30" s="6">
        <v>40</v>
      </c>
      <c r="I30" s="6">
        <v>60</v>
      </c>
      <c r="J30" s="6">
        <v>50</v>
      </c>
      <c r="K30" s="6">
        <v>50</v>
      </c>
      <c r="L30" t="str">
        <f t="shared" si="0"/>
        <v>OK</v>
      </c>
      <c r="M30" t="str">
        <f t="shared" si="1"/>
        <v>OK</v>
      </c>
      <c r="N30" t="str">
        <f t="shared" si="2"/>
        <v>OK</v>
      </c>
    </row>
    <row r="31" spans="1:14" ht="43.2" x14ac:dyDescent="0.3">
      <c r="A31">
        <v>37</v>
      </c>
      <c r="B31">
        <v>2023</v>
      </c>
      <c r="C31" s="2">
        <v>44931</v>
      </c>
      <c r="D31" s="7" t="s">
        <v>38</v>
      </c>
      <c r="E31" s="8" t="s">
        <v>58</v>
      </c>
      <c r="F31" s="8" t="s">
        <v>40</v>
      </c>
      <c r="G31" s="10">
        <v>50</v>
      </c>
      <c r="H31" s="10">
        <v>50</v>
      </c>
      <c r="I31" s="10">
        <v>60</v>
      </c>
      <c r="J31" s="10">
        <v>55</v>
      </c>
      <c r="K31" s="10">
        <v>55</v>
      </c>
      <c r="L31" t="str">
        <f t="shared" si="0"/>
        <v>OK</v>
      </c>
      <c r="M31" t="str">
        <f t="shared" si="1"/>
        <v>OK</v>
      </c>
      <c r="N31" t="str">
        <f t="shared" si="2"/>
        <v>OK</v>
      </c>
    </row>
    <row r="32" spans="1:14" ht="43.2" x14ac:dyDescent="0.3">
      <c r="A32">
        <v>37</v>
      </c>
      <c r="B32">
        <v>2023</v>
      </c>
      <c r="C32" s="2">
        <v>44931</v>
      </c>
      <c r="D32" s="3" t="s">
        <v>38</v>
      </c>
      <c r="E32" s="4" t="s">
        <v>59</v>
      </c>
      <c r="F32" s="4" t="s">
        <v>45</v>
      </c>
      <c r="G32" s="5"/>
      <c r="H32" s="6">
        <v>30</v>
      </c>
      <c r="I32" s="6">
        <v>50</v>
      </c>
      <c r="J32" s="6">
        <v>40</v>
      </c>
      <c r="K32" s="6">
        <v>40</v>
      </c>
      <c r="L32" t="str">
        <f t="shared" si="0"/>
        <v>OK</v>
      </c>
      <c r="M32" t="str">
        <f t="shared" si="1"/>
        <v>OK</v>
      </c>
      <c r="N32" t="str">
        <f t="shared" si="2"/>
        <v>OK</v>
      </c>
    </row>
    <row r="33" spans="1:14" ht="43.2" x14ac:dyDescent="0.3">
      <c r="A33">
        <v>37</v>
      </c>
      <c r="B33">
        <v>2023</v>
      </c>
      <c r="C33" s="2">
        <v>44931</v>
      </c>
      <c r="D33" s="7" t="s">
        <v>38</v>
      </c>
      <c r="E33" s="8" t="s">
        <v>60</v>
      </c>
      <c r="F33" s="8" t="s">
        <v>61</v>
      </c>
      <c r="G33" s="10">
        <v>70</v>
      </c>
      <c r="H33" s="10">
        <v>60</v>
      </c>
      <c r="I33" s="10">
        <v>80</v>
      </c>
      <c r="J33" s="10" t="s">
        <v>62</v>
      </c>
      <c r="K33" s="10">
        <v>70</v>
      </c>
      <c r="L33" t="str">
        <f t="shared" si="0"/>
        <v>OK</v>
      </c>
      <c r="M33" t="str">
        <f t="shared" si="1"/>
        <v>OK</v>
      </c>
      <c r="N33" t="str">
        <f t="shared" si="2"/>
        <v>ERRO</v>
      </c>
    </row>
    <row r="34" spans="1:14" ht="43.2" x14ac:dyDescent="0.3">
      <c r="A34">
        <v>37</v>
      </c>
      <c r="B34">
        <v>2023</v>
      </c>
      <c r="C34" s="2">
        <v>44931</v>
      </c>
      <c r="D34" s="3" t="s">
        <v>38</v>
      </c>
      <c r="E34" s="4" t="s">
        <v>63</v>
      </c>
      <c r="F34" s="4" t="s">
        <v>40</v>
      </c>
      <c r="G34" s="6">
        <v>100</v>
      </c>
      <c r="H34" s="6">
        <v>90</v>
      </c>
      <c r="I34" s="6">
        <v>110</v>
      </c>
      <c r="J34" s="6">
        <v>100</v>
      </c>
      <c r="K34" s="6">
        <v>100</v>
      </c>
      <c r="L34" t="str">
        <f t="shared" si="0"/>
        <v>OK</v>
      </c>
      <c r="M34" t="str">
        <f t="shared" si="1"/>
        <v>OK</v>
      </c>
      <c r="N34" t="str">
        <f t="shared" si="2"/>
        <v>OK</v>
      </c>
    </row>
    <row r="35" spans="1:14" ht="43.2" x14ac:dyDescent="0.3">
      <c r="A35">
        <v>37</v>
      </c>
      <c r="B35">
        <v>2023</v>
      </c>
      <c r="C35" s="2">
        <v>44931</v>
      </c>
      <c r="D35" s="7" t="s">
        <v>38</v>
      </c>
      <c r="E35" s="8" t="s">
        <v>64</v>
      </c>
      <c r="F35" s="8" t="s">
        <v>40</v>
      </c>
      <c r="G35" s="10">
        <v>80</v>
      </c>
      <c r="H35" s="10">
        <v>70</v>
      </c>
      <c r="I35" s="10">
        <v>100</v>
      </c>
      <c r="J35" s="10">
        <v>83</v>
      </c>
      <c r="K35" s="10">
        <v>80</v>
      </c>
      <c r="L35" t="str">
        <f t="shared" si="0"/>
        <v>OK</v>
      </c>
      <c r="M35" t="str">
        <f t="shared" si="1"/>
        <v>OK</v>
      </c>
      <c r="N35" t="str">
        <f t="shared" si="2"/>
        <v>OK</v>
      </c>
    </row>
    <row r="36" spans="1:14" x14ac:dyDescent="0.3">
      <c r="A36">
        <v>37</v>
      </c>
      <c r="B36">
        <v>2023</v>
      </c>
      <c r="C36" s="2">
        <v>44931</v>
      </c>
      <c r="D36" s="3" t="s">
        <v>65</v>
      </c>
      <c r="E36" s="4" t="s">
        <v>66</v>
      </c>
      <c r="F36" s="4" t="s">
        <v>40</v>
      </c>
      <c r="G36" s="5"/>
      <c r="H36" s="5"/>
      <c r="I36" s="5"/>
      <c r="J36" s="5"/>
      <c r="K36" s="5"/>
      <c r="L36" t="str">
        <f t="shared" si="0"/>
        <v>OK</v>
      </c>
      <c r="M36" t="str">
        <f t="shared" si="1"/>
        <v>OK</v>
      </c>
      <c r="N36" t="str">
        <f t="shared" si="2"/>
        <v>OK</v>
      </c>
    </row>
    <row r="37" spans="1:14" x14ac:dyDescent="0.3">
      <c r="A37">
        <v>37</v>
      </c>
      <c r="B37">
        <v>2023</v>
      </c>
      <c r="C37" s="2">
        <v>44931</v>
      </c>
      <c r="D37" s="7" t="s">
        <v>65</v>
      </c>
      <c r="E37" s="8" t="s">
        <v>67</v>
      </c>
      <c r="F37" s="8" t="s">
        <v>40</v>
      </c>
      <c r="G37" s="9"/>
      <c r="H37" s="9"/>
      <c r="I37" s="9"/>
      <c r="J37" s="9"/>
      <c r="K37" s="9"/>
      <c r="L37" t="str">
        <f t="shared" si="0"/>
        <v>OK</v>
      </c>
      <c r="M37" t="str">
        <f t="shared" si="1"/>
        <v>OK</v>
      </c>
      <c r="N37" t="str">
        <f t="shared" si="2"/>
        <v>OK</v>
      </c>
    </row>
    <row r="38" spans="1:14" x14ac:dyDescent="0.3">
      <c r="A38">
        <v>37</v>
      </c>
      <c r="B38">
        <v>2023</v>
      </c>
      <c r="C38" s="2">
        <v>44931</v>
      </c>
      <c r="D38" s="3" t="s">
        <v>65</v>
      </c>
      <c r="E38" s="4" t="s">
        <v>68</v>
      </c>
      <c r="F38" s="4" t="s">
        <v>40</v>
      </c>
      <c r="G38" s="5"/>
      <c r="H38" s="5"/>
      <c r="I38" s="5"/>
      <c r="J38" s="5"/>
      <c r="K38" s="5"/>
      <c r="L38" t="str">
        <f t="shared" si="0"/>
        <v>OK</v>
      </c>
      <c r="M38" t="str">
        <f t="shared" si="1"/>
        <v>OK</v>
      </c>
      <c r="N38" t="str">
        <f t="shared" si="2"/>
        <v>OK</v>
      </c>
    </row>
    <row r="39" spans="1:14" x14ac:dyDescent="0.3">
      <c r="A39">
        <v>37</v>
      </c>
      <c r="B39">
        <v>2023</v>
      </c>
      <c r="C39" s="2">
        <v>44931</v>
      </c>
      <c r="D39" s="7" t="s">
        <v>65</v>
      </c>
      <c r="E39" s="8" t="s">
        <v>69</v>
      </c>
      <c r="F39" s="8" t="s">
        <v>45</v>
      </c>
      <c r="G39" s="9"/>
      <c r="H39" s="9"/>
      <c r="I39" s="9"/>
      <c r="J39" s="9"/>
      <c r="K39" s="9"/>
      <c r="L39" t="str">
        <f t="shared" si="0"/>
        <v>OK</v>
      </c>
      <c r="M39" t="str">
        <f t="shared" si="1"/>
        <v>OK</v>
      </c>
      <c r="N39" t="str">
        <f t="shared" si="2"/>
        <v>OK</v>
      </c>
    </row>
    <row r="40" spans="1:14" x14ac:dyDescent="0.3">
      <c r="A40">
        <v>37</v>
      </c>
      <c r="B40">
        <v>2023</v>
      </c>
      <c r="C40" s="2">
        <v>44931</v>
      </c>
      <c r="D40" s="3" t="s">
        <v>65</v>
      </c>
      <c r="E40" s="4" t="s">
        <v>70</v>
      </c>
      <c r="F40" s="4" t="s">
        <v>71</v>
      </c>
      <c r="G40" s="5"/>
      <c r="H40" s="5"/>
      <c r="I40" s="5"/>
      <c r="J40" s="5"/>
      <c r="K40" s="5"/>
      <c r="L40" t="str">
        <f t="shared" si="0"/>
        <v>OK</v>
      </c>
      <c r="M40" t="str">
        <f t="shared" si="1"/>
        <v>OK</v>
      </c>
      <c r="N40" t="str">
        <f t="shared" si="2"/>
        <v>OK</v>
      </c>
    </row>
    <row r="41" spans="1:14" ht="28.8" x14ac:dyDescent="0.3">
      <c r="A41">
        <v>38</v>
      </c>
      <c r="B41">
        <v>2023</v>
      </c>
      <c r="C41" s="2">
        <v>44938</v>
      </c>
      <c r="D41" s="3" t="s">
        <v>11</v>
      </c>
      <c r="E41" s="4" t="s">
        <v>12</v>
      </c>
      <c r="F41" s="4" t="s">
        <v>13</v>
      </c>
      <c r="G41" s="6">
        <v>42</v>
      </c>
      <c r="H41" s="6">
        <v>42</v>
      </c>
      <c r="I41" s="6">
        <v>42</v>
      </c>
      <c r="J41" s="6">
        <v>42</v>
      </c>
      <c r="K41" s="6">
        <v>42</v>
      </c>
      <c r="L41" t="str">
        <f t="shared" si="0"/>
        <v>OK</v>
      </c>
      <c r="M41" t="str">
        <f t="shared" si="1"/>
        <v>OK</v>
      </c>
      <c r="N41" t="str">
        <f t="shared" si="2"/>
        <v>OK</v>
      </c>
    </row>
    <row r="42" spans="1:14" ht="28.8" x14ac:dyDescent="0.3">
      <c r="A42">
        <v>38</v>
      </c>
      <c r="B42">
        <v>2023</v>
      </c>
      <c r="C42" s="2">
        <v>44938</v>
      </c>
      <c r="D42" s="7" t="s">
        <v>11</v>
      </c>
      <c r="E42" s="8" t="s">
        <v>14</v>
      </c>
      <c r="F42" s="8" t="s">
        <v>13</v>
      </c>
      <c r="G42" s="10">
        <v>60</v>
      </c>
      <c r="H42" s="10">
        <v>60</v>
      </c>
      <c r="I42" s="10">
        <v>60</v>
      </c>
      <c r="J42" s="10">
        <v>60</v>
      </c>
      <c r="K42" s="10">
        <v>60</v>
      </c>
      <c r="L42" t="str">
        <f t="shared" si="0"/>
        <v>OK</v>
      </c>
      <c r="M42" t="str">
        <f t="shared" si="1"/>
        <v>OK</v>
      </c>
      <c r="N42" t="str">
        <f t="shared" si="2"/>
        <v>OK</v>
      </c>
    </row>
    <row r="43" spans="1:14" ht="28.8" x14ac:dyDescent="0.3">
      <c r="A43">
        <v>38</v>
      </c>
      <c r="B43">
        <v>2023</v>
      </c>
      <c r="C43" s="2">
        <v>44938</v>
      </c>
      <c r="D43" s="3" t="s">
        <v>11</v>
      </c>
      <c r="E43" s="4" t="s">
        <v>15</v>
      </c>
      <c r="F43" s="4" t="s">
        <v>13</v>
      </c>
      <c r="G43" s="6">
        <v>30</v>
      </c>
      <c r="H43" s="6">
        <v>30</v>
      </c>
      <c r="I43" s="6">
        <v>36</v>
      </c>
      <c r="J43" s="6">
        <v>32</v>
      </c>
      <c r="K43" s="6">
        <v>30</v>
      </c>
      <c r="L43" t="str">
        <f t="shared" si="0"/>
        <v>OK</v>
      </c>
      <c r="M43" t="str">
        <f t="shared" si="1"/>
        <v>OK</v>
      </c>
      <c r="N43" t="str">
        <f t="shared" si="2"/>
        <v>OK</v>
      </c>
    </row>
    <row r="44" spans="1:14" ht="28.8" x14ac:dyDescent="0.3">
      <c r="A44">
        <v>38</v>
      </c>
      <c r="B44">
        <v>2023</v>
      </c>
      <c r="C44" s="2">
        <v>44938</v>
      </c>
      <c r="D44" s="7" t="s">
        <v>11</v>
      </c>
      <c r="E44" s="8" t="s">
        <v>16</v>
      </c>
      <c r="F44" s="8" t="s">
        <v>13</v>
      </c>
      <c r="G44" s="10">
        <v>24</v>
      </c>
      <c r="H44" s="10">
        <v>18</v>
      </c>
      <c r="I44" s="10">
        <v>24</v>
      </c>
      <c r="J44" s="10" t="s">
        <v>72</v>
      </c>
      <c r="K44" s="10">
        <v>22</v>
      </c>
      <c r="L44" t="str">
        <f t="shared" si="0"/>
        <v>OK</v>
      </c>
      <c r="M44" t="str">
        <f t="shared" si="1"/>
        <v>OK</v>
      </c>
      <c r="N44" t="str">
        <f t="shared" si="2"/>
        <v>ERRO</v>
      </c>
    </row>
    <row r="45" spans="1:14" ht="28.8" x14ac:dyDescent="0.3">
      <c r="A45">
        <v>38</v>
      </c>
      <c r="B45">
        <v>2023</v>
      </c>
      <c r="C45" s="2">
        <v>44938</v>
      </c>
      <c r="D45" s="3" t="s">
        <v>11</v>
      </c>
      <c r="E45" s="4" t="s">
        <v>17</v>
      </c>
      <c r="F45" s="4" t="s">
        <v>13</v>
      </c>
      <c r="G45" s="5"/>
      <c r="H45" s="6">
        <v>15</v>
      </c>
      <c r="I45" s="6">
        <v>24</v>
      </c>
      <c r="J45" s="6">
        <v>19</v>
      </c>
      <c r="K45" s="6">
        <v>18</v>
      </c>
      <c r="L45" t="str">
        <f t="shared" si="0"/>
        <v>OK</v>
      </c>
      <c r="M45" t="str">
        <f t="shared" si="1"/>
        <v>OK</v>
      </c>
      <c r="N45" t="str">
        <f t="shared" si="2"/>
        <v>OK</v>
      </c>
    </row>
    <row r="46" spans="1:14" ht="28.8" x14ac:dyDescent="0.3">
      <c r="A46">
        <v>38</v>
      </c>
      <c r="B46">
        <v>2023</v>
      </c>
      <c r="C46" s="2">
        <v>44938</v>
      </c>
      <c r="D46" s="7" t="s">
        <v>11</v>
      </c>
      <c r="E46" s="8" t="s">
        <v>18</v>
      </c>
      <c r="F46" s="8" t="s">
        <v>13</v>
      </c>
      <c r="G46" s="9"/>
      <c r="H46" s="10">
        <v>42</v>
      </c>
      <c r="I46" s="10">
        <v>48</v>
      </c>
      <c r="J46" s="10">
        <v>45</v>
      </c>
      <c r="K46" s="10">
        <v>45</v>
      </c>
      <c r="L46" t="str">
        <f t="shared" si="0"/>
        <v>OK</v>
      </c>
      <c r="M46" t="str">
        <f t="shared" si="1"/>
        <v>OK</v>
      </c>
      <c r="N46" t="str">
        <f t="shared" si="2"/>
        <v>OK</v>
      </c>
    </row>
    <row r="47" spans="1:14" ht="28.8" x14ac:dyDescent="0.3">
      <c r="A47">
        <v>38</v>
      </c>
      <c r="B47">
        <v>2023</v>
      </c>
      <c r="C47" s="2">
        <v>44938</v>
      </c>
      <c r="D47" s="3" t="s">
        <v>11</v>
      </c>
      <c r="E47" s="4" t="s">
        <v>19</v>
      </c>
      <c r="F47" s="4" t="s">
        <v>13</v>
      </c>
      <c r="G47" s="5"/>
      <c r="H47" s="6">
        <v>66</v>
      </c>
      <c r="I47" s="6">
        <v>72</v>
      </c>
      <c r="J47" s="6">
        <v>69</v>
      </c>
      <c r="K47" s="6">
        <v>69</v>
      </c>
      <c r="L47" t="str">
        <f t="shared" si="0"/>
        <v>OK</v>
      </c>
      <c r="M47" t="str">
        <f t="shared" si="1"/>
        <v>OK</v>
      </c>
      <c r="N47" t="str">
        <f t="shared" si="2"/>
        <v>OK</v>
      </c>
    </row>
    <row r="48" spans="1:14" ht="28.8" x14ac:dyDescent="0.3">
      <c r="A48">
        <v>38</v>
      </c>
      <c r="B48">
        <v>2023</v>
      </c>
      <c r="C48" s="2">
        <v>44938</v>
      </c>
      <c r="D48" s="7" t="s">
        <v>11</v>
      </c>
      <c r="E48" s="8" t="s">
        <v>20</v>
      </c>
      <c r="F48" s="8" t="s">
        <v>13</v>
      </c>
      <c r="G48" s="9"/>
      <c r="H48" s="10">
        <v>48</v>
      </c>
      <c r="I48" s="10">
        <v>72</v>
      </c>
      <c r="J48" s="10">
        <v>60</v>
      </c>
      <c r="K48" s="10">
        <v>60</v>
      </c>
      <c r="L48" t="str">
        <f t="shared" si="0"/>
        <v>OK</v>
      </c>
      <c r="M48" t="str">
        <f t="shared" si="1"/>
        <v>OK</v>
      </c>
      <c r="N48" t="str">
        <f t="shared" si="2"/>
        <v>OK</v>
      </c>
    </row>
    <row r="49" spans="1:14" ht="28.8" x14ac:dyDescent="0.3">
      <c r="A49">
        <v>38</v>
      </c>
      <c r="B49">
        <v>2023</v>
      </c>
      <c r="C49" s="2">
        <v>44938</v>
      </c>
      <c r="D49" s="3" t="s">
        <v>11</v>
      </c>
      <c r="E49" s="4" t="s">
        <v>22</v>
      </c>
      <c r="F49" s="4"/>
      <c r="G49" s="5"/>
      <c r="H49" s="6">
        <v>15</v>
      </c>
      <c r="I49" s="6">
        <v>24</v>
      </c>
      <c r="J49" s="6">
        <v>19</v>
      </c>
      <c r="K49" s="6">
        <v>18</v>
      </c>
      <c r="L49" t="str">
        <f t="shared" si="0"/>
        <v>OK</v>
      </c>
      <c r="M49" t="str">
        <f t="shared" si="1"/>
        <v>OK</v>
      </c>
      <c r="N49" t="str">
        <f t="shared" si="2"/>
        <v>OK</v>
      </c>
    </row>
    <row r="50" spans="1:14" ht="28.8" x14ac:dyDescent="0.3">
      <c r="A50">
        <v>38</v>
      </c>
      <c r="B50">
        <v>2023</v>
      </c>
      <c r="C50" s="2">
        <v>44938</v>
      </c>
      <c r="D50" s="7" t="s">
        <v>11</v>
      </c>
      <c r="E50" s="8" t="s">
        <v>73</v>
      </c>
      <c r="F50" s="8" t="s">
        <v>13</v>
      </c>
      <c r="G50" s="10">
        <v>60</v>
      </c>
      <c r="H50" s="10">
        <v>60</v>
      </c>
      <c r="I50" s="10">
        <v>66</v>
      </c>
      <c r="J50" s="10">
        <v>62</v>
      </c>
      <c r="K50" s="10">
        <v>60</v>
      </c>
      <c r="L50" t="str">
        <f t="shared" si="0"/>
        <v>OK</v>
      </c>
      <c r="M50" t="str">
        <f t="shared" si="1"/>
        <v>OK</v>
      </c>
      <c r="N50" t="str">
        <f t="shared" si="2"/>
        <v>OK</v>
      </c>
    </row>
    <row r="51" spans="1:14" ht="28.8" x14ac:dyDescent="0.3">
      <c r="A51">
        <v>38</v>
      </c>
      <c r="B51">
        <v>2023</v>
      </c>
      <c r="C51" s="2">
        <v>44938</v>
      </c>
      <c r="D51" s="3" t="s">
        <v>11</v>
      </c>
      <c r="E51" s="4" t="s">
        <v>23</v>
      </c>
      <c r="F51" s="4" t="s">
        <v>13</v>
      </c>
      <c r="G51" s="5"/>
      <c r="H51" s="6">
        <v>15</v>
      </c>
      <c r="I51" s="6">
        <v>24</v>
      </c>
      <c r="J51" s="6">
        <v>19</v>
      </c>
      <c r="K51" s="6">
        <v>18</v>
      </c>
      <c r="L51" t="str">
        <f t="shared" si="0"/>
        <v>OK</v>
      </c>
      <c r="M51" t="str">
        <f t="shared" si="1"/>
        <v>OK</v>
      </c>
      <c r="N51" t="str">
        <f t="shared" si="2"/>
        <v>OK</v>
      </c>
    </row>
    <row r="52" spans="1:14" ht="28.8" x14ac:dyDescent="0.3">
      <c r="A52">
        <v>38</v>
      </c>
      <c r="B52">
        <v>2023</v>
      </c>
      <c r="C52" s="2">
        <v>44938</v>
      </c>
      <c r="D52" s="7" t="s">
        <v>11</v>
      </c>
      <c r="E52" s="8" t="s">
        <v>24</v>
      </c>
      <c r="F52" s="8" t="s">
        <v>13</v>
      </c>
      <c r="G52" s="9"/>
      <c r="H52" s="10">
        <v>54</v>
      </c>
      <c r="I52" s="10">
        <v>60</v>
      </c>
      <c r="J52" s="10">
        <v>57</v>
      </c>
      <c r="K52" s="10">
        <v>57</v>
      </c>
      <c r="L52" t="str">
        <f t="shared" si="0"/>
        <v>OK</v>
      </c>
      <c r="M52" t="str">
        <f t="shared" si="1"/>
        <v>OK</v>
      </c>
      <c r="N52" t="str">
        <f t="shared" si="2"/>
        <v>OK</v>
      </c>
    </row>
    <row r="53" spans="1:14" ht="28.8" x14ac:dyDescent="0.3">
      <c r="A53">
        <v>38</v>
      </c>
      <c r="B53">
        <v>2023</v>
      </c>
      <c r="C53" s="2">
        <v>44938</v>
      </c>
      <c r="D53" s="3" t="s">
        <v>11</v>
      </c>
      <c r="E53" s="4" t="s">
        <v>25</v>
      </c>
      <c r="F53" s="4" t="s">
        <v>26</v>
      </c>
      <c r="G53" s="5"/>
      <c r="H53" s="6">
        <v>54</v>
      </c>
      <c r="I53" s="6">
        <v>60</v>
      </c>
      <c r="J53" s="6">
        <v>57</v>
      </c>
      <c r="K53" s="6">
        <v>57</v>
      </c>
      <c r="L53" t="str">
        <f t="shared" si="0"/>
        <v>OK</v>
      </c>
      <c r="M53" t="str">
        <f t="shared" si="1"/>
        <v>OK</v>
      </c>
      <c r="N53" t="str">
        <f t="shared" si="2"/>
        <v>OK</v>
      </c>
    </row>
    <row r="54" spans="1:14" ht="28.8" x14ac:dyDescent="0.3">
      <c r="A54">
        <v>38</v>
      </c>
      <c r="B54">
        <v>2023</v>
      </c>
      <c r="C54" s="2">
        <v>44938</v>
      </c>
      <c r="D54" s="7" t="s">
        <v>11</v>
      </c>
      <c r="E54" s="8" t="s">
        <v>27</v>
      </c>
      <c r="F54" s="8" t="s">
        <v>13</v>
      </c>
      <c r="G54" s="9"/>
      <c r="H54" s="10">
        <v>30</v>
      </c>
      <c r="I54" s="10">
        <v>60</v>
      </c>
      <c r="J54" s="10">
        <v>42</v>
      </c>
      <c r="K54" s="10">
        <v>36</v>
      </c>
      <c r="L54" t="str">
        <f t="shared" si="0"/>
        <v>OK</v>
      </c>
      <c r="M54" t="str">
        <f t="shared" si="1"/>
        <v>OK</v>
      </c>
      <c r="N54" t="str">
        <f t="shared" si="2"/>
        <v>OK</v>
      </c>
    </row>
    <row r="55" spans="1:14" ht="28.8" x14ac:dyDescent="0.3">
      <c r="A55">
        <v>38</v>
      </c>
      <c r="B55">
        <v>2023</v>
      </c>
      <c r="C55" s="2">
        <v>44938</v>
      </c>
      <c r="D55" s="3" t="s">
        <v>11</v>
      </c>
      <c r="E55" s="4" t="s">
        <v>28</v>
      </c>
      <c r="F55" s="4" t="s">
        <v>13</v>
      </c>
      <c r="G55" s="5"/>
      <c r="H55" s="6">
        <v>20</v>
      </c>
      <c r="I55" s="6">
        <v>36</v>
      </c>
      <c r="J55" s="6">
        <v>27</v>
      </c>
      <c r="K55" s="6">
        <v>25</v>
      </c>
      <c r="L55" t="str">
        <f t="shared" si="0"/>
        <v>OK</v>
      </c>
      <c r="M55" t="str">
        <f t="shared" si="1"/>
        <v>OK</v>
      </c>
      <c r="N55" t="str">
        <f t="shared" si="2"/>
        <v>OK</v>
      </c>
    </row>
    <row r="56" spans="1:14" ht="28.8" x14ac:dyDescent="0.3">
      <c r="A56">
        <v>38</v>
      </c>
      <c r="B56">
        <v>2023</v>
      </c>
      <c r="C56" s="2">
        <v>44938</v>
      </c>
      <c r="D56" s="7" t="s">
        <v>11</v>
      </c>
      <c r="E56" s="8" t="s">
        <v>29</v>
      </c>
      <c r="F56" s="8" t="s">
        <v>13</v>
      </c>
      <c r="G56" s="10">
        <v>42</v>
      </c>
      <c r="H56" s="10">
        <v>36</v>
      </c>
      <c r="I56" s="10">
        <v>42</v>
      </c>
      <c r="J56" s="10">
        <v>40</v>
      </c>
      <c r="K56" s="10">
        <v>42</v>
      </c>
      <c r="L56" t="str">
        <f t="shared" si="0"/>
        <v>OK</v>
      </c>
      <c r="M56" t="str">
        <f t="shared" si="1"/>
        <v>OK</v>
      </c>
      <c r="N56" t="str">
        <f t="shared" si="2"/>
        <v>OK</v>
      </c>
    </row>
    <row r="57" spans="1:14" ht="28.8" x14ac:dyDescent="0.3">
      <c r="A57">
        <v>38</v>
      </c>
      <c r="B57">
        <v>2023</v>
      </c>
      <c r="C57" s="2">
        <v>44938</v>
      </c>
      <c r="D57" s="3" t="s">
        <v>30</v>
      </c>
      <c r="E57" s="4" t="s">
        <v>31</v>
      </c>
      <c r="F57" s="4" t="s">
        <v>32</v>
      </c>
      <c r="G57" s="6">
        <v>4</v>
      </c>
      <c r="H57" s="6" t="s">
        <v>74</v>
      </c>
      <c r="I57" s="6">
        <v>5</v>
      </c>
      <c r="J57" s="6" t="s">
        <v>75</v>
      </c>
      <c r="K57" s="6">
        <v>4</v>
      </c>
      <c r="L57" t="str">
        <f t="shared" si="0"/>
        <v>ERRO</v>
      </c>
      <c r="M57" t="str">
        <f t="shared" si="1"/>
        <v>OK</v>
      </c>
      <c r="N57" t="str">
        <f t="shared" si="2"/>
        <v>ERRO</v>
      </c>
    </row>
    <row r="58" spans="1:14" ht="28.8" x14ac:dyDescent="0.3">
      <c r="A58">
        <v>38</v>
      </c>
      <c r="B58">
        <v>2023</v>
      </c>
      <c r="C58" s="2">
        <v>44938</v>
      </c>
      <c r="D58" s="7" t="s">
        <v>30</v>
      </c>
      <c r="E58" s="8" t="s">
        <v>34</v>
      </c>
      <c r="F58" s="8" t="s">
        <v>35</v>
      </c>
      <c r="G58" s="10">
        <v>20</v>
      </c>
      <c r="H58" s="10">
        <v>20</v>
      </c>
      <c r="I58" s="10">
        <v>25</v>
      </c>
      <c r="J58" s="10">
        <v>21</v>
      </c>
      <c r="K58" s="10">
        <v>20</v>
      </c>
      <c r="L58" t="str">
        <f t="shared" si="0"/>
        <v>OK</v>
      </c>
      <c r="M58" t="str">
        <f t="shared" si="1"/>
        <v>OK</v>
      </c>
      <c r="N58" t="str">
        <f t="shared" si="2"/>
        <v>OK</v>
      </c>
    </row>
    <row r="59" spans="1:14" ht="28.8" x14ac:dyDescent="0.3">
      <c r="A59">
        <v>38</v>
      </c>
      <c r="B59">
        <v>2023</v>
      </c>
      <c r="C59" s="2">
        <v>44938</v>
      </c>
      <c r="D59" s="3" t="s">
        <v>30</v>
      </c>
      <c r="E59" s="4" t="s">
        <v>36</v>
      </c>
      <c r="F59" s="4" t="s">
        <v>35</v>
      </c>
      <c r="G59" s="6">
        <v>20</v>
      </c>
      <c r="H59" s="6">
        <v>20</v>
      </c>
      <c r="I59" s="6">
        <v>25</v>
      </c>
      <c r="J59" s="6" t="s">
        <v>37</v>
      </c>
      <c r="K59" s="6" t="s">
        <v>37</v>
      </c>
      <c r="L59" t="str">
        <f t="shared" si="0"/>
        <v>OK</v>
      </c>
      <c r="M59" t="str">
        <f t="shared" si="1"/>
        <v>OK</v>
      </c>
      <c r="N59" t="str">
        <f t="shared" si="2"/>
        <v>ERRO</v>
      </c>
    </row>
    <row r="60" spans="1:14" ht="43.2" x14ac:dyDescent="0.3">
      <c r="A60">
        <v>38</v>
      </c>
      <c r="B60">
        <v>2023</v>
      </c>
      <c r="C60" s="2">
        <v>44938</v>
      </c>
      <c r="D60" s="7" t="s">
        <v>38</v>
      </c>
      <c r="E60" s="8" t="s">
        <v>39</v>
      </c>
      <c r="F60" s="8" t="s">
        <v>40</v>
      </c>
      <c r="G60" s="10">
        <v>100</v>
      </c>
      <c r="H60" s="10">
        <v>80</v>
      </c>
      <c r="I60" s="10">
        <v>100</v>
      </c>
      <c r="J60" s="10" t="s">
        <v>76</v>
      </c>
      <c r="K60" s="10">
        <v>100</v>
      </c>
      <c r="L60" t="str">
        <f t="shared" si="0"/>
        <v>OK</v>
      </c>
      <c r="M60" t="str">
        <f t="shared" si="1"/>
        <v>OK</v>
      </c>
      <c r="N60" t="str">
        <f t="shared" si="2"/>
        <v>ERRO</v>
      </c>
    </row>
    <row r="61" spans="1:14" ht="43.2" x14ac:dyDescent="0.3">
      <c r="A61">
        <v>38</v>
      </c>
      <c r="B61">
        <v>2023</v>
      </c>
      <c r="C61" s="2">
        <v>44938</v>
      </c>
      <c r="D61" s="3" t="s">
        <v>38</v>
      </c>
      <c r="E61" s="4" t="s">
        <v>77</v>
      </c>
      <c r="F61" s="4"/>
      <c r="G61" s="5"/>
      <c r="H61" s="6">
        <v>40</v>
      </c>
      <c r="I61" s="6">
        <v>65</v>
      </c>
      <c r="J61" s="6" t="s">
        <v>78</v>
      </c>
      <c r="K61" s="6" t="s">
        <v>78</v>
      </c>
      <c r="L61" t="str">
        <f t="shared" si="0"/>
        <v>OK</v>
      </c>
      <c r="M61" t="str">
        <f t="shared" si="1"/>
        <v>OK</v>
      </c>
      <c r="N61" t="str">
        <f t="shared" si="2"/>
        <v>ERRO</v>
      </c>
    </row>
    <row r="62" spans="1:14" ht="43.2" x14ac:dyDescent="0.3">
      <c r="A62">
        <v>38</v>
      </c>
      <c r="B62">
        <v>2023</v>
      </c>
      <c r="C62" s="2">
        <v>44938</v>
      </c>
      <c r="D62" s="7" t="s">
        <v>38</v>
      </c>
      <c r="E62" s="8" t="s">
        <v>44</v>
      </c>
      <c r="F62" s="8" t="s">
        <v>45</v>
      </c>
      <c r="G62" s="10">
        <v>50</v>
      </c>
      <c r="H62" s="10">
        <v>45</v>
      </c>
      <c r="I62" s="10">
        <v>55</v>
      </c>
      <c r="J62" s="10">
        <v>50</v>
      </c>
      <c r="K62" s="10">
        <v>50</v>
      </c>
      <c r="L62" t="str">
        <f t="shared" si="0"/>
        <v>OK</v>
      </c>
      <c r="M62" t="str">
        <f t="shared" si="1"/>
        <v>OK</v>
      </c>
      <c r="N62" t="str">
        <f t="shared" si="2"/>
        <v>OK</v>
      </c>
    </row>
    <row r="63" spans="1:14" ht="43.2" x14ac:dyDescent="0.3">
      <c r="A63">
        <v>38</v>
      </c>
      <c r="B63">
        <v>2023</v>
      </c>
      <c r="C63" s="2">
        <v>44938</v>
      </c>
      <c r="D63" s="3" t="s">
        <v>38</v>
      </c>
      <c r="E63" s="4" t="s">
        <v>48</v>
      </c>
      <c r="F63" s="4" t="s">
        <v>45</v>
      </c>
      <c r="G63" s="5"/>
      <c r="H63" s="5"/>
      <c r="I63" s="5"/>
      <c r="J63" s="5"/>
      <c r="K63" s="5"/>
      <c r="L63" t="str">
        <f t="shared" si="0"/>
        <v>OK</v>
      </c>
      <c r="M63" t="str">
        <f t="shared" si="1"/>
        <v>OK</v>
      </c>
      <c r="N63" t="str">
        <f t="shared" si="2"/>
        <v>OK</v>
      </c>
    </row>
    <row r="64" spans="1:14" ht="43.2" x14ac:dyDescent="0.3">
      <c r="A64">
        <v>38</v>
      </c>
      <c r="B64">
        <v>2023</v>
      </c>
      <c r="C64" s="2">
        <v>44938</v>
      </c>
      <c r="D64" s="7" t="s">
        <v>38</v>
      </c>
      <c r="E64" s="8" t="s">
        <v>49</v>
      </c>
      <c r="F64" s="8" t="s">
        <v>50</v>
      </c>
      <c r="G64" s="10">
        <v>50</v>
      </c>
      <c r="H64" s="10">
        <v>50</v>
      </c>
      <c r="I64" s="10">
        <v>60</v>
      </c>
      <c r="J64" s="10">
        <v>55</v>
      </c>
      <c r="K64" s="10">
        <v>55</v>
      </c>
      <c r="L64" t="str">
        <f t="shared" si="0"/>
        <v>OK</v>
      </c>
      <c r="M64" t="str">
        <f t="shared" si="1"/>
        <v>OK</v>
      </c>
      <c r="N64" t="str">
        <f t="shared" si="2"/>
        <v>OK</v>
      </c>
    </row>
    <row r="65" spans="1:14" ht="43.2" x14ac:dyDescent="0.3">
      <c r="A65">
        <v>38</v>
      </c>
      <c r="B65">
        <v>2023</v>
      </c>
      <c r="C65" s="2">
        <v>44938</v>
      </c>
      <c r="D65" s="3" t="s">
        <v>38</v>
      </c>
      <c r="E65" s="4" t="s">
        <v>52</v>
      </c>
      <c r="F65" s="4" t="s">
        <v>43</v>
      </c>
      <c r="G65" s="6">
        <v>50</v>
      </c>
      <c r="H65" s="6">
        <v>40</v>
      </c>
      <c r="I65" s="6">
        <v>75</v>
      </c>
      <c r="J65" s="6" t="s">
        <v>55</v>
      </c>
      <c r="K65" s="6" t="s">
        <v>78</v>
      </c>
      <c r="L65" t="str">
        <f t="shared" si="0"/>
        <v>OK</v>
      </c>
      <c r="M65" t="str">
        <f t="shared" si="1"/>
        <v>OK</v>
      </c>
      <c r="N65" t="str">
        <f t="shared" si="2"/>
        <v>ERRO</v>
      </c>
    </row>
    <row r="66" spans="1:14" ht="43.2" x14ac:dyDescent="0.3">
      <c r="A66">
        <v>38</v>
      </c>
      <c r="B66">
        <v>2023</v>
      </c>
      <c r="C66" s="2">
        <v>44938</v>
      </c>
      <c r="D66" s="7" t="s">
        <v>38</v>
      </c>
      <c r="E66" s="8" t="s">
        <v>53</v>
      </c>
      <c r="F66" s="8" t="s">
        <v>43</v>
      </c>
      <c r="G66" s="10">
        <v>70</v>
      </c>
      <c r="H66" s="10">
        <v>50</v>
      </c>
      <c r="I66" s="10">
        <v>90</v>
      </c>
      <c r="J66" s="10" t="s">
        <v>79</v>
      </c>
      <c r="K66" s="10">
        <v>70</v>
      </c>
      <c r="L66" t="str">
        <f t="shared" si="0"/>
        <v>OK</v>
      </c>
      <c r="M66" t="str">
        <f t="shared" si="1"/>
        <v>OK</v>
      </c>
      <c r="N66" t="str">
        <f t="shared" si="2"/>
        <v>ERRO</v>
      </c>
    </row>
    <row r="67" spans="1:14" ht="43.2" x14ac:dyDescent="0.3">
      <c r="A67">
        <v>38</v>
      </c>
      <c r="B67">
        <v>2023</v>
      </c>
      <c r="C67" s="2">
        <v>44938</v>
      </c>
      <c r="D67" s="3" t="s">
        <v>38</v>
      </c>
      <c r="E67" s="4" t="s">
        <v>54</v>
      </c>
      <c r="F67" s="4" t="s">
        <v>40</v>
      </c>
      <c r="G67" s="5"/>
      <c r="H67" s="6">
        <v>60</v>
      </c>
      <c r="I67" s="6">
        <v>65</v>
      </c>
      <c r="J67" s="6" t="s">
        <v>80</v>
      </c>
      <c r="K67" s="6" t="s">
        <v>80</v>
      </c>
      <c r="L67" t="str">
        <f t="shared" ref="L67:L130" si="3">IF(H67&gt;I67,"ERRO","OK")</f>
        <v>OK</v>
      </c>
      <c r="M67" t="str">
        <f t="shared" ref="M67:M130" si="4">IF(H67&gt;J67,"ERRO","OK")</f>
        <v>OK</v>
      </c>
      <c r="N67" t="str">
        <f t="shared" ref="N67:N130" si="5">IF(I67&lt;J67,"ERRO","OK")</f>
        <v>ERRO</v>
      </c>
    </row>
    <row r="68" spans="1:14" ht="43.2" x14ac:dyDescent="0.3">
      <c r="A68">
        <v>38</v>
      </c>
      <c r="B68">
        <v>2023</v>
      </c>
      <c r="C68" s="2">
        <v>44938</v>
      </c>
      <c r="D68" s="7" t="s">
        <v>38</v>
      </c>
      <c r="E68" s="8" t="s">
        <v>56</v>
      </c>
      <c r="F68" s="8" t="s">
        <v>43</v>
      </c>
      <c r="G68" s="9"/>
      <c r="H68" s="10">
        <v>60</v>
      </c>
      <c r="I68" s="10">
        <v>65</v>
      </c>
      <c r="J68" s="10" t="s">
        <v>80</v>
      </c>
      <c r="K68" s="10" t="s">
        <v>80</v>
      </c>
      <c r="L68" t="str">
        <f t="shared" si="3"/>
        <v>OK</v>
      </c>
      <c r="M68" t="str">
        <f t="shared" si="4"/>
        <v>OK</v>
      </c>
      <c r="N68" t="str">
        <f t="shared" si="5"/>
        <v>ERRO</v>
      </c>
    </row>
    <row r="69" spans="1:14" ht="43.2" x14ac:dyDescent="0.3">
      <c r="A69">
        <v>38</v>
      </c>
      <c r="B69">
        <v>2023</v>
      </c>
      <c r="C69" s="2">
        <v>44938</v>
      </c>
      <c r="D69" s="3" t="s">
        <v>38</v>
      </c>
      <c r="E69" s="4" t="s">
        <v>57</v>
      </c>
      <c r="F69" s="4" t="s">
        <v>40</v>
      </c>
      <c r="G69" s="6">
        <v>60</v>
      </c>
      <c r="H69" s="6">
        <v>50</v>
      </c>
      <c r="I69" s="6">
        <v>60</v>
      </c>
      <c r="J69" s="6" t="s">
        <v>41</v>
      </c>
      <c r="K69" s="6">
        <v>60</v>
      </c>
      <c r="L69" t="str">
        <f t="shared" si="3"/>
        <v>OK</v>
      </c>
      <c r="M69" t="str">
        <f t="shared" si="4"/>
        <v>OK</v>
      </c>
      <c r="N69" t="str">
        <f t="shared" si="5"/>
        <v>ERRO</v>
      </c>
    </row>
    <row r="70" spans="1:14" ht="43.2" x14ac:dyDescent="0.3">
      <c r="A70">
        <v>38</v>
      </c>
      <c r="B70">
        <v>2023</v>
      </c>
      <c r="C70" s="2">
        <v>44938</v>
      </c>
      <c r="D70" s="7" t="s">
        <v>38</v>
      </c>
      <c r="E70" s="8" t="s">
        <v>58</v>
      </c>
      <c r="F70" s="8" t="s">
        <v>40</v>
      </c>
      <c r="G70" s="10">
        <v>70</v>
      </c>
      <c r="H70" s="10">
        <v>70</v>
      </c>
      <c r="I70" s="10">
        <v>80</v>
      </c>
      <c r="J70" s="10">
        <v>73</v>
      </c>
      <c r="K70" s="10">
        <v>70</v>
      </c>
      <c r="L70" t="str">
        <f t="shared" si="3"/>
        <v>OK</v>
      </c>
      <c r="M70" t="str">
        <f t="shared" si="4"/>
        <v>OK</v>
      </c>
      <c r="N70" t="str">
        <f t="shared" si="5"/>
        <v>OK</v>
      </c>
    </row>
    <row r="71" spans="1:14" ht="43.2" x14ac:dyDescent="0.3">
      <c r="A71">
        <v>38</v>
      </c>
      <c r="B71">
        <v>2023</v>
      </c>
      <c r="C71" s="2">
        <v>44938</v>
      </c>
      <c r="D71" s="3" t="s">
        <v>38</v>
      </c>
      <c r="E71" s="4" t="s">
        <v>59</v>
      </c>
      <c r="F71" s="4" t="s">
        <v>45</v>
      </c>
      <c r="G71" s="6">
        <v>40</v>
      </c>
      <c r="H71" s="6">
        <v>30</v>
      </c>
      <c r="I71" s="6">
        <v>50</v>
      </c>
      <c r="J71" s="6" t="s">
        <v>81</v>
      </c>
      <c r="K71" s="6">
        <v>40</v>
      </c>
      <c r="L71" t="str">
        <f t="shared" si="3"/>
        <v>OK</v>
      </c>
      <c r="M71" t="str">
        <f t="shared" si="4"/>
        <v>OK</v>
      </c>
      <c r="N71" t="str">
        <f t="shared" si="5"/>
        <v>ERRO</v>
      </c>
    </row>
    <row r="72" spans="1:14" ht="43.2" x14ac:dyDescent="0.3">
      <c r="A72">
        <v>38</v>
      </c>
      <c r="B72">
        <v>2023</v>
      </c>
      <c r="C72" s="2">
        <v>44938</v>
      </c>
      <c r="D72" s="7" t="s">
        <v>38</v>
      </c>
      <c r="E72" s="8" t="s">
        <v>60</v>
      </c>
      <c r="F72" s="8" t="s">
        <v>61</v>
      </c>
      <c r="G72" s="10">
        <v>70</v>
      </c>
      <c r="H72" s="10">
        <v>70</v>
      </c>
      <c r="I72" s="10">
        <v>130</v>
      </c>
      <c r="J72" s="10" t="s">
        <v>82</v>
      </c>
      <c r="K72" s="10">
        <v>110</v>
      </c>
      <c r="L72" t="str">
        <f t="shared" si="3"/>
        <v>OK</v>
      </c>
      <c r="M72" t="str">
        <f t="shared" si="4"/>
        <v>OK</v>
      </c>
      <c r="N72" t="str">
        <f t="shared" si="5"/>
        <v>ERRO</v>
      </c>
    </row>
    <row r="73" spans="1:14" ht="43.2" x14ac:dyDescent="0.3">
      <c r="A73">
        <v>38</v>
      </c>
      <c r="B73">
        <v>2023</v>
      </c>
      <c r="C73" s="2">
        <v>44938</v>
      </c>
      <c r="D73" s="3" t="s">
        <v>38</v>
      </c>
      <c r="E73" s="4" t="s">
        <v>63</v>
      </c>
      <c r="F73" s="4" t="s">
        <v>40</v>
      </c>
      <c r="G73" s="6">
        <v>90</v>
      </c>
      <c r="H73" s="6">
        <v>80</v>
      </c>
      <c r="I73" s="6">
        <v>100</v>
      </c>
      <c r="J73" s="6">
        <v>92</v>
      </c>
      <c r="K73" s="6">
        <v>90</v>
      </c>
      <c r="L73" t="str">
        <f t="shared" si="3"/>
        <v>OK</v>
      </c>
      <c r="M73" t="str">
        <f t="shared" si="4"/>
        <v>OK</v>
      </c>
      <c r="N73" t="str">
        <f t="shared" si="5"/>
        <v>OK</v>
      </c>
    </row>
    <row r="74" spans="1:14" ht="43.2" x14ac:dyDescent="0.3">
      <c r="A74">
        <v>38</v>
      </c>
      <c r="B74">
        <v>2023</v>
      </c>
      <c r="C74" s="2">
        <v>44938</v>
      </c>
      <c r="D74" s="7" t="s">
        <v>38</v>
      </c>
      <c r="E74" s="8" t="s">
        <v>64</v>
      </c>
      <c r="F74" s="8" t="s">
        <v>40</v>
      </c>
      <c r="G74" s="10">
        <v>100</v>
      </c>
      <c r="H74" s="10">
        <v>100</v>
      </c>
      <c r="I74" s="10">
        <v>130</v>
      </c>
      <c r="J74" s="10">
        <v>108</v>
      </c>
      <c r="K74" s="10">
        <v>100</v>
      </c>
      <c r="L74" t="str">
        <f t="shared" si="3"/>
        <v>OK</v>
      </c>
      <c r="M74" t="str">
        <f t="shared" si="4"/>
        <v>OK</v>
      </c>
      <c r="N74" t="str">
        <f t="shared" si="5"/>
        <v>OK</v>
      </c>
    </row>
    <row r="75" spans="1:14" x14ac:dyDescent="0.3">
      <c r="A75">
        <v>38</v>
      </c>
      <c r="B75">
        <v>2023</v>
      </c>
      <c r="C75" s="2">
        <v>44938</v>
      </c>
      <c r="D75" s="3" t="s">
        <v>65</v>
      </c>
      <c r="E75" s="4" t="s">
        <v>66</v>
      </c>
      <c r="F75" s="4" t="s">
        <v>40</v>
      </c>
      <c r="G75" s="5"/>
      <c r="H75" s="5"/>
      <c r="I75" s="5"/>
      <c r="J75" s="5"/>
      <c r="K75" s="5"/>
      <c r="L75" t="str">
        <f t="shared" si="3"/>
        <v>OK</v>
      </c>
      <c r="M75" t="str">
        <f t="shared" si="4"/>
        <v>OK</v>
      </c>
      <c r="N75" t="str">
        <f t="shared" si="5"/>
        <v>OK</v>
      </c>
    </row>
    <row r="76" spans="1:14" x14ac:dyDescent="0.3">
      <c r="A76">
        <v>38</v>
      </c>
      <c r="B76">
        <v>2023</v>
      </c>
      <c r="C76" s="2">
        <v>44938</v>
      </c>
      <c r="D76" s="7" t="s">
        <v>65</v>
      </c>
      <c r="E76" s="8" t="s">
        <v>67</v>
      </c>
      <c r="F76" s="8" t="s">
        <v>40</v>
      </c>
      <c r="G76" s="9"/>
      <c r="H76" s="9"/>
      <c r="I76" s="9"/>
      <c r="J76" s="9"/>
      <c r="K76" s="9"/>
      <c r="L76" t="str">
        <f t="shared" si="3"/>
        <v>OK</v>
      </c>
      <c r="M76" t="str">
        <f t="shared" si="4"/>
        <v>OK</v>
      </c>
      <c r="N76" t="str">
        <f t="shared" si="5"/>
        <v>OK</v>
      </c>
    </row>
    <row r="77" spans="1:14" x14ac:dyDescent="0.3">
      <c r="A77">
        <v>38</v>
      </c>
      <c r="B77">
        <v>2023</v>
      </c>
      <c r="C77" s="2">
        <v>44938</v>
      </c>
      <c r="D77" s="3" t="s">
        <v>65</v>
      </c>
      <c r="E77" s="4" t="s">
        <v>68</v>
      </c>
      <c r="F77" s="4" t="s">
        <v>40</v>
      </c>
      <c r="G77" s="5"/>
      <c r="H77" s="5"/>
      <c r="I77" s="5"/>
      <c r="J77" s="5"/>
      <c r="K77" s="5"/>
      <c r="L77" t="str">
        <f t="shared" si="3"/>
        <v>OK</v>
      </c>
      <c r="M77" t="str">
        <f t="shared" si="4"/>
        <v>OK</v>
      </c>
      <c r="N77" t="str">
        <f t="shared" si="5"/>
        <v>OK</v>
      </c>
    </row>
    <row r="78" spans="1:14" x14ac:dyDescent="0.3">
      <c r="A78">
        <v>38</v>
      </c>
      <c r="B78">
        <v>2023</v>
      </c>
      <c r="C78" s="2">
        <v>44938</v>
      </c>
      <c r="D78" s="7" t="s">
        <v>65</v>
      </c>
      <c r="E78" s="8" t="s">
        <v>69</v>
      </c>
      <c r="F78" s="8" t="s">
        <v>45</v>
      </c>
      <c r="G78" s="9"/>
      <c r="H78" s="10">
        <v>28</v>
      </c>
      <c r="I78" s="10">
        <v>28</v>
      </c>
      <c r="J78" s="10">
        <v>28</v>
      </c>
      <c r="K78" s="10">
        <v>28</v>
      </c>
      <c r="L78" t="str">
        <f t="shared" si="3"/>
        <v>OK</v>
      </c>
      <c r="M78" t="str">
        <f t="shared" si="4"/>
        <v>OK</v>
      </c>
      <c r="N78" t="str">
        <f t="shared" si="5"/>
        <v>OK</v>
      </c>
    </row>
    <row r="79" spans="1:14" x14ac:dyDescent="0.3">
      <c r="A79">
        <v>38</v>
      </c>
      <c r="B79">
        <v>2023</v>
      </c>
      <c r="C79" s="2">
        <v>44938</v>
      </c>
      <c r="D79" s="3" t="s">
        <v>65</v>
      </c>
      <c r="E79" s="4" t="s">
        <v>70</v>
      </c>
      <c r="F79" s="4" t="s">
        <v>71</v>
      </c>
      <c r="G79" s="5"/>
      <c r="H79" s="5"/>
      <c r="I79" s="5"/>
      <c r="J79" s="5"/>
      <c r="K79" s="5"/>
      <c r="L79" t="str">
        <f t="shared" si="3"/>
        <v>OK</v>
      </c>
      <c r="M79" t="str">
        <f t="shared" si="4"/>
        <v>OK</v>
      </c>
      <c r="N79" t="str">
        <f t="shared" si="5"/>
        <v>OK</v>
      </c>
    </row>
    <row r="80" spans="1:14" ht="28.8" x14ac:dyDescent="0.3">
      <c r="A80">
        <v>39</v>
      </c>
      <c r="B80">
        <v>2023</v>
      </c>
      <c r="C80" s="2">
        <v>44945</v>
      </c>
      <c r="D80" s="3" t="s">
        <v>11</v>
      </c>
      <c r="E80" s="4" t="s">
        <v>12</v>
      </c>
      <c r="F80" s="4" t="s">
        <v>13</v>
      </c>
      <c r="G80" s="6">
        <v>42</v>
      </c>
      <c r="H80" s="6">
        <v>42</v>
      </c>
      <c r="I80" s="6">
        <v>42</v>
      </c>
      <c r="J80" s="6">
        <v>42</v>
      </c>
      <c r="K80" s="6">
        <v>42</v>
      </c>
      <c r="L80" t="str">
        <f t="shared" si="3"/>
        <v>OK</v>
      </c>
      <c r="M80" t="str">
        <f t="shared" si="4"/>
        <v>OK</v>
      </c>
      <c r="N80" t="str">
        <f t="shared" si="5"/>
        <v>OK</v>
      </c>
    </row>
    <row r="81" spans="1:14" ht="28.8" x14ac:dyDescent="0.3">
      <c r="A81">
        <v>39</v>
      </c>
      <c r="B81">
        <v>2023</v>
      </c>
      <c r="C81" s="2">
        <v>44945</v>
      </c>
      <c r="D81" s="7" t="s">
        <v>11</v>
      </c>
      <c r="E81" s="8" t="s">
        <v>14</v>
      </c>
      <c r="F81" s="8" t="s">
        <v>13</v>
      </c>
      <c r="G81" s="10">
        <v>60</v>
      </c>
      <c r="H81" s="10">
        <v>60</v>
      </c>
      <c r="I81" s="10">
        <v>60</v>
      </c>
      <c r="J81" s="10">
        <v>60</v>
      </c>
      <c r="K81" s="10">
        <v>60</v>
      </c>
      <c r="L81" t="str">
        <f t="shared" si="3"/>
        <v>OK</v>
      </c>
      <c r="M81" t="str">
        <f t="shared" si="4"/>
        <v>OK</v>
      </c>
      <c r="N81" t="str">
        <f t="shared" si="5"/>
        <v>OK</v>
      </c>
    </row>
    <row r="82" spans="1:14" ht="28.8" x14ac:dyDescent="0.3">
      <c r="A82">
        <v>39</v>
      </c>
      <c r="B82">
        <v>2023</v>
      </c>
      <c r="C82" s="2">
        <v>44945</v>
      </c>
      <c r="D82" s="3" t="s">
        <v>11</v>
      </c>
      <c r="E82" s="4" t="s">
        <v>15</v>
      </c>
      <c r="F82" s="4" t="s">
        <v>13</v>
      </c>
      <c r="G82" s="6">
        <v>30</v>
      </c>
      <c r="H82" s="6">
        <v>30</v>
      </c>
      <c r="I82" s="6">
        <v>42</v>
      </c>
      <c r="J82" s="6">
        <v>34</v>
      </c>
      <c r="K82" s="6">
        <v>30</v>
      </c>
      <c r="L82" t="str">
        <f t="shared" si="3"/>
        <v>OK</v>
      </c>
      <c r="M82" t="str">
        <f t="shared" si="4"/>
        <v>OK</v>
      </c>
      <c r="N82" t="str">
        <f t="shared" si="5"/>
        <v>OK</v>
      </c>
    </row>
    <row r="83" spans="1:14" ht="28.8" x14ac:dyDescent="0.3">
      <c r="A83">
        <v>39</v>
      </c>
      <c r="B83">
        <v>2023</v>
      </c>
      <c r="C83" s="2">
        <v>44945</v>
      </c>
      <c r="D83" s="7" t="s">
        <v>11</v>
      </c>
      <c r="E83" s="8" t="s">
        <v>16</v>
      </c>
      <c r="F83" s="8" t="s">
        <v>13</v>
      </c>
      <c r="G83" s="10">
        <v>24</v>
      </c>
      <c r="H83" s="10">
        <v>20</v>
      </c>
      <c r="I83" s="10">
        <v>24</v>
      </c>
      <c r="J83" s="10" t="s">
        <v>37</v>
      </c>
      <c r="K83" s="10">
        <v>23</v>
      </c>
      <c r="L83" t="str">
        <f t="shared" si="3"/>
        <v>OK</v>
      </c>
      <c r="M83" t="str">
        <f t="shared" si="4"/>
        <v>OK</v>
      </c>
      <c r="N83" t="str">
        <f t="shared" si="5"/>
        <v>ERRO</v>
      </c>
    </row>
    <row r="84" spans="1:14" ht="28.8" x14ac:dyDescent="0.3">
      <c r="A84">
        <v>39</v>
      </c>
      <c r="B84">
        <v>2023</v>
      </c>
      <c r="C84" s="2">
        <v>44945</v>
      </c>
      <c r="D84" s="3" t="s">
        <v>11</v>
      </c>
      <c r="E84" s="4" t="s">
        <v>17</v>
      </c>
      <c r="F84" s="4" t="s">
        <v>13</v>
      </c>
      <c r="G84" s="5"/>
      <c r="H84" s="6">
        <v>18</v>
      </c>
      <c r="I84" s="6">
        <v>24</v>
      </c>
      <c r="J84" s="6">
        <v>21</v>
      </c>
      <c r="K84" s="6">
        <v>21</v>
      </c>
      <c r="L84" t="str">
        <f t="shared" si="3"/>
        <v>OK</v>
      </c>
      <c r="M84" t="str">
        <f t="shared" si="4"/>
        <v>OK</v>
      </c>
      <c r="N84" t="str">
        <f t="shared" si="5"/>
        <v>OK</v>
      </c>
    </row>
    <row r="85" spans="1:14" ht="28.8" x14ac:dyDescent="0.3">
      <c r="A85">
        <v>39</v>
      </c>
      <c r="B85">
        <v>2023</v>
      </c>
      <c r="C85" s="2">
        <v>44945</v>
      </c>
      <c r="D85" s="7" t="s">
        <v>11</v>
      </c>
      <c r="E85" s="8" t="s">
        <v>18</v>
      </c>
      <c r="F85" s="8" t="s">
        <v>13</v>
      </c>
      <c r="G85" s="9"/>
      <c r="H85" s="10">
        <v>24</v>
      </c>
      <c r="I85" s="10">
        <v>48</v>
      </c>
      <c r="J85" s="10">
        <v>38</v>
      </c>
      <c r="K85" s="10">
        <v>42</v>
      </c>
      <c r="L85" t="str">
        <f t="shared" si="3"/>
        <v>OK</v>
      </c>
      <c r="M85" t="str">
        <f t="shared" si="4"/>
        <v>OK</v>
      </c>
      <c r="N85" t="str">
        <f t="shared" si="5"/>
        <v>OK</v>
      </c>
    </row>
    <row r="86" spans="1:14" ht="28.8" x14ac:dyDescent="0.3">
      <c r="A86">
        <v>39</v>
      </c>
      <c r="B86">
        <v>2023</v>
      </c>
      <c r="C86" s="2">
        <v>44945</v>
      </c>
      <c r="D86" s="3" t="s">
        <v>11</v>
      </c>
      <c r="E86" s="4" t="s">
        <v>19</v>
      </c>
      <c r="F86" s="4" t="s">
        <v>13</v>
      </c>
      <c r="G86" s="5"/>
      <c r="H86" s="6">
        <v>72</v>
      </c>
      <c r="I86" s="6">
        <v>78</v>
      </c>
      <c r="J86" s="6">
        <v>75</v>
      </c>
      <c r="K86" s="6">
        <v>75</v>
      </c>
      <c r="L86" t="str">
        <f t="shared" si="3"/>
        <v>OK</v>
      </c>
      <c r="M86" t="str">
        <f t="shared" si="4"/>
        <v>OK</v>
      </c>
      <c r="N86" t="str">
        <f t="shared" si="5"/>
        <v>OK</v>
      </c>
    </row>
    <row r="87" spans="1:14" ht="28.8" x14ac:dyDescent="0.3">
      <c r="A87">
        <v>39</v>
      </c>
      <c r="B87">
        <v>2023</v>
      </c>
      <c r="C87" s="2">
        <v>44945</v>
      </c>
      <c r="D87" s="7" t="s">
        <v>11</v>
      </c>
      <c r="E87" s="8" t="s">
        <v>20</v>
      </c>
      <c r="F87" s="8" t="s">
        <v>13</v>
      </c>
      <c r="G87" s="9"/>
      <c r="H87" s="10">
        <v>50</v>
      </c>
      <c r="I87" s="10">
        <v>84</v>
      </c>
      <c r="J87" s="10" t="s">
        <v>83</v>
      </c>
      <c r="K87" s="10">
        <v>60</v>
      </c>
      <c r="L87" t="str">
        <f t="shared" si="3"/>
        <v>OK</v>
      </c>
      <c r="M87" t="str">
        <f t="shared" si="4"/>
        <v>OK</v>
      </c>
      <c r="N87" t="str">
        <f t="shared" si="5"/>
        <v>ERRO</v>
      </c>
    </row>
    <row r="88" spans="1:14" ht="28.8" x14ac:dyDescent="0.3">
      <c r="A88">
        <v>39</v>
      </c>
      <c r="B88">
        <v>2023</v>
      </c>
      <c r="C88" s="2">
        <v>44945</v>
      </c>
      <c r="D88" s="3" t="s">
        <v>11</v>
      </c>
      <c r="E88" s="4" t="s">
        <v>21</v>
      </c>
      <c r="F88" s="4" t="s">
        <v>13</v>
      </c>
      <c r="G88" s="6">
        <v>18</v>
      </c>
      <c r="H88" s="6">
        <v>18</v>
      </c>
      <c r="I88" s="6">
        <v>24</v>
      </c>
      <c r="J88" s="6">
        <v>20</v>
      </c>
      <c r="K88" s="6">
        <v>18</v>
      </c>
      <c r="L88" t="str">
        <f t="shared" si="3"/>
        <v>OK</v>
      </c>
      <c r="M88" t="str">
        <f t="shared" si="4"/>
        <v>OK</v>
      </c>
      <c r="N88" t="str">
        <f t="shared" si="5"/>
        <v>OK</v>
      </c>
    </row>
    <row r="89" spans="1:14" ht="28.8" x14ac:dyDescent="0.3">
      <c r="A89">
        <v>39</v>
      </c>
      <c r="B89">
        <v>2023</v>
      </c>
      <c r="C89" s="2">
        <v>44945</v>
      </c>
      <c r="D89" s="7" t="s">
        <v>11</v>
      </c>
      <c r="E89" s="8" t="s">
        <v>22</v>
      </c>
      <c r="F89" s="8"/>
      <c r="G89" s="9"/>
      <c r="H89" s="10">
        <v>55</v>
      </c>
      <c r="I89" s="10">
        <v>80</v>
      </c>
      <c r="J89" s="10" t="s">
        <v>84</v>
      </c>
      <c r="K89" s="10" t="s">
        <v>84</v>
      </c>
      <c r="L89" t="str">
        <f t="shared" si="3"/>
        <v>OK</v>
      </c>
      <c r="M89" t="str">
        <f t="shared" si="4"/>
        <v>OK</v>
      </c>
      <c r="N89" t="str">
        <f t="shared" si="5"/>
        <v>ERRO</v>
      </c>
    </row>
    <row r="90" spans="1:14" ht="28.8" x14ac:dyDescent="0.3">
      <c r="A90">
        <v>39</v>
      </c>
      <c r="B90">
        <v>2023</v>
      </c>
      <c r="C90" s="2">
        <v>44945</v>
      </c>
      <c r="D90" s="3" t="s">
        <v>11</v>
      </c>
      <c r="E90" s="4" t="s">
        <v>23</v>
      </c>
      <c r="F90" s="4" t="s">
        <v>13</v>
      </c>
      <c r="G90" s="5"/>
      <c r="H90" s="6">
        <v>18</v>
      </c>
      <c r="I90" s="6">
        <v>24</v>
      </c>
      <c r="J90" s="6">
        <v>21</v>
      </c>
      <c r="K90" s="6">
        <v>21</v>
      </c>
      <c r="L90" t="str">
        <f t="shared" si="3"/>
        <v>OK</v>
      </c>
      <c r="M90" t="str">
        <f t="shared" si="4"/>
        <v>OK</v>
      </c>
      <c r="N90" t="str">
        <f t="shared" si="5"/>
        <v>OK</v>
      </c>
    </row>
    <row r="91" spans="1:14" ht="28.8" x14ac:dyDescent="0.3">
      <c r="A91">
        <v>39</v>
      </c>
      <c r="B91">
        <v>2023</v>
      </c>
      <c r="C91" s="2">
        <v>44945</v>
      </c>
      <c r="D91" s="7" t="s">
        <v>11</v>
      </c>
      <c r="E91" s="8" t="s">
        <v>24</v>
      </c>
      <c r="F91" s="8" t="s">
        <v>13</v>
      </c>
      <c r="G91" s="10">
        <v>60</v>
      </c>
      <c r="H91" s="10">
        <v>60</v>
      </c>
      <c r="I91" s="10">
        <v>60</v>
      </c>
      <c r="J91" s="10">
        <v>60</v>
      </c>
      <c r="K91" s="10">
        <v>60</v>
      </c>
      <c r="L91" t="str">
        <f t="shared" si="3"/>
        <v>OK</v>
      </c>
      <c r="M91" t="str">
        <f t="shared" si="4"/>
        <v>OK</v>
      </c>
      <c r="N91" t="str">
        <f t="shared" si="5"/>
        <v>OK</v>
      </c>
    </row>
    <row r="92" spans="1:14" ht="28.8" x14ac:dyDescent="0.3">
      <c r="A92">
        <v>39</v>
      </c>
      <c r="B92">
        <v>2023</v>
      </c>
      <c r="C92" s="2">
        <v>44945</v>
      </c>
      <c r="D92" s="3" t="s">
        <v>11</v>
      </c>
      <c r="E92" s="4" t="s">
        <v>25</v>
      </c>
      <c r="F92" s="4" t="s">
        <v>26</v>
      </c>
      <c r="G92" s="5"/>
      <c r="H92" s="6">
        <v>48</v>
      </c>
      <c r="I92" s="6">
        <v>60</v>
      </c>
      <c r="J92" s="6">
        <v>54</v>
      </c>
      <c r="K92" s="6">
        <v>54</v>
      </c>
      <c r="L92" t="str">
        <f t="shared" si="3"/>
        <v>OK</v>
      </c>
      <c r="M92" t="str">
        <f t="shared" si="4"/>
        <v>OK</v>
      </c>
      <c r="N92" t="str">
        <f t="shared" si="5"/>
        <v>OK</v>
      </c>
    </row>
    <row r="93" spans="1:14" ht="28.8" x14ac:dyDescent="0.3">
      <c r="A93">
        <v>39</v>
      </c>
      <c r="B93">
        <v>2023</v>
      </c>
      <c r="C93" s="2">
        <v>44945</v>
      </c>
      <c r="D93" s="7" t="s">
        <v>11</v>
      </c>
      <c r="E93" s="8" t="s">
        <v>27</v>
      </c>
      <c r="F93" s="8" t="s">
        <v>13</v>
      </c>
      <c r="G93" s="9"/>
      <c r="H93" s="10">
        <v>42</v>
      </c>
      <c r="I93" s="10">
        <v>66</v>
      </c>
      <c r="J93" s="10">
        <v>54</v>
      </c>
      <c r="K93" s="10">
        <v>54</v>
      </c>
      <c r="L93" t="str">
        <f t="shared" si="3"/>
        <v>OK</v>
      </c>
      <c r="M93" t="str">
        <f t="shared" si="4"/>
        <v>OK</v>
      </c>
      <c r="N93" t="str">
        <f t="shared" si="5"/>
        <v>OK</v>
      </c>
    </row>
    <row r="94" spans="1:14" ht="28.8" x14ac:dyDescent="0.3">
      <c r="A94">
        <v>39</v>
      </c>
      <c r="B94">
        <v>2023</v>
      </c>
      <c r="C94" s="2">
        <v>44945</v>
      </c>
      <c r="D94" s="3" t="s">
        <v>11</v>
      </c>
      <c r="E94" s="4" t="s">
        <v>28</v>
      </c>
      <c r="F94" s="4" t="s">
        <v>13</v>
      </c>
      <c r="G94" s="6">
        <v>30</v>
      </c>
      <c r="H94" s="6">
        <v>25</v>
      </c>
      <c r="I94" s="6">
        <v>30</v>
      </c>
      <c r="J94" s="6" t="s">
        <v>85</v>
      </c>
      <c r="K94" s="6">
        <v>30</v>
      </c>
      <c r="L94" t="str">
        <f t="shared" si="3"/>
        <v>OK</v>
      </c>
      <c r="M94" t="str">
        <f t="shared" si="4"/>
        <v>OK</v>
      </c>
      <c r="N94" t="str">
        <f t="shared" si="5"/>
        <v>ERRO</v>
      </c>
    </row>
    <row r="95" spans="1:14" ht="28.8" x14ac:dyDescent="0.3">
      <c r="A95">
        <v>39</v>
      </c>
      <c r="B95">
        <v>2023</v>
      </c>
      <c r="C95" s="2">
        <v>44945</v>
      </c>
      <c r="D95" s="7" t="s">
        <v>11</v>
      </c>
      <c r="E95" s="8" t="s">
        <v>29</v>
      </c>
      <c r="F95" s="8" t="s">
        <v>13</v>
      </c>
      <c r="G95" s="10">
        <v>42</v>
      </c>
      <c r="H95" s="10">
        <v>30</v>
      </c>
      <c r="I95" s="10">
        <v>42</v>
      </c>
      <c r="J95" s="10" t="s">
        <v>86</v>
      </c>
      <c r="K95" s="10">
        <v>39</v>
      </c>
      <c r="L95" t="str">
        <f t="shared" si="3"/>
        <v>OK</v>
      </c>
      <c r="M95" t="str">
        <f t="shared" si="4"/>
        <v>OK</v>
      </c>
      <c r="N95" t="str">
        <f t="shared" si="5"/>
        <v>ERRO</v>
      </c>
    </row>
    <row r="96" spans="1:14" ht="28.8" x14ac:dyDescent="0.3">
      <c r="A96">
        <v>39</v>
      </c>
      <c r="B96">
        <v>2023</v>
      </c>
      <c r="C96" s="2">
        <v>44945</v>
      </c>
      <c r="D96" s="3" t="s">
        <v>30</v>
      </c>
      <c r="E96" s="4" t="s">
        <v>31</v>
      </c>
      <c r="F96" s="4" t="s">
        <v>32</v>
      </c>
      <c r="G96" s="6">
        <v>4</v>
      </c>
      <c r="H96" s="6">
        <v>4</v>
      </c>
      <c r="I96" s="6">
        <v>5</v>
      </c>
      <c r="J96" s="6" t="s">
        <v>87</v>
      </c>
      <c r="K96" s="6">
        <v>4</v>
      </c>
      <c r="L96" t="str">
        <f t="shared" si="3"/>
        <v>OK</v>
      </c>
      <c r="M96" t="str">
        <f t="shared" si="4"/>
        <v>OK</v>
      </c>
      <c r="N96" t="str">
        <f t="shared" si="5"/>
        <v>ERRO</v>
      </c>
    </row>
    <row r="97" spans="1:14" ht="28.8" x14ac:dyDescent="0.3">
      <c r="A97">
        <v>39</v>
      </c>
      <c r="B97">
        <v>2023</v>
      </c>
      <c r="C97" s="2">
        <v>44945</v>
      </c>
      <c r="D97" s="7" t="s">
        <v>30</v>
      </c>
      <c r="E97" s="8" t="s">
        <v>34</v>
      </c>
      <c r="F97" s="8" t="s">
        <v>35</v>
      </c>
      <c r="G97" s="10">
        <v>20</v>
      </c>
      <c r="H97" s="10">
        <v>20</v>
      </c>
      <c r="I97" s="10">
        <v>22</v>
      </c>
      <c r="J97" s="10" t="s">
        <v>88</v>
      </c>
      <c r="K97" s="10">
        <v>20</v>
      </c>
      <c r="L97" t="str">
        <f t="shared" si="3"/>
        <v>OK</v>
      </c>
      <c r="M97" t="str">
        <f t="shared" si="4"/>
        <v>OK</v>
      </c>
      <c r="N97" t="str">
        <f t="shared" si="5"/>
        <v>ERRO</v>
      </c>
    </row>
    <row r="98" spans="1:14" ht="28.8" x14ac:dyDescent="0.3">
      <c r="A98">
        <v>39</v>
      </c>
      <c r="B98">
        <v>2023</v>
      </c>
      <c r="C98" s="2">
        <v>44945</v>
      </c>
      <c r="D98" s="3" t="s">
        <v>30</v>
      </c>
      <c r="E98" s="4" t="s">
        <v>36</v>
      </c>
      <c r="F98" s="4" t="s">
        <v>35</v>
      </c>
      <c r="G98" s="6">
        <v>25</v>
      </c>
      <c r="H98" s="6">
        <v>25</v>
      </c>
      <c r="I98" s="6">
        <v>25</v>
      </c>
      <c r="J98" s="6">
        <v>25</v>
      </c>
      <c r="K98" s="6">
        <v>25</v>
      </c>
      <c r="L98" t="str">
        <f t="shared" si="3"/>
        <v>OK</v>
      </c>
      <c r="M98" t="str">
        <f t="shared" si="4"/>
        <v>OK</v>
      </c>
      <c r="N98" t="str">
        <f t="shared" si="5"/>
        <v>OK</v>
      </c>
    </row>
    <row r="99" spans="1:14" ht="43.2" x14ac:dyDescent="0.3">
      <c r="A99">
        <v>39</v>
      </c>
      <c r="B99">
        <v>2023</v>
      </c>
      <c r="C99" s="2">
        <v>44945</v>
      </c>
      <c r="D99" s="7" t="s">
        <v>38</v>
      </c>
      <c r="E99" s="8" t="s">
        <v>39</v>
      </c>
      <c r="F99" s="8" t="s">
        <v>40</v>
      </c>
      <c r="G99" s="10">
        <v>60</v>
      </c>
      <c r="H99" s="10">
        <v>40</v>
      </c>
      <c r="I99" s="10">
        <v>60</v>
      </c>
      <c r="J99" s="10">
        <v>52</v>
      </c>
      <c r="K99" s="10">
        <v>55</v>
      </c>
      <c r="L99" t="str">
        <f t="shared" si="3"/>
        <v>OK</v>
      </c>
      <c r="M99" t="str">
        <f t="shared" si="4"/>
        <v>OK</v>
      </c>
      <c r="N99" t="str">
        <f t="shared" si="5"/>
        <v>OK</v>
      </c>
    </row>
    <row r="100" spans="1:14" ht="43.2" x14ac:dyDescent="0.3">
      <c r="A100">
        <v>39</v>
      </c>
      <c r="B100">
        <v>2023</v>
      </c>
      <c r="C100" s="2">
        <v>44945</v>
      </c>
      <c r="D100" s="3" t="s">
        <v>38</v>
      </c>
      <c r="E100" s="4" t="s">
        <v>42</v>
      </c>
      <c r="F100" s="4" t="s">
        <v>43</v>
      </c>
      <c r="G100" s="6">
        <v>50</v>
      </c>
      <c r="H100" s="6">
        <v>50</v>
      </c>
      <c r="I100" s="6">
        <v>65</v>
      </c>
      <c r="J100" s="6" t="s">
        <v>89</v>
      </c>
      <c r="K100" s="6">
        <v>55</v>
      </c>
      <c r="L100" t="str">
        <f t="shared" si="3"/>
        <v>OK</v>
      </c>
      <c r="M100" t="str">
        <f t="shared" si="4"/>
        <v>OK</v>
      </c>
      <c r="N100" t="str">
        <f t="shared" si="5"/>
        <v>ERRO</v>
      </c>
    </row>
    <row r="101" spans="1:14" ht="43.2" x14ac:dyDescent="0.3">
      <c r="A101">
        <v>39</v>
      </c>
      <c r="B101">
        <v>2023</v>
      </c>
      <c r="C101" s="2">
        <v>44945</v>
      </c>
      <c r="D101" s="7" t="s">
        <v>38</v>
      </c>
      <c r="E101" s="8" t="s">
        <v>44</v>
      </c>
      <c r="F101" s="8" t="s">
        <v>45</v>
      </c>
      <c r="G101" s="10">
        <v>50</v>
      </c>
      <c r="H101" s="10">
        <v>35</v>
      </c>
      <c r="I101" s="10">
        <v>55</v>
      </c>
      <c r="J101" s="10" t="s">
        <v>90</v>
      </c>
      <c r="K101" s="10" t="s">
        <v>91</v>
      </c>
      <c r="L101" t="str">
        <f t="shared" si="3"/>
        <v>OK</v>
      </c>
      <c r="M101" t="str">
        <f t="shared" si="4"/>
        <v>OK</v>
      </c>
      <c r="N101" t="str">
        <f t="shared" si="5"/>
        <v>ERRO</v>
      </c>
    </row>
    <row r="102" spans="1:14" ht="43.2" x14ac:dyDescent="0.3">
      <c r="A102">
        <v>39</v>
      </c>
      <c r="B102">
        <v>2023</v>
      </c>
      <c r="C102" s="2">
        <v>44945</v>
      </c>
      <c r="D102" s="3" t="s">
        <v>38</v>
      </c>
      <c r="E102" s="4" t="s">
        <v>48</v>
      </c>
      <c r="F102" s="4" t="s">
        <v>45</v>
      </c>
      <c r="G102" s="5"/>
      <c r="H102" s="6">
        <v>120</v>
      </c>
      <c r="I102" s="6">
        <v>120</v>
      </c>
      <c r="J102" s="6">
        <v>120</v>
      </c>
      <c r="K102" s="6">
        <v>120</v>
      </c>
      <c r="L102" t="str">
        <f t="shared" si="3"/>
        <v>OK</v>
      </c>
      <c r="M102" t="str">
        <f t="shared" si="4"/>
        <v>OK</v>
      </c>
      <c r="N102" t="str">
        <f t="shared" si="5"/>
        <v>OK</v>
      </c>
    </row>
    <row r="103" spans="1:14" ht="43.2" x14ac:dyDescent="0.3">
      <c r="A103">
        <v>39</v>
      </c>
      <c r="B103">
        <v>2023</v>
      </c>
      <c r="C103" s="2">
        <v>44945</v>
      </c>
      <c r="D103" s="7" t="s">
        <v>38</v>
      </c>
      <c r="E103" s="8" t="s">
        <v>49</v>
      </c>
      <c r="F103" s="8" t="s">
        <v>50</v>
      </c>
      <c r="G103" s="10">
        <v>50</v>
      </c>
      <c r="H103" s="10">
        <v>50</v>
      </c>
      <c r="I103" s="10">
        <v>60</v>
      </c>
      <c r="J103" s="10" t="s">
        <v>92</v>
      </c>
      <c r="K103" s="10" t="s">
        <v>78</v>
      </c>
      <c r="L103" t="str">
        <f t="shared" si="3"/>
        <v>OK</v>
      </c>
      <c r="M103" t="str">
        <f t="shared" si="4"/>
        <v>OK</v>
      </c>
      <c r="N103" t="str">
        <f t="shared" si="5"/>
        <v>ERRO</v>
      </c>
    </row>
    <row r="104" spans="1:14" ht="43.2" x14ac:dyDescent="0.3">
      <c r="A104">
        <v>39</v>
      </c>
      <c r="B104">
        <v>2023</v>
      </c>
      <c r="C104" s="2">
        <v>44945</v>
      </c>
      <c r="D104" s="3" t="s">
        <v>38</v>
      </c>
      <c r="E104" s="4" t="s">
        <v>52</v>
      </c>
      <c r="F104" s="4" t="s">
        <v>43</v>
      </c>
      <c r="G104" s="6">
        <v>80</v>
      </c>
      <c r="H104" s="6">
        <v>50</v>
      </c>
      <c r="I104" s="6">
        <v>80</v>
      </c>
      <c r="J104" s="6">
        <v>66</v>
      </c>
      <c r="K104" s="6">
        <v>65</v>
      </c>
      <c r="L104" t="str">
        <f t="shared" si="3"/>
        <v>OK</v>
      </c>
      <c r="M104" t="str">
        <f t="shared" si="4"/>
        <v>OK</v>
      </c>
      <c r="N104" t="str">
        <f t="shared" si="5"/>
        <v>OK</v>
      </c>
    </row>
    <row r="105" spans="1:14" ht="43.2" x14ac:dyDescent="0.3">
      <c r="A105">
        <v>39</v>
      </c>
      <c r="B105">
        <v>2023</v>
      </c>
      <c r="C105" s="2">
        <v>44945</v>
      </c>
      <c r="D105" s="7" t="s">
        <v>38</v>
      </c>
      <c r="E105" s="8" t="s">
        <v>53</v>
      </c>
      <c r="F105" s="8" t="s">
        <v>43</v>
      </c>
      <c r="G105" s="10">
        <v>70</v>
      </c>
      <c r="H105" s="10">
        <v>70</v>
      </c>
      <c r="I105" s="10">
        <v>80</v>
      </c>
      <c r="J105" s="10" t="s">
        <v>93</v>
      </c>
      <c r="K105" s="10">
        <v>70</v>
      </c>
      <c r="L105" t="str">
        <f t="shared" si="3"/>
        <v>OK</v>
      </c>
      <c r="M105" t="str">
        <f t="shared" si="4"/>
        <v>OK</v>
      </c>
      <c r="N105" t="str">
        <f t="shared" si="5"/>
        <v>ERRO</v>
      </c>
    </row>
    <row r="106" spans="1:14" ht="43.2" x14ac:dyDescent="0.3">
      <c r="A106">
        <v>39</v>
      </c>
      <c r="B106">
        <v>2023</v>
      </c>
      <c r="C106" s="2">
        <v>44945</v>
      </c>
      <c r="D106" s="3" t="s">
        <v>38</v>
      </c>
      <c r="E106" s="4" t="s">
        <v>54</v>
      </c>
      <c r="F106" s="4" t="s">
        <v>40</v>
      </c>
      <c r="G106" s="6">
        <v>70</v>
      </c>
      <c r="H106" s="6">
        <v>60</v>
      </c>
      <c r="I106" s="6">
        <v>70</v>
      </c>
      <c r="J106" s="6">
        <v>66</v>
      </c>
      <c r="K106" s="6">
        <v>70</v>
      </c>
      <c r="L106" t="str">
        <f t="shared" si="3"/>
        <v>OK</v>
      </c>
      <c r="M106" t="str">
        <f t="shared" si="4"/>
        <v>OK</v>
      </c>
      <c r="N106" t="str">
        <f t="shared" si="5"/>
        <v>OK</v>
      </c>
    </row>
    <row r="107" spans="1:14" ht="43.2" x14ac:dyDescent="0.3">
      <c r="A107">
        <v>39</v>
      </c>
      <c r="B107">
        <v>2023</v>
      </c>
      <c r="C107" s="2">
        <v>44945</v>
      </c>
      <c r="D107" s="7" t="s">
        <v>38</v>
      </c>
      <c r="E107" s="8" t="s">
        <v>56</v>
      </c>
      <c r="F107" s="8" t="s">
        <v>43</v>
      </c>
      <c r="G107" s="10">
        <v>60</v>
      </c>
      <c r="H107" s="10">
        <v>60</v>
      </c>
      <c r="I107" s="10">
        <v>60</v>
      </c>
      <c r="J107" s="10">
        <v>60</v>
      </c>
      <c r="K107" s="10">
        <v>60</v>
      </c>
      <c r="L107" t="str">
        <f t="shared" si="3"/>
        <v>OK</v>
      </c>
      <c r="M107" t="str">
        <f t="shared" si="4"/>
        <v>OK</v>
      </c>
      <c r="N107" t="str">
        <f t="shared" si="5"/>
        <v>OK</v>
      </c>
    </row>
    <row r="108" spans="1:14" ht="43.2" x14ac:dyDescent="0.3">
      <c r="A108">
        <v>39</v>
      </c>
      <c r="B108">
        <v>2023</v>
      </c>
      <c r="C108" s="2">
        <v>44945</v>
      </c>
      <c r="D108" s="3" t="s">
        <v>38</v>
      </c>
      <c r="E108" s="4" t="s">
        <v>57</v>
      </c>
      <c r="F108" s="4" t="s">
        <v>40</v>
      </c>
      <c r="G108" s="6">
        <v>60</v>
      </c>
      <c r="H108" s="6">
        <v>40</v>
      </c>
      <c r="I108" s="6">
        <v>60</v>
      </c>
      <c r="J108" s="6">
        <v>53</v>
      </c>
      <c r="K108" s="6">
        <v>55</v>
      </c>
      <c r="L108" t="str">
        <f t="shared" si="3"/>
        <v>OK</v>
      </c>
      <c r="M108" t="str">
        <f t="shared" si="4"/>
        <v>OK</v>
      </c>
      <c r="N108" t="str">
        <f t="shared" si="5"/>
        <v>OK</v>
      </c>
    </row>
    <row r="109" spans="1:14" ht="43.2" x14ac:dyDescent="0.3">
      <c r="A109">
        <v>39</v>
      </c>
      <c r="B109">
        <v>2023</v>
      </c>
      <c r="C109" s="2">
        <v>44945</v>
      </c>
      <c r="D109" s="7" t="s">
        <v>38</v>
      </c>
      <c r="E109" s="8" t="s">
        <v>58</v>
      </c>
      <c r="F109" s="8" t="s">
        <v>40</v>
      </c>
      <c r="G109" s="10">
        <v>70</v>
      </c>
      <c r="H109" s="10">
        <v>60</v>
      </c>
      <c r="I109" s="10">
        <v>80</v>
      </c>
      <c r="J109" s="10">
        <v>71</v>
      </c>
      <c r="K109" s="10">
        <v>70</v>
      </c>
      <c r="L109" t="str">
        <f t="shared" si="3"/>
        <v>OK</v>
      </c>
      <c r="M109" t="str">
        <f t="shared" si="4"/>
        <v>OK</v>
      </c>
      <c r="N109" t="str">
        <f t="shared" si="5"/>
        <v>OK</v>
      </c>
    </row>
    <row r="110" spans="1:14" ht="43.2" x14ac:dyDescent="0.3">
      <c r="A110">
        <v>39</v>
      </c>
      <c r="B110">
        <v>2023</v>
      </c>
      <c r="C110" s="2">
        <v>44945</v>
      </c>
      <c r="D110" s="3" t="s">
        <v>38</v>
      </c>
      <c r="E110" s="4" t="s">
        <v>59</v>
      </c>
      <c r="F110" s="4" t="s">
        <v>45</v>
      </c>
      <c r="G110" s="6">
        <v>40</v>
      </c>
      <c r="H110" s="6">
        <v>35</v>
      </c>
      <c r="I110" s="6">
        <v>45</v>
      </c>
      <c r="J110" s="6">
        <v>40</v>
      </c>
      <c r="K110" s="6">
        <v>40</v>
      </c>
      <c r="L110" t="str">
        <f t="shared" si="3"/>
        <v>OK</v>
      </c>
      <c r="M110" t="str">
        <f t="shared" si="4"/>
        <v>OK</v>
      </c>
      <c r="N110" t="str">
        <f t="shared" si="5"/>
        <v>OK</v>
      </c>
    </row>
    <row r="111" spans="1:14" ht="43.2" x14ac:dyDescent="0.3">
      <c r="A111">
        <v>39</v>
      </c>
      <c r="B111">
        <v>2023</v>
      </c>
      <c r="C111" s="2">
        <v>44945</v>
      </c>
      <c r="D111" s="7" t="s">
        <v>38</v>
      </c>
      <c r="E111" s="8" t="s">
        <v>60</v>
      </c>
      <c r="F111" s="8" t="s">
        <v>61</v>
      </c>
      <c r="G111" s="10">
        <v>70</v>
      </c>
      <c r="H111" s="10">
        <v>60</v>
      </c>
      <c r="I111" s="10">
        <v>75</v>
      </c>
      <c r="J111" s="10" t="s">
        <v>94</v>
      </c>
      <c r="K111" s="10">
        <v>70</v>
      </c>
      <c r="L111" t="str">
        <f t="shared" si="3"/>
        <v>OK</v>
      </c>
      <c r="M111" t="str">
        <f t="shared" si="4"/>
        <v>OK</v>
      </c>
      <c r="N111" t="str">
        <f t="shared" si="5"/>
        <v>ERRO</v>
      </c>
    </row>
    <row r="112" spans="1:14" ht="43.2" x14ac:dyDescent="0.3">
      <c r="A112">
        <v>39</v>
      </c>
      <c r="B112">
        <v>2023</v>
      </c>
      <c r="C112" s="2">
        <v>44945</v>
      </c>
      <c r="D112" s="3" t="s">
        <v>38</v>
      </c>
      <c r="E112" s="4" t="s">
        <v>63</v>
      </c>
      <c r="F112" s="4" t="s">
        <v>40</v>
      </c>
      <c r="G112" s="6">
        <v>90</v>
      </c>
      <c r="H112" s="6">
        <v>70</v>
      </c>
      <c r="I112" s="6">
        <v>100</v>
      </c>
      <c r="J112" s="6" t="s">
        <v>95</v>
      </c>
      <c r="K112" s="6">
        <v>85</v>
      </c>
      <c r="L112" t="str">
        <f t="shared" si="3"/>
        <v>OK</v>
      </c>
      <c r="M112" t="str">
        <f t="shared" si="4"/>
        <v>OK</v>
      </c>
      <c r="N112" t="str">
        <f t="shared" si="5"/>
        <v>ERRO</v>
      </c>
    </row>
    <row r="113" spans="1:14" ht="43.2" x14ac:dyDescent="0.3">
      <c r="A113">
        <v>39</v>
      </c>
      <c r="B113">
        <v>2023</v>
      </c>
      <c r="C113" s="2">
        <v>44945</v>
      </c>
      <c r="D113" s="7" t="s">
        <v>38</v>
      </c>
      <c r="E113" s="8" t="s">
        <v>64</v>
      </c>
      <c r="F113" s="8" t="s">
        <v>40</v>
      </c>
      <c r="G113" s="10">
        <v>120</v>
      </c>
      <c r="H113" s="10">
        <v>100</v>
      </c>
      <c r="I113" s="10">
        <v>120</v>
      </c>
      <c r="J113" s="10">
        <v>115</v>
      </c>
      <c r="K113" s="10">
        <v>120</v>
      </c>
      <c r="L113" t="str">
        <f t="shared" si="3"/>
        <v>OK</v>
      </c>
      <c r="M113" t="str">
        <f t="shared" si="4"/>
        <v>OK</v>
      </c>
      <c r="N113" t="str">
        <f t="shared" si="5"/>
        <v>OK</v>
      </c>
    </row>
    <row r="114" spans="1:14" x14ac:dyDescent="0.3">
      <c r="A114">
        <v>39</v>
      </c>
      <c r="B114">
        <v>2023</v>
      </c>
      <c r="C114" s="2">
        <v>44945</v>
      </c>
      <c r="D114" s="3" t="s">
        <v>65</v>
      </c>
      <c r="E114" s="4" t="s">
        <v>66</v>
      </c>
      <c r="F114" s="4" t="s">
        <v>40</v>
      </c>
      <c r="G114" s="5"/>
      <c r="H114" s="5"/>
      <c r="I114" s="5"/>
      <c r="J114" s="5"/>
      <c r="K114" s="5"/>
      <c r="L114" t="str">
        <f t="shared" si="3"/>
        <v>OK</v>
      </c>
      <c r="M114" t="str">
        <f t="shared" si="4"/>
        <v>OK</v>
      </c>
      <c r="N114" t="str">
        <f t="shared" si="5"/>
        <v>OK</v>
      </c>
    </row>
    <row r="115" spans="1:14" x14ac:dyDescent="0.3">
      <c r="A115">
        <v>39</v>
      </c>
      <c r="B115">
        <v>2023</v>
      </c>
      <c r="C115" s="2">
        <v>44945</v>
      </c>
      <c r="D115" s="7" t="s">
        <v>65</v>
      </c>
      <c r="E115" s="8" t="s">
        <v>67</v>
      </c>
      <c r="F115" s="8" t="s">
        <v>40</v>
      </c>
      <c r="G115" s="9"/>
      <c r="H115" s="9"/>
      <c r="I115" s="9"/>
      <c r="J115" s="9"/>
      <c r="K115" s="9"/>
      <c r="L115" t="str">
        <f t="shared" si="3"/>
        <v>OK</v>
      </c>
      <c r="M115" t="str">
        <f t="shared" si="4"/>
        <v>OK</v>
      </c>
      <c r="N115" t="str">
        <f t="shared" si="5"/>
        <v>OK</v>
      </c>
    </row>
    <row r="116" spans="1:14" x14ac:dyDescent="0.3">
      <c r="A116">
        <v>39</v>
      </c>
      <c r="B116">
        <v>2023</v>
      </c>
      <c r="C116" s="2">
        <v>44945</v>
      </c>
      <c r="D116" s="3" t="s">
        <v>65</v>
      </c>
      <c r="E116" s="4" t="s">
        <v>68</v>
      </c>
      <c r="F116" s="4" t="s">
        <v>40</v>
      </c>
      <c r="G116" s="5"/>
      <c r="H116" s="5"/>
      <c r="I116" s="5"/>
      <c r="J116" s="5"/>
      <c r="K116" s="5"/>
      <c r="L116" t="str">
        <f t="shared" si="3"/>
        <v>OK</v>
      </c>
      <c r="M116" t="str">
        <f t="shared" si="4"/>
        <v>OK</v>
      </c>
      <c r="N116" t="str">
        <f t="shared" si="5"/>
        <v>OK</v>
      </c>
    </row>
    <row r="117" spans="1:14" x14ac:dyDescent="0.3">
      <c r="A117">
        <v>39</v>
      </c>
      <c r="B117">
        <v>2023</v>
      </c>
      <c r="C117" s="2">
        <v>44945</v>
      </c>
      <c r="D117" s="7" t="s">
        <v>65</v>
      </c>
      <c r="E117" s="8" t="s">
        <v>69</v>
      </c>
      <c r="F117" s="8" t="s">
        <v>45</v>
      </c>
      <c r="G117" s="9"/>
      <c r="H117" s="9"/>
      <c r="I117" s="9"/>
      <c r="J117" s="9"/>
      <c r="K117" s="9"/>
      <c r="L117" t="str">
        <f t="shared" si="3"/>
        <v>OK</v>
      </c>
      <c r="M117" t="str">
        <f t="shared" si="4"/>
        <v>OK</v>
      </c>
      <c r="N117" t="str">
        <f t="shared" si="5"/>
        <v>OK</v>
      </c>
    </row>
    <row r="118" spans="1:14" x14ac:dyDescent="0.3">
      <c r="A118">
        <v>39</v>
      </c>
      <c r="B118">
        <v>2023</v>
      </c>
      <c r="C118" s="2">
        <v>44945</v>
      </c>
      <c r="D118" s="3" t="s">
        <v>65</v>
      </c>
      <c r="E118" s="4" t="s">
        <v>70</v>
      </c>
      <c r="F118" s="4" t="s">
        <v>71</v>
      </c>
      <c r="G118" s="5"/>
      <c r="H118" s="5"/>
      <c r="I118" s="5"/>
      <c r="J118" s="5"/>
      <c r="K118" s="5"/>
      <c r="L118" t="str">
        <f t="shared" si="3"/>
        <v>OK</v>
      </c>
      <c r="M118" t="str">
        <f t="shared" si="4"/>
        <v>OK</v>
      </c>
      <c r="N118" t="str">
        <f t="shared" si="5"/>
        <v>OK</v>
      </c>
    </row>
    <row r="119" spans="1:14" ht="28.8" x14ac:dyDescent="0.3">
      <c r="A119">
        <v>40</v>
      </c>
      <c r="B119">
        <v>2023</v>
      </c>
      <c r="C119" s="2">
        <v>44952</v>
      </c>
      <c r="D119" s="3" t="s">
        <v>11</v>
      </c>
      <c r="E119" s="4" t="s">
        <v>12</v>
      </c>
      <c r="F119" s="4" t="s">
        <v>13</v>
      </c>
      <c r="G119" s="6">
        <v>42</v>
      </c>
      <c r="H119" s="6">
        <v>42</v>
      </c>
      <c r="I119" s="6">
        <v>42</v>
      </c>
      <c r="J119" s="6">
        <v>42</v>
      </c>
      <c r="K119" s="6">
        <v>42</v>
      </c>
      <c r="L119" t="str">
        <f t="shared" si="3"/>
        <v>OK</v>
      </c>
      <c r="M119" t="str">
        <f t="shared" si="4"/>
        <v>OK</v>
      </c>
      <c r="N119" t="str">
        <f t="shared" si="5"/>
        <v>OK</v>
      </c>
    </row>
    <row r="120" spans="1:14" ht="28.8" x14ac:dyDescent="0.3">
      <c r="A120">
        <v>40</v>
      </c>
      <c r="B120">
        <v>2023</v>
      </c>
      <c r="C120" s="2">
        <v>44952</v>
      </c>
      <c r="D120" s="7" t="s">
        <v>11</v>
      </c>
      <c r="E120" s="8" t="s">
        <v>14</v>
      </c>
      <c r="F120" s="8" t="s">
        <v>13</v>
      </c>
      <c r="G120" s="10">
        <v>60</v>
      </c>
      <c r="H120" s="10">
        <v>60</v>
      </c>
      <c r="I120" s="10">
        <v>60</v>
      </c>
      <c r="J120" s="10">
        <v>60</v>
      </c>
      <c r="K120" s="10">
        <v>60</v>
      </c>
      <c r="L120" t="str">
        <f t="shared" si="3"/>
        <v>OK</v>
      </c>
      <c r="M120" t="str">
        <f t="shared" si="4"/>
        <v>OK</v>
      </c>
      <c r="N120" t="str">
        <f t="shared" si="5"/>
        <v>OK</v>
      </c>
    </row>
    <row r="121" spans="1:14" ht="28.8" x14ac:dyDescent="0.3">
      <c r="A121">
        <v>40</v>
      </c>
      <c r="B121">
        <v>2023</v>
      </c>
      <c r="C121" s="2">
        <v>44952</v>
      </c>
      <c r="D121" s="3" t="s">
        <v>11</v>
      </c>
      <c r="E121" s="4" t="s">
        <v>15</v>
      </c>
      <c r="F121" s="4" t="s">
        <v>13</v>
      </c>
      <c r="G121" s="5"/>
      <c r="H121" s="6">
        <v>36</v>
      </c>
      <c r="I121" s="6">
        <v>42</v>
      </c>
      <c r="J121" s="6">
        <v>39</v>
      </c>
      <c r="K121" s="6">
        <v>39</v>
      </c>
      <c r="L121" t="str">
        <f t="shared" si="3"/>
        <v>OK</v>
      </c>
      <c r="M121" t="str">
        <f t="shared" si="4"/>
        <v>OK</v>
      </c>
      <c r="N121" t="str">
        <f t="shared" si="5"/>
        <v>OK</v>
      </c>
    </row>
    <row r="122" spans="1:14" ht="28.8" x14ac:dyDescent="0.3">
      <c r="A122">
        <v>40</v>
      </c>
      <c r="B122">
        <v>2023</v>
      </c>
      <c r="C122" s="2">
        <v>44952</v>
      </c>
      <c r="D122" s="7" t="s">
        <v>11</v>
      </c>
      <c r="E122" s="8" t="s">
        <v>16</v>
      </c>
      <c r="F122" s="8" t="s">
        <v>13</v>
      </c>
      <c r="G122" s="10">
        <v>24</v>
      </c>
      <c r="H122" s="10">
        <v>18</v>
      </c>
      <c r="I122" s="10">
        <v>24</v>
      </c>
      <c r="J122" s="10">
        <v>22</v>
      </c>
      <c r="K122" s="10">
        <v>24</v>
      </c>
      <c r="L122" t="str">
        <f t="shared" si="3"/>
        <v>OK</v>
      </c>
      <c r="M122" t="str">
        <f t="shared" si="4"/>
        <v>OK</v>
      </c>
      <c r="N122" t="str">
        <f t="shared" si="5"/>
        <v>OK</v>
      </c>
    </row>
    <row r="123" spans="1:14" ht="28.8" x14ac:dyDescent="0.3">
      <c r="A123">
        <v>40</v>
      </c>
      <c r="B123">
        <v>2023</v>
      </c>
      <c r="C123" s="2">
        <v>44952</v>
      </c>
      <c r="D123" s="3" t="s">
        <v>11</v>
      </c>
      <c r="E123" s="4" t="s">
        <v>17</v>
      </c>
      <c r="F123" s="4" t="s">
        <v>13</v>
      </c>
      <c r="G123" s="6">
        <v>24</v>
      </c>
      <c r="H123" s="6">
        <v>18</v>
      </c>
      <c r="I123" s="6">
        <v>24</v>
      </c>
      <c r="J123" s="6">
        <v>22</v>
      </c>
      <c r="K123" s="6">
        <v>24</v>
      </c>
      <c r="L123" t="str">
        <f t="shared" si="3"/>
        <v>OK</v>
      </c>
      <c r="M123" t="str">
        <f t="shared" si="4"/>
        <v>OK</v>
      </c>
      <c r="N123" t="str">
        <f t="shared" si="5"/>
        <v>OK</v>
      </c>
    </row>
    <row r="124" spans="1:14" ht="28.8" x14ac:dyDescent="0.3">
      <c r="A124">
        <v>40</v>
      </c>
      <c r="B124">
        <v>2023</v>
      </c>
      <c r="C124" s="2">
        <v>44952</v>
      </c>
      <c r="D124" s="7" t="s">
        <v>11</v>
      </c>
      <c r="E124" s="8" t="s">
        <v>18</v>
      </c>
      <c r="F124" s="8" t="s">
        <v>13</v>
      </c>
      <c r="G124" s="9"/>
      <c r="H124" s="10">
        <v>42</v>
      </c>
      <c r="I124" s="10">
        <v>48</v>
      </c>
      <c r="J124" s="10">
        <v>45</v>
      </c>
      <c r="K124" s="10">
        <v>45</v>
      </c>
      <c r="L124" t="str">
        <f t="shared" si="3"/>
        <v>OK</v>
      </c>
      <c r="M124" t="str">
        <f t="shared" si="4"/>
        <v>OK</v>
      </c>
      <c r="N124" t="str">
        <f t="shared" si="5"/>
        <v>OK</v>
      </c>
    </row>
    <row r="125" spans="1:14" ht="28.8" x14ac:dyDescent="0.3">
      <c r="A125">
        <v>40</v>
      </c>
      <c r="B125">
        <v>2023</v>
      </c>
      <c r="C125" s="2">
        <v>44952</v>
      </c>
      <c r="D125" s="3" t="s">
        <v>11</v>
      </c>
      <c r="E125" s="4" t="s">
        <v>19</v>
      </c>
      <c r="F125" s="4" t="s">
        <v>13</v>
      </c>
      <c r="G125" s="5"/>
      <c r="H125" s="6">
        <v>66</v>
      </c>
      <c r="I125" s="6">
        <v>78</v>
      </c>
      <c r="J125" s="6">
        <v>72</v>
      </c>
      <c r="K125" s="6">
        <v>72</v>
      </c>
      <c r="L125" t="str">
        <f t="shared" si="3"/>
        <v>OK</v>
      </c>
      <c r="M125" t="str">
        <f t="shared" si="4"/>
        <v>OK</v>
      </c>
      <c r="N125" t="str">
        <f t="shared" si="5"/>
        <v>OK</v>
      </c>
    </row>
    <row r="126" spans="1:14" ht="28.8" x14ac:dyDescent="0.3">
      <c r="A126">
        <v>40</v>
      </c>
      <c r="B126">
        <v>2023</v>
      </c>
      <c r="C126" s="2">
        <v>44952</v>
      </c>
      <c r="D126" s="7" t="s">
        <v>11</v>
      </c>
      <c r="E126" s="8" t="s">
        <v>20</v>
      </c>
      <c r="F126" s="8" t="s">
        <v>13</v>
      </c>
      <c r="G126" s="9"/>
      <c r="H126" s="10">
        <v>60</v>
      </c>
      <c r="I126" s="10">
        <v>72</v>
      </c>
      <c r="J126" s="10">
        <v>66</v>
      </c>
      <c r="K126" s="10">
        <v>66</v>
      </c>
      <c r="L126" t="str">
        <f t="shared" si="3"/>
        <v>OK</v>
      </c>
      <c r="M126" t="str">
        <f t="shared" si="4"/>
        <v>OK</v>
      </c>
      <c r="N126" t="str">
        <f t="shared" si="5"/>
        <v>OK</v>
      </c>
    </row>
    <row r="127" spans="1:14" ht="28.8" x14ac:dyDescent="0.3">
      <c r="A127">
        <v>40</v>
      </c>
      <c r="B127">
        <v>2023</v>
      </c>
      <c r="C127" s="2">
        <v>44952</v>
      </c>
      <c r="D127" s="3" t="s">
        <v>11</v>
      </c>
      <c r="E127" s="4" t="s">
        <v>22</v>
      </c>
      <c r="F127" s="4"/>
      <c r="G127" s="5"/>
      <c r="H127" s="6">
        <v>15</v>
      </c>
      <c r="I127" s="6">
        <v>24</v>
      </c>
      <c r="J127" s="6">
        <v>19</v>
      </c>
      <c r="K127" s="6">
        <v>18</v>
      </c>
      <c r="L127" t="str">
        <f t="shared" si="3"/>
        <v>OK</v>
      </c>
      <c r="M127" t="str">
        <f t="shared" si="4"/>
        <v>OK</v>
      </c>
      <c r="N127" t="str">
        <f t="shared" si="5"/>
        <v>OK</v>
      </c>
    </row>
    <row r="128" spans="1:14" ht="28.8" x14ac:dyDescent="0.3">
      <c r="A128">
        <v>40</v>
      </c>
      <c r="B128">
        <v>2023</v>
      </c>
      <c r="C128" s="2">
        <v>44952</v>
      </c>
      <c r="D128" s="7" t="s">
        <v>11</v>
      </c>
      <c r="E128" s="8" t="s">
        <v>22</v>
      </c>
      <c r="F128" s="8"/>
      <c r="G128" s="9"/>
      <c r="H128" s="10">
        <v>60</v>
      </c>
      <c r="I128" s="10">
        <v>84</v>
      </c>
      <c r="J128" s="10">
        <v>72</v>
      </c>
      <c r="K128" s="10">
        <v>72</v>
      </c>
      <c r="L128" t="str">
        <f t="shared" si="3"/>
        <v>OK</v>
      </c>
      <c r="M128" t="str">
        <f t="shared" si="4"/>
        <v>OK</v>
      </c>
      <c r="N128" t="str">
        <f t="shared" si="5"/>
        <v>OK</v>
      </c>
    </row>
    <row r="129" spans="1:14" ht="28.8" x14ac:dyDescent="0.3">
      <c r="A129">
        <v>40</v>
      </c>
      <c r="B129">
        <v>2023</v>
      </c>
      <c r="C129" s="2">
        <v>44952</v>
      </c>
      <c r="D129" s="3" t="s">
        <v>11</v>
      </c>
      <c r="E129" s="4" t="s">
        <v>23</v>
      </c>
      <c r="F129" s="4" t="s">
        <v>13</v>
      </c>
      <c r="G129" s="6">
        <v>24</v>
      </c>
      <c r="H129" s="6">
        <v>18</v>
      </c>
      <c r="I129" s="6">
        <v>24</v>
      </c>
      <c r="J129" s="6">
        <v>22</v>
      </c>
      <c r="K129" s="6">
        <v>24</v>
      </c>
      <c r="L129" t="str">
        <f t="shared" si="3"/>
        <v>OK</v>
      </c>
      <c r="M129" t="str">
        <f t="shared" si="4"/>
        <v>OK</v>
      </c>
      <c r="N129" t="str">
        <f t="shared" si="5"/>
        <v>OK</v>
      </c>
    </row>
    <row r="130" spans="1:14" ht="28.8" x14ac:dyDescent="0.3">
      <c r="A130">
        <v>40</v>
      </c>
      <c r="B130">
        <v>2023</v>
      </c>
      <c r="C130" s="2">
        <v>44952</v>
      </c>
      <c r="D130" s="7" t="s">
        <v>11</v>
      </c>
      <c r="E130" s="8" t="s">
        <v>24</v>
      </c>
      <c r="F130" s="8" t="s">
        <v>13</v>
      </c>
      <c r="G130" s="10">
        <v>60</v>
      </c>
      <c r="H130" s="10">
        <v>60</v>
      </c>
      <c r="I130" s="10">
        <v>60</v>
      </c>
      <c r="J130" s="10">
        <v>60</v>
      </c>
      <c r="K130" s="10">
        <v>60</v>
      </c>
      <c r="L130" t="str">
        <f t="shared" si="3"/>
        <v>OK</v>
      </c>
      <c r="M130" t="str">
        <f t="shared" si="4"/>
        <v>OK</v>
      </c>
      <c r="N130" t="str">
        <f t="shared" si="5"/>
        <v>OK</v>
      </c>
    </row>
    <row r="131" spans="1:14" ht="28.8" x14ac:dyDescent="0.3">
      <c r="A131">
        <v>40</v>
      </c>
      <c r="B131">
        <v>2023</v>
      </c>
      <c r="C131" s="2">
        <v>44952</v>
      </c>
      <c r="D131" s="3" t="s">
        <v>11</v>
      </c>
      <c r="E131" s="4" t="s">
        <v>25</v>
      </c>
      <c r="F131" s="4" t="s">
        <v>26</v>
      </c>
      <c r="G131" s="5"/>
      <c r="H131" s="6">
        <v>54</v>
      </c>
      <c r="I131" s="6">
        <v>60</v>
      </c>
      <c r="J131" s="6">
        <v>57</v>
      </c>
      <c r="K131" s="6">
        <v>57</v>
      </c>
      <c r="L131" t="str">
        <f t="shared" ref="L131:L194" si="6">IF(H131&gt;I131,"ERRO","OK")</f>
        <v>OK</v>
      </c>
      <c r="M131" t="str">
        <f t="shared" ref="M131:M194" si="7">IF(H131&gt;J131,"ERRO","OK")</f>
        <v>OK</v>
      </c>
      <c r="N131" t="str">
        <f t="shared" ref="N131:N194" si="8">IF(I131&lt;J131,"ERRO","OK")</f>
        <v>OK</v>
      </c>
    </row>
    <row r="132" spans="1:14" ht="28.8" x14ac:dyDescent="0.3">
      <c r="A132">
        <v>40</v>
      </c>
      <c r="B132">
        <v>2023</v>
      </c>
      <c r="C132" s="2">
        <v>44952</v>
      </c>
      <c r="D132" s="7" t="s">
        <v>11</v>
      </c>
      <c r="E132" s="8" t="s">
        <v>27</v>
      </c>
      <c r="F132" s="8" t="s">
        <v>13</v>
      </c>
      <c r="G132" s="9"/>
      <c r="H132" s="10">
        <v>40</v>
      </c>
      <c r="I132" s="10">
        <v>54</v>
      </c>
      <c r="J132" s="10">
        <v>47</v>
      </c>
      <c r="K132" s="10">
        <v>47</v>
      </c>
      <c r="L132" t="str">
        <f t="shared" si="6"/>
        <v>OK</v>
      </c>
      <c r="M132" t="str">
        <f t="shared" si="7"/>
        <v>OK</v>
      </c>
      <c r="N132" t="str">
        <f t="shared" si="8"/>
        <v>OK</v>
      </c>
    </row>
    <row r="133" spans="1:14" ht="28.8" x14ac:dyDescent="0.3">
      <c r="A133">
        <v>40</v>
      </c>
      <c r="B133">
        <v>2023</v>
      </c>
      <c r="C133" s="2">
        <v>44952</v>
      </c>
      <c r="D133" s="3" t="s">
        <v>11</v>
      </c>
      <c r="E133" s="4" t="s">
        <v>28</v>
      </c>
      <c r="F133" s="4" t="s">
        <v>13</v>
      </c>
      <c r="G133" s="5"/>
      <c r="H133" s="6">
        <v>25</v>
      </c>
      <c r="I133" s="6">
        <v>36</v>
      </c>
      <c r="J133" s="6" t="s">
        <v>96</v>
      </c>
      <c r="K133" s="6">
        <v>30</v>
      </c>
      <c r="L133" t="str">
        <f t="shared" si="6"/>
        <v>OK</v>
      </c>
      <c r="M133" t="str">
        <f t="shared" si="7"/>
        <v>OK</v>
      </c>
      <c r="N133" t="str">
        <f t="shared" si="8"/>
        <v>ERRO</v>
      </c>
    </row>
    <row r="134" spans="1:14" ht="28.8" x14ac:dyDescent="0.3">
      <c r="A134">
        <v>40</v>
      </c>
      <c r="B134">
        <v>2023</v>
      </c>
      <c r="C134" s="2">
        <v>44952</v>
      </c>
      <c r="D134" s="7" t="s">
        <v>11</v>
      </c>
      <c r="E134" s="8" t="s">
        <v>29</v>
      </c>
      <c r="F134" s="8" t="s">
        <v>13</v>
      </c>
      <c r="G134" s="10">
        <v>42</v>
      </c>
      <c r="H134" s="10">
        <v>42</v>
      </c>
      <c r="I134" s="10">
        <v>42</v>
      </c>
      <c r="J134" s="10">
        <v>42</v>
      </c>
      <c r="K134" s="10">
        <v>42</v>
      </c>
      <c r="L134" t="str">
        <f t="shared" si="6"/>
        <v>OK</v>
      </c>
      <c r="M134" t="str">
        <f t="shared" si="7"/>
        <v>OK</v>
      </c>
      <c r="N134" t="str">
        <f t="shared" si="8"/>
        <v>OK</v>
      </c>
    </row>
    <row r="135" spans="1:14" ht="28.8" x14ac:dyDescent="0.3">
      <c r="A135">
        <v>40</v>
      </c>
      <c r="B135">
        <v>2023</v>
      </c>
      <c r="C135" s="2">
        <v>44952</v>
      </c>
      <c r="D135" s="3" t="s">
        <v>30</v>
      </c>
      <c r="E135" s="4" t="s">
        <v>31</v>
      </c>
      <c r="F135" s="4" t="s">
        <v>32</v>
      </c>
      <c r="G135" s="5"/>
      <c r="H135" s="6">
        <v>4</v>
      </c>
      <c r="I135" s="6">
        <v>5</v>
      </c>
      <c r="J135" s="6" t="s">
        <v>97</v>
      </c>
      <c r="K135" s="6" t="s">
        <v>97</v>
      </c>
      <c r="L135" t="str">
        <f t="shared" si="6"/>
        <v>OK</v>
      </c>
      <c r="M135" t="str">
        <f t="shared" si="7"/>
        <v>OK</v>
      </c>
      <c r="N135" t="str">
        <f t="shared" si="8"/>
        <v>ERRO</v>
      </c>
    </row>
    <row r="136" spans="1:14" ht="28.8" x14ac:dyDescent="0.3">
      <c r="A136">
        <v>40</v>
      </c>
      <c r="B136">
        <v>2023</v>
      </c>
      <c r="C136" s="2">
        <v>44952</v>
      </c>
      <c r="D136" s="7" t="s">
        <v>30</v>
      </c>
      <c r="E136" s="8" t="s">
        <v>34</v>
      </c>
      <c r="F136" s="8" t="s">
        <v>35</v>
      </c>
      <c r="G136" s="9"/>
      <c r="H136" s="10">
        <v>18</v>
      </c>
      <c r="I136" s="10">
        <v>20</v>
      </c>
      <c r="J136" s="10">
        <v>19</v>
      </c>
      <c r="K136" s="10">
        <v>19</v>
      </c>
      <c r="L136" t="str">
        <f t="shared" si="6"/>
        <v>OK</v>
      </c>
      <c r="M136" t="str">
        <f t="shared" si="7"/>
        <v>OK</v>
      </c>
      <c r="N136" t="str">
        <f t="shared" si="8"/>
        <v>OK</v>
      </c>
    </row>
    <row r="137" spans="1:14" ht="28.8" x14ac:dyDescent="0.3">
      <c r="A137">
        <v>40</v>
      </c>
      <c r="B137">
        <v>2023</v>
      </c>
      <c r="C137" s="2">
        <v>44952</v>
      </c>
      <c r="D137" s="3" t="s">
        <v>30</v>
      </c>
      <c r="E137" s="4" t="s">
        <v>36</v>
      </c>
      <c r="F137" s="4" t="s">
        <v>35</v>
      </c>
      <c r="G137" s="6">
        <v>25</v>
      </c>
      <c r="H137" s="6">
        <v>25</v>
      </c>
      <c r="I137" s="6">
        <v>25</v>
      </c>
      <c r="J137" s="6">
        <v>25</v>
      </c>
      <c r="K137" s="6">
        <v>25</v>
      </c>
      <c r="L137" t="str">
        <f t="shared" si="6"/>
        <v>OK</v>
      </c>
      <c r="M137" t="str">
        <f t="shared" si="7"/>
        <v>OK</v>
      </c>
      <c r="N137" t="str">
        <f t="shared" si="8"/>
        <v>OK</v>
      </c>
    </row>
    <row r="138" spans="1:14" ht="43.2" x14ac:dyDescent="0.3">
      <c r="A138">
        <v>40</v>
      </c>
      <c r="B138">
        <v>2023</v>
      </c>
      <c r="C138" s="2">
        <v>44952</v>
      </c>
      <c r="D138" s="7" t="s">
        <v>38</v>
      </c>
      <c r="E138" s="8" t="s">
        <v>39</v>
      </c>
      <c r="F138" s="8" t="s">
        <v>40</v>
      </c>
      <c r="G138" s="10">
        <v>50</v>
      </c>
      <c r="H138" s="10">
        <v>30</v>
      </c>
      <c r="I138" s="10">
        <v>50</v>
      </c>
      <c r="J138" s="10" t="s">
        <v>98</v>
      </c>
      <c r="K138" s="10">
        <v>45</v>
      </c>
      <c r="L138" t="str">
        <f t="shared" si="6"/>
        <v>OK</v>
      </c>
      <c r="M138" t="str">
        <f t="shared" si="7"/>
        <v>OK</v>
      </c>
      <c r="N138" t="str">
        <f t="shared" si="8"/>
        <v>ERRO</v>
      </c>
    </row>
    <row r="139" spans="1:14" ht="43.2" x14ac:dyDescent="0.3">
      <c r="A139">
        <v>40</v>
      </c>
      <c r="B139">
        <v>2023</v>
      </c>
      <c r="C139" s="2">
        <v>44952</v>
      </c>
      <c r="D139" s="3" t="s">
        <v>38</v>
      </c>
      <c r="E139" s="4" t="s">
        <v>42</v>
      </c>
      <c r="F139" s="4" t="s">
        <v>43</v>
      </c>
      <c r="G139" s="6">
        <v>45</v>
      </c>
      <c r="H139" s="6">
        <v>35</v>
      </c>
      <c r="I139" s="6">
        <v>60</v>
      </c>
      <c r="J139" s="6" t="s">
        <v>99</v>
      </c>
      <c r="K139" s="6">
        <v>45</v>
      </c>
      <c r="L139" t="str">
        <f t="shared" si="6"/>
        <v>OK</v>
      </c>
      <c r="M139" t="str">
        <f t="shared" si="7"/>
        <v>OK</v>
      </c>
      <c r="N139" t="str">
        <f t="shared" si="8"/>
        <v>ERRO</v>
      </c>
    </row>
    <row r="140" spans="1:14" ht="43.2" x14ac:dyDescent="0.3">
      <c r="A140">
        <v>40</v>
      </c>
      <c r="B140">
        <v>2023</v>
      </c>
      <c r="C140" s="2">
        <v>44952</v>
      </c>
      <c r="D140" s="7" t="s">
        <v>38</v>
      </c>
      <c r="E140" s="8" t="s">
        <v>44</v>
      </c>
      <c r="F140" s="8" t="s">
        <v>45</v>
      </c>
      <c r="G140" s="10">
        <v>35</v>
      </c>
      <c r="H140" s="10">
        <v>30</v>
      </c>
      <c r="I140" s="10">
        <v>45</v>
      </c>
      <c r="J140" s="10" t="s">
        <v>100</v>
      </c>
      <c r="K140" s="10">
        <v>40</v>
      </c>
      <c r="L140" t="str">
        <f t="shared" si="6"/>
        <v>OK</v>
      </c>
      <c r="M140" t="str">
        <f t="shared" si="7"/>
        <v>OK</v>
      </c>
      <c r="N140" t="str">
        <f t="shared" si="8"/>
        <v>ERRO</v>
      </c>
    </row>
    <row r="141" spans="1:14" ht="43.2" x14ac:dyDescent="0.3">
      <c r="A141">
        <v>40</v>
      </c>
      <c r="B141">
        <v>2023</v>
      </c>
      <c r="C141" s="2">
        <v>44952</v>
      </c>
      <c r="D141" s="3" t="s">
        <v>38</v>
      </c>
      <c r="E141" s="4" t="s">
        <v>48</v>
      </c>
      <c r="F141" s="4" t="s">
        <v>45</v>
      </c>
      <c r="G141" s="5"/>
      <c r="H141" s="6">
        <v>120</v>
      </c>
      <c r="I141" s="6">
        <v>120</v>
      </c>
      <c r="J141" s="6">
        <v>120</v>
      </c>
      <c r="K141" s="6">
        <v>120</v>
      </c>
      <c r="L141" t="str">
        <f t="shared" si="6"/>
        <v>OK</v>
      </c>
      <c r="M141" t="str">
        <f t="shared" si="7"/>
        <v>OK</v>
      </c>
      <c r="N141" t="str">
        <f t="shared" si="8"/>
        <v>OK</v>
      </c>
    </row>
    <row r="142" spans="1:14" ht="43.2" x14ac:dyDescent="0.3">
      <c r="A142">
        <v>40</v>
      </c>
      <c r="B142">
        <v>2023</v>
      </c>
      <c r="C142" s="2">
        <v>44952</v>
      </c>
      <c r="D142" s="7" t="s">
        <v>38</v>
      </c>
      <c r="E142" s="8" t="s">
        <v>49</v>
      </c>
      <c r="F142" s="8" t="s">
        <v>50</v>
      </c>
      <c r="G142" s="10">
        <v>60</v>
      </c>
      <c r="H142" s="10">
        <v>50</v>
      </c>
      <c r="I142" s="10">
        <v>65</v>
      </c>
      <c r="J142" s="10" t="s">
        <v>101</v>
      </c>
      <c r="K142" s="10">
        <v>60</v>
      </c>
      <c r="L142" t="str">
        <f t="shared" si="6"/>
        <v>OK</v>
      </c>
      <c r="M142" t="str">
        <f t="shared" si="7"/>
        <v>OK</v>
      </c>
      <c r="N142" t="str">
        <f t="shared" si="8"/>
        <v>ERRO</v>
      </c>
    </row>
    <row r="143" spans="1:14" ht="43.2" x14ac:dyDescent="0.3">
      <c r="A143">
        <v>40</v>
      </c>
      <c r="B143">
        <v>2023</v>
      </c>
      <c r="C143" s="2">
        <v>44952</v>
      </c>
      <c r="D143" s="3" t="s">
        <v>38</v>
      </c>
      <c r="E143" s="4" t="s">
        <v>52</v>
      </c>
      <c r="F143" s="4" t="s">
        <v>43</v>
      </c>
      <c r="G143" s="6">
        <v>60</v>
      </c>
      <c r="H143" s="6">
        <v>60</v>
      </c>
      <c r="I143" s="6">
        <v>80</v>
      </c>
      <c r="J143" s="6">
        <v>68</v>
      </c>
      <c r="K143" s="6">
        <v>60</v>
      </c>
      <c r="L143" t="str">
        <f t="shared" si="6"/>
        <v>OK</v>
      </c>
      <c r="M143" t="str">
        <f t="shared" si="7"/>
        <v>OK</v>
      </c>
      <c r="N143" t="str">
        <f t="shared" si="8"/>
        <v>OK</v>
      </c>
    </row>
    <row r="144" spans="1:14" ht="43.2" x14ac:dyDescent="0.3">
      <c r="A144">
        <v>40</v>
      </c>
      <c r="B144">
        <v>2023</v>
      </c>
      <c r="C144" s="2">
        <v>44952</v>
      </c>
      <c r="D144" s="7" t="s">
        <v>38</v>
      </c>
      <c r="E144" s="8" t="s">
        <v>53</v>
      </c>
      <c r="F144" s="8" t="s">
        <v>43</v>
      </c>
      <c r="G144" s="10">
        <v>70</v>
      </c>
      <c r="H144" s="10">
        <v>50</v>
      </c>
      <c r="I144" s="10">
        <v>80</v>
      </c>
      <c r="J144" s="10" t="s">
        <v>102</v>
      </c>
      <c r="K144" s="10">
        <v>70</v>
      </c>
      <c r="L144" t="str">
        <f t="shared" si="6"/>
        <v>OK</v>
      </c>
      <c r="M144" t="str">
        <f t="shared" si="7"/>
        <v>OK</v>
      </c>
      <c r="N144" t="str">
        <f t="shared" si="8"/>
        <v>ERRO</v>
      </c>
    </row>
    <row r="145" spans="1:14" ht="43.2" x14ac:dyDescent="0.3">
      <c r="A145">
        <v>40</v>
      </c>
      <c r="B145">
        <v>2023</v>
      </c>
      <c r="C145" s="2">
        <v>44952</v>
      </c>
      <c r="D145" s="3" t="s">
        <v>38</v>
      </c>
      <c r="E145" s="4" t="s">
        <v>54</v>
      </c>
      <c r="F145" s="4" t="s">
        <v>40</v>
      </c>
      <c r="G145" s="6">
        <v>70</v>
      </c>
      <c r="H145" s="6">
        <v>60</v>
      </c>
      <c r="I145" s="6">
        <v>70</v>
      </c>
      <c r="J145" s="6" t="s">
        <v>84</v>
      </c>
      <c r="K145" s="6">
        <v>70</v>
      </c>
      <c r="L145" t="str">
        <f t="shared" si="6"/>
        <v>OK</v>
      </c>
      <c r="M145" t="str">
        <f t="shared" si="7"/>
        <v>OK</v>
      </c>
      <c r="N145" t="str">
        <f t="shared" si="8"/>
        <v>ERRO</v>
      </c>
    </row>
    <row r="146" spans="1:14" ht="43.2" x14ac:dyDescent="0.3">
      <c r="A146">
        <v>40</v>
      </c>
      <c r="B146">
        <v>2023</v>
      </c>
      <c r="C146" s="2">
        <v>44952</v>
      </c>
      <c r="D146" s="7" t="s">
        <v>38</v>
      </c>
      <c r="E146" s="8" t="s">
        <v>56</v>
      </c>
      <c r="F146" s="8" t="s">
        <v>43</v>
      </c>
      <c r="G146" s="9"/>
      <c r="H146" s="10">
        <v>60</v>
      </c>
      <c r="I146" s="10">
        <v>70</v>
      </c>
      <c r="J146" s="10">
        <v>65</v>
      </c>
      <c r="K146" s="10">
        <v>65</v>
      </c>
      <c r="L146" t="str">
        <f t="shared" si="6"/>
        <v>OK</v>
      </c>
      <c r="M146" t="str">
        <f t="shared" si="7"/>
        <v>OK</v>
      </c>
      <c r="N146" t="str">
        <f t="shared" si="8"/>
        <v>OK</v>
      </c>
    </row>
    <row r="147" spans="1:14" ht="43.2" x14ac:dyDescent="0.3">
      <c r="A147">
        <v>40</v>
      </c>
      <c r="B147">
        <v>2023</v>
      </c>
      <c r="C147" s="2">
        <v>44952</v>
      </c>
      <c r="D147" s="3" t="s">
        <v>38</v>
      </c>
      <c r="E147" s="4" t="s">
        <v>57</v>
      </c>
      <c r="F147" s="4" t="s">
        <v>40</v>
      </c>
      <c r="G147" s="6">
        <v>60</v>
      </c>
      <c r="H147" s="6">
        <v>40</v>
      </c>
      <c r="I147" s="6">
        <v>60</v>
      </c>
      <c r="J147" s="6">
        <v>53</v>
      </c>
      <c r="K147" s="6">
        <v>60</v>
      </c>
      <c r="L147" t="str">
        <f t="shared" si="6"/>
        <v>OK</v>
      </c>
      <c r="M147" t="str">
        <f t="shared" si="7"/>
        <v>OK</v>
      </c>
      <c r="N147" t="str">
        <f t="shared" si="8"/>
        <v>OK</v>
      </c>
    </row>
    <row r="148" spans="1:14" ht="43.2" x14ac:dyDescent="0.3">
      <c r="A148">
        <v>40</v>
      </c>
      <c r="B148">
        <v>2023</v>
      </c>
      <c r="C148" s="2">
        <v>44952</v>
      </c>
      <c r="D148" s="7" t="s">
        <v>38</v>
      </c>
      <c r="E148" s="8" t="s">
        <v>58</v>
      </c>
      <c r="F148" s="8" t="s">
        <v>40</v>
      </c>
      <c r="G148" s="10">
        <v>70</v>
      </c>
      <c r="H148" s="10">
        <v>50</v>
      </c>
      <c r="I148" s="10">
        <v>90</v>
      </c>
      <c r="J148" s="10" t="s">
        <v>103</v>
      </c>
      <c r="K148" s="10">
        <v>70</v>
      </c>
      <c r="L148" t="str">
        <f t="shared" si="6"/>
        <v>OK</v>
      </c>
      <c r="M148" t="str">
        <f t="shared" si="7"/>
        <v>OK</v>
      </c>
      <c r="N148" t="str">
        <f t="shared" si="8"/>
        <v>ERRO</v>
      </c>
    </row>
    <row r="149" spans="1:14" ht="43.2" x14ac:dyDescent="0.3">
      <c r="A149">
        <v>40</v>
      </c>
      <c r="B149">
        <v>2023</v>
      </c>
      <c r="C149" s="2">
        <v>44952</v>
      </c>
      <c r="D149" s="3" t="s">
        <v>38</v>
      </c>
      <c r="E149" s="4" t="s">
        <v>59</v>
      </c>
      <c r="F149" s="4" t="s">
        <v>45</v>
      </c>
      <c r="G149" s="6">
        <v>40</v>
      </c>
      <c r="H149" s="6">
        <v>35</v>
      </c>
      <c r="I149" s="6">
        <v>40</v>
      </c>
      <c r="J149" s="6" t="s">
        <v>104</v>
      </c>
      <c r="K149" s="6">
        <v>40</v>
      </c>
      <c r="L149" t="str">
        <f t="shared" si="6"/>
        <v>OK</v>
      </c>
      <c r="M149" t="str">
        <f t="shared" si="7"/>
        <v>OK</v>
      </c>
      <c r="N149" t="str">
        <f t="shared" si="8"/>
        <v>ERRO</v>
      </c>
    </row>
    <row r="150" spans="1:14" ht="43.2" x14ac:dyDescent="0.3">
      <c r="A150">
        <v>40</v>
      </c>
      <c r="B150">
        <v>2023</v>
      </c>
      <c r="C150" s="2">
        <v>44952</v>
      </c>
      <c r="D150" s="7" t="s">
        <v>38</v>
      </c>
      <c r="E150" s="8" t="s">
        <v>60</v>
      </c>
      <c r="F150" s="8" t="s">
        <v>61</v>
      </c>
      <c r="G150" s="10">
        <v>80</v>
      </c>
      <c r="H150" s="10">
        <v>80</v>
      </c>
      <c r="I150" s="10">
        <v>100</v>
      </c>
      <c r="J150" s="10">
        <v>85</v>
      </c>
      <c r="K150" s="10">
        <v>80</v>
      </c>
      <c r="L150" t="str">
        <f t="shared" si="6"/>
        <v>OK</v>
      </c>
      <c r="M150" t="str">
        <f t="shared" si="7"/>
        <v>OK</v>
      </c>
      <c r="N150" t="str">
        <f t="shared" si="8"/>
        <v>OK</v>
      </c>
    </row>
    <row r="151" spans="1:14" ht="43.2" x14ac:dyDescent="0.3">
      <c r="A151">
        <v>40</v>
      </c>
      <c r="B151">
        <v>2023</v>
      </c>
      <c r="C151" s="2">
        <v>44952</v>
      </c>
      <c r="D151" s="3" t="s">
        <v>38</v>
      </c>
      <c r="E151" s="4" t="s">
        <v>63</v>
      </c>
      <c r="F151" s="4" t="s">
        <v>40</v>
      </c>
      <c r="G151" s="6">
        <v>70</v>
      </c>
      <c r="H151" s="6">
        <v>70</v>
      </c>
      <c r="I151" s="6">
        <v>80</v>
      </c>
      <c r="J151" s="6" t="s">
        <v>93</v>
      </c>
      <c r="K151" s="6">
        <v>70</v>
      </c>
      <c r="L151" t="str">
        <f t="shared" si="6"/>
        <v>OK</v>
      </c>
      <c r="M151" t="str">
        <f t="shared" si="7"/>
        <v>OK</v>
      </c>
      <c r="N151" t="str">
        <f t="shared" si="8"/>
        <v>ERRO</v>
      </c>
    </row>
    <row r="152" spans="1:14" ht="43.2" x14ac:dyDescent="0.3">
      <c r="A152">
        <v>40</v>
      </c>
      <c r="B152">
        <v>2023</v>
      </c>
      <c r="C152" s="2">
        <v>44952</v>
      </c>
      <c r="D152" s="7" t="s">
        <v>38</v>
      </c>
      <c r="E152" s="8" t="s">
        <v>64</v>
      </c>
      <c r="F152" s="8" t="s">
        <v>40</v>
      </c>
      <c r="G152" s="10">
        <v>100</v>
      </c>
      <c r="H152" s="10">
        <v>100</v>
      </c>
      <c r="I152" s="10">
        <v>120</v>
      </c>
      <c r="J152" s="10" t="s">
        <v>105</v>
      </c>
      <c r="K152" s="10">
        <v>105</v>
      </c>
      <c r="L152" t="str">
        <f t="shared" si="6"/>
        <v>OK</v>
      </c>
      <c r="M152" t="str">
        <f t="shared" si="7"/>
        <v>OK</v>
      </c>
      <c r="N152" t="str">
        <f t="shared" si="8"/>
        <v>ERRO</v>
      </c>
    </row>
    <row r="153" spans="1:14" x14ac:dyDescent="0.3">
      <c r="A153">
        <v>40</v>
      </c>
      <c r="B153">
        <v>2023</v>
      </c>
      <c r="C153" s="2">
        <v>44952</v>
      </c>
      <c r="D153" s="3" t="s">
        <v>65</v>
      </c>
      <c r="E153" s="4" t="s">
        <v>66</v>
      </c>
      <c r="F153" s="4" t="s">
        <v>40</v>
      </c>
      <c r="G153" s="5"/>
      <c r="H153" s="5"/>
      <c r="I153" s="5"/>
      <c r="J153" s="5"/>
      <c r="K153" s="5"/>
      <c r="L153" t="str">
        <f t="shared" si="6"/>
        <v>OK</v>
      </c>
      <c r="M153" t="str">
        <f t="shared" si="7"/>
        <v>OK</v>
      </c>
      <c r="N153" t="str">
        <f t="shared" si="8"/>
        <v>OK</v>
      </c>
    </row>
    <row r="154" spans="1:14" x14ac:dyDescent="0.3">
      <c r="A154">
        <v>40</v>
      </c>
      <c r="B154">
        <v>2023</v>
      </c>
      <c r="C154" s="2">
        <v>44952</v>
      </c>
      <c r="D154" s="7" t="s">
        <v>65</v>
      </c>
      <c r="E154" s="8" t="s">
        <v>67</v>
      </c>
      <c r="F154" s="8" t="s">
        <v>40</v>
      </c>
      <c r="G154" s="9"/>
      <c r="H154" s="9"/>
      <c r="I154" s="9"/>
      <c r="J154" s="9"/>
      <c r="K154" s="9"/>
      <c r="L154" t="str">
        <f t="shared" si="6"/>
        <v>OK</v>
      </c>
      <c r="M154" t="str">
        <f t="shared" si="7"/>
        <v>OK</v>
      </c>
      <c r="N154" t="str">
        <f t="shared" si="8"/>
        <v>OK</v>
      </c>
    </row>
    <row r="155" spans="1:14" x14ac:dyDescent="0.3">
      <c r="A155">
        <v>40</v>
      </c>
      <c r="B155">
        <v>2023</v>
      </c>
      <c r="C155" s="2">
        <v>44952</v>
      </c>
      <c r="D155" s="3" t="s">
        <v>65</v>
      </c>
      <c r="E155" s="4" t="s">
        <v>68</v>
      </c>
      <c r="F155" s="4" t="s">
        <v>40</v>
      </c>
      <c r="G155" s="5"/>
      <c r="H155" s="5"/>
      <c r="I155" s="5"/>
      <c r="J155" s="5"/>
      <c r="K155" s="5"/>
      <c r="L155" t="str">
        <f t="shared" si="6"/>
        <v>OK</v>
      </c>
      <c r="M155" t="str">
        <f t="shared" si="7"/>
        <v>OK</v>
      </c>
      <c r="N155" t="str">
        <f t="shared" si="8"/>
        <v>OK</v>
      </c>
    </row>
    <row r="156" spans="1:14" x14ac:dyDescent="0.3">
      <c r="A156">
        <v>40</v>
      </c>
      <c r="B156">
        <v>2023</v>
      </c>
      <c r="C156" s="2">
        <v>44952</v>
      </c>
      <c r="D156" s="7" t="s">
        <v>65</v>
      </c>
      <c r="E156" s="8" t="s">
        <v>69</v>
      </c>
      <c r="F156" s="8" t="s">
        <v>45</v>
      </c>
      <c r="G156" s="9"/>
      <c r="H156" s="9"/>
      <c r="I156" s="9"/>
      <c r="J156" s="9"/>
      <c r="K156" s="9"/>
      <c r="L156" t="str">
        <f t="shared" si="6"/>
        <v>OK</v>
      </c>
      <c r="M156" t="str">
        <f t="shared" si="7"/>
        <v>OK</v>
      </c>
      <c r="N156" t="str">
        <f t="shared" si="8"/>
        <v>OK</v>
      </c>
    </row>
    <row r="157" spans="1:14" x14ac:dyDescent="0.3">
      <c r="A157">
        <v>40</v>
      </c>
      <c r="B157">
        <v>2023</v>
      </c>
      <c r="C157" s="2">
        <v>44952</v>
      </c>
      <c r="D157" s="3" t="s">
        <v>65</v>
      </c>
      <c r="E157" s="4" t="s">
        <v>70</v>
      </c>
      <c r="F157" s="4" t="s">
        <v>71</v>
      </c>
      <c r="G157" s="5"/>
      <c r="H157" s="5"/>
      <c r="I157" s="5"/>
      <c r="J157" s="5"/>
      <c r="K157" s="5"/>
      <c r="L157" t="str">
        <f t="shared" si="6"/>
        <v>OK</v>
      </c>
      <c r="M157" t="str">
        <f t="shared" si="7"/>
        <v>OK</v>
      </c>
      <c r="N157" t="str">
        <f t="shared" si="8"/>
        <v>OK</v>
      </c>
    </row>
    <row r="158" spans="1:14" ht="28.8" x14ac:dyDescent="0.3">
      <c r="A158">
        <v>41</v>
      </c>
      <c r="B158">
        <v>2023</v>
      </c>
      <c r="C158" s="2">
        <v>44959</v>
      </c>
      <c r="D158" s="3" t="s">
        <v>11</v>
      </c>
      <c r="E158" s="4" t="s">
        <v>12</v>
      </c>
      <c r="F158" s="4" t="s">
        <v>13</v>
      </c>
      <c r="G158" s="6">
        <v>42</v>
      </c>
      <c r="H158" s="6">
        <v>42</v>
      </c>
      <c r="I158" s="6">
        <v>42</v>
      </c>
      <c r="J158" s="6">
        <v>42</v>
      </c>
      <c r="K158" s="6">
        <v>42</v>
      </c>
      <c r="L158" t="str">
        <f t="shared" si="6"/>
        <v>OK</v>
      </c>
      <c r="M158" t="str">
        <f t="shared" si="7"/>
        <v>OK</v>
      </c>
      <c r="N158" t="str">
        <f t="shared" si="8"/>
        <v>OK</v>
      </c>
    </row>
    <row r="159" spans="1:14" ht="28.8" x14ac:dyDescent="0.3">
      <c r="A159">
        <v>41</v>
      </c>
      <c r="B159">
        <v>2023</v>
      </c>
      <c r="C159" s="2">
        <v>44959</v>
      </c>
      <c r="D159" s="7" t="s">
        <v>11</v>
      </c>
      <c r="E159" s="8" t="s">
        <v>14</v>
      </c>
      <c r="F159" s="8" t="s">
        <v>13</v>
      </c>
      <c r="G159" s="10">
        <v>60</v>
      </c>
      <c r="H159" s="10">
        <v>60</v>
      </c>
      <c r="I159" s="10">
        <v>60</v>
      </c>
      <c r="J159" s="10">
        <v>60</v>
      </c>
      <c r="K159" s="10">
        <v>60</v>
      </c>
      <c r="L159" t="str">
        <f t="shared" si="6"/>
        <v>OK</v>
      </c>
      <c r="M159" t="str">
        <f t="shared" si="7"/>
        <v>OK</v>
      </c>
      <c r="N159" t="str">
        <f t="shared" si="8"/>
        <v>OK</v>
      </c>
    </row>
    <row r="160" spans="1:14" ht="28.8" x14ac:dyDescent="0.3">
      <c r="A160">
        <v>41</v>
      </c>
      <c r="B160">
        <v>2023</v>
      </c>
      <c r="C160" s="2">
        <v>44959</v>
      </c>
      <c r="D160" s="3" t="s">
        <v>11</v>
      </c>
      <c r="E160" s="4" t="s">
        <v>15</v>
      </c>
      <c r="F160" s="4" t="s">
        <v>13</v>
      </c>
      <c r="G160" s="6">
        <v>30</v>
      </c>
      <c r="H160" s="6">
        <v>30</v>
      </c>
      <c r="I160" s="6">
        <v>42</v>
      </c>
      <c r="J160" s="6" t="s">
        <v>106</v>
      </c>
      <c r="K160" s="6" t="s">
        <v>107</v>
      </c>
      <c r="L160" t="str">
        <f t="shared" si="6"/>
        <v>OK</v>
      </c>
      <c r="M160" t="str">
        <f t="shared" si="7"/>
        <v>OK</v>
      </c>
      <c r="N160" t="str">
        <f t="shared" si="8"/>
        <v>ERRO</v>
      </c>
    </row>
    <row r="161" spans="1:14" ht="28.8" x14ac:dyDescent="0.3">
      <c r="A161">
        <v>41</v>
      </c>
      <c r="B161">
        <v>2023</v>
      </c>
      <c r="C161" s="2">
        <v>44959</v>
      </c>
      <c r="D161" s="7" t="s">
        <v>11</v>
      </c>
      <c r="E161" s="8" t="s">
        <v>16</v>
      </c>
      <c r="F161" s="8" t="s">
        <v>13</v>
      </c>
      <c r="G161" s="10">
        <v>18</v>
      </c>
      <c r="H161" s="10">
        <v>18</v>
      </c>
      <c r="I161" s="10">
        <v>24</v>
      </c>
      <c r="J161" s="10">
        <v>21</v>
      </c>
      <c r="K161" s="10">
        <v>21</v>
      </c>
      <c r="L161" t="str">
        <f t="shared" si="6"/>
        <v>OK</v>
      </c>
      <c r="M161" t="str">
        <f t="shared" si="7"/>
        <v>OK</v>
      </c>
      <c r="N161" t="str">
        <f t="shared" si="8"/>
        <v>OK</v>
      </c>
    </row>
    <row r="162" spans="1:14" ht="28.8" x14ac:dyDescent="0.3">
      <c r="A162">
        <v>41</v>
      </c>
      <c r="B162">
        <v>2023</v>
      </c>
      <c r="C162" s="2">
        <v>44959</v>
      </c>
      <c r="D162" s="3" t="s">
        <v>11</v>
      </c>
      <c r="E162" s="4" t="s">
        <v>17</v>
      </c>
      <c r="F162" s="4" t="s">
        <v>13</v>
      </c>
      <c r="G162" s="6">
        <v>18</v>
      </c>
      <c r="H162" s="6">
        <v>18</v>
      </c>
      <c r="I162" s="6">
        <v>24</v>
      </c>
      <c r="J162" s="6">
        <v>21</v>
      </c>
      <c r="K162" s="6">
        <v>21</v>
      </c>
      <c r="L162" t="str">
        <f t="shared" si="6"/>
        <v>OK</v>
      </c>
      <c r="M162" t="str">
        <f t="shared" si="7"/>
        <v>OK</v>
      </c>
      <c r="N162" t="str">
        <f t="shared" si="8"/>
        <v>OK</v>
      </c>
    </row>
    <row r="163" spans="1:14" ht="28.8" x14ac:dyDescent="0.3">
      <c r="A163">
        <v>41</v>
      </c>
      <c r="B163">
        <v>2023</v>
      </c>
      <c r="C163" s="2">
        <v>44959</v>
      </c>
      <c r="D163" s="7" t="s">
        <v>11</v>
      </c>
      <c r="E163" s="8" t="s">
        <v>18</v>
      </c>
      <c r="F163" s="8" t="s">
        <v>13</v>
      </c>
      <c r="G163" s="10">
        <v>42</v>
      </c>
      <c r="H163" s="10">
        <v>42</v>
      </c>
      <c r="I163" s="10">
        <v>48</v>
      </c>
      <c r="J163" s="10">
        <v>44</v>
      </c>
      <c r="K163" s="10">
        <v>42</v>
      </c>
      <c r="L163" t="str">
        <f t="shared" si="6"/>
        <v>OK</v>
      </c>
      <c r="M163" t="str">
        <f t="shared" si="7"/>
        <v>OK</v>
      </c>
      <c r="N163" t="str">
        <f t="shared" si="8"/>
        <v>OK</v>
      </c>
    </row>
    <row r="164" spans="1:14" ht="28.8" x14ac:dyDescent="0.3">
      <c r="A164">
        <v>41</v>
      </c>
      <c r="B164">
        <v>2023</v>
      </c>
      <c r="C164" s="2">
        <v>44959</v>
      </c>
      <c r="D164" s="3" t="s">
        <v>11</v>
      </c>
      <c r="E164" s="4" t="s">
        <v>19</v>
      </c>
      <c r="F164" s="4" t="s">
        <v>13</v>
      </c>
      <c r="G164" s="5"/>
      <c r="H164" s="6">
        <v>72</v>
      </c>
      <c r="I164" s="6">
        <v>78</v>
      </c>
      <c r="J164" s="6">
        <v>75</v>
      </c>
      <c r="K164" s="6">
        <v>75</v>
      </c>
      <c r="L164" t="str">
        <f t="shared" si="6"/>
        <v>OK</v>
      </c>
      <c r="M164" t="str">
        <f t="shared" si="7"/>
        <v>OK</v>
      </c>
      <c r="N164" t="str">
        <f t="shared" si="8"/>
        <v>OK</v>
      </c>
    </row>
    <row r="165" spans="1:14" ht="28.8" x14ac:dyDescent="0.3">
      <c r="A165">
        <v>41</v>
      </c>
      <c r="B165">
        <v>2023</v>
      </c>
      <c r="C165" s="2">
        <v>44959</v>
      </c>
      <c r="D165" s="7" t="s">
        <v>11</v>
      </c>
      <c r="E165" s="8" t="s">
        <v>20</v>
      </c>
      <c r="F165" s="8" t="s">
        <v>13</v>
      </c>
      <c r="G165" s="9"/>
      <c r="H165" s="10">
        <v>48</v>
      </c>
      <c r="I165" s="10">
        <v>60</v>
      </c>
      <c r="J165" s="10">
        <v>54</v>
      </c>
      <c r="K165" s="10">
        <v>54</v>
      </c>
      <c r="L165" t="str">
        <f t="shared" si="6"/>
        <v>OK</v>
      </c>
      <c r="M165" t="str">
        <f t="shared" si="7"/>
        <v>OK</v>
      </c>
      <c r="N165" t="str">
        <f t="shared" si="8"/>
        <v>OK</v>
      </c>
    </row>
    <row r="166" spans="1:14" ht="28.8" x14ac:dyDescent="0.3">
      <c r="A166">
        <v>41</v>
      </c>
      <c r="B166">
        <v>2023</v>
      </c>
      <c r="C166" s="2">
        <v>44959</v>
      </c>
      <c r="D166" s="3" t="s">
        <v>11</v>
      </c>
      <c r="E166" s="4" t="s">
        <v>22</v>
      </c>
      <c r="F166" s="4"/>
      <c r="G166" s="5"/>
      <c r="H166" s="6">
        <v>18</v>
      </c>
      <c r="I166" s="6">
        <v>24</v>
      </c>
      <c r="J166" s="6" t="s">
        <v>88</v>
      </c>
      <c r="K166" s="6">
        <v>20</v>
      </c>
      <c r="L166" t="str">
        <f t="shared" si="6"/>
        <v>OK</v>
      </c>
      <c r="M166" t="str">
        <f t="shared" si="7"/>
        <v>OK</v>
      </c>
      <c r="N166" t="str">
        <f t="shared" si="8"/>
        <v>ERRO</v>
      </c>
    </row>
    <row r="167" spans="1:14" ht="28.8" x14ac:dyDescent="0.3">
      <c r="A167">
        <v>41</v>
      </c>
      <c r="B167">
        <v>2023</v>
      </c>
      <c r="C167" s="2">
        <v>44959</v>
      </c>
      <c r="D167" s="7" t="s">
        <v>11</v>
      </c>
      <c r="E167" s="8" t="s">
        <v>22</v>
      </c>
      <c r="F167" s="8"/>
      <c r="G167" s="9"/>
      <c r="H167" s="10">
        <v>80</v>
      </c>
      <c r="I167" s="10">
        <v>80</v>
      </c>
      <c r="J167" s="10">
        <v>80</v>
      </c>
      <c r="K167" s="10">
        <v>80</v>
      </c>
      <c r="L167" t="str">
        <f t="shared" si="6"/>
        <v>OK</v>
      </c>
      <c r="M167" t="str">
        <f t="shared" si="7"/>
        <v>OK</v>
      </c>
      <c r="N167" t="str">
        <f t="shared" si="8"/>
        <v>OK</v>
      </c>
    </row>
    <row r="168" spans="1:14" ht="28.8" x14ac:dyDescent="0.3">
      <c r="A168">
        <v>41</v>
      </c>
      <c r="B168">
        <v>2023</v>
      </c>
      <c r="C168" s="2">
        <v>44959</v>
      </c>
      <c r="D168" s="3" t="s">
        <v>11</v>
      </c>
      <c r="E168" s="4" t="s">
        <v>23</v>
      </c>
      <c r="F168" s="4" t="s">
        <v>13</v>
      </c>
      <c r="G168" s="6">
        <v>18</v>
      </c>
      <c r="H168" s="6">
        <v>18</v>
      </c>
      <c r="I168" s="6">
        <v>24</v>
      </c>
      <c r="J168" s="6">
        <v>21</v>
      </c>
      <c r="K168" s="6">
        <v>21</v>
      </c>
      <c r="L168" t="str">
        <f t="shared" si="6"/>
        <v>OK</v>
      </c>
      <c r="M168" t="str">
        <f t="shared" si="7"/>
        <v>OK</v>
      </c>
      <c r="N168" t="str">
        <f t="shared" si="8"/>
        <v>OK</v>
      </c>
    </row>
    <row r="169" spans="1:14" ht="28.8" x14ac:dyDescent="0.3">
      <c r="A169">
        <v>41</v>
      </c>
      <c r="B169">
        <v>2023</v>
      </c>
      <c r="C169" s="2">
        <v>44959</v>
      </c>
      <c r="D169" s="7" t="s">
        <v>11</v>
      </c>
      <c r="E169" s="8" t="s">
        <v>24</v>
      </c>
      <c r="F169" s="8" t="s">
        <v>13</v>
      </c>
      <c r="G169" s="9"/>
      <c r="H169" s="10">
        <v>36</v>
      </c>
      <c r="I169" s="10">
        <v>60</v>
      </c>
      <c r="J169" s="10">
        <v>48</v>
      </c>
      <c r="K169" s="10">
        <v>48</v>
      </c>
      <c r="L169" t="str">
        <f t="shared" si="6"/>
        <v>OK</v>
      </c>
      <c r="M169" t="str">
        <f t="shared" si="7"/>
        <v>OK</v>
      </c>
      <c r="N169" t="str">
        <f t="shared" si="8"/>
        <v>OK</v>
      </c>
    </row>
    <row r="170" spans="1:14" ht="28.8" x14ac:dyDescent="0.3">
      <c r="A170">
        <v>41</v>
      </c>
      <c r="B170">
        <v>2023</v>
      </c>
      <c r="C170" s="2">
        <v>44959</v>
      </c>
      <c r="D170" s="3" t="s">
        <v>11</v>
      </c>
      <c r="E170" s="4" t="s">
        <v>25</v>
      </c>
      <c r="F170" s="4" t="s">
        <v>26</v>
      </c>
      <c r="G170" s="5"/>
      <c r="H170" s="6">
        <v>36</v>
      </c>
      <c r="I170" s="6">
        <v>54</v>
      </c>
      <c r="J170" s="6">
        <v>46</v>
      </c>
      <c r="K170" s="6">
        <v>48</v>
      </c>
      <c r="L170" t="str">
        <f t="shared" si="6"/>
        <v>OK</v>
      </c>
      <c r="M170" t="str">
        <f t="shared" si="7"/>
        <v>OK</v>
      </c>
      <c r="N170" t="str">
        <f t="shared" si="8"/>
        <v>OK</v>
      </c>
    </row>
    <row r="171" spans="1:14" ht="28.8" x14ac:dyDescent="0.3">
      <c r="A171">
        <v>41</v>
      </c>
      <c r="B171">
        <v>2023</v>
      </c>
      <c r="C171" s="2">
        <v>44959</v>
      </c>
      <c r="D171" s="7" t="s">
        <v>11</v>
      </c>
      <c r="E171" s="8" t="s">
        <v>27</v>
      </c>
      <c r="F171" s="8" t="s">
        <v>13</v>
      </c>
      <c r="G171" s="9"/>
      <c r="H171" s="10">
        <v>40</v>
      </c>
      <c r="I171" s="10">
        <v>40</v>
      </c>
      <c r="J171" s="10">
        <v>40</v>
      </c>
      <c r="K171" s="10">
        <v>40</v>
      </c>
      <c r="L171" t="str">
        <f t="shared" si="6"/>
        <v>OK</v>
      </c>
      <c r="M171" t="str">
        <f t="shared" si="7"/>
        <v>OK</v>
      </c>
      <c r="N171" t="str">
        <f t="shared" si="8"/>
        <v>OK</v>
      </c>
    </row>
    <row r="172" spans="1:14" ht="28.8" x14ac:dyDescent="0.3">
      <c r="A172">
        <v>41</v>
      </c>
      <c r="B172">
        <v>2023</v>
      </c>
      <c r="C172" s="2">
        <v>44959</v>
      </c>
      <c r="D172" s="3" t="s">
        <v>11</v>
      </c>
      <c r="E172" s="4" t="s">
        <v>28</v>
      </c>
      <c r="F172" s="4" t="s">
        <v>13</v>
      </c>
      <c r="G172" s="5"/>
      <c r="H172" s="6">
        <v>25</v>
      </c>
      <c r="I172" s="6">
        <v>40</v>
      </c>
      <c r="J172" s="6" t="s">
        <v>108</v>
      </c>
      <c r="K172" s="6">
        <v>30</v>
      </c>
      <c r="L172" t="str">
        <f t="shared" si="6"/>
        <v>OK</v>
      </c>
      <c r="M172" t="str">
        <f t="shared" si="7"/>
        <v>OK</v>
      </c>
      <c r="N172" t="str">
        <f t="shared" si="8"/>
        <v>ERRO</v>
      </c>
    </row>
    <row r="173" spans="1:14" ht="28.8" x14ac:dyDescent="0.3">
      <c r="A173">
        <v>41</v>
      </c>
      <c r="B173">
        <v>2023</v>
      </c>
      <c r="C173" s="2">
        <v>44959</v>
      </c>
      <c r="D173" s="7" t="s">
        <v>11</v>
      </c>
      <c r="E173" s="8" t="s">
        <v>29</v>
      </c>
      <c r="F173" s="8" t="s">
        <v>13</v>
      </c>
      <c r="G173" s="10">
        <v>36</v>
      </c>
      <c r="H173" s="10">
        <v>36</v>
      </c>
      <c r="I173" s="10">
        <v>42</v>
      </c>
      <c r="J173" s="10">
        <v>39</v>
      </c>
      <c r="K173" s="10">
        <v>39</v>
      </c>
      <c r="L173" t="str">
        <f t="shared" si="6"/>
        <v>OK</v>
      </c>
      <c r="M173" t="str">
        <f t="shared" si="7"/>
        <v>OK</v>
      </c>
      <c r="N173" t="str">
        <f t="shared" si="8"/>
        <v>OK</v>
      </c>
    </row>
    <row r="174" spans="1:14" ht="28.8" x14ac:dyDescent="0.3">
      <c r="A174">
        <v>41</v>
      </c>
      <c r="B174">
        <v>2023</v>
      </c>
      <c r="C174" s="2">
        <v>44959</v>
      </c>
      <c r="D174" s="3" t="s">
        <v>30</v>
      </c>
      <c r="E174" s="4" t="s">
        <v>31</v>
      </c>
      <c r="F174" s="4" t="s">
        <v>32</v>
      </c>
      <c r="G174" s="5"/>
      <c r="H174" s="6" t="s">
        <v>74</v>
      </c>
      <c r="I174" s="6">
        <v>5</v>
      </c>
      <c r="J174" s="6" t="s">
        <v>109</v>
      </c>
      <c r="K174" s="6">
        <v>4</v>
      </c>
      <c r="L174" t="str">
        <f t="shared" si="6"/>
        <v>ERRO</v>
      </c>
      <c r="M174" t="str">
        <f t="shared" si="7"/>
        <v>OK</v>
      </c>
      <c r="N174" t="str">
        <f t="shared" si="8"/>
        <v>ERRO</v>
      </c>
    </row>
    <row r="175" spans="1:14" ht="28.8" x14ac:dyDescent="0.3">
      <c r="A175">
        <v>41</v>
      </c>
      <c r="B175">
        <v>2023</v>
      </c>
      <c r="C175" s="2">
        <v>44959</v>
      </c>
      <c r="D175" s="7" t="s">
        <v>30</v>
      </c>
      <c r="E175" s="8" t="s">
        <v>34</v>
      </c>
      <c r="F175" s="8" t="s">
        <v>35</v>
      </c>
      <c r="G175" s="10">
        <v>20</v>
      </c>
      <c r="H175" s="10">
        <v>20</v>
      </c>
      <c r="I175" s="10">
        <v>22</v>
      </c>
      <c r="J175" s="10" t="s">
        <v>88</v>
      </c>
      <c r="K175" s="10">
        <v>20</v>
      </c>
      <c r="L175" t="str">
        <f t="shared" si="6"/>
        <v>OK</v>
      </c>
      <c r="M175" t="str">
        <f t="shared" si="7"/>
        <v>OK</v>
      </c>
      <c r="N175" t="str">
        <f t="shared" si="8"/>
        <v>ERRO</v>
      </c>
    </row>
    <row r="176" spans="1:14" ht="28.8" x14ac:dyDescent="0.3">
      <c r="A176">
        <v>41</v>
      </c>
      <c r="B176">
        <v>2023</v>
      </c>
      <c r="C176" s="2">
        <v>44959</v>
      </c>
      <c r="D176" s="3" t="s">
        <v>30</v>
      </c>
      <c r="E176" s="4" t="s">
        <v>36</v>
      </c>
      <c r="F176" s="4" t="s">
        <v>35</v>
      </c>
      <c r="G176" s="6">
        <v>20</v>
      </c>
      <c r="H176" s="6">
        <v>20</v>
      </c>
      <c r="I176" s="6">
        <v>30</v>
      </c>
      <c r="J176" s="6" t="s">
        <v>110</v>
      </c>
      <c r="K176" s="6">
        <v>20</v>
      </c>
      <c r="L176" t="str">
        <f t="shared" si="6"/>
        <v>OK</v>
      </c>
      <c r="M176" t="str">
        <f t="shared" si="7"/>
        <v>OK</v>
      </c>
      <c r="N176" t="str">
        <f t="shared" si="8"/>
        <v>ERRO</v>
      </c>
    </row>
    <row r="177" spans="1:14" ht="43.2" x14ac:dyDescent="0.3">
      <c r="A177">
        <v>41</v>
      </c>
      <c r="B177">
        <v>2023</v>
      </c>
      <c r="C177" s="2">
        <v>44959</v>
      </c>
      <c r="D177" s="7" t="s">
        <v>38</v>
      </c>
      <c r="E177" s="8" t="s">
        <v>39</v>
      </c>
      <c r="F177" s="8" t="s">
        <v>40</v>
      </c>
      <c r="G177" s="10">
        <v>35</v>
      </c>
      <c r="H177" s="10">
        <v>35</v>
      </c>
      <c r="I177" s="10">
        <v>65</v>
      </c>
      <c r="J177" s="10" t="s">
        <v>111</v>
      </c>
      <c r="K177" s="10">
        <v>50</v>
      </c>
      <c r="L177" t="str">
        <f t="shared" si="6"/>
        <v>OK</v>
      </c>
      <c r="M177" t="str">
        <f t="shared" si="7"/>
        <v>OK</v>
      </c>
      <c r="N177" t="str">
        <f t="shared" si="8"/>
        <v>ERRO</v>
      </c>
    </row>
    <row r="178" spans="1:14" ht="43.2" x14ac:dyDescent="0.3">
      <c r="A178">
        <v>41</v>
      </c>
      <c r="B178">
        <v>2023</v>
      </c>
      <c r="C178" s="2">
        <v>44959</v>
      </c>
      <c r="D178" s="3" t="s">
        <v>38</v>
      </c>
      <c r="E178" s="4" t="s">
        <v>42</v>
      </c>
      <c r="F178" s="4" t="s">
        <v>43</v>
      </c>
      <c r="G178" s="6">
        <v>35</v>
      </c>
      <c r="H178" s="6">
        <v>35</v>
      </c>
      <c r="I178" s="6">
        <v>65</v>
      </c>
      <c r="J178" s="6" t="s">
        <v>112</v>
      </c>
      <c r="K178" s="6">
        <v>55</v>
      </c>
      <c r="L178" t="str">
        <f t="shared" si="6"/>
        <v>OK</v>
      </c>
      <c r="M178" t="str">
        <f t="shared" si="7"/>
        <v>OK</v>
      </c>
      <c r="N178" t="str">
        <f t="shared" si="8"/>
        <v>ERRO</v>
      </c>
    </row>
    <row r="179" spans="1:14" ht="43.2" x14ac:dyDescent="0.3">
      <c r="A179">
        <v>41</v>
      </c>
      <c r="B179">
        <v>2023</v>
      </c>
      <c r="C179" s="2">
        <v>44959</v>
      </c>
      <c r="D179" s="7" t="s">
        <v>38</v>
      </c>
      <c r="E179" s="8" t="s">
        <v>44</v>
      </c>
      <c r="F179" s="8" t="s">
        <v>45</v>
      </c>
      <c r="G179" s="10">
        <v>35</v>
      </c>
      <c r="H179" s="10">
        <v>30</v>
      </c>
      <c r="I179" s="10">
        <v>50</v>
      </c>
      <c r="J179" s="10" t="s">
        <v>113</v>
      </c>
      <c r="K179" s="10">
        <v>35</v>
      </c>
      <c r="L179" t="str">
        <f t="shared" si="6"/>
        <v>OK</v>
      </c>
      <c r="M179" t="str">
        <f t="shared" si="7"/>
        <v>OK</v>
      </c>
      <c r="N179" t="str">
        <f t="shared" si="8"/>
        <v>ERRO</v>
      </c>
    </row>
    <row r="180" spans="1:14" ht="43.2" x14ac:dyDescent="0.3">
      <c r="A180">
        <v>41</v>
      </c>
      <c r="B180">
        <v>2023</v>
      </c>
      <c r="C180" s="2">
        <v>44959</v>
      </c>
      <c r="D180" s="3" t="s">
        <v>38</v>
      </c>
      <c r="E180" s="4" t="s">
        <v>48</v>
      </c>
      <c r="F180" s="4" t="s">
        <v>45</v>
      </c>
      <c r="G180" s="6">
        <v>100</v>
      </c>
      <c r="H180" s="6">
        <v>100</v>
      </c>
      <c r="I180" s="6">
        <v>110</v>
      </c>
      <c r="J180" s="6" t="s">
        <v>114</v>
      </c>
      <c r="K180" s="6">
        <v>100</v>
      </c>
      <c r="L180" t="str">
        <f t="shared" si="6"/>
        <v>OK</v>
      </c>
      <c r="M180" t="str">
        <f t="shared" si="7"/>
        <v>OK</v>
      </c>
      <c r="N180" t="str">
        <f t="shared" si="8"/>
        <v>ERRO</v>
      </c>
    </row>
    <row r="181" spans="1:14" ht="43.2" x14ac:dyDescent="0.3">
      <c r="A181">
        <v>41</v>
      </c>
      <c r="B181">
        <v>2023</v>
      </c>
      <c r="C181" s="2">
        <v>44959</v>
      </c>
      <c r="D181" s="7" t="s">
        <v>38</v>
      </c>
      <c r="E181" s="8" t="s">
        <v>49</v>
      </c>
      <c r="F181" s="8" t="s">
        <v>50</v>
      </c>
      <c r="G181" s="10">
        <v>50</v>
      </c>
      <c r="H181" s="10">
        <v>40</v>
      </c>
      <c r="I181" s="10">
        <v>55</v>
      </c>
      <c r="J181" s="10" t="s">
        <v>115</v>
      </c>
      <c r="K181" s="10">
        <v>50</v>
      </c>
      <c r="L181" t="str">
        <f t="shared" si="6"/>
        <v>OK</v>
      </c>
      <c r="M181" t="str">
        <f t="shared" si="7"/>
        <v>OK</v>
      </c>
      <c r="N181" t="str">
        <f t="shared" si="8"/>
        <v>ERRO</v>
      </c>
    </row>
    <row r="182" spans="1:14" ht="43.2" x14ac:dyDescent="0.3">
      <c r="A182">
        <v>41</v>
      </c>
      <c r="B182">
        <v>2023</v>
      </c>
      <c r="C182" s="2">
        <v>44959</v>
      </c>
      <c r="D182" s="3" t="s">
        <v>38</v>
      </c>
      <c r="E182" s="4" t="s">
        <v>52</v>
      </c>
      <c r="F182" s="4" t="s">
        <v>43</v>
      </c>
      <c r="G182" s="6">
        <v>70</v>
      </c>
      <c r="H182" s="6">
        <v>60</v>
      </c>
      <c r="I182" s="6">
        <v>70</v>
      </c>
      <c r="J182" s="6" t="s">
        <v>102</v>
      </c>
      <c r="K182" s="6" t="s">
        <v>84</v>
      </c>
      <c r="L182" t="str">
        <f t="shared" si="6"/>
        <v>OK</v>
      </c>
      <c r="M182" t="str">
        <f t="shared" si="7"/>
        <v>OK</v>
      </c>
      <c r="N182" t="str">
        <f t="shared" si="8"/>
        <v>ERRO</v>
      </c>
    </row>
    <row r="183" spans="1:14" ht="43.2" x14ac:dyDescent="0.3">
      <c r="A183">
        <v>41</v>
      </c>
      <c r="B183">
        <v>2023</v>
      </c>
      <c r="C183" s="2">
        <v>44959</v>
      </c>
      <c r="D183" s="7" t="s">
        <v>38</v>
      </c>
      <c r="E183" s="8" t="s">
        <v>53</v>
      </c>
      <c r="F183" s="8" t="s">
        <v>43</v>
      </c>
      <c r="G183" s="10">
        <v>70</v>
      </c>
      <c r="H183" s="10">
        <v>70</v>
      </c>
      <c r="I183" s="10">
        <v>75</v>
      </c>
      <c r="J183" s="10" t="s">
        <v>103</v>
      </c>
      <c r="K183" s="10">
        <v>70</v>
      </c>
      <c r="L183" t="str">
        <f t="shared" si="6"/>
        <v>OK</v>
      </c>
      <c r="M183" t="str">
        <f t="shared" si="7"/>
        <v>OK</v>
      </c>
      <c r="N183" t="str">
        <f t="shared" si="8"/>
        <v>ERRO</v>
      </c>
    </row>
    <row r="184" spans="1:14" ht="43.2" x14ac:dyDescent="0.3">
      <c r="A184">
        <v>41</v>
      </c>
      <c r="B184">
        <v>2023</v>
      </c>
      <c r="C184" s="2">
        <v>44959</v>
      </c>
      <c r="D184" s="3" t="s">
        <v>38</v>
      </c>
      <c r="E184" s="4" t="s">
        <v>54</v>
      </c>
      <c r="F184" s="4" t="s">
        <v>40</v>
      </c>
      <c r="G184" s="6">
        <v>70</v>
      </c>
      <c r="H184" s="6">
        <v>60</v>
      </c>
      <c r="I184" s="6">
        <v>80</v>
      </c>
      <c r="J184" s="6">
        <v>70</v>
      </c>
      <c r="K184" s="6">
        <v>70</v>
      </c>
      <c r="L184" t="str">
        <f t="shared" si="6"/>
        <v>OK</v>
      </c>
      <c r="M184" t="str">
        <f t="shared" si="7"/>
        <v>OK</v>
      </c>
      <c r="N184" t="str">
        <f t="shared" si="8"/>
        <v>OK</v>
      </c>
    </row>
    <row r="185" spans="1:14" ht="43.2" x14ac:dyDescent="0.3">
      <c r="A185">
        <v>41</v>
      </c>
      <c r="B185">
        <v>2023</v>
      </c>
      <c r="C185" s="2">
        <v>44959</v>
      </c>
      <c r="D185" s="7" t="s">
        <v>38</v>
      </c>
      <c r="E185" s="8" t="s">
        <v>56</v>
      </c>
      <c r="F185" s="8" t="s">
        <v>43</v>
      </c>
      <c r="G185" s="9"/>
      <c r="H185" s="10">
        <v>60</v>
      </c>
      <c r="I185" s="10">
        <v>60</v>
      </c>
      <c r="J185" s="10">
        <v>60</v>
      </c>
      <c r="K185" s="10">
        <v>60</v>
      </c>
      <c r="L185" t="str">
        <f t="shared" si="6"/>
        <v>OK</v>
      </c>
      <c r="M185" t="str">
        <f t="shared" si="7"/>
        <v>OK</v>
      </c>
      <c r="N185" t="str">
        <f t="shared" si="8"/>
        <v>OK</v>
      </c>
    </row>
    <row r="186" spans="1:14" ht="43.2" x14ac:dyDescent="0.3">
      <c r="A186">
        <v>41</v>
      </c>
      <c r="B186">
        <v>2023</v>
      </c>
      <c r="C186" s="2">
        <v>44959</v>
      </c>
      <c r="D186" s="3" t="s">
        <v>38</v>
      </c>
      <c r="E186" s="4" t="s">
        <v>57</v>
      </c>
      <c r="F186" s="4" t="s">
        <v>40</v>
      </c>
      <c r="G186" s="6">
        <v>50</v>
      </c>
      <c r="H186" s="6">
        <v>40</v>
      </c>
      <c r="I186" s="6">
        <v>50</v>
      </c>
      <c r="J186" s="6" t="s">
        <v>91</v>
      </c>
      <c r="K186" s="6">
        <v>50</v>
      </c>
      <c r="L186" t="str">
        <f t="shared" si="6"/>
        <v>OK</v>
      </c>
      <c r="M186" t="str">
        <f t="shared" si="7"/>
        <v>OK</v>
      </c>
      <c r="N186" t="str">
        <f t="shared" si="8"/>
        <v>ERRO</v>
      </c>
    </row>
    <row r="187" spans="1:14" ht="43.2" x14ac:dyDescent="0.3">
      <c r="A187">
        <v>41</v>
      </c>
      <c r="B187">
        <v>2023</v>
      </c>
      <c r="C187" s="2">
        <v>44959</v>
      </c>
      <c r="D187" s="7" t="s">
        <v>38</v>
      </c>
      <c r="E187" s="8" t="s">
        <v>58</v>
      </c>
      <c r="F187" s="8" t="s">
        <v>40</v>
      </c>
      <c r="G187" s="10">
        <v>80</v>
      </c>
      <c r="H187" s="10">
        <v>65</v>
      </c>
      <c r="I187" s="10">
        <v>80</v>
      </c>
      <c r="J187" s="10">
        <v>75</v>
      </c>
      <c r="K187" s="10">
        <v>80</v>
      </c>
      <c r="L187" t="str">
        <f t="shared" si="6"/>
        <v>OK</v>
      </c>
      <c r="M187" t="str">
        <f t="shared" si="7"/>
        <v>OK</v>
      </c>
      <c r="N187" t="str">
        <f t="shared" si="8"/>
        <v>OK</v>
      </c>
    </row>
    <row r="188" spans="1:14" ht="43.2" x14ac:dyDescent="0.3">
      <c r="A188">
        <v>41</v>
      </c>
      <c r="B188">
        <v>2023</v>
      </c>
      <c r="C188" s="2">
        <v>44959</v>
      </c>
      <c r="D188" s="3" t="s">
        <v>38</v>
      </c>
      <c r="E188" s="4" t="s">
        <v>59</v>
      </c>
      <c r="F188" s="4" t="s">
        <v>45</v>
      </c>
      <c r="G188" s="6">
        <v>35</v>
      </c>
      <c r="H188" s="6">
        <v>30</v>
      </c>
      <c r="I188" s="6">
        <v>45</v>
      </c>
      <c r="J188" s="6" t="s">
        <v>116</v>
      </c>
      <c r="K188" s="6">
        <v>35</v>
      </c>
      <c r="L188" t="str">
        <f t="shared" si="6"/>
        <v>OK</v>
      </c>
      <c r="M188" t="str">
        <f t="shared" si="7"/>
        <v>OK</v>
      </c>
      <c r="N188" t="str">
        <f t="shared" si="8"/>
        <v>ERRO</v>
      </c>
    </row>
    <row r="189" spans="1:14" ht="43.2" x14ac:dyDescent="0.3">
      <c r="A189">
        <v>41</v>
      </c>
      <c r="B189">
        <v>2023</v>
      </c>
      <c r="C189" s="2">
        <v>44959</v>
      </c>
      <c r="D189" s="7" t="s">
        <v>38</v>
      </c>
      <c r="E189" s="8" t="s">
        <v>60</v>
      </c>
      <c r="F189" s="8" t="s">
        <v>61</v>
      </c>
      <c r="G189" s="10">
        <v>70</v>
      </c>
      <c r="H189" s="10">
        <v>70</v>
      </c>
      <c r="I189" s="10">
        <v>100</v>
      </c>
      <c r="J189" s="10" t="s">
        <v>117</v>
      </c>
      <c r="K189" s="10">
        <v>70</v>
      </c>
      <c r="L189" t="str">
        <f t="shared" si="6"/>
        <v>OK</v>
      </c>
      <c r="M189" t="str">
        <f t="shared" si="7"/>
        <v>OK</v>
      </c>
      <c r="N189" t="str">
        <f t="shared" si="8"/>
        <v>ERRO</v>
      </c>
    </row>
    <row r="190" spans="1:14" ht="43.2" x14ac:dyDescent="0.3">
      <c r="A190">
        <v>41</v>
      </c>
      <c r="B190">
        <v>2023</v>
      </c>
      <c r="C190" s="2">
        <v>44959</v>
      </c>
      <c r="D190" s="3" t="s">
        <v>38</v>
      </c>
      <c r="E190" s="4" t="s">
        <v>63</v>
      </c>
      <c r="F190" s="4" t="s">
        <v>40</v>
      </c>
      <c r="G190" s="6">
        <v>100</v>
      </c>
      <c r="H190" s="6">
        <v>90</v>
      </c>
      <c r="I190" s="6">
        <v>110</v>
      </c>
      <c r="J190" s="6" t="s">
        <v>82</v>
      </c>
      <c r="K190" s="6">
        <v>100</v>
      </c>
      <c r="L190" t="str">
        <f t="shared" si="6"/>
        <v>OK</v>
      </c>
      <c r="M190" t="str">
        <f t="shared" si="7"/>
        <v>OK</v>
      </c>
      <c r="N190" t="str">
        <f t="shared" si="8"/>
        <v>ERRO</v>
      </c>
    </row>
    <row r="191" spans="1:14" ht="43.2" x14ac:dyDescent="0.3">
      <c r="A191">
        <v>41</v>
      </c>
      <c r="B191">
        <v>2023</v>
      </c>
      <c r="C191" s="2">
        <v>44959</v>
      </c>
      <c r="D191" s="7" t="s">
        <v>38</v>
      </c>
      <c r="E191" s="8" t="s">
        <v>64</v>
      </c>
      <c r="F191" s="8" t="s">
        <v>40</v>
      </c>
      <c r="G191" s="10">
        <v>35</v>
      </c>
      <c r="H191" s="10">
        <v>35</v>
      </c>
      <c r="I191" s="10">
        <v>65</v>
      </c>
      <c r="J191" s="10" t="s">
        <v>111</v>
      </c>
      <c r="K191" s="10">
        <v>50</v>
      </c>
      <c r="L191" t="str">
        <f t="shared" si="6"/>
        <v>OK</v>
      </c>
      <c r="M191" t="str">
        <f t="shared" si="7"/>
        <v>OK</v>
      </c>
      <c r="N191" t="str">
        <f t="shared" si="8"/>
        <v>ERRO</v>
      </c>
    </row>
    <row r="192" spans="1:14" x14ac:dyDescent="0.3">
      <c r="A192">
        <v>41</v>
      </c>
      <c r="B192">
        <v>2023</v>
      </c>
      <c r="C192" s="2">
        <v>44959</v>
      </c>
      <c r="D192" s="3" t="s">
        <v>65</v>
      </c>
      <c r="E192" s="4" t="s">
        <v>66</v>
      </c>
      <c r="F192" s="4" t="s">
        <v>40</v>
      </c>
      <c r="G192" s="5"/>
      <c r="H192" s="5"/>
      <c r="I192" s="5"/>
      <c r="J192" s="5"/>
      <c r="K192" s="5"/>
      <c r="L192" t="str">
        <f t="shared" si="6"/>
        <v>OK</v>
      </c>
      <c r="M192" t="str">
        <f t="shared" si="7"/>
        <v>OK</v>
      </c>
      <c r="N192" t="str">
        <f t="shared" si="8"/>
        <v>OK</v>
      </c>
    </row>
    <row r="193" spans="1:14" x14ac:dyDescent="0.3">
      <c r="A193">
        <v>41</v>
      </c>
      <c r="B193">
        <v>2023</v>
      </c>
      <c r="C193" s="2">
        <v>44959</v>
      </c>
      <c r="D193" s="7" t="s">
        <v>65</v>
      </c>
      <c r="E193" s="8" t="s">
        <v>67</v>
      </c>
      <c r="F193" s="8" t="s">
        <v>40</v>
      </c>
      <c r="G193" s="9"/>
      <c r="H193" s="9"/>
      <c r="I193" s="9"/>
      <c r="J193" s="9"/>
      <c r="K193" s="9"/>
      <c r="L193" t="str">
        <f t="shared" si="6"/>
        <v>OK</v>
      </c>
      <c r="M193" t="str">
        <f t="shared" si="7"/>
        <v>OK</v>
      </c>
      <c r="N193" t="str">
        <f t="shared" si="8"/>
        <v>OK</v>
      </c>
    </row>
    <row r="194" spans="1:14" x14ac:dyDescent="0.3">
      <c r="A194">
        <v>41</v>
      </c>
      <c r="B194">
        <v>2023</v>
      </c>
      <c r="C194" s="2">
        <v>44959</v>
      </c>
      <c r="D194" s="3" t="s">
        <v>65</v>
      </c>
      <c r="E194" s="4" t="s">
        <v>68</v>
      </c>
      <c r="F194" s="4" t="s">
        <v>40</v>
      </c>
      <c r="G194" s="5"/>
      <c r="H194" s="5"/>
      <c r="I194" s="5"/>
      <c r="J194" s="5"/>
      <c r="K194" s="5"/>
      <c r="L194" t="str">
        <f t="shared" si="6"/>
        <v>OK</v>
      </c>
      <c r="M194" t="str">
        <f t="shared" si="7"/>
        <v>OK</v>
      </c>
      <c r="N194" t="str">
        <f t="shared" si="8"/>
        <v>OK</v>
      </c>
    </row>
    <row r="195" spans="1:14" x14ac:dyDescent="0.3">
      <c r="A195">
        <v>41</v>
      </c>
      <c r="B195">
        <v>2023</v>
      </c>
      <c r="C195" s="2">
        <v>44959</v>
      </c>
      <c r="D195" s="7" t="s">
        <v>65</v>
      </c>
      <c r="E195" s="8" t="s">
        <v>69</v>
      </c>
      <c r="F195" s="8" t="s">
        <v>45</v>
      </c>
      <c r="G195" s="9"/>
      <c r="H195" s="9"/>
      <c r="I195" s="9"/>
      <c r="J195" s="9"/>
      <c r="K195" s="9"/>
      <c r="L195" t="str">
        <f t="shared" ref="L195:L258" si="9">IF(H195&gt;I195,"ERRO","OK")</f>
        <v>OK</v>
      </c>
      <c r="M195" t="str">
        <f t="shared" ref="M195:M258" si="10">IF(H195&gt;J195,"ERRO","OK")</f>
        <v>OK</v>
      </c>
      <c r="N195" t="str">
        <f t="shared" ref="N195:N258" si="11">IF(I195&lt;J195,"ERRO","OK")</f>
        <v>OK</v>
      </c>
    </row>
    <row r="196" spans="1:14" x14ac:dyDescent="0.3">
      <c r="A196">
        <v>41</v>
      </c>
      <c r="B196">
        <v>2023</v>
      </c>
      <c r="C196" s="2">
        <v>44959</v>
      </c>
      <c r="D196" s="3" t="s">
        <v>65</v>
      </c>
      <c r="E196" s="4" t="s">
        <v>70</v>
      </c>
      <c r="F196" s="4" t="s">
        <v>71</v>
      </c>
      <c r="G196" s="5"/>
      <c r="H196" s="5"/>
      <c r="I196" s="5"/>
      <c r="J196" s="5"/>
      <c r="K196" s="5"/>
      <c r="L196" t="str">
        <f t="shared" si="9"/>
        <v>OK</v>
      </c>
      <c r="M196" t="str">
        <f t="shared" si="10"/>
        <v>OK</v>
      </c>
      <c r="N196" t="str">
        <f t="shared" si="11"/>
        <v>OK</v>
      </c>
    </row>
    <row r="197" spans="1:14" ht="28.8" x14ac:dyDescent="0.3">
      <c r="A197">
        <v>42</v>
      </c>
      <c r="B197">
        <v>2023</v>
      </c>
      <c r="C197" s="2">
        <v>44966</v>
      </c>
      <c r="D197" s="3" t="s">
        <v>11</v>
      </c>
      <c r="E197" s="4" t="s">
        <v>12</v>
      </c>
      <c r="F197" s="4" t="s">
        <v>13</v>
      </c>
      <c r="G197" s="5"/>
      <c r="H197" s="6">
        <v>42</v>
      </c>
      <c r="I197" s="6">
        <v>48</v>
      </c>
      <c r="J197" s="6">
        <v>45</v>
      </c>
      <c r="K197" s="6">
        <v>45</v>
      </c>
      <c r="L197" t="str">
        <f t="shared" si="9"/>
        <v>OK</v>
      </c>
      <c r="M197" t="str">
        <f t="shared" si="10"/>
        <v>OK</v>
      </c>
      <c r="N197" t="str">
        <f t="shared" si="11"/>
        <v>OK</v>
      </c>
    </row>
    <row r="198" spans="1:14" ht="28.8" x14ac:dyDescent="0.3">
      <c r="A198">
        <v>42</v>
      </c>
      <c r="B198">
        <v>2023</v>
      </c>
      <c r="C198" s="2">
        <v>44966</v>
      </c>
      <c r="D198" s="7" t="s">
        <v>11</v>
      </c>
      <c r="E198" s="8" t="s">
        <v>14</v>
      </c>
      <c r="F198" s="8" t="s">
        <v>13</v>
      </c>
      <c r="G198" s="10">
        <v>60</v>
      </c>
      <c r="H198" s="10">
        <v>60</v>
      </c>
      <c r="I198" s="10">
        <v>60</v>
      </c>
      <c r="J198" s="10">
        <v>60</v>
      </c>
      <c r="K198" s="10">
        <v>60</v>
      </c>
      <c r="L198" t="str">
        <f t="shared" si="9"/>
        <v>OK</v>
      </c>
      <c r="M198" t="str">
        <f t="shared" si="10"/>
        <v>OK</v>
      </c>
      <c r="N198" t="str">
        <f t="shared" si="11"/>
        <v>OK</v>
      </c>
    </row>
    <row r="199" spans="1:14" ht="28.8" x14ac:dyDescent="0.3">
      <c r="A199">
        <v>42</v>
      </c>
      <c r="B199">
        <v>2023</v>
      </c>
      <c r="C199" s="2">
        <v>44966</v>
      </c>
      <c r="D199" s="3" t="s">
        <v>11</v>
      </c>
      <c r="E199" s="4" t="s">
        <v>15</v>
      </c>
      <c r="F199" s="4" t="s">
        <v>13</v>
      </c>
      <c r="G199" s="5"/>
      <c r="H199" s="6">
        <v>24</v>
      </c>
      <c r="I199" s="6">
        <v>36</v>
      </c>
      <c r="J199" s="6">
        <v>30</v>
      </c>
      <c r="K199" s="6">
        <v>30</v>
      </c>
      <c r="L199" t="str">
        <f t="shared" si="9"/>
        <v>OK</v>
      </c>
      <c r="M199" t="str">
        <f t="shared" si="10"/>
        <v>OK</v>
      </c>
      <c r="N199" t="str">
        <f t="shared" si="11"/>
        <v>OK</v>
      </c>
    </row>
    <row r="200" spans="1:14" ht="28.8" x14ac:dyDescent="0.3">
      <c r="A200">
        <v>42</v>
      </c>
      <c r="B200">
        <v>2023</v>
      </c>
      <c r="C200" s="2">
        <v>44966</v>
      </c>
      <c r="D200" s="7" t="s">
        <v>11</v>
      </c>
      <c r="E200" s="8" t="s">
        <v>16</v>
      </c>
      <c r="F200" s="8" t="s">
        <v>13</v>
      </c>
      <c r="G200" s="10">
        <v>18</v>
      </c>
      <c r="H200" s="10">
        <v>18</v>
      </c>
      <c r="I200" s="10">
        <v>26</v>
      </c>
      <c r="J200" s="10" t="s">
        <v>118</v>
      </c>
      <c r="K200" s="10">
        <v>22</v>
      </c>
      <c r="L200" t="str">
        <f t="shared" si="9"/>
        <v>OK</v>
      </c>
      <c r="M200" t="str">
        <f t="shared" si="10"/>
        <v>OK</v>
      </c>
      <c r="N200" t="str">
        <f t="shared" si="11"/>
        <v>ERRO</v>
      </c>
    </row>
    <row r="201" spans="1:14" ht="28.8" x14ac:dyDescent="0.3">
      <c r="A201">
        <v>42</v>
      </c>
      <c r="B201">
        <v>2023</v>
      </c>
      <c r="C201" s="2">
        <v>44966</v>
      </c>
      <c r="D201" s="3" t="s">
        <v>11</v>
      </c>
      <c r="E201" s="4" t="s">
        <v>17</v>
      </c>
      <c r="F201" s="4" t="s">
        <v>13</v>
      </c>
      <c r="G201" s="5"/>
      <c r="H201" s="6">
        <v>18</v>
      </c>
      <c r="I201" s="6">
        <v>35</v>
      </c>
      <c r="J201" s="6" t="s">
        <v>119</v>
      </c>
      <c r="K201" s="6">
        <v>23</v>
      </c>
      <c r="L201" t="str">
        <f t="shared" si="9"/>
        <v>OK</v>
      </c>
      <c r="M201" t="str">
        <f t="shared" si="10"/>
        <v>OK</v>
      </c>
      <c r="N201" t="str">
        <f t="shared" si="11"/>
        <v>ERRO</v>
      </c>
    </row>
    <row r="202" spans="1:14" ht="28.8" x14ac:dyDescent="0.3">
      <c r="A202">
        <v>42</v>
      </c>
      <c r="B202">
        <v>2023</v>
      </c>
      <c r="C202" s="2">
        <v>44966</v>
      </c>
      <c r="D202" s="7" t="s">
        <v>11</v>
      </c>
      <c r="E202" s="8" t="s">
        <v>18</v>
      </c>
      <c r="F202" s="8" t="s">
        <v>13</v>
      </c>
      <c r="G202" s="9"/>
      <c r="H202" s="10">
        <v>48</v>
      </c>
      <c r="I202" s="10">
        <v>48</v>
      </c>
      <c r="J202" s="10">
        <v>48</v>
      </c>
      <c r="K202" s="10">
        <v>48</v>
      </c>
      <c r="L202" t="str">
        <f t="shared" si="9"/>
        <v>OK</v>
      </c>
      <c r="M202" t="str">
        <f t="shared" si="10"/>
        <v>OK</v>
      </c>
      <c r="N202" t="str">
        <f t="shared" si="11"/>
        <v>OK</v>
      </c>
    </row>
    <row r="203" spans="1:14" ht="28.8" x14ac:dyDescent="0.3">
      <c r="A203">
        <v>42</v>
      </c>
      <c r="B203">
        <v>2023</v>
      </c>
      <c r="C203" s="2">
        <v>44966</v>
      </c>
      <c r="D203" s="3" t="s">
        <v>11</v>
      </c>
      <c r="E203" s="4" t="s">
        <v>19</v>
      </c>
      <c r="F203" s="4" t="s">
        <v>13</v>
      </c>
      <c r="G203" s="6">
        <v>72</v>
      </c>
      <c r="H203" s="6">
        <v>48</v>
      </c>
      <c r="I203" s="6">
        <v>72</v>
      </c>
      <c r="J203" s="6">
        <v>64</v>
      </c>
      <c r="K203" s="6">
        <v>72</v>
      </c>
      <c r="L203" t="str">
        <f t="shared" si="9"/>
        <v>OK</v>
      </c>
      <c r="M203" t="str">
        <f t="shared" si="10"/>
        <v>OK</v>
      </c>
      <c r="N203" t="str">
        <f t="shared" si="11"/>
        <v>OK</v>
      </c>
    </row>
    <row r="204" spans="1:14" ht="28.8" x14ac:dyDescent="0.3">
      <c r="A204">
        <v>42</v>
      </c>
      <c r="B204">
        <v>2023</v>
      </c>
      <c r="C204" s="2">
        <v>44966</v>
      </c>
      <c r="D204" s="7" t="s">
        <v>11</v>
      </c>
      <c r="E204" s="8" t="s">
        <v>20</v>
      </c>
      <c r="F204" s="8" t="s">
        <v>13</v>
      </c>
      <c r="G204" s="10">
        <v>72</v>
      </c>
      <c r="H204" s="10">
        <v>72</v>
      </c>
      <c r="I204" s="10">
        <v>72</v>
      </c>
      <c r="J204" s="10">
        <v>72</v>
      </c>
      <c r="K204" s="10">
        <v>72</v>
      </c>
      <c r="L204" t="str">
        <f t="shared" si="9"/>
        <v>OK</v>
      </c>
      <c r="M204" t="str">
        <f t="shared" si="10"/>
        <v>OK</v>
      </c>
      <c r="N204" t="str">
        <f t="shared" si="11"/>
        <v>OK</v>
      </c>
    </row>
    <row r="205" spans="1:14" ht="28.8" x14ac:dyDescent="0.3">
      <c r="A205">
        <v>42</v>
      </c>
      <c r="B205">
        <v>2023</v>
      </c>
      <c r="C205" s="2">
        <v>44966</v>
      </c>
      <c r="D205" s="3" t="s">
        <v>11</v>
      </c>
      <c r="E205" s="4" t="s">
        <v>21</v>
      </c>
      <c r="F205" s="4" t="s">
        <v>13</v>
      </c>
      <c r="G205" s="6">
        <v>24</v>
      </c>
      <c r="H205" s="6">
        <v>15</v>
      </c>
      <c r="I205" s="6">
        <v>24</v>
      </c>
      <c r="J205" s="6" t="s">
        <v>120</v>
      </c>
      <c r="K205" s="6">
        <v>21</v>
      </c>
      <c r="L205" t="str">
        <f t="shared" si="9"/>
        <v>OK</v>
      </c>
      <c r="M205" t="str">
        <f t="shared" si="10"/>
        <v>OK</v>
      </c>
      <c r="N205" t="str">
        <f t="shared" si="11"/>
        <v>ERRO</v>
      </c>
    </row>
    <row r="206" spans="1:14" ht="28.8" x14ac:dyDescent="0.3">
      <c r="A206">
        <v>42</v>
      </c>
      <c r="B206">
        <v>2023</v>
      </c>
      <c r="C206" s="2">
        <v>44966</v>
      </c>
      <c r="D206" s="7" t="s">
        <v>11</v>
      </c>
      <c r="E206" s="8" t="s">
        <v>22</v>
      </c>
      <c r="F206" s="8"/>
      <c r="G206" s="9"/>
      <c r="H206" s="10">
        <v>60</v>
      </c>
      <c r="I206" s="10">
        <v>78</v>
      </c>
      <c r="J206" s="10" t="s">
        <v>121</v>
      </c>
      <c r="K206" s="10">
        <v>70</v>
      </c>
      <c r="L206" t="str">
        <f t="shared" si="9"/>
        <v>OK</v>
      </c>
      <c r="M206" t="str">
        <f t="shared" si="10"/>
        <v>OK</v>
      </c>
      <c r="N206" t="str">
        <f t="shared" si="11"/>
        <v>ERRO</v>
      </c>
    </row>
    <row r="207" spans="1:14" ht="28.8" x14ac:dyDescent="0.3">
      <c r="A207">
        <v>42</v>
      </c>
      <c r="B207">
        <v>2023</v>
      </c>
      <c r="C207" s="2">
        <v>44966</v>
      </c>
      <c r="D207" s="3" t="s">
        <v>11</v>
      </c>
      <c r="E207" s="4" t="s">
        <v>23</v>
      </c>
      <c r="F207" s="4" t="s">
        <v>13</v>
      </c>
      <c r="G207" s="6">
        <v>18</v>
      </c>
      <c r="H207" s="6">
        <v>18</v>
      </c>
      <c r="I207" s="6">
        <v>24</v>
      </c>
      <c r="J207" s="6" t="s">
        <v>122</v>
      </c>
      <c r="K207" s="6">
        <v>20</v>
      </c>
      <c r="L207" t="str">
        <f t="shared" si="9"/>
        <v>OK</v>
      </c>
      <c r="M207" t="str">
        <f t="shared" si="10"/>
        <v>OK</v>
      </c>
      <c r="N207" t="str">
        <f t="shared" si="11"/>
        <v>ERRO</v>
      </c>
    </row>
    <row r="208" spans="1:14" ht="28.8" x14ac:dyDescent="0.3">
      <c r="A208">
        <v>42</v>
      </c>
      <c r="B208">
        <v>2023</v>
      </c>
      <c r="C208" s="2">
        <v>44966</v>
      </c>
      <c r="D208" s="7" t="s">
        <v>11</v>
      </c>
      <c r="E208" s="8" t="s">
        <v>24</v>
      </c>
      <c r="F208" s="8" t="s">
        <v>13</v>
      </c>
      <c r="G208" s="9"/>
      <c r="H208" s="10">
        <v>54</v>
      </c>
      <c r="I208" s="10">
        <v>60</v>
      </c>
      <c r="J208" s="10">
        <v>57</v>
      </c>
      <c r="K208" s="10">
        <v>57</v>
      </c>
      <c r="L208" t="str">
        <f t="shared" si="9"/>
        <v>OK</v>
      </c>
      <c r="M208" t="str">
        <f t="shared" si="10"/>
        <v>OK</v>
      </c>
      <c r="N208" t="str">
        <f t="shared" si="11"/>
        <v>OK</v>
      </c>
    </row>
    <row r="209" spans="1:14" ht="28.8" x14ac:dyDescent="0.3">
      <c r="A209">
        <v>42</v>
      </c>
      <c r="B209">
        <v>2023</v>
      </c>
      <c r="C209" s="2">
        <v>44966</v>
      </c>
      <c r="D209" s="3" t="s">
        <v>11</v>
      </c>
      <c r="E209" s="4" t="s">
        <v>25</v>
      </c>
      <c r="F209" s="4" t="s">
        <v>26</v>
      </c>
      <c r="G209" s="5"/>
      <c r="H209" s="6">
        <v>60</v>
      </c>
      <c r="I209" s="6">
        <v>60</v>
      </c>
      <c r="J209" s="6">
        <v>60</v>
      </c>
      <c r="K209" s="6">
        <v>60</v>
      </c>
      <c r="L209" t="str">
        <f t="shared" si="9"/>
        <v>OK</v>
      </c>
      <c r="M209" t="str">
        <f t="shared" si="10"/>
        <v>OK</v>
      </c>
      <c r="N209" t="str">
        <f t="shared" si="11"/>
        <v>OK</v>
      </c>
    </row>
    <row r="210" spans="1:14" ht="28.8" x14ac:dyDescent="0.3">
      <c r="A210">
        <v>42</v>
      </c>
      <c r="B210">
        <v>2023</v>
      </c>
      <c r="C210" s="2">
        <v>44966</v>
      </c>
      <c r="D210" s="7" t="s">
        <v>11</v>
      </c>
      <c r="E210" s="8" t="s">
        <v>27</v>
      </c>
      <c r="F210" s="8" t="s">
        <v>13</v>
      </c>
      <c r="G210" s="9"/>
      <c r="H210" s="10">
        <v>48</v>
      </c>
      <c r="I210" s="10">
        <v>60</v>
      </c>
      <c r="J210" s="10">
        <v>54</v>
      </c>
      <c r="K210" s="10">
        <v>54</v>
      </c>
      <c r="L210" t="str">
        <f t="shared" si="9"/>
        <v>OK</v>
      </c>
      <c r="M210" t="str">
        <f t="shared" si="10"/>
        <v>OK</v>
      </c>
      <c r="N210" t="str">
        <f t="shared" si="11"/>
        <v>OK</v>
      </c>
    </row>
    <row r="211" spans="1:14" ht="28.8" x14ac:dyDescent="0.3">
      <c r="A211">
        <v>42</v>
      </c>
      <c r="B211">
        <v>2023</v>
      </c>
      <c r="C211" s="2">
        <v>44966</v>
      </c>
      <c r="D211" s="3" t="s">
        <v>11</v>
      </c>
      <c r="E211" s="4" t="s">
        <v>28</v>
      </c>
      <c r="F211" s="4" t="s">
        <v>13</v>
      </c>
      <c r="G211" s="6">
        <v>36</v>
      </c>
      <c r="H211" s="6">
        <v>35</v>
      </c>
      <c r="I211" s="6">
        <v>40</v>
      </c>
      <c r="J211" s="6" t="s">
        <v>123</v>
      </c>
      <c r="K211" s="6">
        <v>36</v>
      </c>
      <c r="L211" t="str">
        <f t="shared" si="9"/>
        <v>OK</v>
      </c>
      <c r="M211" t="str">
        <f t="shared" si="10"/>
        <v>OK</v>
      </c>
      <c r="N211" t="str">
        <f t="shared" si="11"/>
        <v>ERRO</v>
      </c>
    </row>
    <row r="212" spans="1:14" ht="28.8" x14ac:dyDescent="0.3">
      <c r="A212">
        <v>42</v>
      </c>
      <c r="B212">
        <v>2023</v>
      </c>
      <c r="C212" s="2">
        <v>44966</v>
      </c>
      <c r="D212" s="7" t="s">
        <v>11</v>
      </c>
      <c r="E212" s="8" t="s">
        <v>29</v>
      </c>
      <c r="F212" s="8" t="s">
        <v>13</v>
      </c>
      <c r="G212" s="10">
        <v>42</v>
      </c>
      <c r="H212" s="10">
        <v>42</v>
      </c>
      <c r="I212" s="10">
        <v>42</v>
      </c>
      <c r="J212" s="10">
        <v>42</v>
      </c>
      <c r="K212" s="10">
        <v>42</v>
      </c>
      <c r="L212" t="str">
        <f t="shared" si="9"/>
        <v>OK</v>
      </c>
      <c r="M212" t="str">
        <f t="shared" si="10"/>
        <v>OK</v>
      </c>
      <c r="N212" t="str">
        <f t="shared" si="11"/>
        <v>OK</v>
      </c>
    </row>
    <row r="213" spans="1:14" ht="28.8" x14ac:dyDescent="0.3">
      <c r="A213">
        <v>42</v>
      </c>
      <c r="B213">
        <v>2023</v>
      </c>
      <c r="C213" s="2">
        <v>44966</v>
      </c>
      <c r="D213" s="3" t="s">
        <v>30</v>
      </c>
      <c r="E213" s="4" t="s">
        <v>31</v>
      </c>
      <c r="F213" s="4" t="s">
        <v>32</v>
      </c>
      <c r="G213" s="6">
        <v>4</v>
      </c>
      <c r="H213" s="6">
        <v>4</v>
      </c>
      <c r="I213" s="6">
        <v>5</v>
      </c>
      <c r="J213" s="6" t="s">
        <v>124</v>
      </c>
      <c r="K213" s="6">
        <v>4</v>
      </c>
      <c r="L213" t="str">
        <f t="shared" si="9"/>
        <v>OK</v>
      </c>
      <c r="M213" t="str">
        <f t="shared" si="10"/>
        <v>OK</v>
      </c>
      <c r="N213" t="str">
        <f t="shared" si="11"/>
        <v>ERRO</v>
      </c>
    </row>
    <row r="214" spans="1:14" ht="28.8" x14ac:dyDescent="0.3">
      <c r="A214">
        <v>42</v>
      </c>
      <c r="B214">
        <v>2023</v>
      </c>
      <c r="C214" s="2">
        <v>44966</v>
      </c>
      <c r="D214" s="7" t="s">
        <v>30</v>
      </c>
      <c r="E214" s="8" t="s">
        <v>34</v>
      </c>
      <c r="F214" s="8" t="s">
        <v>35</v>
      </c>
      <c r="G214" s="10">
        <v>25</v>
      </c>
      <c r="H214" s="10">
        <v>15</v>
      </c>
      <c r="I214" s="10">
        <v>25</v>
      </c>
      <c r="J214" s="10" t="s">
        <v>125</v>
      </c>
      <c r="K214" s="10">
        <v>22</v>
      </c>
      <c r="L214" t="str">
        <f t="shared" si="9"/>
        <v>OK</v>
      </c>
      <c r="M214" t="str">
        <f t="shared" si="10"/>
        <v>OK</v>
      </c>
      <c r="N214" t="str">
        <f t="shared" si="11"/>
        <v>ERRO</v>
      </c>
    </row>
    <row r="215" spans="1:14" ht="28.8" x14ac:dyDescent="0.3">
      <c r="A215">
        <v>42</v>
      </c>
      <c r="B215">
        <v>2023</v>
      </c>
      <c r="C215" s="2">
        <v>44966</v>
      </c>
      <c r="D215" s="3" t="s">
        <v>30</v>
      </c>
      <c r="E215" s="4" t="s">
        <v>36</v>
      </c>
      <c r="F215" s="4" t="s">
        <v>35</v>
      </c>
      <c r="G215" s="6">
        <v>25</v>
      </c>
      <c r="H215" s="6">
        <v>25</v>
      </c>
      <c r="I215" s="6">
        <v>25</v>
      </c>
      <c r="J215" s="6">
        <v>25</v>
      </c>
      <c r="K215" s="6">
        <v>25</v>
      </c>
      <c r="L215" t="str">
        <f t="shared" si="9"/>
        <v>OK</v>
      </c>
      <c r="M215" t="str">
        <f t="shared" si="10"/>
        <v>OK</v>
      </c>
      <c r="N215" t="str">
        <f t="shared" si="11"/>
        <v>OK</v>
      </c>
    </row>
    <row r="216" spans="1:14" ht="43.2" x14ac:dyDescent="0.3">
      <c r="A216">
        <v>42</v>
      </c>
      <c r="B216">
        <v>2023</v>
      </c>
      <c r="C216" s="2">
        <v>44966</v>
      </c>
      <c r="D216" s="7" t="s">
        <v>38</v>
      </c>
      <c r="E216" s="8" t="s">
        <v>39</v>
      </c>
      <c r="F216" s="8" t="s">
        <v>40</v>
      </c>
      <c r="G216" s="10">
        <v>70</v>
      </c>
      <c r="H216" s="10">
        <v>35</v>
      </c>
      <c r="I216" s="10">
        <v>70</v>
      </c>
      <c r="J216" s="10" t="s">
        <v>126</v>
      </c>
      <c r="K216" s="10">
        <v>60</v>
      </c>
      <c r="L216" t="str">
        <f t="shared" si="9"/>
        <v>OK</v>
      </c>
      <c r="M216" t="str">
        <f t="shared" si="10"/>
        <v>OK</v>
      </c>
      <c r="N216" t="str">
        <f t="shared" si="11"/>
        <v>ERRO</v>
      </c>
    </row>
    <row r="217" spans="1:14" ht="43.2" x14ac:dyDescent="0.3">
      <c r="A217">
        <v>42</v>
      </c>
      <c r="B217">
        <v>2023</v>
      </c>
      <c r="C217" s="2">
        <v>44966</v>
      </c>
      <c r="D217" s="3" t="s">
        <v>38</v>
      </c>
      <c r="E217" s="4" t="s">
        <v>42</v>
      </c>
      <c r="F217" s="4" t="s">
        <v>43</v>
      </c>
      <c r="G217" s="6">
        <v>35</v>
      </c>
      <c r="H217" s="6">
        <v>35</v>
      </c>
      <c r="I217" s="6">
        <v>65</v>
      </c>
      <c r="J217" s="6" t="s">
        <v>127</v>
      </c>
      <c r="K217" s="6">
        <v>40</v>
      </c>
      <c r="L217" t="str">
        <f t="shared" si="9"/>
        <v>OK</v>
      </c>
      <c r="M217" t="str">
        <f t="shared" si="10"/>
        <v>OK</v>
      </c>
      <c r="N217" t="str">
        <f t="shared" si="11"/>
        <v>ERRO</v>
      </c>
    </row>
    <row r="218" spans="1:14" ht="43.2" x14ac:dyDescent="0.3">
      <c r="A218">
        <v>42</v>
      </c>
      <c r="B218">
        <v>2023</v>
      </c>
      <c r="C218" s="2">
        <v>44966</v>
      </c>
      <c r="D218" s="7" t="s">
        <v>38</v>
      </c>
      <c r="E218" s="8" t="s">
        <v>44</v>
      </c>
      <c r="F218" s="8" t="s">
        <v>45</v>
      </c>
      <c r="G218" s="10">
        <v>40</v>
      </c>
      <c r="H218" s="10">
        <v>40</v>
      </c>
      <c r="I218" s="10">
        <v>40</v>
      </c>
      <c r="J218" s="10">
        <v>40</v>
      </c>
      <c r="K218" s="10">
        <v>40</v>
      </c>
      <c r="L218" t="str">
        <f t="shared" si="9"/>
        <v>OK</v>
      </c>
      <c r="M218" t="str">
        <f t="shared" si="10"/>
        <v>OK</v>
      </c>
      <c r="N218" t="str">
        <f t="shared" si="11"/>
        <v>OK</v>
      </c>
    </row>
    <row r="219" spans="1:14" ht="43.2" x14ac:dyDescent="0.3">
      <c r="A219">
        <v>42</v>
      </c>
      <c r="B219">
        <v>2023</v>
      </c>
      <c r="C219" s="2">
        <v>44966</v>
      </c>
      <c r="D219" s="3" t="s">
        <v>38</v>
      </c>
      <c r="E219" s="4" t="s">
        <v>48</v>
      </c>
      <c r="F219" s="4" t="s">
        <v>45</v>
      </c>
      <c r="G219" s="6">
        <v>100</v>
      </c>
      <c r="H219" s="6">
        <v>100</v>
      </c>
      <c r="I219" s="6">
        <v>100</v>
      </c>
      <c r="J219" s="6">
        <v>100</v>
      </c>
      <c r="K219" s="6">
        <v>100</v>
      </c>
      <c r="L219" t="str">
        <f t="shared" si="9"/>
        <v>OK</v>
      </c>
      <c r="M219" t="str">
        <f t="shared" si="10"/>
        <v>OK</v>
      </c>
      <c r="N219" t="str">
        <f t="shared" si="11"/>
        <v>OK</v>
      </c>
    </row>
    <row r="220" spans="1:14" ht="43.2" x14ac:dyDescent="0.3">
      <c r="A220">
        <v>42</v>
      </c>
      <c r="B220">
        <v>2023</v>
      </c>
      <c r="C220" s="2">
        <v>44966</v>
      </c>
      <c r="D220" s="7" t="s">
        <v>38</v>
      </c>
      <c r="E220" s="8" t="s">
        <v>49</v>
      </c>
      <c r="F220" s="8" t="s">
        <v>50</v>
      </c>
      <c r="G220" s="10">
        <v>40</v>
      </c>
      <c r="H220" s="10">
        <v>40</v>
      </c>
      <c r="I220" s="10">
        <v>60</v>
      </c>
      <c r="J220" s="10" t="s">
        <v>112</v>
      </c>
      <c r="K220" s="10">
        <v>50</v>
      </c>
      <c r="L220" t="str">
        <f t="shared" si="9"/>
        <v>OK</v>
      </c>
      <c r="M220" t="str">
        <f t="shared" si="10"/>
        <v>OK</v>
      </c>
      <c r="N220" t="str">
        <f t="shared" si="11"/>
        <v>ERRO</v>
      </c>
    </row>
    <row r="221" spans="1:14" ht="43.2" x14ac:dyDescent="0.3">
      <c r="A221">
        <v>42</v>
      </c>
      <c r="B221">
        <v>2023</v>
      </c>
      <c r="C221" s="2">
        <v>44966</v>
      </c>
      <c r="D221" s="3" t="s">
        <v>38</v>
      </c>
      <c r="E221" s="4" t="s">
        <v>52</v>
      </c>
      <c r="F221" s="4" t="s">
        <v>43</v>
      </c>
      <c r="G221" s="6">
        <v>75</v>
      </c>
      <c r="H221" s="6">
        <v>45</v>
      </c>
      <c r="I221" s="6">
        <v>80</v>
      </c>
      <c r="J221" s="6" t="s">
        <v>128</v>
      </c>
      <c r="K221" s="6">
        <v>75</v>
      </c>
      <c r="L221" t="str">
        <f t="shared" si="9"/>
        <v>OK</v>
      </c>
      <c r="M221" t="str">
        <f t="shared" si="10"/>
        <v>OK</v>
      </c>
      <c r="N221" t="str">
        <f t="shared" si="11"/>
        <v>ERRO</v>
      </c>
    </row>
    <row r="222" spans="1:14" ht="43.2" x14ac:dyDescent="0.3">
      <c r="A222">
        <v>42</v>
      </c>
      <c r="B222">
        <v>2023</v>
      </c>
      <c r="C222" s="2">
        <v>44966</v>
      </c>
      <c r="D222" s="7" t="s">
        <v>38</v>
      </c>
      <c r="E222" s="8" t="s">
        <v>53</v>
      </c>
      <c r="F222" s="8" t="s">
        <v>43</v>
      </c>
      <c r="G222" s="10">
        <v>55</v>
      </c>
      <c r="H222" s="10">
        <v>50</v>
      </c>
      <c r="I222" s="10">
        <v>70</v>
      </c>
      <c r="J222" s="10" t="s">
        <v>129</v>
      </c>
      <c r="K222" s="10" t="s">
        <v>41</v>
      </c>
      <c r="L222" t="str">
        <f t="shared" si="9"/>
        <v>OK</v>
      </c>
      <c r="M222" t="str">
        <f t="shared" si="10"/>
        <v>OK</v>
      </c>
      <c r="N222" t="str">
        <f t="shared" si="11"/>
        <v>ERRO</v>
      </c>
    </row>
    <row r="223" spans="1:14" ht="43.2" x14ac:dyDescent="0.3">
      <c r="A223">
        <v>42</v>
      </c>
      <c r="B223">
        <v>2023</v>
      </c>
      <c r="C223" s="2">
        <v>44966</v>
      </c>
      <c r="D223" s="3" t="s">
        <v>38</v>
      </c>
      <c r="E223" s="4" t="s">
        <v>54</v>
      </c>
      <c r="F223" s="4" t="s">
        <v>40</v>
      </c>
      <c r="G223" s="6">
        <v>70</v>
      </c>
      <c r="H223" s="6">
        <v>50</v>
      </c>
      <c r="I223" s="6">
        <v>80</v>
      </c>
      <c r="J223" s="6" t="s">
        <v>130</v>
      </c>
      <c r="K223" s="6">
        <v>70</v>
      </c>
      <c r="L223" t="str">
        <f t="shared" si="9"/>
        <v>OK</v>
      </c>
      <c r="M223" t="str">
        <f t="shared" si="10"/>
        <v>OK</v>
      </c>
      <c r="N223" t="str">
        <f t="shared" si="11"/>
        <v>ERRO</v>
      </c>
    </row>
    <row r="224" spans="1:14" ht="43.2" x14ac:dyDescent="0.3">
      <c r="A224">
        <v>42</v>
      </c>
      <c r="B224">
        <v>2023</v>
      </c>
      <c r="C224" s="2">
        <v>44966</v>
      </c>
      <c r="D224" s="7" t="s">
        <v>38</v>
      </c>
      <c r="E224" s="8" t="s">
        <v>56</v>
      </c>
      <c r="F224" s="8" t="s">
        <v>43</v>
      </c>
      <c r="G224" s="9"/>
      <c r="H224" s="10">
        <v>55</v>
      </c>
      <c r="I224" s="10">
        <v>70</v>
      </c>
      <c r="J224" s="10" t="s">
        <v>131</v>
      </c>
      <c r="K224" s="10">
        <v>60</v>
      </c>
      <c r="L224" t="str">
        <f t="shared" si="9"/>
        <v>OK</v>
      </c>
      <c r="M224" t="str">
        <f t="shared" si="10"/>
        <v>OK</v>
      </c>
      <c r="N224" t="str">
        <f t="shared" si="11"/>
        <v>ERRO</v>
      </c>
    </row>
    <row r="225" spans="1:14" ht="43.2" x14ac:dyDescent="0.3">
      <c r="A225">
        <v>42</v>
      </c>
      <c r="B225">
        <v>2023</v>
      </c>
      <c r="C225" s="2">
        <v>44966</v>
      </c>
      <c r="D225" s="3" t="s">
        <v>38</v>
      </c>
      <c r="E225" s="4" t="s">
        <v>57</v>
      </c>
      <c r="F225" s="4" t="s">
        <v>40</v>
      </c>
      <c r="G225" s="5"/>
      <c r="H225" s="6">
        <v>45</v>
      </c>
      <c r="I225" s="6">
        <v>65</v>
      </c>
      <c r="J225" s="6">
        <v>55</v>
      </c>
      <c r="K225" s="6">
        <v>55</v>
      </c>
      <c r="L225" t="str">
        <f t="shared" si="9"/>
        <v>OK</v>
      </c>
      <c r="M225" t="str">
        <f t="shared" si="10"/>
        <v>OK</v>
      </c>
      <c r="N225" t="str">
        <f t="shared" si="11"/>
        <v>OK</v>
      </c>
    </row>
    <row r="226" spans="1:14" ht="43.2" x14ac:dyDescent="0.3">
      <c r="A226">
        <v>42</v>
      </c>
      <c r="B226">
        <v>2023</v>
      </c>
      <c r="C226" s="2">
        <v>44966</v>
      </c>
      <c r="D226" s="7" t="s">
        <v>38</v>
      </c>
      <c r="E226" s="8" t="s">
        <v>58</v>
      </c>
      <c r="F226" s="8" t="s">
        <v>40</v>
      </c>
      <c r="G226" s="10">
        <v>85</v>
      </c>
      <c r="H226" s="10">
        <v>50</v>
      </c>
      <c r="I226" s="10">
        <v>85</v>
      </c>
      <c r="J226" s="10" t="s">
        <v>132</v>
      </c>
      <c r="K226" s="10">
        <v>75</v>
      </c>
      <c r="L226" t="str">
        <f t="shared" si="9"/>
        <v>OK</v>
      </c>
      <c r="M226" t="str">
        <f t="shared" si="10"/>
        <v>OK</v>
      </c>
      <c r="N226" t="str">
        <f t="shared" si="11"/>
        <v>ERRO</v>
      </c>
    </row>
    <row r="227" spans="1:14" ht="43.2" x14ac:dyDescent="0.3">
      <c r="A227">
        <v>42</v>
      </c>
      <c r="B227">
        <v>2023</v>
      </c>
      <c r="C227" s="2">
        <v>44966</v>
      </c>
      <c r="D227" s="3" t="s">
        <v>38</v>
      </c>
      <c r="E227" s="4" t="s">
        <v>59</v>
      </c>
      <c r="F227" s="4" t="s">
        <v>45</v>
      </c>
      <c r="G227" s="6">
        <v>30</v>
      </c>
      <c r="H227" s="6">
        <v>20</v>
      </c>
      <c r="I227" s="6">
        <v>50</v>
      </c>
      <c r="J227" s="6">
        <v>35</v>
      </c>
      <c r="K227" s="6">
        <v>35</v>
      </c>
      <c r="L227" t="str">
        <f t="shared" si="9"/>
        <v>OK</v>
      </c>
      <c r="M227" t="str">
        <f t="shared" si="10"/>
        <v>OK</v>
      </c>
      <c r="N227" t="str">
        <f t="shared" si="11"/>
        <v>OK</v>
      </c>
    </row>
    <row r="228" spans="1:14" ht="43.2" x14ac:dyDescent="0.3">
      <c r="A228">
        <v>42</v>
      </c>
      <c r="B228">
        <v>2023</v>
      </c>
      <c r="C228" s="2">
        <v>44966</v>
      </c>
      <c r="D228" s="7" t="s">
        <v>38</v>
      </c>
      <c r="E228" s="8" t="s">
        <v>60</v>
      </c>
      <c r="F228" s="8" t="s">
        <v>61</v>
      </c>
      <c r="G228" s="10">
        <v>80</v>
      </c>
      <c r="H228" s="10">
        <v>50</v>
      </c>
      <c r="I228" s="10">
        <v>80</v>
      </c>
      <c r="J228" s="10" t="s">
        <v>133</v>
      </c>
      <c r="K228" s="10" t="s">
        <v>134</v>
      </c>
      <c r="L228" t="str">
        <f t="shared" si="9"/>
        <v>OK</v>
      </c>
      <c r="M228" t="str">
        <f t="shared" si="10"/>
        <v>OK</v>
      </c>
      <c r="N228" t="str">
        <f t="shared" si="11"/>
        <v>ERRO</v>
      </c>
    </row>
    <row r="229" spans="1:14" ht="43.2" x14ac:dyDescent="0.3">
      <c r="A229">
        <v>42</v>
      </c>
      <c r="B229">
        <v>2023</v>
      </c>
      <c r="C229" s="2">
        <v>44966</v>
      </c>
      <c r="D229" s="3" t="s">
        <v>38</v>
      </c>
      <c r="E229" s="4" t="s">
        <v>63</v>
      </c>
      <c r="F229" s="4" t="s">
        <v>40</v>
      </c>
      <c r="G229" s="6">
        <v>100</v>
      </c>
      <c r="H229" s="6">
        <v>75</v>
      </c>
      <c r="I229" s="6">
        <v>100</v>
      </c>
      <c r="J229" s="6">
        <v>90</v>
      </c>
      <c r="K229" s="6">
        <v>95</v>
      </c>
      <c r="L229" t="str">
        <f t="shared" si="9"/>
        <v>OK</v>
      </c>
      <c r="M229" t="str">
        <f t="shared" si="10"/>
        <v>OK</v>
      </c>
      <c r="N229" t="str">
        <f t="shared" si="11"/>
        <v>OK</v>
      </c>
    </row>
    <row r="230" spans="1:14" ht="43.2" x14ac:dyDescent="0.3">
      <c r="A230">
        <v>42</v>
      </c>
      <c r="B230">
        <v>2023</v>
      </c>
      <c r="C230" s="2">
        <v>44966</v>
      </c>
      <c r="D230" s="7" t="s">
        <v>38</v>
      </c>
      <c r="E230" s="8" t="s">
        <v>64</v>
      </c>
      <c r="F230" s="8" t="s">
        <v>40</v>
      </c>
      <c r="G230" s="10">
        <v>120</v>
      </c>
      <c r="H230" s="10">
        <v>110</v>
      </c>
      <c r="I230" s="10">
        <v>130</v>
      </c>
      <c r="J230" s="10">
        <v>120</v>
      </c>
      <c r="K230" s="10">
        <v>120</v>
      </c>
      <c r="L230" t="str">
        <f t="shared" si="9"/>
        <v>OK</v>
      </c>
      <c r="M230" t="str">
        <f t="shared" si="10"/>
        <v>OK</v>
      </c>
      <c r="N230" t="str">
        <f t="shared" si="11"/>
        <v>OK</v>
      </c>
    </row>
    <row r="231" spans="1:14" x14ac:dyDescent="0.3">
      <c r="A231">
        <v>42</v>
      </c>
      <c r="B231">
        <v>2023</v>
      </c>
      <c r="C231" s="2">
        <v>44966</v>
      </c>
      <c r="D231" s="3" t="s">
        <v>65</v>
      </c>
      <c r="E231" s="4" t="s">
        <v>66</v>
      </c>
      <c r="F231" s="4" t="s">
        <v>40</v>
      </c>
      <c r="G231" s="5"/>
      <c r="H231" s="5"/>
      <c r="I231" s="5"/>
      <c r="J231" s="5"/>
      <c r="K231" s="5"/>
      <c r="L231" t="str">
        <f t="shared" si="9"/>
        <v>OK</v>
      </c>
      <c r="M231" t="str">
        <f t="shared" si="10"/>
        <v>OK</v>
      </c>
      <c r="N231" t="str">
        <f t="shared" si="11"/>
        <v>OK</v>
      </c>
    </row>
    <row r="232" spans="1:14" x14ac:dyDescent="0.3">
      <c r="A232">
        <v>42</v>
      </c>
      <c r="B232">
        <v>2023</v>
      </c>
      <c r="C232" s="2">
        <v>44966</v>
      </c>
      <c r="D232" s="7" t="s">
        <v>65</v>
      </c>
      <c r="E232" s="8" t="s">
        <v>67</v>
      </c>
      <c r="F232" s="8" t="s">
        <v>40</v>
      </c>
      <c r="G232" s="9"/>
      <c r="H232" s="9"/>
      <c r="I232" s="9"/>
      <c r="J232" s="9"/>
      <c r="K232" s="9"/>
      <c r="L232" t="str">
        <f t="shared" si="9"/>
        <v>OK</v>
      </c>
      <c r="M232" t="str">
        <f t="shared" si="10"/>
        <v>OK</v>
      </c>
      <c r="N232" t="str">
        <f t="shared" si="11"/>
        <v>OK</v>
      </c>
    </row>
    <row r="233" spans="1:14" x14ac:dyDescent="0.3">
      <c r="A233">
        <v>42</v>
      </c>
      <c r="B233">
        <v>2023</v>
      </c>
      <c r="C233" s="2">
        <v>44966</v>
      </c>
      <c r="D233" s="3" t="s">
        <v>65</v>
      </c>
      <c r="E233" s="4" t="s">
        <v>68</v>
      </c>
      <c r="F233" s="4" t="s">
        <v>40</v>
      </c>
      <c r="G233" s="5"/>
      <c r="H233" s="5"/>
      <c r="I233" s="5"/>
      <c r="J233" s="5"/>
      <c r="K233" s="5"/>
      <c r="L233" t="str">
        <f t="shared" si="9"/>
        <v>OK</v>
      </c>
      <c r="M233" t="str">
        <f t="shared" si="10"/>
        <v>OK</v>
      </c>
      <c r="N233" t="str">
        <f t="shared" si="11"/>
        <v>OK</v>
      </c>
    </row>
    <row r="234" spans="1:14" x14ac:dyDescent="0.3">
      <c r="A234">
        <v>42</v>
      </c>
      <c r="B234">
        <v>2023</v>
      </c>
      <c r="C234" s="2">
        <v>44966</v>
      </c>
      <c r="D234" s="7" t="s">
        <v>65</v>
      </c>
      <c r="E234" s="8" t="s">
        <v>70</v>
      </c>
      <c r="F234" s="8" t="s">
        <v>71</v>
      </c>
      <c r="G234" s="9"/>
      <c r="H234" s="9"/>
      <c r="I234" s="9"/>
      <c r="J234" s="9"/>
      <c r="K234" s="9"/>
      <c r="L234" t="str">
        <f t="shared" si="9"/>
        <v>OK</v>
      </c>
      <c r="M234" t="str">
        <f t="shared" si="10"/>
        <v>OK</v>
      </c>
      <c r="N234" t="str">
        <f t="shared" si="11"/>
        <v>OK</v>
      </c>
    </row>
    <row r="235" spans="1:14" ht="28.8" x14ac:dyDescent="0.3">
      <c r="A235">
        <v>43</v>
      </c>
      <c r="B235">
        <v>2023</v>
      </c>
      <c r="C235" s="2">
        <v>44973</v>
      </c>
      <c r="D235" s="3" t="s">
        <v>11</v>
      </c>
      <c r="E235" s="4" t="s">
        <v>12</v>
      </c>
      <c r="F235" s="4" t="s">
        <v>13</v>
      </c>
      <c r="G235" s="6">
        <v>42</v>
      </c>
      <c r="H235" s="6">
        <v>36</v>
      </c>
      <c r="I235" s="6">
        <v>42</v>
      </c>
      <c r="J235" s="6">
        <v>40</v>
      </c>
      <c r="K235" s="6">
        <v>42</v>
      </c>
      <c r="L235" t="str">
        <f t="shared" si="9"/>
        <v>OK</v>
      </c>
      <c r="M235" t="str">
        <f t="shared" si="10"/>
        <v>OK</v>
      </c>
      <c r="N235" t="str">
        <f t="shared" si="11"/>
        <v>OK</v>
      </c>
    </row>
    <row r="236" spans="1:14" ht="28.8" x14ac:dyDescent="0.3">
      <c r="A236">
        <v>43</v>
      </c>
      <c r="B236">
        <v>2023</v>
      </c>
      <c r="C236" s="2">
        <v>44973</v>
      </c>
      <c r="D236" s="7" t="s">
        <v>11</v>
      </c>
      <c r="E236" s="8" t="s">
        <v>14</v>
      </c>
      <c r="F236" s="8" t="s">
        <v>13</v>
      </c>
      <c r="G236" s="10">
        <v>60</v>
      </c>
      <c r="H236" s="10">
        <v>36</v>
      </c>
      <c r="I236" s="10">
        <v>60</v>
      </c>
      <c r="J236" s="10">
        <v>52</v>
      </c>
      <c r="K236" s="10">
        <v>60</v>
      </c>
      <c r="L236" t="str">
        <f t="shared" si="9"/>
        <v>OK</v>
      </c>
      <c r="M236" t="str">
        <f t="shared" si="10"/>
        <v>OK</v>
      </c>
      <c r="N236" t="str">
        <f t="shared" si="11"/>
        <v>OK</v>
      </c>
    </row>
    <row r="237" spans="1:14" ht="28.8" x14ac:dyDescent="0.3">
      <c r="A237">
        <v>43</v>
      </c>
      <c r="B237">
        <v>2023</v>
      </c>
      <c r="C237" s="2">
        <v>44973</v>
      </c>
      <c r="D237" s="3" t="s">
        <v>11</v>
      </c>
      <c r="E237" s="4" t="s">
        <v>15</v>
      </c>
      <c r="F237" s="4" t="s">
        <v>13</v>
      </c>
      <c r="G237" s="6">
        <v>36</v>
      </c>
      <c r="H237" s="6">
        <v>36</v>
      </c>
      <c r="I237" s="6">
        <v>42</v>
      </c>
      <c r="J237" s="6">
        <v>38</v>
      </c>
      <c r="K237" s="6">
        <v>36</v>
      </c>
      <c r="L237" t="str">
        <f t="shared" si="9"/>
        <v>OK</v>
      </c>
      <c r="M237" t="str">
        <f t="shared" si="10"/>
        <v>OK</v>
      </c>
      <c r="N237" t="str">
        <f t="shared" si="11"/>
        <v>OK</v>
      </c>
    </row>
    <row r="238" spans="1:14" ht="28.8" x14ac:dyDescent="0.3">
      <c r="A238">
        <v>43</v>
      </c>
      <c r="B238">
        <v>2023</v>
      </c>
      <c r="C238" s="2">
        <v>44973</v>
      </c>
      <c r="D238" s="7" t="s">
        <v>11</v>
      </c>
      <c r="E238" s="8" t="s">
        <v>16</v>
      </c>
      <c r="F238" s="8" t="s">
        <v>13</v>
      </c>
      <c r="G238" s="10">
        <v>24</v>
      </c>
      <c r="H238" s="10">
        <v>18</v>
      </c>
      <c r="I238" s="10">
        <v>24</v>
      </c>
      <c r="J238" s="10" t="s">
        <v>37</v>
      </c>
      <c r="K238" s="10">
        <v>24</v>
      </c>
      <c r="L238" t="str">
        <f t="shared" si="9"/>
        <v>OK</v>
      </c>
      <c r="M238" t="str">
        <f t="shared" si="10"/>
        <v>OK</v>
      </c>
      <c r="N238" t="str">
        <f t="shared" si="11"/>
        <v>ERRO</v>
      </c>
    </row>
    <row r="239" spans="1:14" ht="28.8" x14ac:dyDescent="0.3">
      <c r="A239">
        <v>43</v>
      </c>
      <c r="B239">
        <v>2023</v>
      </c>
      <c r="C239" s="2">
        <v>44973</v>
      </c>
      <c r="D239" s="3" t="s">
        <v>11</v>
      </c>
      <c r="E239" s="4" t="s">
        <v>17</v>
      </c>
      <c r="F239" s="4" t="s">
        <v>13</v>
      </c>
      <c r="G239" s="6">
        <v>24</v>
      </c>
      <c r="H239" s="6">
        <v>18</v>
      </c>
      <c r="I239" s="6">
        <v>24</v>
      </c>
      <c r="J239" s="6">
        <v>21</v>
      </c>
      <c r="K239" s="6">
        <v>21</v>
      </c>
      <c r="L239" t="str">
        <f t="shared" si="9"/>
        <v>OK</v>
      </c>
      <c r="M239" t="str">
        <f t="shared" si="10"/>
        <v>OK</v>
      </c>
      <c r="N239" t="str">
        <f t="shared" si="11"/>
        <v>OK</v>
      </c>
    </row>
    <row r="240" spans="1:14" ht="28.8" x14ac:dyDescent="0.3">
      <c r="A240">
        <v>43</v>
      </c>
      <c r="B240">
        <v>2023</v>
      </c>
      <c r="C240" s="2">
        <v>44973</v>
      </c>
      <c r="D240" s="7" t="s">
        <v>11</v>
      </c>
      <c r="E240" s="8" t="s">
        <v>18</v>
      </c>
      <c r="F240" s="8" t="s">
        <v>13</v>
      </c>
      <c r="G240" s="9"/>
      <c r="H240" s="10">
        <v>42</v>
      </c>
      <c r="I240" s="10">
        <v>48</v>
      </c>
      <c r="J240" s="10">
        <v>45</v>
      </c>
      <c r="K240" s="10">
        <v>45</v>
      </c>
      <c r="L240" t="str">
        <f t="shared" si="9"/>
        <v>OK</v>
      </c>
      <c r="M240" t="str">
        <f t="shared" si="10"/>
        <v>OK</v>
      </c>
      <c r="N240" t="str">
        <f t="shared" si="11"/>
        <v>OK</v>
      </c>
    </row>
    <row r="241" spans="1:14" ht="28.8" x14ac:dyDescent="0.3">
      <c r="A241">
        <v>43</v>
      </c>
      <c r="B241">
        <v>2023</v>
      </c>
      <c r="C241" s="2">
        <v>44973</v>
      </c>
      <c r="D241" s="3" t="s">
        <v>11</v>
      </c>
      <c r="E241" s="4" t="s">
        <v>19</v>
      </c>
      <c r="F241" s="4" t="s">
        <v>13</v>
      </c>
      <c r="G241" s="6">
        <v>60</v>
      </c>
      <c r="H241" s="6">
        <v>60</v>
      </c>
      <c r="I241" s="6">
        <v>60</v>
      </c>
      <c r="J241" s="6">
        <v>60</v>
      </c>
      <c r="K241" s="6">
        <v>60</v>
      </c>
      <c r="L241" t="str">
        <f t="shared" si="9"/>
        <v>OK</v>
      </c>
      <c r="M241" t="str">
        <f t="shared" si="10"/>
        <v>OK</v>
      </c>
      <c r="N241" t="str">
        <f t="shared" si="11"/>
        <v>OK</v>
      </c>
    </row>
    <row r="242" spans="1:14" ht="28.8" x14ac:dyDescent="0.3">
      <c r="A242">
        <v>43</v>
      </c>
      <c r="B242">
        <v>2023</v>
      </c>
      <c r="C242" s="2">
        <v>44973</v>
      </c>
      <c r="D242" s="7" t="s">
        <v>11</v>
      </c>
      <c r="E242" s="8" t="s">
        <v>20</v>
      </c>
      <c r="F242" s="8" t="s">
        <v>13</v>
      </c>
      <c r="G242" s="10">
        <v>60</v>
      </c>
      <c r="H242" s="10">
        <v>60</v>
      </c>
      <c r="I242" s="10">
        <v>72</v>
      </c>
      <c r="J242" s="10">
        <v>64</v>
      </c>
      <c r="K242" s="10">
        <v>60</v>
      </c>
      <c r="L242" t="str">
        <f t="shared" si="9"/>
        <v>OK</v>
      </c>
      <c r="M242" t="str">
        <f t="shared" si="10"/>
        <v>OK</v>
      </c>
      <c r="N242" t="str">
        <f t="shared" si="11"/>
        <v>OK</v>
      </c>
    </row>
    <row r="243" spans="1:14" ht="28.8" x14ac:dyDescent="0.3">
      <c r="A243">
        <v>43</v>
      </c>
      <c r="B243">
        <v>2023</v>
      </c>
      <c r="C243" s="2">
        <v>44973</v>
      </c>
      <c r="D243" s="3" t="s">
        <v>11</v>
      </c>
      <c r="E243" s="4" t="s">
        <v>21</v>
      </c>
      <c r="F243" s="4" t="s">
        <v>13</v>
      </c>
      <c r="G243" s="6">
        <v>15</v>
      </c>
      <c r="H243" s="6">
        <v>15</v>
      </c>
      <c r="I243" s="6">
        <v>24</v>
      </c>
      <c r="J243" s="6">
        <v>18</v>
      </c>
      <c r="K243" s="6">
        <v>15</v>
      </c>
      <c r="L243" t="str">
        <f t="shared" si="9"/>
        <v>OK</v>
      </c>
      <c r="M243" t="str">
        <f t="shared" si="10"/>
        <v>OK</v>
      </c>
      <c r="N243" t="str">
        <f t="shared" si="11"/>
        <v>OK</v>
      </c>
    </row>
    <row r="244" spans="1:14" ht="28.8" x14ac:dyDescent="0.3">
      <c r="A244">
        <v>43</v>
      </c>
      <c r="B244">
        <v>2023</v>
      </c>
      <c r="C244" s="2">
        <v>44973</v>
      </c>
      <c r="D244" s="7" t="s">
        <v>11</v>
      </c>
      <c r="E244" s="8" t="s">
        <v>73</v>
      </c>
      <c r="F244" s="8" t="s">
        <v>13</v>
      </c>
      <c r="G244" s="10">
        <v>60</v>
      </c>
      <c r="H244" s="10">
        <v>60</v>
      </c>
      <c r="I244" s="10">
        <v>60</v>
      </c>
      <c r="J244" s="10">
        <v>60</v>
      </c>
      <c r="K244" s="10">
        <v>60</v>
      </c>
      <c r="L244" t="str">
        <f t="shared" si="9"/>
        <v>OK</v>
      </c>
      <c r="M244" t="str">
        <f t="shared" si="10"/>
        <v>OK</v>
      </c>
      <c r="N244" t="str">
        <f t="shared" si="11"/>
        <v>OK</v>
      </c>
    </row>
    <row r="245" spans="1:14" ht="28.8" x14ac:dyDescent="0.3">
      <c r="A245">
        <v>43</v>
      </c>
      <c r="B245">
        <v>2023</v>
      </c>
      <c r="C245" s="2">
        <v>44973</v>
      </c>
      <c r="D245" s="3" t="s">
        <v>11</v>
      </c>
      <c r="E245" s="4" t="s">
        <v>23</v>
      </c>
      <c r="F245" s="4" t="s">
        <v>13</v>
      </c>
      <c r="G245" s="6">
        <v>24</v>
      </c>
      <c r="H245" s="6">
        <v>24</v>
      </c>
      <c r="I245" s="6">
        <v>24</v>
      </c>
      <c r="J245" s="6">
        <v>24</v>
      </c>
      <c r="K245" s="6">
        <v>24</v>
      </c>
      <c r="L245" t="str">
        <f t="shared" si="9"/>
        <v>OK</v>
      </c>
      <c r="M245" t="str">
        <f t="shared" si="10"/>
        <v>OK</v>
      </c>
      <c r="N245" t="str">
        <f t="shared" si="11"/>
        <v>OK</v>
      </c>
    </row>
    <row r="246" spans="1:14" ht="28.8" x14ac:dyDescent="0.3">
      <c r="A246">
        <v>43</v>
      </c>
      <c r="B246">
        <v>2023</v>
      </c>
      <c r="C246" s="2">
        <v>44973</v>
      </c>
      <c r="D246" s="7" t="s">
        <v>11</v>
      </c>
      <c r="E246" s="8" t="s">
        <v>24</v>
      </c>
      <c r="F246" s="8" t="s">
        <v>13</v>
      </c>
      <c r="G246" s="10">
        <v>42</v>
      </c>
      <c r="H246" s="10">
        <v>42</v>
      </c>
      <c r="I246" s="10">
        <v>42</v>
      </c>
      <c r="J246" s="10">
        <v>42</v>
      </c>
      <c r="K246" s="10">
        <v>42</v>
      </c>
      <c r="L246" t="str">
        <f t="shared" si="9"/>
        <v>OK</v>
      </c>
      <c r="M246" t="str">
        <f t="shared" si="10"/>
        <v>OK</v>
      </c>
      <c r="N246" t="str">
        <f t="shared" si="11"/>
        <v>OK</v>
      </c>
    </row>
    <row r="247" spans="1:14" ht="28.8" x14ac:dyDescent="0.3">
      <c r="A247">
        <v>43</v>
      </c>
      <c r="B247">
        <v>2023</v>
      </c>
      <c r="C247" s="2">
        <v>44973</v>
      </c>
      <c r="D247" s="3" t="s">
        <v>11</v>
      </c>
      <c r="E247" s="4" t="s">
        <v>25</v>
      </c>
      <c r="F247" s="4" t="s">
        <v>26</v>
      </c>
      <c r="G247" s="5"/>
      <c r="H247" s="6">
        <v>42</v>
      </c>
      <c r="I247" s="6">
        <v>60</v>
      </c>
      <c r="J247" s="6">
        <v>51</v>
      </c>
      <c r="K247" s="6">
        <v>51</v>
      </c>
      <c r="L247" t="str">
        <f t="shared" si="9"/>
        <v>OK</v>
      </c>
      <c r="M247" t="str">
        <f t="shared" si="10"/>
        <v>OK</v>
      </c>
      <c r="N247" t="str">
        <f t="shared" si="11"/>
        <v>OK</v>
      </c>
    </row>
    <row r="248" spans="1:14" ht="28.8" x14ac:dyDescent="0.3">
      <c r="A248">
        <v>43</v>
      </c>
      <c r="B248">
        <v>2023</v>
      </c>
      <c r="C248" s="2">
        <v>44973</v>
      </c>
      <c r="D248" s="7" t="s">
        <v>11</v>
      </c>
      <c r="E248" s="8" t="s">
        <v>27</v>
      </c>
      <c r="F248" s="8" t="s">
        <v>13</v>
      </c>
      <c r="G248" s="10">
        <v>36</v>
      </c>
      <c r="H248" s="10">
        <v>36</v>
      </c>
      <c r="I248" s="10">
        <v>48</v>
      </c>
      <c r="J248" s="10">
        <v>40</v>
      </c>
      <c r="K248" s="10">
        <v>36</v>
      </c>
      <c r="L248" t="str">
        <f t="shared" si="9"/>
        <v>OK</v>
      </c>
      <c r="M248" t="str">
        <f t="shared" si="10"/>
        <v>OK</v>
      </c>
      <c r="N248" t="str">
        <f t="shared" si="11"/>
        <v>OK</v>
      </c>
    </row>
    <row r="249" spans="1:14" ht="28.8" x14ac:dyDescent="0.3">
      <c r="A249">
        <v>43</v>
      </c>
      <c r="B249">
        <v>2023</v>
      </c>
      <c r="C249" s="2">
        <v>44973</v>
      </c>
      <c r="D249" s="3" t="s">
        <v>11</v>
      </c>
      <c r="E249" s="4" t="s">
        <v>28</v>
      </c>
      <c r="F249" s="4" t="s">
        <v>13</v>
      </c>
      <c r="G249" s="6">
        <v>24</v>
      </c>
      <c r="H249" s="6">
        <v>18</v>
      </c>
      <c r="I249" s="6">
        <v>30</v>
      </c>
      <c r="J249" s="6">
        <v>24</v>
      </c>
      <c r="K249" s="6">
        <v>24</v>
      </c>
      <c r="L249" t="str">
        <f t="shared" si="9"/>
        <v>OK</v>
      </c>
      <c r="M249" t="str">
        <f t="shared" si="10"/>
        <v>OK</v>
      </c>
      <c r="N249" t="str">
        <f t="shared" si="11"/>
        <v>OK</v>
      </c>
    </row>
    <row r="250" spans="1:14" ht="28.8" x14ac:dyDescent="0.3">
      <c r="A250">
        <v>43</v>
      </c>
      <c r="B250">
        <v>2023</v>
      </c>
      <c r="C250" s="2">
        <v>44973</v>
      </c>
      <c r="D250" s="7" t="s">
        <v>11</v>
      </c>
      <c r="E250" s="8" t="s">
        <v>29</v>
      </c>
      <c r="F250" s="8" t="s">
        <v>13</v>
      </c>
      <c r="G250" s="10">
        <v>42</v>
      </c>
      <c r="H250" s="10">
        <v>36</v>
      </c>
      <c r="I250" s="10">
        <v>42</v>
      </c>
      <c r="J250" s="10">
        <v>39</v>
      </c>
      <c r="K250" s="10">
        <v>39</v>
      </c>
      <c r="L250" t="str">
        <f t="shared" si="9"/>
        <v>OK</v>
      </c>
      <c r="M250" t="str">
        <f t="shared" si="10"/>
        <v>OK</v>
      </c>
      <c r="N250" t="str">
        <f t="shared" si="11"/>
        <v>OK</v>
      </c>
    </row>
    <row r="251" spans="1:14" ht="28.8" x14ac:dyDescent="0.3">
      <c r="A251">
        <v>43</v>
      </c>
      <c r="B251">
        <v>2023</v>
      </c>
      <c r="C251" s="2">
        <v>44973</v>
      </c>
      <c r="D251" s="3" t="s">
        <v>30</v>
      </c>
      <c r="E251" s="4" t="s">
        <v>31</v>
      </c>
      <c r="F251" s="4" t="s">
        <v>32</v>
      </c>
      <c r="G251" s="6">
        <v>5</v>
      </c>
      <c r="H251" s="6" t="s">
        <v>74</v>
      </c>
      <c r="I251" s="6">
        <v>5</v>
      </c>
      <c r="J251" s="6" t="s">
        <v>135</v>
      </c>
      <c r="K251" s="6" t="s">
        <v>97</v>
      </c>
      <c r="L251" t="str">
        <f t="shared" si="9"/>
        <v>ERRO</v>
      </c>
      <c r="M251" t="str">
        <f t="shared" si="10"/>
        <v>OK</v>
      </c>
      <c r="N251" t="str">
        <f t="shared" si="11"/>
        <v>ERRO</v>
      </c>
    </row>
    <row r="252" spans="1:14" ht="28.8" x14ac:dyDescent="0.3">
      <c r="A252">
        <v>43</v>
      </c>
      <c r="B252">
        <v>2023</v>
      </c>
      <c r="C252" s="2">
        <v>44973</v>
      </c>
      <c r="D252" s="7" t="s">
        <v>30</v>
      </c>
      <c r="E252" s="8" t="s">
        <v>34</v>
      </c>
      <c r="F252" s="8" t="s">
        <v>35</v>
      </c>
      <c r="G252" s="9"/>
      <c r="H252" s="10">
        <v>18</v>
      </c>
      <c r="I252" s="10">
        <v>25</v>
      </c>
      <c r="J252" s="10">
        <v>21</v>
      </c>
      <c r="K252" s="10">
        <v>20</v>
      </c>
      <c r="L252" t="str">
        <f t="shared" si="9"/>
        <v>OK</v>
      </c>
      <c r="M252" t="str">
        <f t="shared" si="10"/>
        <v>OK</v>
      </c>
      <c r="N252" t="str">
        <f t="shared" si="11"/>
        <v>OK</v>
      </c>
    </row>
    <row r="253" spans="1:14" ht="28.8" x14ac:dyDescent="0.3">
      <c r="A253">
        <v>43</v>
      </c>
      <c r="B253">
        <v>2023</v>
      </c>
      <c r="C253" s="2">
        <v>44973</v>
      </c>
      <c r="D253" s="3" t="s">
        <v>30</v>
      </c>
      <c r="E253" s="4" t="s">
        <v>36</v>
      </c>
      <c r="F253" s="4" t="s">
        <v>35</v>
      </c>
      <c r="G253" s="6">
        <v>25</v>
      </c>
      <c r="H253" s="6">
        <v>25</v>
      </c>
      <c r="I253" s="6">
        <v>30</v>
      </c>
      <c r="J253" s="6" t="s">
        <v>136</v>
      </c>
      <c r="K253" s="6">
        <v>25</v>
      </c>
      <c r="L253" t="str">
        <f t="shared" si="9"/>
        <v>OK</v>
      </c>
      <c r="M253" t="str">
        <f t="shared" si="10"/>
        <v>OK</v>
      </c>
      <c r="N253" t="str">
        <f t="shared" si="11"/>
        <v>ERRO</v>
      </c>
    </row>
    <row r="254" spans="1:14" ht="43.2" x14ac:dyDescent="0.3">
      <c r="A254">
        <v>43</v>
      </c>
      <c r="B254">
        <v>2023</v>
      </c>
      <c r="C254" s="2">
        <v>44973</v>
      </c>
      <c r="D254" s="7" t="s">
        <v>38</v>
      </c>
      <c r="E254" s="8" t="s">
        <v>39</v>
      </c>
      <c r="F254" s="8" t="s">
        <v>40</v>
      </c>
      <c r="G254" s="10">
        <v>60</v>
      </c>
      <c r="H254" s="10">
        <v>40</v>
      </c>
      <c r="I254" s="10">
        <v>60</v>
      </c>
      <c r="J254" s="10" t="s">
        <v>78</v>
      </c>
      <c r="K254" s="10">
        <v>55</v>
      </c>
      <c r="L254" t="str">
        <f t="shared" si="9"/>
        <v>OK</v>
      </c>
      <c r="M254" t="str">
        <f t="shared" si="10"/>
        <v>OK</v>
      </c>
      <c r="N254" t="str">
        <f t="shared" si="11"/>
        <v>ERRO</v>
      </c>
    </row>
    <row r="255" spans="1:14" ht="43.2" x14ac:dyDescent="0.3">
      <c r="A255">
        <v>43</v>
      </c>
      <c r="B255">
        <v>2023</v>
      </c>
      <c r="C255" s="2">
        <v>44973</v>
      </c>
      <c r="D255" s="3" t="s">
        <v>38</v>
      </c>
      <c r="E255" s="4" t="s">
        <v>42</v>
      </c>
      <c r="F255" s="4" t="s">
        <v>43</v>
      </c>
      <c r="G255" s="6">
        <v>50</v>
      </c>
      <c r="H255" s="6">
        <v>45</v>
      </c>
      <c r="I255" s="6">
        <v>50</v>
      </c>
      <c r="J255" s="6" t="s">
        <v>137</v>
      </c>
      <c r="K255" s="6">
        <v>50</v>
      </c>
      <c r="L255" t="str">
        <f t="shared" si="9"/>
        <v>OK</v>
      </c>
      <c r="M255" t="str">
        <f t="shared" si="10"/>
        <v>OK</v>
      </c>
      <c r="N255" t="str">
        <f t="shared" si="11"/>
        <v>ERRO</v>
      </c>
    </row>
    <row r="256" spans="1:14" ht="43.2" x14ac:dyDescent="0.3">
      <c r="A256">
        <v>43</v>
      </c>
      <c r="B256">
        <v>2023</v>
      </c>
      <c r="C256" s="2">
        <v>44973</v>
      </c>
      <c r="D256" s="7" t="s">
        <v>38</v>
      </c>
      <c r="E256" s="8" t="s">
        <v>44</v>
      </c>
      <c r="F256" s="8" t="s">
        <v>45</v>
      </c>
      <c r="G256" s="10">
        <v>50</v>
      </c>
      <c r="H256" s="10">
        <v>35</v>
      </c>
      <c r="I256" s="10">
        <v>50</v>
      </c>
      <c r="J256" s="10">
        <v>45</v>
      </c>
      <c r="K256" s="10" t="s">
        <v>91</v>
      </c>
      <c r="L256" t="str">
        <f t="shared" si="9"/>
        <v>OK</v>
      </c>
      <c r="M256" t="str">
        <f t="shared" si="10"/>
        <v>OK</v>
      </c>
      <c r="N256" t="str">
        <f t="shared" si="11"/>
        <v>OK</v>
      </c>
    </row>
    <row r="257" spans="1:14" ht="43.2" x14ac:dyDescent="0.3">
      <c r="A257">
        <v>43</v>
      </c>
      <c r="B257">
        <v>2023</v>
      </c>
      <c r="C257" s="2">
        <v>44973</v>
      </c>
      <c r="D257" s="3" t="s">
        <v>38</v>
      </c>
      <c r="E257" s="4" t="s">
        <v>48</v>
      </c>
      <c r="F257" s="4" t="s">
        <v>45</v>
      </c>
      <c r="G257" s="5"/>
      <c r="H257" s="6">
        <v>60</v>
      </c>
      <c r="I257" s="6">
        <v>60</v>
      </c>
      <c r="J257" s="6">
        <v>60</v>
      </c>
      <c r="K257" s="6">
        <v>60</v>
      </c>
      <c r="L257" t="str">
        <f t="shared" si="9"/>
        <v>OK</v>
      </c>
      <c r="M257" t="str">
        <f t="shared" si="10"/>
        <v>OK</v>
      </c>
      <c r="N257" t="str">
        <f t="shared" si="11"/>
        <v>OK</v>
      </c>
    </row>
    <row r="258" spans="1:14" ht="43.2" x14ac:dyDescent="0.3">
      <c r="A258">
        <v>43</v>
      </c>
      <c r="B258">
        <v>2023</v>
      </c>
      <c r="C258" s="2">
        <v>44973</v>
      </c>
      <c r="D258" s="7" t="s">
        <v>38</v>
      </c>
      <c r="E258" s="8" t="s">
        <v>49</v>
      </c>
      <c r="F258" s="8" t="s">
        <v>50</v>
      </c>
      <c r="G258" s="10">
        <v>60</v>
      </c>
      <c r="H258" s="10">
        <v>50</v>
      </c>
      <c r="I258" s="10">
        <v>70</v>
      </c>
      <c r="J258" s="10">
        <v>60</v>
      </c>
      <c r="K258" s="10">
        <v>60</v>
      </c>
      <c r="L258" t="str">
        <f t="shared" si="9"/>
        <v>OK</v>
      </c>
      <c r="M258" t="str">
        <f t="shared" si="10"/>
        <v>OK</v>
      </c>
      <c r="N258" t="str">
        <f t="shared" si="11"/>
        <v>OK</v>
      </c>
    </row>
    <row r="259" spans="1:14" ht="43.2" x14ac:dyDescent="0.3">
      <c r="A259">
        <v>43</v>
      </c>
      <c r="B259">
        <v>2023</v>
      </c>
      <c r="C259" s="2">
        <v>44973</v>
      </c>
      <c r="D259" s="3" t="s">
        <v>38</v>
      </c>
      <c r="E259" s="4" t="s">
        <v>52</v>
      </c>
      <c r="F259" s="4" t="s">
        <v>43</v>
      </c>
      <c r="G259" s="6">
        <v>60</v>
      </c>
      <c r="H259" s="6">
        <v>40</v>
      </c>
      <c r="I259" s="6">
        <v>60</v>
      </c>
      <c r="J259" s="6">
        <v>54</v>
      </c>
      <c r="K259" s="6">
        <v>60</v>
      </c>
      <c r="L259" t="str">
        <f t="shared" ref="L259:L322" si="12">IF(H259&gt;I259,"ERRO","OK")</f>
        <v>OK</v>
      </c>
      <c r="M259" t="str">
        <f t="shared" ref="M259:M322" si="13">IF(H259&gt;J259,"ERRO","OK")</f>
        <v>OK</v>
      </c>
      <c r="N259" t="str">
        <f t="shared" ref="N259:N322" si="14">IF(I259&lt;J259,"ERRO","OK")</f>
        <v>OK</v>
      </c>
    </row>
    <row r="260" spans="1:14" ht="43.2" x14ac:dyDescent="0.3">
      <c r="A260">
        <v>43</v>
      </c>
      <c r="B260">
        <v>2023</v>
      </c>
      <c r="C260" s="2">
        <v>44973</v>
      </c>
      <c r="D260" s="7" t="s">
        <v>38</v>
      </c>
      <c r="E260" s="8" t="s">
        <v>53</v>
      </c>
      <c r="F260" s="8" t="s">
        <v>43</v>
      </c>
      <c r="G260" s="10">
        <v>50</v>
      </c>
      <c r="H260" s="10">
        <v>35</v>
      </c>
      <c r="I260" s="10">
        <v>50</v>
      </c>
      <c r="J260" s="10">
        <v>46</v>
      </c>
      <c r="K260" s="10">
        <v>50</v>
      </c>
      <c r="L260" t="str">
        <f t="shared" si="12"/>
        <v>OK</v>
      </c>
      <c r="M260" t="str">
        <f t="shared" si="13"/>
        <v>OK</v>
      </c>
      <c r="N260" t="str">
        <f t="shared" si="14"/>
        <v>OK</v>
      </c>
    </row>
    <row r="261" spans="1:14" ht="43.2" x14ac:dyDescent="0.3">
      <c r="A261">
        <v>43</v>
      </c>
      <c r="B261">
        <v>2023</v>
      </c>
      <c r="C261" s="2">
        <v>44973</v>
      </c>
      <c r="D261" s="3" t="s">
        <v>38</v>
      </c>
      <c r="E261" s="4" t="s">
        <v>54</v>
      </c>
      <c r="F261" s="4" t="s">
        <v>40</v>
      </c>
      <c r="G261" s="6">
        <v>70</v>
      </c>
      <c r="H261" s="6">
        <v>50</v>
      </c>
      <c r="I261" s="6">
        <v>70</v>
      </c>
      <c r="J261" s="6" t="s">
        <v>80</v>
      </c>
      <c r="K261" s="6">
        <v>65</v>
      </c>
      <c r="L261" t="str">
        <f t="shared" si="12"/>
        <v>OK</v>
      </c>
      <c r="M261" t="str">
        <f t="shared" si="13"/>
        <v>OK</v>
      </c>
      <c r="N261" t="str">
        <f t="shared" si="14"/>
        <v>ERRO</v>
      </c>
    </row>
    <row r="262" spans="1:14" ht="43.2" x14ac:dyDescent="0.3">
      <c r="A262">
        <v>43</v>
      </c>
      <c r="B262">
        <v>2023</v>
      </c>
      <c r="C262" s="2">
        <v>44973</v>
      </c>
      <c r="D262" s="7" t="s">
        <v>38</v>
      </c>
      <c r="E262" s="8" t="s">
        <v>56</v>
      </c>
      <c r="F262" s="8" t="s">
        <v>43</v>
      </c>
      <c r="G262" s="9"/>
      <c r="H262" s="10">
        <v>50</v>
      </c>
      <c r="I262" s="10">
        <v>55</v>
      </c>
      <c r="J262" s="10" t="s">
        <v>78</v>
      </c>
      <c r="K262" s="10" t="s">
        <v>78</v>
      </c>
      <c r="L262" t="str">
        <f t="shared" si="12"/>
        <v>OK</v>
      </c>
      <c r="M262" t="str">
        <f t="shared" si="13"/>
        <v>OK</v>
      </c>
      <c r="N262" t="str">
        <f t="shared" si="14"/>
        <v>ERRO</v>
      </c>
    </row>
    <row r="263" spans="1:14" ht="43.2" x14ac:dyDescent="0.3">
      <c r="A263">
        <v>43</v>
      </c>
      <c r="B263">
        <v>2023</v>
      </c>
      <c r="C263" s="2">
        <v>44973</v>
      </c>
      <c r="D263" s="3" t="s">
        <v>38</v>
      </c>
      <c r="E263" s="4" t="s">
        <v>57</v>
      </c>
      <c r="F263" s="4" t="s">
        <v>40</v>
      </c>
      <c r="G263" s="5"/>
      <c r="H263" s="6">
        <v>45</v>
      </c>
      <c r="I263" s="6">
        <v>60</v>
      </c>
      <c r="J263" s="6" t="s">
        <v>138</v>
      </c>
      <c r="K263" s="6">
        <v>50</v>
      </c>
      <c r="L263" t="str">
        <f t="shared" si="12"/>
        <v>OK</v>
      </c>
      <c r="M263" t="str">
        <f t="shared" si="13"/>
        <v>OK</v>
      </c>
      <c r="N263" t="str">
        <f t="shared" si="14"/>
        <v>ERRO</v>
      </c>
    </row>
    <row r="264" spans="1:14" ht="43.2" x14ac:dyDescent="0.3">
      <c r="A264">
        <v>43</v>
      </c>
      <c r="B264">
        <v>2023</v>
      </c>
      <c r="C264" s="2">
        <v>44973</v>
      </c>
      <c r="D264" s="7" t="s">
        <v>38</v>
      </c>
      <c r="E264" s="8" t="s">
        <v>58</v>
      </c>
      <c r="F264" s="8" t="s">
        <v>40</v>
      </c>
      <c r="G264" s="9"/>
      <c r="H264" s="10">
        <v>60</v>
      </c>
      <c r="I264" s="10">
        <v>100</v>
      </c>
      <c r="J264" s="10">
        <v>81</v>
      </c>
      <c r="K264" s="10">
        <v>80</v>
      </c>
      <c r="L264" t="str">
        <f t="shared" si="12"/>
        <v>OK</v>
      </c>
      <c r="M264" t="str">
        <f t="shared" si="13"/>
        <v>OK</v>
      </c>
      <c r="N264" t="str">
        <f t="shared" si="14"/>
        <v>OK</v>
      </c>
    </row>
    <row r="265" spans="1:14" ht="43.2" x14ac:dyDescent="0.3">
      <c r="A265">
        <v>43</v>
      </c>
      <c r="B265">
        <v>2023</v>
      </c>
      <c r="C265" s="2">
        <v>44973</v>
      </c>
      <c r="D265" s="3" t="s">
        <v>38</v>
      </c>
      <c r="E265" s="4" t="s">
        <v>59</v>
      </c>
      <c r="F265" s="4" t="s">
        <v>45</v>
      </c>
      <c r="G265" s="6">
        <v>40</v>
      </c>
      <c r="H265" s="6">
        <v>35</v>
      </c>
      <c r="I265" s="6">
        <v>40</v>
      </c>
      <c r="J265" s="6" t="s">
        <v>139</v>
      </c>
      <c r="K265" s="6">
        <v>40</v>
      </c>
      <c r="L265" t="str">
        <f t="shared" si="12"/>
        <v>OK</v>
      </c>
      <c r="M265" t="str">
        <f t="shared" si="13"/>
        <v>OK</v>
      </c>
      <c r="N265" t="str">
        <f t="shared" si="14"/>
        <v>ERRO</v>
      </c>
    </row>
    <row r="266" spans="1:14" ht="43.2" x14ac:dyDescent="0.3">
      <c r="A266">
        <v>43</v>
      </c>
      <c r="B266">
        <v>2023</v>
      </c>
      <c r="C266" s="2">
        <v>44973</v>
      </c>
      <c r="D266" s="7" t="s">
        <v>38</v>
      </c>
      <c r="E266" s="8" t="s">
        <v>60</v>
      </c>
      <c r="F266" s="8" t="s">
        <v>61</v>
      </c>
      <c r="G266" s="10">
        <v>70</v>
      </c>
      <c r="H266" s="10">
        <v>70</v>
      </c>
      <c r="I266" s="10">
        <v>100</v>
      </c>
      <c r="J266" s="10">
        <v>80</v>
      </c>
      <c r="K266" s="10">
        <v>75</v>
      </c>
      <c r="L266" t="str">
        <f t="shared" si="12"/>
        <v>OK</v>
      </c>
      <c r="M266" t="str">
        <f t="shared" si="13"/>
        <v>OK</v>
      </c>
      <c r="N266" t="str">
        <f t="shared" si="14"/>
        <v>OK</v>
      </c>
    </row>
    <row r="267" spans="1:14" ht="43.2" x14ac:dyDescent="0.3">
      <c r="A267">
        <v>43</v>
      </c>
      <c r="B267">
        <v>2023</v>
      </c>
      <c r="C267" s="2">
        <v>44973</v>
      </c>
      <c r="D267" s="3" t="s">
        <v>38</v>
      </c>
      <c r="E267" s="4" t="s">
        <v>63</v>
      </c>
      <c r="F267" s="4" t="s">
        <v>40</v>
      </c>
      <c r="G267" s="6">
        <v>110</v>
      </c>
      <c r="H267" s="6">
        <v>100</v>
      </c>
      <c r="I267" s="6">
        <v>140</v>
      </c>
      <c r="J267" s="6">
        <v>115</v>
      </c>
      <c r="K267" s="6">
        <v>110</v>
      </c>
      <c r="L267" t="str">
        <f t="shared" si="12"/>
        <v>OK</v>
      </c>
      <c r="M267" t="str">
        <f t="shared" si="13"/>
        <v>OK</v>
      </c>
      <c r="N267" t="str">
        <f t="shared" si="14"/>
        <v>OK</v>
      </c>
    </row>
    <row r="268" spans="1:14" ht="43.2" x14ac:dyDescent="0.3">
      <c r="A268">
        <v>43</v>
      </c>
      <c r="B268">
        <v>2023</v>
      </c>
      <c r="C268" s="2">
        <v>44973</v>
      </c>
      <c r="D268" s="7" t="s">
        <v>38</v>
      </c>
      <c r="E268" s="8" t="s">
        <v>64</v>
      </c>
      <c r="F268" s="8" t="s">
        <v>40</v>
      </c>
      <c r="G268" s="10">
        <v>120</v>
      </c>
      <c r="H268" s="10">
        <v>100</v>
      </c>
      <c r="I268" s="10">
        <v>130</v>
      </c>
      <c r="J268" s="10" t="s">
        <v>140</v>
      </c>
      <c r="K268" s="10">
        <v>120</v>
      </c>
      <c r="L268" t="str">
        <f t="shared" si="12"/>
        <v>OK</v>
      </c>
      <c r="M268" t="str">
        <f t="shared" si="13"/>
        <v>OK</v>
      </c>
      <c r="N268" t="str">
        <f t="shared" si="14"/>
        <v>ERRO</v>
      </c>
    </row>
    <row r="269" spans="1:14" x14ac:dyDescent="0.3">
      <c r="A269">
        <v>43</v>
      </c>
      <c r="B269">
        <v>2023</v>
      </c>
      <c r="C269" s="2">
        <v>44973</v>
      </c>
      <c r="D269" s="3" t="s">
        <v>65</v>
      </c>
      <c r="E269" s="4" t="s">
        <v>66</v>
      </c>
      <c r="F269" s="4" t="s">
        <v>40</v>
      </c>
      <c r="G269" s="5"/>
      <c r="H269" s="5"/>
      <c r="I269" s="5"/>
      <c r="J269" s="5"/>
      <c r="K269" s="5"/>
      <c r="L269" t="str">
        <f t="shared" si="12"/>
        <v>OK</v>
      </c>
      <c r="M269" t="str">
        <f t="shared" si="13"/>
        <v>OK</v>
      </c>
      <c r="N269" t="str">
        <f t="shared" si="14"/>
        <v>OK</v>
      </c>
    </row>
    <row r="270" spans="1:14" x14ac:dyDescent="0.3">
      <c r="A270">
        <v>43</v>
      </c>
      <c r="B270">
        <v>2023</v>
      </c>
      <c r="C270" s="2">
        <v>44973</v>
      </c>
      <c r="D270" s="7" t="s">
        <v>65</v>
      </c>
      <c r="E270" s="8" t="s">
        <v>67</v>
      </c>
      <c r="F270" s="8" t="s">
        <v>40</v>
      </c>
      <c r="G270" s="9"/>
      <c r="H270" s="9"/>
      <c r="I270" s="9"/>
      <c r="J270" s="9"/>
      <c r="K270" s="9"/>
      <c r="L270" t="str">
        <f t="shared" si="12"/>
        <v>OK</v>
      </c>
      <c r="M270" t="str">
        <f t="shared" si="13"/>
        <v>OK</v>
      </c>
      <c r="N270" t="str">
        <f t="shared" si="14"/>
        <v>OK</v>
      </c>
    </row>
    <row r="271" spans="1:14" x14ac:dyDescent="0.3">
      <c r="A271">
        <v>43</v>
      </c>
      <c r="B271">
        <v>2023</v>
      </c>
      <c r="C271" s="2">
        <v>44973</v>
      </c>
      <c r="D271" s="3" t="s">
        <v>65</v>
      </c>
      <c r="E271" s="4" t="s">
        <v>68</v>
      </c>
      <c r="F271" s="4" t="s">
        <v>40</v>
      </c>
      <c r="G271" s="5"/>
      <c r="H271" s="5"/>
      <c r="I271" s="5"/>
      <c r="J271" s="5"/>
      <c r="K271" s="5"/>
      <c r="L271" t="str">
        <f t="shared" si="12"/>
        <v>OK</v>
      </c>
      <c r="M271" t="str">
        <f t="shared" si="13"/>
        <v>OK</v>
      </c>
      <c r="N271" t="str">
        <f t="shared" si="14"/>
        <v>OK</v>
      </c>
    </row>
    <row r="272" spans="1:14" x14ac:dyDescent="0.3">
      <c r="A272">
        <v>43</v>
      </c>
      <c r="B272">
        <v>2023</v>
      </c>
      <c r="C272" s="2">
        <v>44973</v>
      </c>
      <c r="D272" s="7" t="s">
        <v>65</v>
      </c>
      <c r="E272" s="8" t="s">
        <v>69</v>
      </c>
      <c r="F272" s="8" t="s">
        <v>45</v>
      </c>
      <c r="G272" s="9"/>
      <c r="H272" s="9"/>
      <c r="I272" s="9"/>
      <c r="J272" s="9"/>
      <c r="K272" s="9"/>
      <c r="L272" t="str">
        <f t="shared" si="12"/>
        <v>OK</v>
      </c>
      <c r="M272" t="str">
        <f t="shared" si="13"/>
        <v>OK</v>
      </c>
      <c r="N272" t="str">
        <f t="shared" si="14"/>
        <v>OK</v>
      </c>
    </row>
    <row r="273" spans="1:14" x14ac:dyDescent="0.3">
      <c r="A273">
        <v>43</v>
      </c>
      <c r="B273">
        <v>2023</v>
      </c>
      <c r="C273" s="2">
        <v>44973</v>
      </c>
      <c r="D273" s="3" t="s">
        <v>65</v>
      </c>
      <c r="E273" s="4" t="s">
        <v>70</v>
      </c>
      <c r="F273" s="4" t="s">
        <v>71</v>
      </c>
      <c r="G273" s="5"/>
      <c r="H273" s="5"/>
      <c r="I273" s="5"/>
      <c r="J273" s="5"/>
      <c r="K273" s="5"/>
      <c r="L273" t="str">
        <f t="shared" si="12"/>
        <v>OK</v>
      </c>
      <c r="M273" t="str">
        <f t="shared" si="13"/>
        <v>OK</v>
      </c>
      <c r="N273" t="str">
        <f t="shared" si="14"/>
        <v>OK</v>
      </c>
    </row>
    <row r="274" spans="1:14" ht="28.8" x14ac:dyDescent="0.3">
      <c r="A274">
        <v>44</v>
      </c>
      <c r="B274">
        <v>2024</v>
      </c>
      <c r="C274" s="2">
        <v>45357</v>
      </c>
      <c r="D274" s="3" t="s">
        <v>11</v>
      </c>
      <c r="E274" s="4" t="s">
        <v>12</v>
      </c>
      <c r="F274" s="4" t="s">
        <v>13</v>
      </c>
      <c r="G274" s="6">
        <v>60</v>
      </c>
      <c r="H274" s="6">
        <v>48</v>
      </c>
      <c r="I274" s="6">
        <v>78</v>
      </c>
      <c r="J274" s="6" t="s">
        <v>141</v>
      </c>
      <c r="K274" s="6">
        <v>60</v>
      </c>
      <c r="L274" t="str">
        <f t="shared" si="12"/>
        <v>OK</v>
      </c>
      <c r="M274" t="str">
        <f t="shared" si="13"/>
        <v>OK</v>
      </c>
      <c r="N274" t="str">
        <f t="shared" si="14"/>
        <v>ERRO</v>
      </c>
    </row>
    <row r="275" spans="1:14" ht="28.8" x14ac:dyDescent="0.3">
      <c r="A275">
        <v>44</v>
      </c>
      <c r="B275">
        <v>2024</v>
      </c>
      <c r="C275" s="2">
        <v>45357</v>
      </c>
      <c r="D275" s="7" t="s">
        <v>11</v>
      </c>
      <c r="E275" s="8" t="s">
        <v>14</v>
      </c>
      <c r="F275" s="8" t="s">
        <v>13</v>
      </c>
      <c r="G275" s="10">
        <v>84</v>
      </c>
      <c r="H275" s="10">
        <v>72</v>
      </c>
      <c r="I275" s="10">
        <v>84</v>
      </c>
      <c r="J275" s="10">
        <v>80</v>
      </c>
      <c r="K275" s="10">
        <v>84</v>
      </c>
      <c r="L275" t="str">
        <f t="shared" si="12"/>
        <v>OK</v>
      </c>
      <c r="M275" t="str">
        <f t="shared" si="13"/>
        <v>OK</v>
      </c>
      <c r="N275" t="str">
        <f t="shared" si="14"/>
        <v>OK</v>
      </c>
    </row>
    <row r="276" spans="1:14" ht="28.8" x14ac:dyDescent="0.3">
      <c r="A276">
        <v>44</v>
      </c>
      <c r="B276">
        <v>2024</v>
      </c>
      <c r="C276" s="2">
        <v>45357</v>
      </c>
      <c r="D276" s="3" t="s">
        <v>11</v>
      </c>
      <c r="E276" s="4" t="s">
        <v>15</v>
      </c>
      <c r="F276" s="4" t="s">
        <v>13</v>
      </c>
      <c r="G276" s="5"/>
      <c r="H276" s="6">
        <v>45</v>
      </c>
      <c r="I276" s="6">
        <v>60</v>
      </c>
      <c r="J276" s="6" t="s">
        <v>142</v>
      </c>
      <c r="K276" s="6">
        <v>51</v>
      </c>
      <c r="L276" t="str">
        <f t="shared" si="12"/>
        <v>OK</v>
      </c>
      <c r="M276" t="str">
        <f t="shared" si="13"/>
        <v>OK</v>
      </c>
      <c r="N276" t="str">
        <f t="shared" si="14"/>
        <v>ERRO</v>
      </c>
    </row>
    <row r="277" spans="1:14" ht="28.8" x14ac:dyDescent="0.3">
      <c r="A277">
        <v>44</v>
      </c>
      <c r="B277">
        <v>2024</v>
      </c>
      <c r="C277" s="2">
        <v>45357</v>
      </c>
      <c r="D277" s="7" t="s">
        <v>11</v>
      </c>
      <c r="E277" s="8" t="s">
        <v>16</v>
      </c>
      <c r="F277" s="8" t="s">
        <v>13</v>
      </c>
      <c r="G277" s="9"/>
      <c r="H277" s="10">
        <v>30</v>
      </c>
      <c r="I277" s="10">
        <v>50</v>
      </c>
      <c r="J277" s="10" t="s">
        <v>143</v>
      </c>
      <c r="K277" s="10">
        <v>36</v>
      </c>
      <c r="L277" t="str">
        <f t="shared" si="12"/>
        <v>OK</v>
      </c>
      <c r="M277" t="str">
        <f t="shared" si="13"/>
        <v>OK</v>
      </c>
      <c r="N277" t="str">
        <f t="shared" si="14"/>
        <v>ERRO</v>
      </c>
    </row>
    <row r="278" spans="1:14" ht="28.8" x14ac:dyDescent="0.3">
      <c r="A278">
        <v>44</v>
      </c>
      <c r="B278">
        <v>2024</v>
      </c>
      <c r="C278" s="2">
        <v>45357</v>
      </c>
      <c r="D278" s="3" t="s">
        <v>11</v>
      </c>
      <c r="E278" s="4" t="s">
        <v>17</v>
      </c>
      <c r="F278" s="4" t="s">
        <v>13</v>
      </c>
      <c r="G278" s="5"/>
      <c r="H278" s="6">
        <v>30</v>
      </c>
      <c r="I278" s="6">
        <v>42</v>
      </c>
      <c r="J278" s="6" t="s">
        <v>144</v>
      </c>
      <c r="K278" s="6" t="s">
        <v>145</v>
      </c>
      <c r="L278" t="str">
        <f t="shared" si="12"/>
        <v>OK</v>
      </c>
      <c r="M278" t="str">
        <f t="shared" si="13"/>
        <v>OK</v>
      </c>
      <c r="N278" t="str">
        <f t="shared" si="14"/>
        <v>ERRO</v>
      </c>
    </row>
    <row r="279" spans="1:14" ht="28.8" x14ac:dyDescent="0.3">
      <c r="A279">
        <v>44</v>
      </c>
      <c r="B279">
        <v>2024</v>
      </c>
      <c r="C279" s="2">
        <v>45357</v>
      </c>
      <c r="D279" s="7" t="s">
        <v>11</v>
      </c>
      <c r="E279" s="8" t="s">
        <v>18</v>
      </c>
      <c r="F279" s="8" t="s">
        <v>13</v>
      </c>
      <c r="G279" s="10">
        <v>60</v>
      </c>
      <c r="H279" s="10">
        <v>48</v>
      </c>
      <c r="I279" s="10">
        <v>60</v>
      </c>
      <c r="J279" s="10">
        <v>56</v>
      </c>
      <c r="K279" s="10">
        <v>60</v>
      </c>
      <c r="L279" t="str">
        <f t="shared" si="12"/>
        <v>OK</v>
      </c>
      <c r="M279" t="str">
        <f t="shared" si="13"/>
        <v>OK</v>
      </c>
      <c r="N279" t="str">
        <f t="shared" si="14"/>
        <v>OK</v>
      </c>
    </row>
    <row r="280" spans="1:14" ht="28.8" x14ac:dyDescent="0.3">
      <c r="A280">
        <v>44</v>
      </c>
      <c r="B280">
        <v>2024</v>
      </c>
      <c r="C280" s="2">
        <v>45357</v>
      </c>
      <c r="D280" s="3" t="s">
        <v>11</v>
      </c>
      <c r="E280" s="4" t="s">
        <v>19</v>
      </c>
      <c r="F280" s="4" t="s">
        <v>13</v>
      </c>
      <c r="G280" s="6">
        <v>72</v>
      </c>
      <c r="H280" s="6">
        <v>60</v>
      </c>
      <c r="I280" s="6">
        <v>84</v>
      </c>
      <c r="J280" s="6">
        <v>72</v>
      </c>
      <c r="K280" s="6">
        <v>72</v>
      </c>
      <c r="L280" t="str">
        <f t="shared" si="12"/>
        <v>OK</v>
      </c>
      <c r="M280" t="str">
        <f t="shared" si="13"/>
        <v>OK</v>
      </c>
      <c r="N280" t="str">
        <f t="shared" si="14"/>
        <v>OK</v>
      </c>
    </row>
    <row r="281" spans="1:14" ht="28.8" x14ac:dyDescent="0.3">
      <c r="A281">
        <v>44</v>
      </c>
      <c r="B281">
        <v>2024</v>
      </c>
      <c r="C281" s="2">
        <v>45357</v>
      </c>
      <c r="D281" s="7" t="s">
        <v>11</v>
      </c>
      <c r="E281" s="8" t="s">
        <v>20</v>
      </c>
      <c r="F281" s="8" t="s">
        <v>13</v>
      </c>
      <c r="G281" s="10">
        <v>84</v>
      </c>
      <c r="H281" s="10">
        <v>72</v>
      </c>
      <c r="I281" s="10">
        <v>96</v>
      </c>
      <c r="J281" s="10">
        <v>84</v>
      </c>
      <c r="K281" s="10">
        <v>84</v>
      </c>
      <c r="L281" t="str">
        <f t="shared" si="12"/>
        <v>OK</v>
      </c>
      <c r="M281" t="str">
        <f t="shared" si="13"/>
        <v>OK</v>
      </c>
      <c r="N281" t="str">
        <f t="shared" si="14"/>
        <v>OK</v>
      </c>
    </row>
    <row r="282" spans="1:14" ht="28.8" x14ac:dyDescent="0.3">
      <c r="A282">
        <v>44</v>
      </c>
      <c r="B282">
        <v>2024</v>
      </c>
      <c r="C282" s="2">
        <v>45357</v>
      </c>
      <c r="D282" s="3" t="s">
        <v>11</v>
      </c>
      <c r="E282" s="4" t="s">
        <v>21</v>
      </c>
      <c r="F282" s="4" t="s">
        <v>13</v>
      </c>
      <c r="G282" s="6">
        <v>25</v>
      </c>
      <c r="H282" s="6">
        <v>24</v>
      </c>
      <c r="I282" s="6">
        <v>30</v>
      </c>
      <c r="J282" s="6">
        <v>26</v>
      </c>
      <c r="K282" s="6">
        <v>25</v>
      </c>
      <c r="L282" t="str">
        <f t="shared" si="12"/>
        <v>OK</v>
      </c>
      <c r="M282" t="str">
        <f t="shared" si="13"/>
        <v>OK</v>
      </c>
      <c r="N282" t="str">
        <f t="shared" si="14"/>
        <v>OK</v>
      </c>
    </row>
    <row r="283" spans="1:14" ht="28.8" x14ac:dyDescent="0.3">
      <c r="A283">
        <v>44</v>
      </c>
      <c r="B283">
        <v>2024</v>
      </c>
      <c r="C283" s="2">
        <v>45357</v>
      </c>
      <c r="D283" s="7" t="s">
        <v>11</v>
      </c>
      <c r="E283" s="8" t="s">
        <v>73</v>
      </c>
      <c r="F283" s="8" t="s">
        <v>13</v>
      </c>
      <c r="G283" s="10">
        <v>84</v>
      </c>
      <c r="H283" s="10">
        <v>84</v>
      </c>
      <c r="I283" s="10">
        <v>108</v>
      </c>
      <c r="J283" s="10" t="s">
        <v>146</v>
      </c>
      <c r="K283" s="10">
        <v>96</v>
      </c>
      <c r="L283" t="str">
        <f t="shared" si="12"/>
        <v>OK</v>
      </c>
      <c r="M283" t="str">
        <f t="shared" si="13"/>
        <v>OK</v>
      </c>
      <c r="N283" t="str">
        <f t="shared" si="14"/>
        <v>ERRO</v>
      </c>
    </row>
    <row r="284" spans="1:14" ht="28.8" x14ac:dyDescent="0.3">
      <c r="A284">
        <v>44</v>
      </c>
      <c r="B284">
        <v>2024</v>
      </c>
      <c r="C284" s="2">
        <v>45357</v>
      </c>
      <c r="D284" s="3" t="s">
        <v>11</v>
      </c>
      <c r="E284" s="4" t="s">
        <v>23</v>
      </c>
      <c r="F284" s="4" t="s">
        <v>13</v>
      </c>
      <c r="G284" s="5"/>
      <c r="H284" s="6">
        <v>25</v>
      </c>
      <c r="I284" s="6">
        <v>42</v>
      </c>
      <c r="J284" s="6" t="s">
        <v>147</v>
      </c>
      <c r="K284" s="6">
        <v>33</v>
      </c>
      <c r="L284" t="str">
        <f t="shared" si="12"/>
        <v>OK</v>
      </c>
      <c r="M284" t="str">
        <f t="shared" si="13"/>
        <v>OK</v>
      </c>
      <c r="N284" t="str">
        <f t="shared" si="14"/>
        <v>ERRO</v>
      </c>
    </row>
    <row r="285" spans="1:14" ht="28.8" x14ac:dyDescent="0.3">
      <c r="A285">
        <v>44</v>
      </c>
      <c r="B285">
        <v>2024</v>
      </c>
      <c r="C285" s="2">
        <v>45357</v>
      </c>
      <c r="D285" s="7" t="s">
        <v>11</v>
      </c>
      <c r="E285" s="8" t="s">
        <v>24</v>
      </c>
      <c r="F285" s="8" t="s">
        <v>13</v>
      </c>
      <c r="G285" s="10">
        <v>60</v>
      </c>
      <c r="H285" s="10">
        <v>60</v>
      </c>
      <c r="I285" s="10">
        <v>72</v>
      </c>
      <c r="J285" s="10">
        <v>64</v>
      </c>
      <c r="K285" s="10">
        <v>60</v>
      </c>
      <c r="L285" t="str">
        <f t="shared" si="12"/>
        <v>OK</v>
      </c>
      <c r="M285" t="str">
        <f t="shared" si="13"/>
        <v>OK</v>
      </c>
      <c r="N285" t="str">
        <f t="shared" si="14"/>
        <v>OK</v>
      </c>
    </row>
    <row r="286" spans="1:14" ht="28.8" x14ac:dyDescent="0.3">
      <c r="A286">
        <v>44</v>
      </c>
      <c r="B286">
        <v>2024</v>
      </c>
      <c r="C286" s="2">
        <v>45357</v>
      </c>
      <c r="D286" s="3" t="s">
        <v>11</v>
      </c>
      <c r="E286" s="4" t="s">
        <v>25</v>
      </c>
      <c r="F286" s="4" t="s">
        <v>26</v>
      </c>
      <c r="G286" s="6">
        <v>60</v>
      </c>
      <c r="H286" s="6">
        <v>48</v>
      </c>
      <c r="I286" s="6">
        <v>72</v>
      </c>
      <c r="J286" s="6">
        <v>60</v>
      </c>
      <c r="K286" s="6">
        <v>60</v>
      </c>
      <c r="L286" t="str">
        <f t="shared" si="12"/>
        <v>OK</v>
      </c>
      <c r="M286" t="str">
        <f t="shared" si="13"/>
        <v>OK</v>
      </c>
      <c r="N286" t="str">
        <f t="shared" si="14"/>
        <v>OK</v>
      </c>
    </row>
    <row r="287" spans="1:14" ht="28.8" x14ac:dyDescent="0.3">
      <c r="A287">
        <v>44</v>
      </c>
      <c r="B287">
        <v>2024</v>
      </c>
      <c r="C287" s="2">
        <v>45357</v>
      </c>
      <c r="D287" s="7" t="s">
        <v>11</v>
      </c>
      <c r="E287" s="8" t="s">
        <v>27</v>
      </c>
      <c r="F287" s="8" t="s">
        <v>13</v>
      </c>
      <c r="G287" s="10">
        <v>84</v>
      </c>
      <c r="H287" s="10">
        <v>60</v>
      </c>
      <c r="I287" s="10">
        <v>84</v>
      </c>
      <c r="J287" s="10">
        <v>75</v>
      </c>
      <c r="K287" s="10">
        <v>78</v>
      </c>
      <c r="L287" t="str">
        <f t="shared" si="12"/>
        <v>OK</v>
      </c>
      <c r="M287" t="str">
        <f t="shared" si="13"/>
        <v>OK</v>
      </c>
      <c r="N287" t="str">
        <f t="shared" si="14"/>
        <v>OK</v>
      </c>
    </row>
    <row r="288" spans="1:14" ht="28.8" x14ac:dyDescent="0.3">
      <c r="A288">
        <v>44</v>
      </c>
      <c r="B288">
        <v>2024</v>
      </c>
      <c r="C288" s="2">
        <v>45357</v>
      </c>
      <c r="D288" s="3" t="s">
        <v>11</v>
      </c>
      <c r="E288" s="4" t="s">
        <v>28</v>
      </c>
      <c r="F288" s="4" t="s">
        <v>13</v>
      </c>
      <c r="G288" s="6">
        <v>60</v>
      </c>
      <c r="H288" s="6">
        <v>48</v>
      </c>
      <c r="I288" s="6">
        <v>78</v>
      </c>
      <c r="J288" s="6" t="s">
        <v>148</v>
      </c>
      <c r="K288" s="6">
        <v>60</v>
      </c>
      <c r="L288" t="str">
        <f t="shared" si="12"/>
        <v>OK</v>
      </c>
      <c r="M288" t="str">
        <f t="shared" si="13"/>
        <v>OK</v>
      </c>
      <c r="N288" t="str">
        <f t="shared" si="14"/>
        <v>ERRO</v>
      </c>
    </row>
    <row r="289" spans="1:14" ht="28.8" x14ac:dyDescent="0.3">
      <c r="A289">
        <v>44</v>
      </c>
      <c r="B289">
        <v>2024</v>
      </c>
      <c r="C289" s="2">
        <v>45357</v>
      </c>
      <c r="D289" s="7" t="s">
        <v>11</v>
      </c>
      <c r="E289" s="8" t="s">
        <v>29</v>
      </c>
      <c r="F289" s="8" t="s">
        <v>13</v>
      </c>
      <c r="G289" s="9"/>
      <c r="H289" s="10">
        <v>42</v>
      </c>
      <c r="I289" s="10">
        <v>54</v>
      </c>
      <c r="J289" s="10">
        <v>48</v>
      </c>
      <c r="K289" s="10">
        <v>48</v>
      </c>
      <c r="L289" t="str">
        <f t="shared" si="12"/>
        <v>OK</v>
      </c>
      <c r="M289" t="str">
        <f t="shared" si="13"/>
        <v>OK</v>
      </c>
      <c r="N289" t="str">
        <f t="shared" si="14"/>
        <v>OK</v>
      </c>
    </row>
    <row r="290" spans="1:14" ht="28.8" x14ac:dyDescent="0.3">
      <c r="A290">
        <v>44</v>
      </c>
      <c r="B290">
        <v>2024</v>
      </c>
      <c r="C290" s="2">
        <v>45357</v>
      </c>
      <c r="D290" s="3" t="s">
        <v>30</v>
      </c>
      <c r="E290" s="4" t="s">
        <v>31</v>
      </c>
      <c r="F290" s="4" t="s">
        <v>32</v>
      </c>
      <c r="G290" s="6">
        <v>5</v>
      </c>
      <c r="H290" s="6">
        <v>4</v>
      </c>
      <c r="I290" s="6">
        <v>5</v>
      </c>
      <c r="J290" s="6" t="s">
        <v>149</v>
      </c>
      <c r="K290" s="6" t="s">
        <v>150</v>
      </c>
      <c r="L290" t="str">
        <f t="shared" si="12"/>
        <v>OK</v>
      </c>
      <c r="M290" t="str">
        <f t="shared" si="13"/>
        <v>OK</v>
      </c>
      <c r="N290" t="str">
        <f t="shared" si="14"/>
        <v>ERRO</v>
      </c>
    </row>
    <row r="291" spans="1:14" ht="28.8" x14ac:dyDescent="0.3">
      <c r="A291">
        <v>44</v>
      </c>
      <c r="B291">
        <v>2024</v>
      </c>
      <c r="C291" s="2">
        <v>45357</v>
      </c>
      <c r="D291" s="7" t="s">
        <v>30</v>
      </c>
      <c r="E291" s="8" t="s">
        <v>34</v>
      </c>
      <c r="F291" s="8" t="s">
        <v>35</v>
      </c>
      <c r="G291" s="10">
        <v>20</v>
      </c>
      <c r="H291" s="10">
        <v>20</v>
      </c>
      <c r="I291" s="10">
        <v>40</v>
      </c>
      <c r="J291" s="10" t="s">
        <v>151</v>
      </c>
      <c r="K291" s="10" t="s">
        <v>37</v>
      </c>
      <c r="L291" t="str">
        <f t="shared" si="12"/>
        <v>OK</v>
      </c>
      <c r="M291" t="str">
        <f t="shared" si="13"/>
        <v>OK</v>
      </c>
      <c r="N291" t="str">
        <f t="shared" si="14"/>
        <v>ERRO</v>
      </c>
    </row>
    <row r="292" spans="1:14" ht="28.8" x14ac:dyDescent="0.3">
      <c r="A292">
        <v>44</v>
      </c>
      <c r="B292">
        <v>2024</v>
      </c>
      <c r="C292" s="2">
        <v>45357</v>
      </c>
      <c r="D292" s="3" t="s">
        <v>30</v>
      </c>
      <c r="E292" s="4" t="s">
        <v>36</v>
      </c>
      <c r="F292" s="4" t="s">
        <v>35</v>
      </c>
      <c r="G292" s="6">
        <v>25</v>
      </c>
      <c r="H292" s="6">
        <v>25</v>
      </c>
      <c r="I292" s="6">
        <v>30</v>
      </c>
      <c r="J292" s="6" t="s">
        <v>152</v>
      </c>
      <c r="K292" s="6">
        <v>28</v>
      </c>
      <c r="L292" t="str">
        <f t="shared" si="12"/>
        <v>OK</v>
      </c>
      <c r="M292" t="str">
        <f t="shared" si="13"/>
        <v>OK</v>
      </c>
      <c r="N292" t="str">
        <f t="shared" si="14"/>
        <v>ERRO</v>
      </c>
    </row>
    <row r="293" spans="1:14" ht="43.2" x14ac:dyDescent="0.3">
      <c r="A293">
        <v>44</v>
      </c>
      <c r="B293">
        <v>2024</v>
      </c>
      <c r="C293" s="2">
        <v>45357</v>
      </c>
      <c r="D293" s="7" t="s">
        <v>38</v>
      </c>
      <c r="E293" s="8" t="s">
        <v>153</v>
      </c>
      <c r="F293" s="8" t="s">
        <v>154</v>
      </c>
      <c r="G293" s="9"/>
      <c r="H293" s="10">
        <v>10</v>
      </c>
      <c r="I293" s="10">
        <v>110</v>
      </c>
      <c r="J293" s="10" t="s">
        <v>155</v>
      </c>
      <c r="K293" s="10" t="s">
        <v>156</v>
      </c>
      <c r="L293" t="str">
        <f t="shared" si="12"/>
        <v>OK</v>
      </c>
      <c r="M293" t="str">
        <f t="shared" si="13"/>
        <v>OK</v>
      </c>
      <c r="N293" t="str">
        <f t="shared" si="14"/>
        <v>ERRO</v>
      </c>
    </row>
    <row r="294" spans="1:14" ht="43.2" x14ac:dyDescent="0.3">
      <c r="A294">
        <v>44</v>
      </c>
      <c r="B294">
        <v>2024</v>
      </c>
      <c r="C294" s="2">
        <v>45357</v>
      </c>
      <c r="D294" s="3" t="s">
        <v>38</v>
      </c>
      <c r="E294" s="4" t="s">
        <v>39</v>
      </c>
      <c r="F294" s="4" t="s">
        <v>40</v>
      </c>
      <c r="G294" s="6">
        <v>100</v>
      </c>
      <c r="H294" s="6">
        <v>78</v>
      </c>
      <c r="I294" s="6">
        <v>100</v>
      </c>
      <c r="J294" s="6" t="s">
        <v>157</v>
      </c>
      <c r="K294" s="6">
        <v>90</v>
      </c>
      <c r="L294" t="str">
        <f t="shared" si="12"/>
        <v>OK</v>
      </c>
      <c r="M294" t="str">
        <f t="shared" si="13"/>
        <v>OK</v>
      </c>
      <c r="N294" t="str">
        <f t="shared" si="14"/>
        <v>ERRO</v>
      </c>
    </row>
    <row r="295" spans="1:14" ht="43.2" x14ac:dyDescent="0.3">
      <c r="A295">
        <v>44</v>
      </c>
      <c r="B295">
        <v>2024</v>
      </c>
      <c r="C295" s="2">
        <v>45357</v>
      </c>
      <c r="D295" s="7" t="s">
        <v>38</v>
      </c>
      <c r="E295" s="8" t="s">
        <v>42</v>
      </c>
      <c r="F295" s="8" t="s">
        <v>43</v>
      </c>
      <c r="G295" s="9"/>
      <c r="H295" s="10">
        <v>50</v>
      </c>
      <c r="I295" s="10">
        <v>80</v>
      </c>
      <c r="J295" s="10">
        <v>66</v>
      </c>
      <c r="K295" s="10">
        <v>70</v>
      </c>
      <c r="L295" t="str">
        <f t="shared" si="12"/>
        <v>OK</v>
      </c>
      <c r="M295" t="str">
        <f t="shared" si="13"/>
        <v>OK</v>
      </c>
      <c r="N295" t="str">
        <f t="shared" si="14"/>
        <v>OK</v>
      </c>
    </row>
    <row r="296" spans="1:14" ht="43.2" x14ac:dyDescent="0.3">
      <c r="A296">
        <v>44</v>
      </c>
      <c r="B296">
        <v>2024</v>
      </c>
      <c r="C296" s="2">
        <v>45357</v>
      </c>
      <c r="D296" s="3" t="s">
        <v>38</v>
      </c>
      <c r="E296" s="4" t="s">
        <v>44</v>
      </c>
      <c r="F296" s="4" t="s">
        <v>45</v>
      </c>
      <c r="G296" s="6">
        <v>40</v>
      </c>
      <c r="H296" s="6">
        <v>30</v>
      </c>
      <c r="I296" s="6">
        <v>50</v>
      </c>
      <c r="J296" s="6">
        <v>40</v>
      </c>
      <c r="K296" s="6">
        <v>40</v>
      </c>
      <c r="L296" t="str">
        <f t="shared" si="12"/>
        <v>OK</v>
      </c>
      <c r="M296" t="str">
        <f t="shared" si="13"/>
        <v>OK</v>
      </c>
      <c r="N296" t="str">
        <f t="shared" si="14"/>
        <v>OK</v>
      </c>
    </row>
    <row r="297" spans="1:14" ht="43.2" x14ac:dyDescent="0.3">
      <c r="A297">
        <v>44</v>
      </c>
      <c r="B297">
        <v>2024</v>
      </c>
      <c r="C297" s="2">
        <v>45357</v>
      </c>
      <c r="D297" s="7" t="s">
        <v>38</v>
      </c>
      <c r="E297" s="8" t="s">
        <v>48</v>
      </c>
      <c r="F297" s="8" t="s">
        <v>45</v>
      </c>
      <c r="G297" s="9"/>
      <c r="H297" s="10">
        <v>95</v>
      </c>
      <c r="I297" s="10">
        <v>100</v>
      </c>
      <c r="J297" s="10" t="s">
        <v>156</v>
      </c>
      <c r="K297" s="10" t="s">
        <v>156</v>
      </c>
      <c r="L297" t="str">
        <f t="shared" si="12"/>
        <v>OK</v>
      </c>
      <c r="M297" t="str">
        <f t="shared" si="13"/>
        <v>OK</v>
      </c>
      <c r="N297" t="str">
        <f t="shared" si="14"/>
        <v>ERRO</v>
      </c>
    </row>
    <row r="298" spans="1:14" ht="43.2" x14ac:dyDescent="0.3">
      <c r="A298">
        <v>44</v>
      </c>
      <c r="B298">
        <v>2024</v>
      </c>
      <c r="C298" s="2">
        <v>45357</v>
      </c>
      <c r="D298" s="3" t="s">
        <v>38</v>
      </c>
      <c r="E298" s="4" t="s">
        <v>49</v>
      </c>
      <c r="F298" s="4" t="s">
        <v>50</v>
      </c>
      <c r="G298" s="6">
        <v>95</v>
      </c>
      <c r="H298" s="6">
        <v>70</v>
      </c>
      <c r="I298" s="6">
        <v>120</v>
      </c>
      <c r="J298" s="6">
        <v>92</v>
      </c>
      <c r="K298" s="6">
        <v>95</v>
      </c>
      <c r="L298" t="str">
        <f t="shared" si="12"/>
        <v>OK</v>
      </c>
      <c r="M298" t="str">
        <f t="shared" si="13"/>
        <v>OK</v>
      </c>
      <c r="N298" t="str">
        <f t="shared" si="14"/>
        <v>OK</v>
      </c>
    </row>
    <row r="299" spans="1:14" ht="43.2" x14ac:dyDescent="0.3">
      <c r="A299">
        <v>44</v>
      </c>
      <c r="B299">
        <v>2024</v>
      </c>
      <c r="C299" s="2">
        <v>45357</v>
      </c>
      <c r="D299" s="7" t="s">
        <v>38</v>
      </c>
      <c r="E299" s="8" t="s">
        <v>52</v>
      </c>
      <c r="F299" s="8" t="s">
        <v>43</v>
      </c>
      <c r="G299" s="10">
        <v>130</v>
      </c>
      <c r="H299" s="10">
        <v>80</v>
      </c>
      <c r="I299" s="10">
        <v>130</v>
      </c>
      <c r="J299" s="10">
        <v>110</v>
      </c>
      <c r="K299" s="10">
        <v>130</v>
      </c>
      <c r="L299" t="str">
        <f t="shared" si="12"/>
        <v>OK</v>
      </c>
      <c r="M299" t="str">
        <f t="shared" si="13"/>
        <v>OK</v>
      </c>
      <c r="N299" t="str">
        <f t="shared" si="14"/>
        <v>OK</v>
      </c>
    </row>
    <row r="300" spans="1:14" ht="43.2" x14ac:dyDescent="0.3">
      <c r="A300">
        <v>44</v>
      </c>
      <c r="B300">
        <v>2024</v>
      </c>
      <c r="C300" s="2">
        <v>45357</v>
      </c>
      <c r="D300" s="3" t="s">
        <v>38</v>
      </c>
      <c r="E300" s="4" t="s">
        <v>53</v>
      </c>
      <c r="F300" s="4" t="s">
        <v>43</v>
      </c>
      <c r="G300" s="6">
        <v>60</v>
      </c>
      <c r="H300" s="6">
        <v>50</v>
      </c>
      <c r="I300" s="6">
        <v>80</v>
      </c>
      <c r="J300" s="6">
        <v>64</v>
      </c>
      <c r="K300" s="6">
        <v>60</v>
      </c>
      <c r="L300" t="str">
        <f t="shared" si="12"/>
        <v>OK</v>
      </c>
      <c r="M300" t="str">
        <f t="shared" si="13"/>
        <v>OK</v>
      </c>
      <c r="N300" t="str">
        <f t="shared" si="14"/>
        <v>OK</v>
      </c>
    </row>
    <row r="301" spans="1:14" ht="43.2" x14ac:dyDescent="0.3">
      <c r="A301">
        <v>44</v>
      </c>
      <c r="B301">
        <v>2024</v>
      </c>
      <c r="C301" s="2">
        <v>45357</v>
      </c>
      <c r="D301" s="7" t="s">
        <v>38</v>
      </c>
      <c r="E301" s="8" t="s">
        <v>54</v>
      </c>
      <c r="F301" s="8" t="s">
        <v>40</v>
      </c>
      <c r="G301" s="10">
        <v>80</v>
      </c>
      <c r="H301" s="10">
        <v>40</v>
      </c>
      <c r="I301" s="10">
        <v>100</v>
      </c>
      <c r="J301" s="10" t="s">
        <v>103</v>
      </c>
      <c r="K301" s="10" t="s">
        <v>134</v>
      </c>
      <c r="L301" t="str">
        <f t="shared" si="12"/>
        <v>OK</v>
      </c>
      <c r="M301" t="str">
        <f t="shared" si="13"/>
        <v>OK</v>
      </c>
      <c r="N301" t="str">
        <f t="shared" si="14"/>
        <v>ERRO</v>
      </c>
    </row>
    <row r="302" spans="1:14" ht="43.2" x14ac:dyDescent="0.3">
      <c r="A302">
        <v>44</v>
      </c>
      <c r="B302">
        <v>2024</v>
      </c>
      <c r="C302" s="2">
        <v>45357</v>
      </c>
      <c r="D302" s="3" t="s">
        <v>38</v>
      </c>
      <c r="E302" s="4" t="s">
        <v>56</v>
      </c>
      <c r="F302" s="4" t="s">
        <v>43</v>
      </c>
      <c r="G302" s="5"/>
      <c r="H302" s="6">
        <v>80</v>
      </c>
      <c r="I302" s="6">
        <v>80</v>
      </c>
      <c r="J302" s="6">
        <v>80</v>
      </c>
      <c r="K302" s="6">
        <v>80</v>
      </c>
      <c r="L302" t="str">
        <f t="shared" si="12"/>
        <v>OK</v>
      </c>
      <c r="M302" t="str">
        <f t="shared" si="13"/>
        <v>OK</v>
      </c>
      <c r="N302" t="str">
        <f t="shared" si="14"/>
        <v>OK</v>
      </c>
    </row>
    <row r="303" spans="1:14" ht="43.2" x14ac:dyDescent="0.3">
      <c r="A303">
        <v>44</v>
      </c>
      <c r="B303">
        <v>2024</v>
      </c>
      <c r="C303" s="2">
        <v>45357</v>
      </c>
      <c r="D303" s="7" t="s">
        <v>38</v>
      </c>
      <c r="E303" s="8" t="s">
        <v>57</v>
      </c>
      <c r="F303" s="8" t="s">
        <v>40</v>
      </c>
      <c r="G303" s="10">
        <v>80</v>
      </c>
      <c r="H303" s="10">
        <v>70</v>
      </c>
      <c r="I303" s="10">
        <v>80</v>
      </c>
      <c r="J303" s="10" t="s">
        <v>158</v>
      </c>
      <c r="K303" s="10">
        <v>80</v>
      </c>
      <c r="L303" t="str">
        <f t="shared" si="12"/>
        <v>OK</v>
      </c>
      <c r="M303" t="str">
        <f t="shared" si="13"/>
        <v>OK</v>
      </c>
      <c r="N303" t="str">
        <f t="shared" si="14"/>
        <v>ERRO</v>
      </c>
    </row>
    <row r="304" spans="1:14" ht="43.2" x14ac:dyDescent="0.3">
      <c r="A304">
        <v>44</v>
      </c>
      <c r="B304">
        <v>2024</v>
      </c>
      <c r="C304" s="2">
        <v>45357</v>
      </c>
      <c r="D304" s="3" t="s">
        <v>38</v>
      </c>
      <c r="E304" s="4" t="s">
        <v>58</v>
      </c>
      <c r="F304" s="4" t="s">
        <v>40</v>
      </c>
      <c r="G304" s="6">
        <v>100</v>
      </c>
      <c r="H304" s="6">
        <v>70</v>
      </c>
      <c r="I304" s="6">
        <v>120</v>
      </c>
      <c r="J304" s="6" t="s">
        <v>156</v>
      </c>
      <c r="K304" s="6">
        <v>100</v>
      </c>
      <c r="L304" t="str">
        <f t="shared" si="12"/>
        <v>OK</v>
      </c>
      <c r="M304" t="str">
        <f t="shared" si="13"/>
        <v>OK</v>
      </c>
      <c r="N304" t="str">
        <f t="shared" si="14"/>
        <v>ERRO</v>
      </c>
    </row>
    <row r="305" spans="1:14" ht="43.2" x14ac:dyDescent="0.3">
      <c r="A305">
        <v>44</v>
      </c>
      <c r="B305">
        <v>2024</v>
      </c>
      <c r="C305" s="2">
        <v>45357</v>
      </c>
      <c r="D305" s="7" t="s">
        <v>38</v>
      </c>
      <c r="E305" s="8" t="s">
        <v>59</v>
      </c>
      <c r="F305" s="8" t="s">
        <v>45</v>
      </c>
      <c r="G305" s="10">
        <v>50</v>
      </c>
      <c r="H305" s="10">
        <v>40</v>
      </c>
      <c r="I305" s="10">
        <v>60</v>
      </c>
      <c r="J305" s="10" t="s">
        <v>159</v>
      </c>
      <c r="K305" s="10">
        <v>50</v>
      </c>
      <c r="L305" t="str">
        <f t="shared" si="12"/>
        <v>OK</v>
      </c>
      <c r="M305" t="str">
        <f t="shared" si="13"/>
        <v>OK</v>
      </c>
      <c r="N305" t="str">
        <f t="shared" si="14"/>
        <v>ERRO</v>
      </c>
    </row>
    <row r="306" spans="1:14" ht="43.2" x14ac:dyDescent="0.3">
      <c r="A306">
        <v>44</v>
      </c>
      <c r="B306">
        <v>2024</v>
      </c>
      <c r="C306" s="2">
        <v>45357</v>
      </c>
      <c r="D306" s="3" t="s">
        <v>38</v>
      </c>
      <c r="E306" s="4" t="s">
        <v>60</v>
      </c>
      <c r="F306" s="4" t="s">
        <v>61</v>
      </c>
      <c r="G306" s="6">
        <v>70</v>
      </c>
      <c r="H306" s="6">
        <v>60</v>
      </c>
      <c r="I306" s="6">
        <v>90</v>
      </c>
      <c r="J306" s="6" t="s">
        <v>93</v>
      </c>
      <c r="K306" s="6">
        <v>70</v>
      </c>
      <c r="L306" t="str">
        <f t="shared" si="12"/>
        <v>OK</v>
      </c>
      <c r="M306" t="str">
        <f t="shared" si="13"/>
        <v>OK</v>
      </c>
      <c r="N306" t="str">
        <f t="shared" si="14"/>
        <v>ERRO</v>
      </c>
    </row>
    <row r="307" spans="1:14" ht="43.2" x14ac:dyDescent="0.3">
      <c r="A307">
        <v>44</v>
      </c>
      <c r="B307">
        <v>2024</v>
      </c>
      <c r="C307" s="2">
        <v>45357</v>
      </c>
      <c r="D307" s="7" t="s">
        <v>38</v>
      </c>
      <c r="E307" s="8" t="s">
        <v>63</v>
      </c>
      <c r="F307" s="8" t="s">
        <v>40</v>
      </c>
      <c r="G307" s="10">
        <v>130</v>
      </c>
      <c r="H307" s="10">
        <v>100</v>
      </c>
      <c r="I307" s="10">
        <v>130</v>
      </c>
      <c r="J307" s="10" t="s">
        <v>160</v>
      </c>
      <c r="K307" s="10">
        <v>120</v>
      </c>
      <c r="L307" t="str">
        <f t="shared" si="12"/>
        <v>OK</v>
      </c>
      <c r="M307" t="str">
        <f t="shared" si="13"/>
        <v>OK</v>
      </c>
      <c r="N307" t="str">
        <f t="shared" si="14"/>
        <v>ERRO</v>
      </c>
    </row>
    <row r="308" spans="1:14" ht="43.2" x14ac:dyDescent="0.3">
      <c r="A308">
        <v>44</v>
      </c>
      <c r="B308">
        <v>2024</v>
      </c>
      <c r="C308" s="2">
        <v>45357</v>
      </c>
      <c r="D308" s="3" t="s">
        <v>38</v>
      </c>
      <c r="E308" s="4" t="s">
        <v>64</v>
      </c>
      <c r="F308" s="4" t="s">
        <v>40</v>
      </c>
      <c r="G308" s="6">
        <v>120</v>
      </c>
      <c r="H308" s="6">
        <v>110</v>
      </c>
      <c r="I308" s="6">
        <v>150</v>
      </c>
      <c r="J308" s="6">
        <v>128</v>
      </c>
      <c r="K308" s="6">
        <v>120</v>
      </c>
      <c r="L308" t="str">
        <f t="shared" si="12"/>
        <v>OK</v>
      </c>
      <c r="M308" t="str">
        <f t="shared" si="13"/>
        <v>OK</v>
      </c>
      <c r="N308" t="str">
        <f t="shared" si="14"/>
        <v>OK</v>
      </c>
    </row>
    <row r="309" spans="1:14" x14ac:dyDescent="0.3">
      <c r="A309">
        <v>44</v>
      </c>
      <c r="B309">
        <v>2024</v>
      </c>
      <c r="C309" s="2">
        <v>45357</v>
      </c>
      <c r="D309" s="7" t="s">
        <v>65</v>
      </c>
      <c r="E309" s="8" t="s">
        <v>66</v>
      </c>
      <c r="F309" s="8" t="s">
        <v>45</v>
      </c>
      <c r="G309" s="9"/>
      <c r="H309" s="10">
        <v>80</v>
      </c>
      <c r="I309" s="10">
        <v>80</v>
      </c>
      <c r="J309" s="10">
        <v>80</v>
      </c>
      <c r="K309" s="10">
        <v>80</v>
      </c>
      <c r="L309" t="str">
        <f t="shared" si="12"/>
        <v>OK</v>
      </c>
      <c r="M309" t="str">
        <f t="shared" si="13"/>
        <v>OK</v>
      </c>
      <c r="N309" t="str">
        <f t="shared" si="14"/>
        <v>OK</v>
      </c>
    </row>
    <row r="310" spans="1:14" x14ac:dyDescent="0.3">
      <c r="A310">
        <v>44</v>
      </c>
      <c r="B310">
        <v>2024</v>
      </c>
      <c r="C310" s="2">
        <v>45357</v>
      </c>
      <c r="D310" s="3" t="s">
        <v>65</v>
      </c>
      <c r="E310" s="4" t="s">
        <v>67</v>
      </c>
      <c r="F310" s="4" t="s">
        <v>45</v>
      </c>
      <c r="G310" s="5"/>
      <c r="H310" s="6">
        <v>60</v>
      </c>
      <c r="I310" s="6">
        <v>60</v>
      </c>
      <c r="J310" s="6">
        <v>60</v>
      </c>
      <c r="K310" s="6">
        <v>60</v>
      </c>
      <c r="L310" t="str">
        <f t="shared" si="12"/>
        <v>OK</v>
      </c>
      <c r="M310" t="str">
        <f t="shared" si="13"/>
        <v>OK</v>
      </c>
      <c r="N310" t="str">
        <f t="shared" si="14"/>
        <v>OK</v>
      </c>
    </row>
    <row r="311" spans="1:14" x14ac:dyDescent="0.3">
      <c r="A311">
        <v>44</v>
      </c>
      <c r="B311">
        <v>2024</v>
      </c>
      <c r="C311" s="2">
        <v>45357</v>
      </c>
      <c r="D311" s="7" t="s">
        <v>65</v>
      </c>
      <c r="E311" s="8" t="s">
        <v>68</v>
      </c>
      <c r="F311" s="8" t="s">
        <v>45</v>
      </c>
      <c r="G311" s="9"/>
      <c r="H311" s="10">
        <v>40</v>
      </c>
      <c r="I311" s="10">
        <v>40</v>
      </c>
      <c r="J311" s="10">
        <v>40</v>
      </c>
      <c r="K311" s="10">
        <v>40</v>
      </c>
      <c r="L311" t="str">
        <f t="shared" si="12"/>
        <v>OK</v>
      </c>
      <c r="M311" t="str">
        <f t="shared" si="13"/>
        <v>OK</v>
      </c>
      <c r="N311" t="str">
        <f t="shared" si="14"/>
        <v>OK</v>
      </c>
    </row>
    <row r="312" spans="1:14" x14ac:dyDescent="0.3">
      <c r="A312">
        <v>44</v>
      </c>
      <c r="B312">
        <v>2024</v>
      </c>
      <c r="C312" s="2">
        <v>45357</v>
      </c>
      <c r="D312" s="3" t="s">
        <v>65</v>
      </c>
      <c r="E312" s="4" t="s">
        <v>69</v>
      </c>
      <c r="F312" s="4" t="s">
        <v>45</v>
      </c>
      <c r="G312" s="5"/>
      <c r="H312" s="5"/>
      <c r="I312" s="5"/>
      <c r="J312" s="5"/>
      <c r="K312" s="5"/>
      <c r="L312" t="str">
        <f t="shared" si="12"/>
        <v>OK</v>
      </c>
      <c r="M312" t="str">
        <f t="shared" si="13"/>
        <v>OK</v>
      </c>
      <c r="N312" t="str">
        <f t="shared" si="14"/>
        <v>OK</v>
      </c>
    </row>
    <row r="313" spans="1:14" x14ac:dyDescent="0.3">
      <c r="A313">
        <v>44</v>
      </c>
      <c r="B313">
        <v>2024</v>
      </c>
      <c r="C313" s="2">
        <v>45357</v>
      </c>
      <c r="D313" s="7" t="s">
        <v>65</v>
      </c>
      <c r="E313" s="8" t="s">
        <v>70</v>
      </c>
      <c r="F313" s="8" t="s">
        <v>71</v>
      </c>
      <c r="G313" s="9"/>
      <c r="H313" s="9"/>
      <c r="I313" s="9"/>
      <c r="J313" s="9"/>
      <c r="K313" s="9"/>
      <c r="L313" t="str">
        <f t="shared" si="12"/>
        <v>OK</v>
      </c>
      <c r="M313" t="str">
        <f t="shared" si="13"/>
        <v>OK</v>
      </c>
      <c r="N313" t="str">
        <f t="shared" si="14"/>
        <v>OK</v>
      </c>
    </row>
    <row r="314" spans="1:14" ht="28.8" x14ac:dyDescent="0.3">
      <c r="A314">
        <v>45</v>
      </c>
      <c r="B314">
        <v>2024</v>
      </c>
      <c r="C314" s="2">
        <v>45364</v>
      </c>
      <c r="D314" s="3" t="s">
        <v>11</v>
      </c>
      <c r="E314" s="4" t="s">
        <v>12</v>
      </c>
      <c r="F314" s="4" t="s">
        <v>13</v>
      </c>
      <c r="G314" s="5"/>
      <c r="H314" s="6">
        <v>60</v>
      </c>
      <c r="I314" s="6">
        <v>78</v>
      </c>
      <c r="J314" s="6">
        <v>69</v>
      </c>
      <c r="K314" s="6">
        <v>69</v>
      </c>
      <c r="L314" t="str">
        <f t="shared" si="12"/>
        <v>OK</v>
      </c>
      <c r="M314" t="str">
        <f t="shared" si="13"/>
        <v>OK</v>
      </c>
      <c r="N314" t="str">
        <f t="shared" si="14"/>
        <v>OK</v>
      </c>
    </row>
    <row r="315" spans="1:14" ht="28.8" x14ac:dyDescent="0.3">
      <c r="A315">
        <v>45</v>
      </c>
      <c r="B315">
        <v>2024</v>
      </c>
      <c r="C315" s="2">
        <v>45364</v>
      </c>
      <c r="D315" s="7" t="s">
        <v>11</v>
      </c>
      <c r="E315" s="8" t="s">
        <v>14</v>
      </c>
      <c r="F315" s="8" t="s">
        <v>13</v>
      </c>
      <c r="G315" s="10">
        <v>84</v>
      </c>
      <c r="H315" s="10">
        <v>84</v>
      </c>
      <c r="I315" s="10">
        <v>84</v>
      </c>
      <c r="J315" s="10">
        <v>84</v>
      </c>
      <c r="K315" s="10">
        <v>84</v>
      </c>
      <c r="L315" t="str">
        <f t="shared" si="12"/>
        <v>OK</v>
      </c>
      <c r="M315" t="str">
        <f t="shared" si="13"/>
        <v>OK</v>
      </c>
      <c r="N315" t="str">
        <f t="shared" si="14"/>
        <v>OK</v>
      </c>
    </row>
    <row r="316" spans="1:14" ht="28.8" x14ac:dyDescent="0.3">
      <c r="A316">
        <v>45</v>
      </c>
      <c r="B316">
        <v>2024</v>
      </c>
      <c r="C316" s="2">
        <v>45364</v>
      </c>
      <c r="D316" s="3" t="s">
        <v>11</v>
      </c>
      <c r="E316" s="4" t="s">
        <v>15</v>
      </c>
      <c r="F316" s="4" t="s">
        <v>13</v>
      </c>
      <c r="G316" s="5"/>
      <c r="H316" s="6">
        <v>50</v>
      </c>
      <c r="I316" s="6">
        <v>60</v>
      </c>
      <c r="J316" s="6" t="s">
        <v>161</v>
      </c>
      <c r="K316" s="6">
        <v>54</v>
      </c>
      <c r="L316" t="str">
        <f t="shared" si="12"/>
        <v>OK</v>
      </c>
      <c r="M316" t="str">
        <f t="shared" si="13"/>
        <v>OK</v>
      </c>
      <c r="N316" t="str">
        <f t="shared" si="14"/>
        <v>ERRO</v>
      </c>
    </row>
    <row r="317" spans="1:14" ht="28.8" x14ac:dyDescent="0.3">
      <c r="A317">
        <v>45</v>
      </c>
      <c r="B317">
        <v>2024</v>
      </c>
      <c r="C317" s="2">
        <v>45364</v>
      </c>
      <c r="D317" s="7" t="s">
        <v>11</v>
      </c>
      <c r="E317" s="8" t="s">
        <v>16</v>
      </c>
      <c r="F317" s="8" t="s">
        <v>13</v>
      </c>
      <c r="G317" s="9"/>
      <c r="H317" s="10">
        <v>30</v>
      </c>
      <c r="I317" s="10">
        <v>42</v>
      </c>
      <c r="J317" s="10">
        <v>36</v>
      </c>
      <c r="K317" s="10">
        <v>36</v>
      </c>
      <c r="L317" t="str">
        <f t="shared" si="12"/>
        <v>OK</v>
      </c>
      <c r="M317" t="str">
        <f t="shared" si="13"/>
        <v>OK</v>
      </c>
      <c r="N317" t="str">
        <f t="shared" si="14"/>
        <v>OK</v>
      </c>
    </row>
    <row r="318" spans="1:14" ht="28.8" x14ac:dyDescent="0.3">
      <c r="A318">
        <v>45</v>
      </c>
      <c r="B318">
        <v>2024</v>
      </c>
      <c r="C318" s="2">
        <v>45364</v>
      </c>
      <c r="D318" s="3" t="s">
        <v>11</v>
      </c>
      <c r="E318" s="4" t="s">
        <v>17</v>
      </c>
      <c r="F318" s="4" t="s">
        <v>13</v>
      </c>
      <c r="G318" s="5"/>
      <c r="H318" s="6">
        <v>36</v>
      </c>
      <c r="I318" s="6">
        <v>42</v>
      </c>
      <c r="J318" s="6">
        <v>39</v>
      </c>
      <c r="K318" s="6">
        <v>39</v>
      </c>
      <c r="L318" t="str">
        <f t="shared" si="12"/>
        <v>OK</v>
      </c>
      <c r="M318" t="str">
        <f t="shared" si="13"/>
        <v>OK</v>
      </c>
      <c r="N318" t="str">
        <f t="shared" si="14"/>
        <v>OK</v>
      </c>
    </row>
    <row r="319" spans="1:14" ht="28.8" x14ac:dyDescent="0.3">
      <c r="A319">
        <v>45</v>
      </c>
      <c r="B319">
        <v>2024</v>
      </c>
      <c r="C319" s="2">
        <v>45364</v>
      </c>
      <c r="D319" s="7" t="s">
        <v>11</v>
      </c>
      <c r="E319" s="8" t="s">
        <v>18</v>
      </c>
      <c r="F319" s="8" t="s">
        <v>13</v>
      </c>
      <c r="G319" s="10">
        <v>60</v>
      </c>
      <c r="H319" s="10">
        <v>60</v>
      </c>
      <c r="I319" s="10">
        <v>60</v>
      </c>
      <c r="J319" s="10">
        <v>60</v>
      </c>
      <c r="K319" s="10">
        <v>60</v>
      </c>
      <c r="L319" t="str">
        <f t="shared" si="12"/>
        <v>OK</v>
      </c>
      <c r="M319" t="str">
        <f t="shared" si="13"/>
        <v>OK</v>
      </c>
      <c r="N319" t="str">
        <f t="shared" si="14"/>
        <v>OK</v>
      </c>
    </row>
    <row r="320" spans="1:14" ht="28.8" x14ac:dyDescent="0.3">
      <c r="A320">
        <v>45</v>
      </c>
      <c r="B320">
        <v>2024</v>
      </c>
      <c r="C320" s="2">
        <v>45364</v>
      </c>
      <c r="D320" s="3" t="s">
        <v>11</v>
      </c>
      <c r="E320" s="4" t="s">
        <v>19</v>
      </c>
      <c r="F320" s="4" t="s">
        <v>13</v>
      </c>
      <c r="G320" s="5"/>
      <c r="H320" s="6">
        <v>78</v>
      </c>
      <c r="I320" s="6">
        <v>84</v>
      </c>
      <c r="J320" s="6">
        <v>81</v>
      </c>
      <c r="K320" s="6">
        <v>81</v>
      </c>
      <c r="L320" t="str">
        <f t="shared" si="12"/>
        <v>OK</v>
      </c>
      <c r="M320" t="str">
        <f t="shared" si="13"/>
        <v>OK</v>
      </c>
      <c r="N320" t="str">
        <f t="shared" si="14"/>
        <v>OK</v>
      </c>
    </row>
    <row r="321" spans="1:14" ht="28.8" x14ac:dyDescent="0.3">
      <c r="A321">
        <v>45</v>
      </c>
      <c r="B321">
        <v>2024</v>
      </c>
      <c r="C321" s="2">
        <v>45364</v>
      </c>
      <c r="D321" s="7" t="s">
        <v>11</v>
      </c>
      <c r="E321" s="8" t="s">
        <v>20</v>
      </c>
      <c r="F321" s="8" t="s">
        <v>13</v>
      </c>
      <c r="G321" s="9"/>
      <c r="H321" s="10">
        <v>96</v>
      </c>
      <c r="I321" s="10">
        <v>96</v>
      </c>
      <c r="J321" s="10">
        <v>96</v>
      </c>
      <c r="K321" s="10">
        <v>96</v>
      </c>
      <c r="L321" t="str">
        <f t="shared" si="12"/>
        <v>OK</v>
      </c>
      <c r="M321" t="str">
        <f t="shared" si="13"/>
        <v>OK</v>
      </c>
      <c r="N321" t="str">
        <f t="shared" si="14"/>
        <v>OK</v>
      </c>
    </row>
    <row r="322" spans="1:14" ht="28.8" x14ac:dyDescent="0.3">
      <c r="A322">
        <v>45</v>
      </c>
      <c r="B322">
        <v>2024</v>
      </c>
      <c r="C322" s="2">
        <v>45364</v>
      </c>
      <c r="D322" s="3" t="s">
        <v>11</v>
      </c>
      <c r="E322" s="4" t="s">
        <v>21</v>
      </c>
      <c r="F322" s="4" t="s">
        <v>13</v>
      </c>
      <c r="G322" s="5"/>
      <c r="H322" s="6">
        <v>25</v>
      </c>
      <c r="I322" s="6">
        <v>36</v>
      </c>
      <c r="J322" s="6" t="s">
        <v>162</v>
      </c>
      <c r="K322" s="6" t="s">
        <v>162</v>
      </c>
      <c r="L322" t="str">
        <f t="shared" si="12"/>
        <v>OK</v>
      </c>
      <c r="M322" t="str">
        <f t="shared" si="13"/>
        <v>OK</v>
      </c>
      <c r="N322" t="str">
        <f t="shared" si="14"/>
        <v>ERRO</v>
      </c>
    </row>
    <row r="323" spans="1:14" ht="28.8" x14ac:dyDescent="0.3">
      <c r="A323">
        <v>45</v>
      </c>
      <c r="B323">
        <v>2024</v>
      </c>
      <c r="C323" s="2">
        <v>45364</v>
      </c>
      <c r="D323" s="7" t="s">
        <v>11</v>
      </c>
      <c r="E323" s="8" t="s">
        <v>73</v>
      </c>
      <c r="F323" s="8" t="s">
        <v>13</v>
      </c>
      <c r="G323" s="9"/>
      <c r="H323" s="10">
        <v>84</v>
      </c>
      <c r="I323" s="10">
        <v>120</v>
      </c>
      <c r="J323" s="10">
        <v>102</v>
      </c>
      <c r="K323" s="10">
        <v>102</v>
      </c>
      <c r="L323" t="str">
        <f t="shared" ref="L323:L386" si="15">IF(H323&gt;I323,"ERRO","OK")</f>
        <v>OK</v>
      </c>
      <c r="M323" t="str">
        <f t="shared" ref="M323:M386" si="16">IF(H323&gt;J323,"ERRO","OK")</f>
        <v>OK</v>
      </c>
      <c r="N323" t="str">
        <f t="shared" ref="N323:N386" si="17">IF(I323&lt;J323,"ERRO","OK")</f>
        <v>OK</v>
      </c>
    </row>
    <row r="324" spans="1:14" ht="28.8" x14ac:dyDescent="0.3">
      <c r="A324">
        <v>45</v>
      </c>
      <c r="B324">
        <v>2024</v>
      </c>
      <c r="C324" s="2">
        <v>45364</v>
      </c>
      <c r="D324" s="3" t="s">
        <v>11</v>
      </c>
      <c r="E324" s="4" t="s">
        <v>23</v>
      </c>
      <c r="F324" s="4" t="s">
        <v>13</v>
      </c>
      <c r="G324" s="5"/>
      <c r="H324" s="6">
        <v>36</v>
      </c>
      <c r="I324" s="6">
        <v>42</v>
      </c>
      <c r="J324" s="6">
        <v>39</v>
      </c>
      <c r="K324" s="6">
        <v>39</v>
      </c>
      <c r="L324" t="str">
        <f t="shared" si="15"/>
        <v>OK</v>
      </c>
      <c r="M324" t="str">
        <f t="shared" si="16"/>
        <v>OK</v>
      </c>
      <c r="N324" t="str">
        <f t="shared" si="17"/>
        <v>OK</v>
      </c>
    </row>
    <row r="325" spans="1:14" ht="28.8" x14ac:dyDescent="0.3">
      <c r="A325">
        <v>45</v>
      </c>
      <c r="B325">
        <v>2024</v>
      </c>
      <c r="C325" s="2">
        <v>45364</v>
      </c>
      <c r="D325" s="7" t="s">
        <v>11</v>
      </c>
      <c r="E325" s="8" t="s">
        <v>24</v>
      </c>
      <c r="F325" s="8" t="s">
        <v>13</v>
      </c>
      <c r="G325" s="9"/>
      <c r="H325" s="10">
        <v>54</v>
      </c>
      <c r="I325" s="10">
        <v>60</v>
      </c>
      <c r="J325" s="10">
        <v>57</v>
      </c>
      <c r="K325" s="10">
        <v>57</v>
      </c>
      <c r="L325" t="str">
        <f t="shared" si="15"/>
        <v>OK</v>
      </c>
      <c r="M325" t="str">
        <f t="shared" si="16"/>
        <v>OK</v>
      </c>
      <c r="N325" t="str">
        <f t="shared" si="17"/>
        <v>OK</v>
      </c>
    </row>
    <row r="326" spans="1:14" ht="28.8" x14ac:dyDescent="0.3">
      <c r="A326">
        <v>45</v>
      </c>
      <c r="B326">
        <v>2024</v>
      </c>
      <c r="C326" s="2">
        <v>45364</v>
      </c>
      <c r="D326" s="3" t="s">
        <v>11</v>
      </c>
      <c r="E326" s="4" t="s">
        <v>25</v>
      </c>
      <c r="F326" s="4" t="s">
        <v>26</v>
      </c>
      <c r="G326" s="5"/>
      <c r="H326" s="6">
        <v>60</v>
      </c>
      <c r="I326" s="6">
        <v>78</v>
      </c>
      <c r="J326" s="6">
        <v>69</v>
      </c>
      <c r="K326" s="6">
        <v>69</v>
      </c>
      <c r="L326" t="str">
        <f t="shared" si="15"/>
        <v>OK</v>
      </c>
      <c r="M326" t="str">
        <f t="shared" si="16"/>
        <v>OK</v>
      </c>
      <c r="N326" t="str">
        <f t="shared" si="17"/>
        <v>OK</v>
      </c>
    </row>
    <row r="327" spans="1:14" ht="28.8" x14ac:dyDescent="0.3">
      <c r="A327">
        <v>45</v>
      </c>
      <c r="B327">
        <v>2024</v>
      </c>
      <c r="C327" s="2">
        <v>45364</v>
      </c>
      <c r="D327" s="7" t="s">
        <v>11</v>
      </c>
      <c r="E327" s="8" t="s">
        <v>27</v>
      </c>
      <c r="F327" s="8" t="s">
        <v>13</v>
      </c>
      <c r="G327" s="9"/>
      <c r="H327" s="10">
        <v>72</v>
      </c>
      <c r="I327" s="10">
        <v>102</v>
      </c>
      <c r="J327" s="10">
        <v>87</v>
      </c>
      <c r="K327" s="10">
        <v>87</v>
      </c>
      <c r="L327" t="str">
        <f t="shared" si="15"/>
        <v>OK</v>
      </c>
      <c r="M327" t="str">
        <f t="shared" si="16"/>
        <v>OK</v>
      </c>
      <c r="N327" t="str">
        <f t="shared" si="17"/>
        <v>OK</v>
      </c>
    </row>
    <row r="328" spans="1:14" ht="28.8" x14ac:dyDescent="0.3">
      <c r="A328">
        <v>45</v>
      </c>
      <c r="B328">
        <v>2024</v>
      </c>
      <c r="C328" s="2">
        <v>45364</v>
      </c>
      <c r="D328" s="3" t="s">
        <v>11</v>
      </c>
      <c r="E328" s="4" t="s">
        <v>28</v>
      </c>
      <c r="F328" s="4" t="s">
        <v>13</v>
      </c>
      <c r="G328" s="5"/>
      <c r="H328" s="6">
        <v>55</v>
      </c>
      <c r="I328" s="6">
        <v>84</v>
      </c>
      <c r="J328" s="6" t="s">
        <v>163</v>
      </c>
      <c r="K328" s="6">
        <v>60</v>
      </c>
      <c r="L328" t="str">
        <f t="shared" si="15"/>
        <v>OK</v>
      </c>
      <c r="M328" t="str">
        <f t="shared" si="16"/>
        <v>OK</v>
      </c>
      <c r="N328" t="str">
        <f t="shared" si="17"/>
        <v>ERRO</v>
      </c>
    </row>
    <row r="329" spans="1:14" ht="28.8" x14ac:dyDescent="0.3">
      <c r="A329">
        <v>45</v>
      </c>
      <c r="B329">
        <v>2024</v>
      </c>
      <c r="C329" s="2">
        <v>45364</v>
      </c>
      <c r="D329" s="7" t="s">
        <v>11</v>
      </c>
      <c r="E329" s="8" t="s">
        <v>29</v>
      </c>
      <c r="F329" s="8" t="s">
        <v>13</v>
      </c>
      <c r="G329" s="10">
        <v>54</v>
      </c>
      <c r="H329" s="10">
        <v>54</v>
      </c>
      <c r="I329" s="10">
        <v>54</v>
      </c>
      <c r="J329" s="10">
        <v>54</v>
      </c>
      <c r="K329" s="10">
        <v>54</v>
      </c>
      <c r="L329" t="str">
        <f t="shared" si="15"/>
        <v>OK</v>
      </c>
      <c r="M329" t="str">
        <f t="shared" si="16"/>
        <v>OK</v>
      </c>
      <c r="N329" t="str">
        <f t="shared" si="17"/>
        <v>OK</v>
      </c>
    </row>
    <row r="330" spans="1:14" ht="28.8" x14ac:dyDescent="0.3">
      <c r="A330">
        <v>45</v>
      </c>
      <c r="B330">
        <v>2024</v>
      </c>
      <c r="C330" s="2">
        <v>45364</v>
      </c>
      <c r="D330" s="3" t="s">
        <v>30</v>
      </c>
      <c r="E330" s="4" t="s">
        <v>31</v>
      </c>
      <c r="F330" s="4" t="s">
        <v>32</v>
      </c>
      <c r="G330" s="6">
        <v>5</v>
      </c>
      <c r="H330" s="6" t="s">
        <v>97</v>
      </c>
      <c r="I330" s="6">
        <v>5</v>
      </c>
      <c r="J330" s="6" t="s">
        <v>164</v>
      </c>
      <c r="K330" s="6">
        <v>5</v>
      </c>
      <c r="L330" t="str">
        <f t="shared" si="15"/>
        <v>ERRO</v>
      </c>
      <c r="M330" t="str">
        <f t="shared" si="16"/>
        <v>OK</v>
      </c>
      <c r="N330" t="str">
        <f t="shared" si="17"/>
        <v>ERRO</v>
      </c>
    </row>
    <row r="331" spans="1:14" ht="28.8" x14ac:dyDescent="0.3">
      <c r="A331">
        <v>45</v>
      </c>
      <c r="B331">
        <v>2024</v>
      </c>
      <c r="C331" s="2">
        <v>45364</v>
      </c>
      <c r="D331" s="7" t="s">
        <v>30</v>
      </c>
      <c r="E331" s="8" t="s">
        <v>34</v>
      </c>
      <c r="F331" s="8" t="s">
        <v>35</v>
      </c>
      <c r="G331" s="9"/>
      <c r="H331" s="10">
        <v>20</v>
      </c>
      <c r="I331" s="10">
        <v>35</v>
      </c>
      <c r="J331" s="10" t="s">
        <v>136</v>
      </c>
      <c r="K331" s="10">
        <v>25</v>
      </c>
      <c r="L331" t="str">
        <f t="shared" si="15"/>
        <v>OK</v>
      </c>
      <c r="M331" t="str">
        <f t="shared" si="16"/>
        <v>OK</v>
      </c>
      <c r="N331" t="str">
        <f t="shared" si="17"/>
        <v>ERRO</v>
      </c>
    </row>
    <row r="332" spans="1:14" ht="28.8" x14ac:dyDescent="0.3">
      <c r="A332">
        <v>45</v>
      </c>
      <c r="B332">
        <v>2024</v>
      </c>
      <c r="C332" s="2">
        <v>45364</v>
      </c>
      <c r="D332" s="3" t="s">
        <v>30</v>
      </c>
      <c r="E332" s="4" t="s">
        <v>36</v>
      </c>
      <c r="F332" s="4" t="s">
        <v>35</v>
      </c>
      <c r="G332" s="5"/>
      <c r="H332" s="6">
        <v>30</v>
      </c>
      <c r="I332" s="6">
        <v>40</v>
      </c>
      <c r="J332" s="6">
        <v>35</v>
      </c>
      <c r="K332" s="6">
        <v>35</v>
      </c>
      <c r="L332" t="str">
        <f t="shared" si="15"/>
        <v>OK</v>
      </c>
      <c r="M332" t="str">
        <f t="shared" si="16"/>
        <v>OK</v>
      </c>
      <c r="N332" t="str">
        <f t="shared" si="17"/>
        <v>OK</v>
      </c>
    </row>
    <row r="333" spans="1:14" ht="43.2" x14ac:dyDescent="0.3">
      <c r="A333">
        <v>45</v>
      </c>
      <c r="B333">
        <v>2024</v>
      </c>
      <c r="C333" s="2">
        <v>45364</v>
      </c>
      <c r="D333" s="7" t="s">
        <v>38</v>
      </c>
      <c r="E333" s="8" t="s">
        <v>153</v>
      </c>
      <c r="F333" s="8" t="s">
        <v>154</v>
      </c>
      <c r="G333" s="9"/>
      <c r="H333" s="9"/>
      <c r="I333" s="9"/>
      <c r="J333" s="9"/>
      <c r="K333" s="9"/>
      <c r="L333" t="str">
        <f t="shared" si="15"/>
        <v>OK</v>
      </c>
      <c r="M333" t="str">
        <f t="shared" si="16"/>
        <v>OK</v>
      </c>
      <c r="N333" t="str">
        <f t="shared" si="17"/>
        <v>OK</v>
      </c>
    </row>
    <row r="334" spans="1:14" ht="43.2" x14ac:dyDescent="0.3">
      <c r="A334">
        <v>45</v>
      </c>
      <c r="B334">
        <v>2024</v>
      </c>
      <c r="C334" s="2">
        <v>45364</v>
      </c>
      <c r="D334" s="3" t="s">
        <v>38</v>
      </c>
      <c r="E334" s="4" t="s">
        <v>39</v>
      </c>
      <c r="F334" s="4" t="s">
        <v>40</v>
      </c>
      <c r="G334" s="6">
        <v>80</v>
      </c>
      <c r="H334" s="6">
        <v>70</v>
      </c>
      <c r="I334" s="6">
        <v>85</v>
      </c>
      <c r="J334" s="6" t="s">
        <v>155</v>
      </c>
      <c r="K334" s="6">
        <v>80</v>
      </c>
      <c r="L334" t="str">
        <f t="shared" si="15"/>
        <v>OK</v>
      </c>
      <c r="M334" t="str">
        <f t="shared" si="16"/>
        <v>OK</v>
      </c>
      <c r="N334" t="str">
        <f t="shared" si="17"/>
        <v>ERRO</v>
      </c>
    </row>
    <row r="335" spans="1:14" ht="43.2" x14ac:dyDescent="0.3">
      <c r="A335">
        <v>45</v>
      </c>
      <c r="B335">
        <v>2024</v>
      </c>
      <c r="C335" s="2">
        <v>45364</v>
      </c>
      <c r="D335" s="7" t="s">
        <v>38</v>
      </c>
      <c r="E335" s="8" t="s">
        <v>42</v>
      </c>
      <c r="F335" s="8" t="s">
        <v>43</v>
      </c>
      <c r="G335" s="10">
        <v>75</v>
      </c>
      <c r="H335" s="10">
        <v>55</v>
      </c>
      <c r="I335" s="10">
        <v>75</v>
      </c>
      <c r="J335" s="10">
        <v>70</v>
      </c>
      <c r="K335" s="10">
        <v>75</v>
      </c>
      <c r="L335" t="str">
        <f t="shared" si="15"/>
        <v>OK</v>
      </c>
      <c r="M335" t="str">
        <f t="shared" si="16"/>
        <v>OK</v>
      </c>
      <c r="N335" t="str">
        <f t="shared" si="17"/>
        <v>OK</v>
      </c>
    </row>
    <row r="336" spans="1:14" ht="43.2" x14ac:dyDescent="0.3">
      <c r="A336">
        <v>45</v>
      </c>
      <c r="B336">
        <v>2024</v>
      </c>
      <c r="C336" s="2">
        <v>45364</v>
      </c>
      <c r="D336" s="3" t="s">
        <v>38</v>
      </c>
      <c r="E336" s="4" t="s">
        <v>44</v>
      </c>
      <c r="F336" s="4" t="s">
        <v>45</v>
      </c>
      <c r="G336" s="6">
        <v>50</v>
      </c>
      <c r="H336" s="6">
        <v>30</v>
      </c>
      <c r="I336" s="6">
        <v>50</v>
      </c>
      <c r="J336" s="6">
        <v>44</v>
      </c>
      <c r="K336" s="6">
        <v>50</v>
      </c>
      <c r="L336" t="str">
        <f t="shared" si="15"/>
        <v>OK</v>
      </c>
      <c r="M336" t="str">
        <f t="shared" si="16"/>
        <v>OK</v>
      </c>
      <c r="N336" t="str">
        <f t="shared" si="17"/>
        <v>OK</v>
      </c>
    </row>
    <row r="337" spans="1:14" ht="43.2" x14ac:dyDescent="0.3">
      <c r="A337">
        <v>45</v>
      </c>
      <c r="B337">
        <v>2024</v>
      </c>
      <c r="C337" s="2">
        <v>45364</v>
      </c>
      <c r="D337" s="7" t="s">
        <v>38</v>
      </c>
      <c r="E337" s="8" t="s">
        <v>48</v>
      </c>
      <c r="F337" s="8" t="s">
        <v>45</v>
      </c>
      <c r="G337" s="9"/>
      <c r="H337" s="10">
        <v>80</v>
      </c>
      <c r="I337" s="10">
        <v>80</v>
      </c>
      <c r="J337" s="10">
        <v>80</v>
      </c>
      <c r="K337" s="10">
        <v>80</v>
      </c>
      <c r="L337" t="str">
        <f t="shared" si="15"/>
        <v>OK</v>
      </c>
      <c r="M337" t="str">
        <f t="shared" si="16"/>
        <v>OK</v>
      </c>
      <c r="N337" t="str">
        <f t="shared" si="17"/>
        <v>OK</v>
      </c>
    </row>
    <row r="338" spans="1:14" ht="43.2" x14ac:dyDescent="0.3">
      <c r="A338">
        <v>45</v>
      </c>
      <c r="B338">
        <v>2024</v>
      </c>
      <c r="C338" s="2">
        <v>45364</v>
      </c>
      <c r="D338" s="3" t="s">
        <v>38</v>
      </c>
      <c r="E338" s="4" t="s">
        <v>49</v>
      </c>
      <c r="F338" s="4" t="s">
        <v>50</v>
      </c>
      <c r="G338" s="6">
        <v>100</v>
      </c>
      <c r="H338" s="6">
        <v>100</v>
      </c>
      <c r="I338" s="6">
        <v>130</v>
      </c>
      <c r="J338" s="6" t="s">
        <v>165</v>
      </c>
      <c r="K338" s="6" t="s">
        <v>166</v>
      </c>
      <c r="L338" t="str">
        <f t="shared" si="15"/>
        <v>OK</v>
      </c>
      <c r="M338" t="str">
        <f t="shared" si="16"/>
        <v>OK</v>
      </c>
      <c r="N338" t="str">
        <f t="shared" si="17"/>
        <v>ERRO</v>
      </c>
    </row>
    <row r="339" spans="1:14" ht="43.2" x14ac:dyDescent="0.3">
      <c r="A339">
        <v>45</v>
      </c>
      <c r="B339">
        <v>2024</v>
      </c>
      <c r="C339" s="2">
        <v>45364</v>
      </c>
      <c r="D339" s="7" t="s">
        <v>38</v>
      </c>
      <c r="E339" s="8" t="s">
        <v>52</v>
      </c>
      <c r="F339" s="8" t="s">
        <v>43</v>
      </c>
      <c r="G339" s="10">
        <v>130</v>
      </c>
      <c r="H339" s="10">
        <v>90</v>
      </c>
      <c r="I339" s="10">
        <v>140</v>
      </c>
      <c r="J339" s="10" t="s">
        <v>167</v>
      </c>
      <c r="K339" s="10">
        <v>130</v>
      </c>
      <c r="L339" t="str">
        <f t="shared" si="15"/>
        <v>OK</v>
      </c>
      <c r="M339" t="str">
        <f t="shared" si="16"/>
        <v>OK</v>
      </c>
      <c r="N339" t="str">
        <f t="shared" si="17"/>
        <v>ERRO</v>
      </c>
    </row>
    <row r="340" spans="1:14" ht="43.2" x14ac:dyDescent="0.3">
      <c r="A340">
        <v>45</v>
      </c>
      <c r="B340">
        <v>2024</v>
      </c>
      <c r="C340" s="2">
        <v>45364</v>
      </c>
      <c r="D340" s="3" t="s">
        <v>38</v>
      </c>
      <c r="E340" s="4" t="s">
        <v>53</v>
      </c>
      <c r="F340" s="4" t="s">
        <v>43</v>
      </c>
      <c r="G340" s="6">
        <v>70</v>
      </c>
      <c r="H340" s="6">
        <v>70</v>
      </c>
      <c r="I340" s="6">
        <v>90</v>
      </c>
      <c r="J340" s="6">
        <v>75</v>
      </c>
      <c r="K340" s="6">
        <v>70</v>
      </c>
      <c r="L340" t="str">
        <f t="shared" si="15"/>
        <v>OK</v>
      </c>
      <c r="M340" t="str">
        <f t="shared" si="16"/>
        <v>OK</v>
      </c>
      <c r="N340" t="str">
        <f t="shared" si="17"/>
        <v>OK</v>
      </c>
    </row>
    <row r="341" spans="1:14" ht="43.2" x14ac:dyDescent="0.3">
      <c r="A341">
        <v>45</v>
      </c>
      <c r="B341">
        <v>2024</v>
      </c>
      <c r="C341" s="2">
        <v>45364</v>
      </c>
      <c r="D341" s="7" t="s">
        <v>38</v>
      </c>
      <c r="E341" s="8" t="s">
        <v>54</v>
      </c>
      <c r="F341" s="8" t="s">
        <v>40</v>
      </c>
      <c r="G341" s="9"/>
      <c r="H341" s="10">
        <v>80</v>
      </c>
      <c r="I341" s="10">
        <v>85</v>
      </c>
      <c r="J341" s="10" t="s">
        <v>168</v>
      </c>
      <c r="K341" s="10" t="s">
        <v>168</v>
      </c>
      <c r="L341" t="str">
        <f t="shared" si="15"/>
        <v>OK</v>
      </c>
      <c r="M341" t="str">
        <f t="shared" si="16"/>
        <v>OK</v>
      </c>
      <c r="N341" t="str">
        <f t="shared" si="17"/>
        <v>ERRO</v>
      </c>
    </row>
    <row r="342" spans="1:14" ht="43.2" x14ac:dyDescent="0.3">
      <c r="A342">
        <v>45</v>
      </c>
      <c r="B342">
        <v>2024</v>
      </c>
      <c r="C342" s="2">
        <v>45364</v>
      </c>
      <c r="D342" s="3" t="s">
        <v>38</v>
      </c>
      <c r="E342" s="4" t="s">
        <v>56</v>
      </c>
      <c r="F342" s="4" t="s">
        <v>43</v>
      </c>
      <c r="G342" s="6">
        <v>60</v>
      </c>
      <c r="H342" s="6">
        <v>60</v>
      </c>
      <c r="I342" s="6">
        <v>60</v>
      </c>
      <c r="J342" s="6">
        <v>60</v>
      </c>
      <c r="K342" s="6">
        <v>60</v>
      </c>
      <c r="L342" t="str">
        <f t="shared" si="15"/>
        <v>OK</v>
      </c>
      <c r="M342" t="str">
        <f t="shared" si="16"/>
        <v>OK</v>
      </c>
      <c r="N342" t="str">
        <f t="shared" si="17"/>
        <v>OK</v>
      </c>
    </row>
    <row r="343" spans="1:14" ht="43.2" x14ac:dyDescent="0.3">
      <c r="A343">
        <v>45</v>
      </c>
      <c r="B343">
        <v>2024</v>
      </c>
      <c r="C343" s="2">
        <v>45364</v>
      </c>
      <c r="D343" s="7" t="s">
        <v>38</v>
      </c>
      <c r="E343" s="8" t="s">
        <v>57</v>
      </c>
      <c r="F343" s="8" t="s">
        <v>40</v>
      </c>
      <c r="G343" s="10">
        <v>70</v>
      </c>
      <c r="H343" s="10">
        <v>70</v>
      </c>
      <c r="I343" s="10">
        <v>70</v>
      </c>
      <c r="J343" s="10">
        <v>70</v>
      </c>
      <c r="K343" s="10">
        <v>70</v>
      </c>
      <c r="L343" t="str">
        <f t="shared" si="15"/>
        <v>OK</v>
      </c>
      <c r="M343" t="str">
        <f t="shared" si="16"/>
        <v>OK</v>
      </c>
      <c r="N343" t="str">
        <f t="shared" si="17"/>
        <v>OK</v>
      </c>
    </row>
    <row r="344" spans="1:14" ht="43.2" x14ac:dyDescent="0.3">
      <c r="A344">
        <v>45</v>
      </c>
      <c r="B344">
        <v>2024</v>
      </c>
      <c r="C344" s="2">
        <v>45364</v>
      </c>
      <c r="D344" s="3" t="s">
        <v>38</v>
      </c>
      <c r="E344" s="4" t="s">
        <v>58</v>
      </c>
      <c r="F344" s="4" t="s">
        <v>40</v>
      </c>
      <c r="G344" s="5"/>
      <c r="H344" s="6">
        <v>80</v>
      </c>
      <c r="I344" s="6">
        <v>135</v>
      </c>
      <c r="J344" s="6" t="s">
        <v>169</v>
      </c>
      <c r="K344" s="6">
        <v>105</v>
      </c>
      <c r="L344" t="str">
        <f t="shared" si="15"/>
        <v>OK</v>
      </c>
      <c r="M344" t="str">
        <f t="shared" si="16"/>
        <v>OK</v>
      </c>
      <c r="N344" t="str">
        <f t="shared" si="17"/>
        <v>ERRO</v>
      </c>
    </row>
    <row r="345" spans="1:14" ht="43.2" x14ac:dyDescent="0.3">
      <c r="A345">
        <v>45</v>
      </c>
      <c r="B345">
        <v>2024</v>
      </c>
      <c r="C345" s="2">
        <v>45364</v>
      </c>
      <c r="D345" s="7" t="s">
        <v>38</v>
      </c>
      <c r="E345" s="8" t="s">
        <v>59</v>
      </c>
      <c r="F345" s="8" t="s">
        <v>45</v>
      </c>
      <c r="G345" s="10">
        <v>60</v>
      </c>
      <c r="H345" s="10">
        <v>45</v>
      </c>
      <c r="I345" s="10">
        <v>70</v>
      </c>
      <c r="J345" s="10" t="s">
        <v>101</v>
      </c>
      <c r="K345" s="10">
        <v>60</v>
      </c>
      <c r="L345" t="str">
        <f t="shared" si="15"/>
        <v>OK</v>
      </c>
      <c r="M345" t="str">
        <f t="shared" si="16"/>
        <v>OK</v>
      </c>
      <c r="N345" t="str">
        <f t="shared" si="17"/>
        <v>ERRO</v>
      </c>
    </row>
    <row r="346" spans="1:14" ht="43.2" x14ac:dyDescent="0.3">
      <c r="A346">
        <v>45</v>
      </c>
      <c r="B346">
        <v>2024</v>
      </c>
      <c r="C346" s="2">
        <v>45364</v>
      </c>
      <c r="D346" s="3" t="s">
        <v>38</v>
      </c>
      <c r="E346" s="4" t="s">
        <v>60</v>
      </c>
      <c r="F346" s="4" t="s">
        <v>61</v>
      </c>
      <c r="G346" s="5"/>
      <c r="H346" s="6">
        <v>50</v>
      </c>
      <c r="I346" s="6">
        <v>70</v>
      </c>
      <c r="J346" s="6">
        <v>60</v>
      </c>
      <c r="K346" s="6">
        <v>60</v>
      </c>
      <c r="L346" t="str">
        <f t="shared" si="15"/>
        <v>OK</v>
      </c>
      <c r="M346" t="str">
        <f t="shared" si="16"/>
        <v>OK</v>
      </c>
      <c r="N346" t="str">
        <f t="shared" si="17"/>
        <v>OK</v>
      </c>
    </row>
    <row r="347" spans="1:14" ht="43.2" x14ac:dyDescent="0.3">
      <c r="A347">
        <v>45</v>
      </c>
      <c r="B347">
        <v>2024</v>
      </c>
      <c r="C347" s="2">
        <v>45364</v>
      </c>
      <c r="D347" s="7" t="s">
        <v>38</v>
      </c>
      <c r="E347" s="8" t="s">
        <v>63</v>
      </c>
      <c r="F347" s="8" t="s">
        <v>40</v>
      </c>
      <c r="G347" s="10">
        <v>150</v>
      </c>
      <c r="H347" s="10">
        <v>110</v>
      </c>
      <c r="I347" s="10">
        <v>150</v>
      </c>
      <c r="J347" s="10" t="s">
        <v>170</v>
      </c>
      <c r="K347" s="10">
        <v>145</v>
      </c>
      <c r="L347" t="str">
        <f t="shared" si="15"/>
        <v>OK</v>
      </c>
      <c r="M347" t="str">
        <f t="shared" si="16"/>
        <v>OK</v>
      </c>
      <c r="N347" t="str">
        <f t="shared" si="17"/>
        <v>ERRO</v>
      </c>
    </row>
    <row r="348" spans="1:14" ht="43.2" x14ac:dyDescent="0.3">
      <c r="A348">
        <v>45</v>
      </c>
      <c r="B348">
        <v>2024</v>
      </c>
      <c r="C348" s="2">
        <v>45364</v>
      </c>
      <c r="D348" s="3" t="s">
        <v>38</v>
      </c>
      <c r="E348" s="4" t="s">
        <v>64</v>
      </c>
      <c r="F348" s="4" t="s">
        <v>40</v>
      </c>
      <c r="G348" s="5"/>
      <c r="H348" s="6">
        <v>120</v>
      </c>
      <c r="I348" s="6">
        <v>150</v>
      </c>
      <c r="J348" s="6" t="s">
        <v>171</v>
      </c>
      <c r="K348" s="6">
        <v>140</v>
      </c>
      <c r="L348" t="str">
        <f t="shared" si="15"/>
        <v>OK</v>
      </c>
      <c r="M348" t="str">
        <f t="shared" si="16"/>
        <v>OK</v>
      </c>
      <c r="N348" t="str">
        <f t="shared" si="17"/>
        <v>ERRO</v>
      </c>
    </row>
    <row r="349" spans="1:14" x14ac:dyDescent="0.3">
      <c r="A349">
        <v>45</v>
      </c>
      <c r="B349">
        <v>2024</v>
      </c>
      <c r="C349" s="2">
        <v>45364</v>
      </c>
      <c r="D349" s="7" t="s">
        <v>65</v>
      </c>
      <c r="E349" s="8" t="s">
        <v>66</v>
      </c>
      <c r="F349" s="8" t="s">
        <v>45</v>
      </c>
      <c r="G349" s="9"/>
      <c r="H349" s="10">
        <v>110</v>
      </c>
      <c r="I349" s="10">
        <v>110</v>
      </c>
      <c r="J349" s="10">
        <v>110</v>
      </c>
      <c r="K349" s="10">
        <v>110</v>
      </c>
      <c r="L349" t="str">
        <f t="shared" si="15"/>
        <v>OK</v>
      </c>
      <c r="M349" t="str">
        <f t="shared" si="16"/>
        <v>OK</v>
      </c>
      <c r="N349" t="str">
        <f t="shared" si="17"/>
        <v>OK</v>
      </c>
    </row>
    <row r="350" spans="1:14" x14ac:dyDescent="0.3">
      <c r="A350">
        <v>45</v>
      </c>
      <c r="B350">
        <v>2024</v>
      </c>
      <c r="C350" s="2">
        <v>45364</v>
      </c>
      <c r="D350" s="3" t="s">
        <v>65</v>
      </c>
      <c r="E350" s="4" t="s">
        <v>67</v>
      </c>
      <c r="F350" s="4" t="s">
        <v>45</v>
      </c>
      <c r="G350" s="5"/>
      <c r="H350" s="6">
        <v>70</v>
      </c>
      <c r="I350" s="6">
        <v>70</v>
      </c>
      <c r="J350" s="6">
        <v>70</v>
      </c>
      <c r="K350" s="6">
        <v>70</v>
      </c>
      <c r="L350" t="str">
        <f t="shared" si="15"/>
        <v>OK</v>
      </c>
      <c r="M350" t="str">
        <f t="shared" si="16"/>
        <v>OK</v>
      </c>
      <c r="N350" t="str">
        <f t="shared" si="17"/>
        <v>OK</v>
      </c>
    </row>
    <row r="351" spans="1:14" x14ac:dyDescent="0.3">
      <c r="A351">
        <v>45</v>
      </c>
      <c r="B351">
        <v>2024</v>
      </c>
      <c r="C351" s="2">
        <v>45364</v>
      </c>
      <c r="D351" s="7" t="s">
        <v>65</v>
      </c>
      <c r="E351" s="8" t="s">
        <v>68</v>
      </c>
      <c r="F351" s="8" t="s">
        <v>45</v>
      </c>
      <c r="G351" s="9"/>
      <c r="H351" s="10">
        <v>40</v>
      </c>
      <c r="I351" s="10">
        <v>40</v>
      </c>
      <c r="J351" s="10">
        <v>40</v>
      </c>
      <c r="K351" s="10">
        <v>40</v>
      </c>
      <c r="L351" t="str">
        <f t="shared" si="15"/>
        <v>OK</v>
      </c>
      <c r="M351" t="str">
        <f t="shared" si="16"/>
        <v>OK</v>
      </c>
      <c r="N351" t="str">
        <f t="shared" si="17"/>
        <v>OK</v>
      </c>
    </row>
    <row r="352" spans="1:14" x14ac:dyDescent="0.3">
      <c r="A352">
        <v>45</v>
      </c>
      <c r="B352">
        <v>2024</v>
      </c>
      <c r="C352" s="2">
        <v>45364</v>
      </c>
      <c r="D352" s="3" t="s">
        <v>65</v>
      </c>
      <c r="E352" s="4" t="s">
        <v>69</v>
      </c>
      <c r="F352" s="4" t="s">
        <v>45</v>
      </c>
      <c r="G352" s="5"/>
      <c r="H352" s="6">
        <v>50</v>
      </c>
      <c r="I352" s="6">
        <v>50</v>
      </c>
      <c r="J352" s="6">
        <v>50</v>
      </c>
      <c r="K352" s="6">
        <v>50</v>
      </c>
      <c r="L352" t="str">
        <f t="shared" si="15"/>
        <v>OK</v>
      </c>
      <c r="M352" t="str">
        <f t="shared" si="16"/>
        <v>OK</v>
      </c>
      <c r="N352" t="str">
        <f t="shared" si="17"/>
        <v>OK</v>
      </c>
    </row>
    <row r="353" spans="1:14" x14ac:dyDescent="0.3">
      <c r="A353">
        <v>45</v>
      </c>
      <c r="B353">
        <v>2024</v>
      </c>
      <c r="C353" s="2">
        <v>45364</v>
      </c>
      <c r="D353" s="7" t="s">
        <v>65</v>
      </c>
      <c r="E353" s="8" t="s">
        <v>70</v>
      </c>
      <c r="F353" s="8" t="s">
        <v>71</v>
      </c>
      <c r="G353" s="9"/>
      <c r="H353" s="9"/>
      <c r="I353" s="9"/>
      <c r="J353" s="9"/>
      <c r="K353" s="9"/>
      <c r="L353" t="str">
        <f t="shared" si="15"/>
        <v>OK</v>
      </c>
      <c r="M353" t="str">
        <f t="shared" si="16"/>
        <v>OK</v>
      </c>
      <c r="N353" t="str">
        <f t="shared" si="17"/>
        <v>OK</v>
      </c>
    </row>
    <row r="354" spans="1:14" ht="28.8" x14ac:dyDescent="0.3">
      <c r="A354">
        <v>46</v>
      </c>
      <c r="B354">
        <v>2024</v>
      </c>
      <c r="C354" s="2">
        <v>45371</v>
      </c>
      <c r="D354" s="3" t="s">
        <v>11</v>
      </c>
      <c r="E354" s="4" t="s">
        <v>12</v>
      </c>
      <c r="F354" s="4" t="s">
        <v>13</v>
      </c>
      <c r="G354" s="6">
        <v>60</v>
      </c>
      <c r="H354" s="6">
        <v>60</v>
      </c>
      <c r="I354" s="6">
        <v>84</v>
      </c>
      <c r="J354" s="6">
        <v>68</v>
      </c>
      <c r="K354" s="6">
        <v>60</v>
      </c>
      <c r="L354" t="str">
        <f t="shared" si="15"/>
        <v>OK</v>
      </c>
      <c r="M354" t="str">
        <f t="shared" si="16"/>
        <v>OK</v>
      </c>
      <c r="N354" t="str">
        <f t="shared" si="17"/>
        <v>OK</v>
      </c>
    </row>
    <row r="355" spans="1:14" ht="28.8" x14ac:dyDescent="0.3">
      <c r="A355">
        <v>46</v>
      </c>
      <c r="B355">
        <v>2024</v>
      </c>
      <c r="C355" s="2">
        <v>45371</v>
      </c>
      <c r="D355" s="7" t="s">
        <v>11</v>
      </c>
      <c r="E355" s="8" t="s">
        <v>14</v>
      </c>
      <c r="F355" s="8" t="s">
        <v>13</v>
      </c>
      <c r="G355" s="9"/>
      <c r="H355" s="10">
        <v>32</v>
      </c>
      <c r="I355" s="10">
        <v>84</v>
      </c>
      <c r="J355" s="10" t="s">
        <v>172</v>
      </c>
      <c r="K355" s="10">
        <v>72</v>
      </c>
      <c r="L355" t="str">
        <f t="shared" si="15"/>
        <v>OK</v>
      </c>
      <c r="M355" t="str">
        <f t="shared" si="16"/>
        <v>OK</v>
      </c>
      <c r="N355" t="str">
        <f t="shared" si="17"/>
        <v>ERRO</v>
      </c>
    </row>
    <row r="356" spans="1:14" ht="28.8" x14ac:dyDescent="0.3">
      <c r="A356">
        <v>46</v>
      </c>
      <c r="B356">
        <v>2024</v>
      </c>
      <c r="C356" s="2">
        <v>45371</v>
      </c>
      <c r="D356" s="3" t="s">
        <v>11</v>
      </c>
      <c r="E356" s="4" t="s">
        <v>15</v>
      </c>
      <c r="F356" s="4" t="s">
        <v>13</v>
      </c>
      <c r="G356" s="6">
        <v>45</v>
      </c>
      <c r="H356" s="6">
        <v>45</v>
      </c>
      <c r="I356" s="6">
        <v>60</v>
      </c>
      <c r="J356" s="6" t="s">
        <v>173</v>
      </c>
      <c r="K356" s="6" t="s">
        <v>174</v>
      </c>
      <c r="L356" t="str">
        <f t="shared" si="15"/>
        <v>OK</v>
      </c>
      <c r="M356" t="str">
        <f t="shared" si="16"/>
        <v>OK</v>
      </c>
      <c r="N356" t="str">
        <f t="shared" si="17"/>
        <v>ERRO</v>
      </c>
    </row>
    <row r="357" spans="1:14" ht="28.8" x14ac:dyDescent="0.3">
      <c r="A357">
        <v>46</v>
      </c>
      <c r="B357">
        <v>2024</v>
      </c>
      <c r="C357" s="2">
        <v>45371</v>
      </c>
      <c r="D357" s="7" t="s">
        <v>11</v>
      </c>
      <c r="E357" s="8" t="s">
        <v>16</v>
      </c>
      <c r="F357" s="8" t="s">
        <v>13</v>
      </c>
      <c r="G357" s="9"/>
      <c r="H357" s="10">
        <v>30</v>
      </c>
      <c r="I357" s="10">
        <v>60</v>
      </c>
      <c r="J357" s="10" t="s">
        <v>175</v>
      </c>
      <c r="K357" s="10" t="s">
        <v>176</v>
      </c>
      <c r="L357" t="str">
        <f t="shared" si="15"/>
        <v>OK</v>
      </c>
      <c r="M357" t="str">
        <f t="shared" si="16"/>
        <v>OK</v>
      </c>
      <c r="N357" t="str">
        <f t="shared" si="17"/>
        <v>ERRO</v>
      </c>
    </row>
    <row r="358" spans="1:14" ht="28.8" x14ac:dyDescent="0.3">
      <c r="A358">
        <v>46</v>
      </c>
      <c r="B358">
        <v>2024</v>
      </c>
      <c r="C358" s="2">
        <v>45371</v>
      </c>
      <c r="D358" s="3" t="s">
        <v>11</v>
      </c>
      <c r="E358" s="4" t="s">
        <v>17</v>
      </c>
      <c r="F358" s="4" t="s">
        <v>13</v>
      </c>
      <c r="G358" s="5"/>
      <c r="H358" s="6">
        <v>35</v>
      </c>
      <c r="I358" s="6">
        <v>60</v>
      </c>
      <c r="J358" s="6" t="s">
        <v>177</v>
      </c>
      <c r="K358" s="6">
        <v>42</v>
      </c>
      <c r="L358" t="str">
        <f t="shared" si="15"/>
        <v>OK</v>
      </c>
      <c r="M358" t="str">
        <f t="shared" si="16"/>
        <v>OK</v>
      </c>
      <c r="N358" t="str">
        <f t="shared" si="17"/>
        <v>ERRO</v>
      </c>
    </row>
    <row r="359" spans="1:14" ht="28.8" x14ac:dyDescent="0.3">
      <c r="A359">
        <v>46</v>
      </c>
      <c r="B359">
        <v>2024</v>
      </c>
      <c r="C359" s="2">
        <v>45371</v>
      </c>
      <c r="D359" s="7" t="s">
        <v>11</v>
      </c>
      <c r="E359" s="8" t="s">
        <v>18</v>
      </c>
      <c r="F359" s="8" t="s">
        <v>13</v>
      </c>
      <c r="G359" s="10">
        <v>60</v>
      </c>
      <c r="H359" s="10">
        <v>54</v>
      </c>
      <c r="I359" s="10">
        <v>60</v>
      </c>
      <c r="J359" s="10">
        <v>58</v>
      </c>
      <c r="K359" s="10">
        <v>60</v>
      </c>
      <c r="L359" t="str">
        <f t="shared" si="15"/>
        <v>OK</v>
      </c>
      <c r="M359" t="str">
        <f t="shared" si="16"/>
        <v>OK</v>
      </c>
      <c r="N359" t="str">
        <f t="shared" si="17"/>
        <v>OK</v>
      </c>
    </row>
    <row r="360" spans="1:14" ht="28.8" x14ac:dyDescent="0.3">
      <c r="A360">
        <v>46</v>
      </c>
      <c r="B360">
        <v>2024</v>
      </c>
      <c r="C360" s="2">
        <v>45371</v>
      </c>
      <c r="D360" s="3" t="s">
        <v>11</v>
      </c>
      <c r="E360" s="4" t="s">
        <v>19</v>
      </c>
      <c r="F360" s="4" t="s">
        <v>13</v>
      </c>
      <c r="G360" s="6">
        <v>60</v>
      </c>
      <c r="H360" s="6">
        <v>60</v>
      </c>
      <c r="I360" s="6">
        <v>78</v>
      </c>
      <c r="J360" s="6" t="s">
        <v>178</v>
      </c>
      <c r="K360" s="6">
        <v>60</v>
      </c>
      <c r="L360" t="str">
        <f t="shared" si="15"/>
        <v>OK</v>
      </c>
      <c r="M360" t="str">
        <f t="shared" si="16"/>
        <v>OK</v>
      </c>
      <c r="N360" t="str">
        <f t="shared" si="17"/>
        <v>ERRO</v>
      </c>
    </row>
    <row r="361" spans="1:14" ht="28.8" x14ac:dyDescent="0.3">
      <c r="A361">
        <v>46</v>
      </c>
      <c r="B361">
        <v>2024</v>
      </c>
      <c r="C361" s="2">
        <v>45371</v>
      </c>
      <c r="D361" s="7" t="s">
        <v>11</v>
      </c>
      <c r="E361" s="8" t="s">
        <v>20</v>
      </c>
      <c r="F361" s="8" t="s">
        <v>13</v>
      </c>
      <c r="G361" s="10">
        <v>84</v>
      </c>
      <c r="H361" s="10">
        <v>72</v>
      </c>
      <c r="I361" s="10">
        <v>96</v>
      </c>
      <c r="J361" s="10">
        <v>84</v>
      </c>
      <c r="K361" s="10">
        <v>84</v>
      </c>
      <c r="L361" t="str">
        <f t="shared" si="15"/>
        <v>OK</v>
      </c>
      <c r="M361" t="str">
        <f t="shared" si="16"/>
        <v>OK</v>
      </c>
      <c r="N361" t="str">
        <f t="shared" si="17"/>
        <v>OK</v>
      </c>
    </row>
    <row r="362" spans="1:14" ht="28.8" x14ac:dyDescent="0.3">
      <c r="A362">
        <v>46</v>
      </c>
      <c r="B362">
        <v>2024</v>
      </c>
      <c r="C362" s="2">
        <v>45371</v>
      </c>
      <c r="D362" s="3" t="s">
        <v>11</v>
      </c>
      <c r="E362" s="4" t="s">
        <v>21</v>
      </c>
      <c r="F362" s="4" t="s">
        <v>13</v>
      </c>
      <c r="G362" s="6">
        <v>30</v>
      </c>
      <c r="H362" s="6">
        <v>24</v>
      </c>
      <c r="I362" s="6">
        <v>30</v>
      </c>
      <c r="J362" s="6" t="s">
        <v>179</v>
      </c>
      <c r="K362" s="6">
        <v>30</v>
      </c>
      <c r="L362" t="str">
        <f t="shared" si="15"/>
        <v>OK</v>
      </c>
      <c r="M362" t="str">
        <f t="shared" si="16"/>
        <v>OK</v>
      </c>
      <c r="N362" t="str">
        <f t="shared" si="17"/>
        <v>ERRO</v>
      </c>
    </row>
    <row r="363" spans="1:14" ht="28.8" x14ac:dyDescent="0.3">
      <c r="A363">
        <v>46</v>
      </c>
      <c r="B363">
        <v>2024</v>
      </c>
      <c r="C363" s="2">
        <v>45371</v>
      </c>
      <c r="D363" s="7" t="s">
        <v>11</v>
      </c>
      <c r="E363" s="8" t="s">
        <v>73</v>
      </c>
      <c r="F363" s="8" t="s">
        <v>13</v>
      </c>
      <c r="G363" s="9"/>
      <c r="H363" s="10">
        <v>84</v>
      </c>
      <c r="I363" s="10">
        <v>120</v>
      </c>
      <c r="J363" s="10">
        <v>100</v>
      </c>
      <c r="K363" s="10">
        <v>96</v>
      </c>
      <c r="L363" t="str">
        <f t="shared" si="15"/>
        <v>OK</v>
      </c>
      <c r="M363" t="str">
        <f t="shared" si="16"/>
        <v>OK</v>
      </c>
      <c r="N363" t="str">
        <f t="shared" si="17"/>
        <v>OK</v>
      </c>
    </row>
    <row r="364" spans="1:14" ht="28.8" x14ac:dyDescent="0.3">
      <c r="A364">
        <v>46</v>
      </c>
      <c r="B364">
        <v>2024</v>
      </c>
      <c r="C364" s="2">
        <v>45371</v>
      </c>
      <c r="D364" s="3" t="s">
        <v>11</v>
      </c>
      <c r="E364" s="4" t="s">
        <v>23</v>
      </c>
      <c r="F364" s="4" t="s">
        <v>13</v>
      </c>
      <c r="G364" s="5"/>
      <c r="H364" s="6">
        <v>30</v>
      </c>
      <c r="I364" s="6">
        <v>42</v>
      </c>
      <c r="J364" s="6" t="s">
        <v>180</v>
      </c>
      <c r="K364" s="6">
        <v>35</v>
      </c>
      <c r="L364" t="str">
        <f t="shared" si="15"/>
        <v>OK</v>
      </c>
      <c r="M364" t="str">
        <f t="shared" si="16"/>
        <v>OK</v>
      </c>
      <c r="N364" t="str">
        <f t="shared" si="17"/>
        <v>ERRO</v>
      </c>
    </row>
    <row r="365" spans="1:14" ht="28.8" x14ac:dyDescent="0.3">
      <c r="A365">
        <v>46</v>
      </c>
      <c r="B365">
        <v>2024</v>
      </c>
      <c r="C365" s="2">
        <v>45371</v>
      </c>
      <c r="D365" s="7" t="s">
        <v>11</v>
      </c>
      <c r="E365" s="8" t="s">
        <v>24</v>
      </c>
      <c r="F365" s="8" t="s">
        <v>13</v>
      </c>
      <c r="G365" s="10">
        <v>84</v>
      </c>
      <c r="H365" s="10">
        <v>72</v>
      </c>
      <c r="I365" s="10">
        <v>84</v>
      </c>
      <c r="J365" s="10">
        <v>80</v>
      </c>
      <c r="K365" s="10">
        <v>84</v>
      </c>
      <c r="L365" t="str">
        <f t="shared" si="15"/>
        <v>OK</v>
      </c>
      <c r="M365" t="str">
        <f t="shared" si="16"/>
        <v>OK</v>
      </c>
      <c r="N365" t="str">
        <f t="shared" si="17"/>
        <v>OK</v>
      </c>
    </row>
    <row r="366" spans="1:14" ht="28.8" x14ac:dyDescent="0.3">
      <c r="A366">
        <v>46</v>
      </c>
      <c r="B366">
        <v>2024</v>
      </c>
      <c r="C366" s="2">
        <v>45371</v>
      </c>
      <c r="D366" s="3" t="s">
        <v>11</v>
      </c>
      <c r="E366" s="4" t="s">
        <v>25</v>
      </c>
      <c r="F366" s="4" t="s">
        <v>26</v>
      </c>
      <c r="G366" s="5"/>
      <c r="H366" s="6">
        <v>48</v>
      </c>
      <c r="I366" s="6">
        <v>78</v>
      </c>
      <c r="J366" s="6" t="s">
        <v>178</v>
      </c>
      <c r="K366" s="6">
        <v>66</v>
      </c>
      <c r="L366" t="str">
        <f t="shared" si="15"/>
        <v>OK</v>
      </c>
      <c r="M366" t="str">
        <f t="shared" si="16"/>
        <v>OK</v>
      </c>
      <c r="N366" t="str">
        <f t="shared" si="17"/>
        <v>ERRO</v>
      </c>
    </row>
    <row r="367" spans="1:14" ht="28.8" x14ac:dyDescent="0.3">
      <c r="A367">
        <v>46</v>
      </c>
      <c r="B367">
        <v>2024</v>
      </c>
      <c r="C367" s="2">
        <v>45371</v>
      </c>
      <c r="D367" s="7" t="s">
        <v>11</v>
      </c>
      <c r="E367" s="8" t="s">
        <v>27</v>
      </c>
      <c r="F367" s="8" t="s">
        <v>13</v>
      </c>
      <c r="G367" s="9"/>
      <c r="H367" s="10">
        <v>50</v>
      </c>
      <c r="I367" s="10">
        <v>80</v>
      </c>
      <c r="J367" s="10" t="s">
        <v>181</v>
      </c>
      <c r="K367" s="10">
        <v>72</v>
      </c>
      <c r="L367" t="str">
        <f t="shared" si="15"/>
        <v>OK</v>
      </c>
      <c r="M367" t="str">
        <f t="shared" si="16"/>
        <v>OK</v>
      </c>
      <c r="N367" t="str">
        <f t="shared" si="17"/>
        <v>ERRO</v>
      </c>
    </row>
    <row r="368" spans="1:14" ht="28.8" x14ac:dyDescent="0.3">
      <c r="A368">
        <v>46</v>
      </c>
      <c r="B368">
        <v>2024</v>
      </c>
      <c r="C368" s="2">
        <v>45371</v>
      </c>
      <c r="D368" s="3" t="s">
        <v>11</v>
      </c>
      <c r="E368" s="4" t="s">
        <v>28</v>
      </c>
      <c r="F368" s="4" t="s">
        <v>13</v>
      </c>
      <c r="G368" s="6">
        <v>50</v>
      </c>
      <c r="H368" s="6">
        <v>50</v>
      </c>
      <c r="I368" s="6">
        <v>60</v>
      </c>
      <c r="J368" s="6">
        <v>55</v>
      </c>
      <c r="K368" s="6">
        <v>55</v>
      </c>
      <c r="L368" t="str">
        <f t="shared" si="15"/>
        <v>OK</v>
      </c>
      <c r="M368" t="str">
        <f t="shared" si="16"/>
        <v>OK</v>
      </c>
      <c r="N368" t="str">
        <f t="shared" si="17"/>
        <v>OK</v>
      </c>
    </row>
    <row r="369" spans="1:14" ht="28.8" x14ac:dyDescent="0.3">
      <c r="A369">
        <v>46</v>
      </c>
      <c r="B369">
        <v>2024</v>
      </c>
      <c r="C369" s="2">
        <v>45371</v>
      </c>
      <c r="D369" s="7" t="s">
        <v>11</v>
      </c>
      <c r="E369" s="8" t="s">
        <v>29</v>
      </c>
      <c r="F369" s="8" t="s">
        <v>13</v>
      </c>
      <c r="G369" s="9"/>
      <c r="H369" s="10">
        <v>42</v>
      </c>
      <c r="I369" s="10">
        <v>54</v>
      </c>
      <c r="J369" s="10">
        <v>48</v>
      </c>
      <c r="K369" s="10">
        <v>48</v>
      </c>
      <c r="L369" t="str">
        <f t="shared" si="15"/>
        <v>OK</v>
      </c>
      <c r="M369" t="str">
        <f t="shared" si="16"/>
        <v>OK</v>
      </c>
      <c r="N369" t="str">
        <f t="shared" si="17"/>
        <v>OK</v>
      </c>
    </row>
    <row r="370" spans="1:14" ht="28.8" x14ac:dyDescent="0.3">
      <c r="A370">
        <v>46</v>
      </c>
      <c r="B370">
        <v>2024</v>
      </c>
      <c r="C370" s="2">
        <v>45371</v>
      </c>
      <c r="D370" s="3" t="s">
        <v>30</v>
      </c>
      <c r="E370" s="4" t="s">
        <v>31</v>
      </c>
      <c r="F370" s="4" t="s">
        <v>32</v>
      </c>
      <c r="G370" s="6">
        <v>5</v>
      </c>
      <c r="H370" s="6">
        <v>4</v>
      </c>
      <c r="I370" s="6">
        <v>5</v>
      </c>
      <c r="J370" s="6" t="s">
        <v>149</v>
      </c>
      <c r="K370" s="6" t="s">
        <v>150</v>
      </c>
      <c r="L370" t="str">
        <f t="shared" si="15"/>
        <v>OK</v>
      </c>
      <c r="M370" t="str">
        <f t="shared" si="16"/>
        <v>OK</v>
      </c>
      <c r="N370" t="str">
        <f t="shared" si="17"/>
        <v>ERRO</v>
      </c>
    </row>
    <row r="371" spans="1:14" ht="28.8" x14ac:dyDescent="0.3">
      <c r="A371">
        <v>46</v>
      </c>
      <c r="B371">
        <v>2024</v>
      </c>
      <c r="C371" s="2">
        <v>45371</v>
      </c>
      <c r="D371" s="7" t="s">
        <v>30</v>
      </c>
      <c r="E371" s="8" t="s">
        <v>34</v>
      </c>
      <c r="F371" s="8" t="s">
        <v>35</v>
      </c>
      <c r="G371" s="10">
        <v>20</v>
      </c>
      <c r="H371" s="10">
        <v>15</v>
      </c>
      <c r="I371" s="10">
        <v>25</v>
      </c>
      <c r="J371" s="10" t="s">
        <v>182</v>
      </c>
      <c r="K371" s="10">
        <v>20</v>
      </c>
      <c r="L371" t="str">
        <f t="shared" si="15"/>
        <v>OK</v>
      </c>
      <c r="M371" t="str">
        <f t="shared" si="16"/>
        <v>OK</v>
      </c>
      <c r="N371" t="str">
        <f t="shared" si="17"/>
        <v>ERRO</v>
      </c>
    </row>
    <row r="372" spans="1:14" ht="28.8" x14ac:dyDescent="0.3">
      <c r="A372">
        <v>46</v>
      </c>
      <c r="B372">
        <v>2024</v>
      </c>
      <c r="C372" s="2">
        <v>45371</v>
      </c>
      <c r="D372" s="3" t="s">
        <v>30</v>
      </c>
      <c r="E372" s="4" t="s">
        <v>36</v>
      </c>
      <c r="F372" s="4" t="s">
        <v>35</v>
      </c>
      <c r="G372" s="5"/>
      <c r="H372" s="6">
        <v>30</v>
      </c>
      <c r="I372" s="6">
        <v>45</v>
      </c>
      <c r="J372" s="6" t="s">
        <v>86</v>
      </c>
      <c r="K372" s="6" t="s">
        <v>86</v>
      </c>
      <c r="L372" t="str">
        <f t="shared" si="15"/>
        <v>OK</v>
      </c>
      <c r="M372" t="str">
        <f t="shared" si="16"/>
        <v>OK</v>
      </c>
      <c r="N372" t="str">
        <f t="shared" si="17"/>
        <v>ERRO</v>
      </c>
    </row>
    <row r="373" spans="1:14" ht="43.2" x14ac:dyDescent="0.3">
      <c r="A373">
        <v>46</v>
      </c>
      <c r="B373">
        <v>2024</v>
      </c>
      <c r="C373" s="2">
        <v>45371</v>
      </c>
      <c r="D373" s="7" t="s">
        <v>38</v>
      </c>
      <c r="E373" s="8" t="s">
        <v>153</v>
      </c>
      <c r="F373" s="8" t="s">
        <v>154</v>
      </c>
      <c r="G373" s="9"/>
      <c r="H373" s="10">
        <v>100</v>
      </c>
      <c r="I373" s="10">
        <v>105</v>
      </c>
      <c r="J373" s="10" t="s">
        <v>183</v>
      </c>
      <c r="K373" s="10" t="s">
        <v>183</v>
      </c>
      <c r="L373" t="str">
        <f t="shared" si="15"/>
        <v>OK</v>
      </c>
      <c r="M373" t="str">
        <f t="shared" si="16"/>
        <v>OK</v>
      </c>
      <c r="N373" t="str">
        <f t="shared" si="17"/>
        <v>ERRO</v>
      </c>
    </row>
    <row r="374" spans="1:14" ht="43.2" x14ac:dyDescent="0.3">
      <c r="A374">
        <v>46</v>
      </c>
      <c r="B374">
        <v>2024</v>
      </c>
      <c r="C374" s="2">
        <v>45371</v>
      </c>
      <c r="D374" s="3" t="s">
        <v>38</v>
      </c>
      <c r="E374" s="4" t="s">
        <v>39</v>
      </c>
      <c r="F374" s="4" t="s">
        <v>40</v>
      </c>
      <c r="G374" s="6">
        <v>70</v>
      </c>
      <c r="H374" s="6">
        <v>50</v>
      </c>
      <c r="I374" s="6">
        <v>80</v>
      </c>
      <c r="J374" s="6" t="s">
        <v>84</v>
      </c>
      <c r="K374" s="6">
        <v>70</v>
      </c>
      <c r="L374" t="str">
        <f t="shared" si="15"/>
        <v>OK</v>
      </c>
      <c r="M374" t="str">
        <f t="shared" si="16"/>
        <v>OK</v>
      </c>
      <c r="N374" t="str">
        <f t="shared" si="17"/>
        <v>ERRO</v>
      </c>
    </row>
    <row r="375" spans="1:14" ht="43.2" x14ac:dyDescent="0.3">
      <c r="A375">
        <v>46</v>
      </c>
      <c r="B375">
        <v>2024</v>
      </c>
      <c r="C375" s="2">
        <v>45371</v>
      </c>
      <c r="D375" s="7" t="s">
        <v>38</v>
      </c>
      <c r="E375" s="8" t="s">
        <v>42</v>
      </c>
      <c r="F375" s="8" t="s">
        <v>43</v>
      </c>
      <c r="G375" s="10">
        <v>70</v>
      </c>
      <c r="H375" s="10">
        <v>50</v>
      </c>
      <c r="I375" s="10">
        <v>75</v>
      </c>
      <c r="J375" s="10">
        <v>65</v>
      </c>
      <c r="K375" s="10">
        <v>70</v>
      </c>
      <c r="L375" t="str">
        <f t="shared" si="15"/>
        <v>OK</v>
      </c>
      <c r="M375" t="str">
        <f t="shared" si="16"/>
        <v>OK</v>
      </c>
      <c r="N375" t="str">
        <f t="shared" si="17"/>
        <v>OK</v>
      </c>
    </row>
    <row r="376" spans="1:14" ht="43.2" x14ac:dyDescent="0.3">
      <c r="A376">
        <v>46</v>
      </c>
      <c r="B376">
        <v>2024</v>
      </c>
      <c r="C376" s="2">
        <v>45371</v>
      </c>
      <c r="D376" s="3" t="s">
        <v>38</v>
      </c>
      <c r="E376" s="4" t="s">
        <v>44</v>
      </c>
      <c r="F376" s="4" t="s">
        <v>45</v>
      </c>
      <c r="G376" s="6">
        <v>35</v>
      </c>
      <c r="H376" s="6">
        <v>35</v>
      </c>
      <c r="I376" s="6">
        <v>50</v>
      </c>
      <c r="J376" s="6" t="s">
        <v>47</v>
      </c>
      <c r="K376" s="6" t="s">
        <v>47</v>
      </c>
      <c r="L376" t="str">
        <f t="shared" si="15"/>
        <v>OK</v>
      </c>
      <c r="M376" t="str">
        <f t="shared" si="16"/>
        <v>OK</v>
      </c>
      <c r="N376" t="str">
        <f t="shared" si="17"/>
        <v>ERRO</v>
      </c>
    </row>
    <row r="377" spans="1:14" ht="43.2" x14ac:dyDescent="0.3">
      <c r="A377">
        <v>46</v>
      </c>
      <c r="B377">
        <v>2024</v>
      </c>
      <c r="C377" s="2">
        <v>45371</v>
      </c>
      <c r="D377" s="7" t="s">
        <v>38</v>
      </c>
      <c r="E377" s="8" t="s">
        <v>48</v>
      </c>
      <c r="F377" s="8" t="s">
        <v>45</v>
      </c>
      <c r="G377" s="9"/>
      <c r="H377" s="10">
        <v>100</v>
      </c>
      <c r="I377" s="10">
        <v>120</v>
      </c>
      <c r="J377" s="10">
        <v>110</v>
      </c>
      <c r="K377" s="10">
        <v>110</v>
      </c>
      <c r="L377" t="str">
        <f t="shared" si="15"/>
        <v>OK</v>
      </c>
      <c r="M377" t="str">
        <f t="shared" si="16"/>
        <v>OK</v>
      </c>
      <c r="N377" t="str">
        <f t="shared" si="17"/>
        <v>OK</v>
      </c>
    </row>
    <row r="378" spans="1:14" ht="43.2" x14ac:dyDescent="0.3">
      <c r="A378">
        <v>46</v>
      </c>
      <c r="B378">
        <v>2024</v>
      </c>
      <c r="C378" s="2">
        <v>45371</v>
      </c>
      <c r="D378" s="3" t="s">
        <v>38</v>
      </c>
      <c r="E378" s="4" t="s">
        <v>49</v>
      </c>
      <c r="F378" s="4" t="s">
        <v>50</v>
      </c>
      <c r="G378" s="6">
        <v>100</v>
      </c>
      <c r="H378" s="6">
        <v>70</v>
      </c>
      <c r="I378" s="6">
        <v>130</v>
      </c>
      <c r="J378" s="6">
        <v>106</v>
      </c>
      <c r="K378" s="6">
        <v>100</v>
      </c>
      <c r="L378" t="str">
        <f t="shared" si="15"/>
        <v>OK</v>
      </c>
      <c r="M378" t="str">
        <f t="shared" si="16"/>
        <v>OK</v>
      </c>
      <c r="N378" t="str">
        <f t="shared" si="17"/>
        <v>OK</v>
      </c>
    </row>
    <row r="379" spans="1:14" ht="43.2" x14ac:dyDescent="0.3">
      <c r="A379">
        <v>46</v>
      </c>
      <c r="B379">
        <v>2024</v>
      </c>
      <c r="C379" s="2">
        <v>45371</v>
      </c>
      <c r="D379" s="7" t="s">
        <v>38</v>
      </c>
      <c r="E379" s="8" t="s">
        <v>52</v>
      </c>
      <c r="F379" s="8" t="s">
        <v>43</v>
      </c>
      <c r="G379" s="9"/>
      <c r="H379" s="10">
        <v>60</v>
      </c>
      <c r="I379" s="10">
        <v>140</v>
      </c>
      <c r="J379" s="10" t="s">
        <v>184</v>
      </c>
      <c r="K379" s="10">
        <v>90</v>
      </c>
      <c r="L379" t="str">
        <f t="shared" si="15"/>
        <v>OK</v>
      </c>
      <c r="M379" t="str">
        <f t="shared" si="16"/>
        <v>OK</v>
      </c>
      <c r="N379" t="str">
        <f t="shared" si="17"/>
        <v>ERRO</v>
      </c>
    </row>
    <row r="380" spans="1:14" ht="43.2" x14ac:dyDescent="0.3">
      <c r="A380">
        <v>46</v>
      </c>
      <c r="B380">
        <v>2024</v>
      </c>
      <c r="C380" s="2">
        <v>45371</v>
      </c>
      <c r="D380" s="3" t="s">
        <v>38</v>
      </c>
      <c r="E380" s="4" t="s">
        <v>53</v>
      </c>
      <c r="F380" s="4" t="s">
        <v>43</v>
      </c>
      <c r="G380" s="5"/>
      <c r="H380" s="6">
        <v>50</v>
      </c>
      <c r="I380" s="6">
        <v>95</v>
      </c>
      <c r="J380" s="6">
        <v>68</v>
      </c>
      <c r="K380" s="6">
        <v>65</v>
      </c>
      <c r="L380" t="str">
        <f t="shared" si="15"/>
        <v>OK</v>
      </c>
      <c r="M380" t="str">
        <f t="shared" si="16"/>
        <v>OK</v>
      </c>
      <c r="N380" t="str">
        <f t="shared" si="17"/>
        <v>OK</v>
      </c>
    </row>
    <row r="381" spans="1:14" ht="43.2" x14ac:dyDescent="0.3">
      <c r="A381">
        <v>46</v>
      </c>
      <c r="B381">
        <v>2024</v>
      </c>
      <c r="C381" s="2">
        <v>45371</v>
      </c>
      <c r="D381" s="7" t="s">
        <v>38</v>
      </c>
      <c r="E381" s="8" t="s">
        <v>54</v>
      </c>
      <c r="F381" s="8" t="s">
        <v>40</v>
      </c>
      <c r="G381" s="9"/>
      <c r="H381" s="10">
        <v>90</v>
      </c>
      <c r="I381" s="10">
        <v>90</v>
      </c>
      <c r="J381" s="10">
        <v>90</v>
      </c>
      <c r="K381" s="10">
        <v>90</v>
      </c>
      <c r="L381" t="str">
        <f t="shared" si="15"/>
        <v>OK</v>
      </c>
      <c r="M381" t="str">
        <f t="shared" si="16"/>
        <v>OK</v>
      </c>
      <c r="N381" t="str">
        <f t="shared" si="17"/>
        <v>OK</v>
      </c>
    </row>
    <row r="382" spans="1:14" ht="43.2" x14ac:dyDescent="0.3">
      <c r="A382">
        <v>46</v>
      </c>
      <c r="B382">
        <v>2024</v>
      </c>
      <c r="C382" s="2">
        <v>45371</v>
      </c>
      <c r="D382" s="3" t="s">
        <v>38</v>
      </c>
      <c r="E382" s="4" t="s">
        <v>56</v>
      </c>
      <c r="F382" s="4" t="s">
        <v>43</v>
      </c>
      <c r="G382" s="5"/>
      <c r="H382" s="6">
        <v>80</v>
      </c>
      <c r="I382" s="6">
        <v>90</v>
      </c>
      <c r="J382" s="6">
        <v>85</v>
      </c>
      <c r="K382" s="6">
        <v>85</v>
      </c>
      <c r="L382" t="str">
        <f t="shared" si="15"/>
        <v>OK</v>
      </c>
      <c r="M382" t="str">
        <f t="shared" si="16"/>
        <v>OK</v>
      </c>
      <c r="N382" t="str">
        <f t="shared" si="17"/>
        <v>OK</v>
      </c>
    </row>
    <row r="383" spans="1:14" ht="43.2" x14ac:dyDescent="0.3">
      <c r="A383">
        <v>46</v>
      </c>
      <c r="B383">
        <v>2024</v>
      </c>
      <c r="C383" s="2">
        <v>45371</v>
      </c>
      <c r="D383" s="7" t="s">
        <v>38</v>
      </c>
      <c r="E383" s="8" t="s">
        <v>57</v>
      </c>
      <c r="F383" s="8" t="s">
        <v>40</v>
      </c>
      <c r="G383" s="9"/>
      <c r="H383" s="10">
        <v>42</v>
      </c>
      <c r="I383" s="10">
        <v>110</v>
      </c>
      <c r="J383" s="10">
        <v>84</v>
      </c>
      <c r="K383" s="10">
        <v>100</v>
      </c>
      <c r="L383" t="str">
        <f t="shared" si="15"/>
        <v>OK</v>
      </c>
      <c r="M383" t="str">
        <f t="shared" si="16"/>
        <v>OK</v>
      </c>
      <c r="N383" t="str">
        <f t="shared" si="17"/>
        <v>OK</v>
      </c>
    </row>
    <row r="384" spans="1:14" ht="43.2" x14ac:dyDescent="0.3">
      <c r="A384">
        <v>46</v>
      </c>
      <c r="B384">
        <v>2024</v>
      </c>
      <c r="C384" s="2">
        <v>45371</v>
      </c>
      <c r="D384" s="3" t="s">
        <v>38</v>
      </c>
      <c r="E384" s="4" t="s">
        <v>58</v>
      </c>
      <c r="F384" s="4" t="s">
        <v>40</v>
      </c>
      <c r="G384" s="6">
        <v>100</v>
      </c>
      <c r="H384" s="6">
        <v>75</v>
      </c>
      <c r="I384" s="6">
        <v>120</v>
      </c>
      <c r="J384" s="6">
        <v>95</v>
      </c>
      <c r="K384" s="6">
        <v>100</v>
      </c>
      <c r="L384" t="str">
        <f t="shared" si="15"/>
        <v>OK</v>
      </c>
      <c r="M384" t="str">
        <f t="shared" si="16"/>
        <v>OK</v>
      </c>
      <c r="N384" t="str">
        <f t="shared" si="17"/>
        <v>OK</v>
      </c>
    </row>
    <row r="385" spans="1:14" ht="43.2" x14ac:dyDescent="0.3">
      <c r="A385">
        <v>46</v>
      </c>
      <c r="B385">
        <v>2024</v>
      </c>
      <c r="C385" s="2">
        <v>45371</v>
      </c>
      <c r="D385" s="7" t="s">
        <v>38</v>
      </c>
      <c r="E385" s="8" t="s">
        <v>59</v>
      </c>
      <c r="F385" s="8" t="s">
        <v>45</v>
      </c>
      <c r="G385" s="10">
        <v>60</v>
      </c>
      <c r="H385" s="10">
        <v>40</v>
      </c>
      <c r="I385" s="10">
        <v>80</v>
      </c>
      <c r="J385" s="10">
        <v>60</v>
      </c>
      <c r="K385" s="10">
        <v>60</v>
      </c>
      <c r="L385" t="str">
        <f t="shared" si="15"/>
        <v>OK</v>
      </c>
      <c r="M385" t="str">
        <f t="shared" si="16"/>
        <v>OK</v>
      </c>
      <c r="N385" t="str">
        <f t="shared" si="17"/>
        <v>OK</v>
      </c>
    </row>
    <row r="386" spans="1:14" ht="43.2" x14ac:dyDescent="0.3">
      <c r="A386">
        <v>46</v>
      </c>
      <c r="B386">
        <v>2024</v>
      </c>
      <c r="C386" s="2">
        <v>45371</v>
      </c>
      <c r="D386" s="3" t="s">
        <v>38</v>
      </c>
      <c r="E386" s="4" t="s">
        <v>60</v>
      </c>
      <c r="F386" s="4" t="s">
        <v>61</v>
      </c>
      <c r="G386" s="6">
        <v>60</v>
      </c>
      <c r="H386" s="6">
        <v>60</v>
      </c>
      <c r="I386" s="6">
        <v>130</v>
      </c>
      <c r="J386" s="6">
        <v>77</v>
      </c>
      <c r="K386" s="6">
        <v>65</v>
      </c>
      <c r="L386" t="str">
        <f t="shared" si="15"/>
        <v>OK</v>
      </c>
      <c r="M386" t="str">
        <f t="shared" si="16"/>
        <v>OK</v>
      </c>
      <c r="N386" t="str">
        <f t="shared" si="17"/>
        <v>OK</v>
      </c>
    </row>
    <row r="387" spans="1:14" ht="43.2" x14ac:dyDescent="0.3">
      <c r="A387">
        <v>46</v>
      </c>
      <c r="B387">
        <v>2024</v>
      </c>
      <c r="C387" s="2">
        <v>45371</v>
      </c>
      <c r="D387" s="7" t="s">
        <v>38</v>
      </c>
      <c r="E387" s="8" t="s">
        <v>63</v>
      </c>
      <c r="F387" s="8" t="s">
        <v>40</v>
      </c>
      <c r="G387" s="9"/>
      <c r="H387" s="10">
        <v>65</v>
      </c>
      <c r="I387" s="10">
        <v>140</v>
      </c>
      <c r="J387" s="10">
        <v>107</v>
      </c>
      <c r="K387" s="10">
        <v>110</v>
      </c>
      <c r="L387" t="str">
        <f t="shared" ref="L387:L450" si="18">IF(H387&gt;I387,"ERRO","OK")</f>
        <v>OK</v>
      </c>
      <c r="M387" t="str">
        <f t="shared" ref="M387:M450" si="19">IF(H387&gt;J387,"ERRO","OK")</f>
        <v>OK</v>
      </c>
      <c r="N387" t="str">
        <f t="shared" ref="N387:N450" si="20">IF(I387&lt;J387,"ERRO","OK")</f>
        <v>OK</v>
      </c>
    </row>
    <row r="388" spans="1:14" ht="43.2" x14ac:dyDescent="0.3">
      <c r="A388">
        <v>46</v>
      </c>
      <c r="B388">
        <v>2024</v>
      </c>
      <c r="C388" s="2">
        <v>45371</v>
      </c>
      <c r="D388" s="3" t="s">
        <v>38</v>
      </c>
      <c r="E388" s="4" t="s">
        <v>64</v>
      </c>
      <c r="F388" s="4" t="s">
        <v>40</v>
      </c>
      <c r="G388" s="6">
        <v>120</v>
      </c>
      <c r="H388" s="6">
        <v>100</v>
      </c>
      <c r="I388" s="6">
        <v>120</v>
      </c>
      <c r="J388" s="6">
        <v>115</v>
      </c>
      <c r="K388" s="6">
        <v>120</v>
      </c>
      <c r="L388" t="str">
        <f t="shared" si="18"/>
        <v>OK</v>
      </c>
      <c r="M388" t="str">
        <f t="shared" si="19"/>
        <v>OK</v>
      </c>
      <c r="N388" t="str">
        <f t="shared" si="20"/>
        <v>OK</v>
      </c>
    </row>
    <row r="389" spans="1:14" x14ac:dyDescent="0.3">
      <c r="A389">
        <v>46</v>
      </c>
      <c r="B389">
        <v>2024</v>
      </c>
      <c r="C389" s="2">
        <v>45371</v>
      </c>
      <c r="D389" s="7" t="s">
        <v>65</v>
      </c>
      <c r="E389" s="8" t="s">
        <v>66</v>
      </c>
      <c r="F389" s="8" t="s">
        <v>45</v>
      </c>
      <c r="G389" s="9"/>
      <c r="H389" s="10">
        <v>80</v>
      </c>
      <c r="I389" s="10">
        <v>80</v>
      </c>
      <c r="J389" s="10">
        <v>80</v>
      </c>
      <c r="K389" s="10">
        <v>80</v>
      </c>
      <c r="L389" t="str">
        <f t="shared" si="18"/>
        <v>OK</v>
      </c>
      <c r="M389" t="str">
        <f t="shared" si="19"/>
        <v>OK</v>
      </c>
      <c r="N389" t="str">
        <f t="shared" si="20"/>
        <v>OK</v>
      </c>
    </row>
    <row r="390" spans="1:14" x14ac:dyDescent="0.3">
      <c r="A390">
        <v>46</v>
      </c>
      <c r="B390">
        <v>2024</v>
      </c>
      <c r="C390" s="2">
        <v>45371</v>
      </c>
      <c r="D390" s="3" t="s">
        <v>65</v>
      </c>
      <c r="E390" s="4" t="s">
        <v>67</v>
      </c>
      <c r="F390" s="4" t="s">
        <v>45</v>
      </c>
      <c r="G390" s="5"/>
      <c r="H390" s="6">
        <v>60</v>
      </c>
      <c r="I390" s="6">
        <v>60</v>
      </c>
      <c r="J390" s="6">
        <v>60</v>
      </c>
      <c r="K390" s="6">
        <v>60</v>
      </c>
      <c r="L390" t="str">
        <f t="shared" si="18"/>
        <v>OK</v>
      </c>
      <c r="M390" t="str">
        <f t="shared" si="19"/>
        <v>OK</v>
      </c>
      <c r="N390" t="str">
        <f t="shared" si="20"/>
        <v>OK</v>
      </c>
    </row>
    <row r="391" spans="1:14" x14ac:dyDescent="0.3">
      <c r="A391">
        <v>46</v>
      </c>
      <c r="B391">
        <v>2024</v>
      </c>
      <c r="C391" s="2">
        <v>45371</v>
      </c>
      <c r="D391" s="7" t="s">
        <v>65</v>
      </c>
      <c r="E391" s="8" t="s">
        <v>68</v>
      </c>
      <c r="F391" s="8" t="s">
        <v>45</v>
      </c>
      <c r="G391" s="9"/>
      <c r="H391" s="10">
        <v>45</v>
      </c>
      <c r="I391" s="10">
        <v>60</v>
      </c>
      <c r="J391" s="10" t="s">
        <v>78</v>
      </c>
      <c r="K391" s="10" t="s">
        <v>78</v>
      </c>
      <c r="L391" t="str">
        <f t="shared" si="18"/>
        <v>OK</v>
      </c>
      <c r="M391" t="str">
        <f t="shared" si="19"/>
        <v>OK</v>
      </c>
      <c r="N391" t="str">
        <f t="shared" si="20"/>
        <v>ERRO</v>
      </c>
    </row>
    <row r="392" spans="1:14" x14ac:dyDescent="0.3">
      <c r="A392">
        <v>46</v>
      </c>
      <c r="B392">
        <v>2024</v>
      </c>
      <c r="C392" s="2">
        <v>45371</v>
      </c>
      <c r="D392" s="3" t="s">
        <v>65</v>
      </c>
      <c r="E392" s="4" t="s">
        <v>69</v>
      </c>
      <c r="F392" s="4" t="s">
        <v>45</v>
      </c>
      <c r="G392" s="5"/>
      <c r="H392" s="6">
        <v>48</v>
      </c>
      <c r="I392" s="6">
        <v>48</v>
      </c>
      <c r="J392" s="6">
        <v>48</v>
      </c>
      <c r="K392" s="6">
        <v>48</v>
      </c>
      <c r="L392" t="str">
        <f t="shared" si="18"/>
        <v>OK</v>
      </c>
      <c r="M392" t="str">
        <f t="shared" si="19"/>
        <v>OK</v>
      </c>
      <c r="N392" t="str">
        <f t="shared" si="20"/>
        <v>OK</v>
      </c>
    </row>
    <row r="393" spans="1:14" x14ac:dyDescent="0.3">
      <c r="A393">
        <v>46</v>
      </c>
      <c r="B393">
        <v>2024</v>
      </c>
      <c r="C393" s="2">
        <v>45371</v>
      </c>
      <c r="D393" s="7" t="s">
        <v>65</v>
      </c>
      <c r="E393" s="8" t="s">
        <v>70</v>
      </c>
      <c r="F393" s="8" t="s">
        <v>71</v>
      </c>
      <c r="G393" s="10">
        <v>90</v>
      </c>
      <c r="H393" s="10">
        <v>90</v>
      </c>
      <c r="I393" s="10">
        <v>90</v>
      </c>
      <c r="J393" s="10">
        <v>90</v>
      </c>
      <c r="K393" s="10">
        <v>90</v>
      </c>
      <c r="L393" t="str">
        <f t="shared" si="18"/>
        <v>OK</v>
      </c>
      <c r="M393" t="str">
        <f t="shared" si="19"/>
        <v>OK</v>
      </c>
      <c r="N393" t="str">
        <f t="shared" si="20"/>
        <v>OK</v>
      </c>
    </row>
    <row r="394" spans="1:14" ht="28.8" x14ac:dyDescent="0.3">
      <c r="A394">
        <v>47</v>
      </c>
      <c r="B394">
        <v>2024</v>
      </c>
      <c r="C394" s="2">
        <v>45385</v>
      </c>
      <c r="D394" s="3" t="s">
        <v>11</v>
      </c>
      <c r="E394" s="4" t="s">
        <v>12</v>
      </c>
      <c r="F394" s="4" t="s">
        <v>13</v>
      </c>
      <c r="G394" s="5"/>
      <c r="H394" s="6">
        <v>48</v>
      </c>
      <c r="I394" s="6">
        <v>60</v>
      </c>
      <c r="J394" s="6">
        <v>54</v>
      </c>
      <c r="K394" s="6">
        <v>54</v>
      </c>
      <c r="L394" t="str">
        <f t="shared" si="18"/>
        <v>OK</v>
      </c>
      <c r="M394" t="str">
        <f t="shared" si="19"/>
        <v>OK</v>
      </c>
      <c r="N394" t="str">
        <f t="shared" si="20"/>
        <v>OK</v>
      </c>
    </row>
    <row r="395" spans="1:14" ht="28.8" x14ac:dyDescent="0.3">
      <c r="A395">
        <v>47</v>
      </c>
      <c r="B395">
        <v>2024</v>
      </c>
      <c r="C395" s="2">
        <v>45385</v>
      </c>
      <c r="D395" s="7" t="s">
        <v>11</v>
      </c>
      <c r="E395" s="8" t="s">
        <v>14</v>
      </c>
      <c r="F395" s="8" t="s">
        <v>13</v>
      </c>
      <c r="G395" s="10">
        <v>72</v>
      </c>
      <c r="H395" s="10">
        <v>72</v>
      </c>
      <c r="I395" s="10">
        <v>84</v>
      </c>
      <c r="J395" s="10">
        <v>76</v>
      </c>
      <c r="K395" s="10">
        <v>72</v>
      </c>
      <c r="L395" t="str">
        <f t="shared" si="18"/>
        <v>OK</v>
      </c>
      <c r="M395" t="str">
        <f t="shared" si="19"/>
        <v>OK</v>
      </c>
      <c r="N395" t="str">
        <f t="shared" si="20"/>
        <v>OK</v>
      </c>
    </row>
    <row r="396" spans="1:14" ht="28.8" x14ac:dyDescent="0.3">
      <c r="A396">
        <v>47</v>
      </c>
      <c r="B396">
        <v>2024</v>
      </c>
      <c r="C396" s="2">
        <v>45385</v>
      </c>
      <c r="D396" s="3" t="s">
        <v>11</v>
      </c>
      <c r="E396" s="4" t="s">
        <v>15</v>
      </c>
      <c r="F396" s="4" t="s">
        <v>13</v>
      </c>
      <c r="G396" s="6">
        <v>48</v>
      </c>
      <c r="H396" s="6">
        <v>48</v>
      </c>
      <c r="I396" s="6">
        <v>60</v>
      </c>
      <c r="J396" s="6">
        <v>52</v>
      </c>
      <c r="K396" s="6">
        <v>48</v>
      </c>
      <c r="L396" t="str">
        <f t="shared" si="18"/>
        <v>OK</v>
      </c>
      <c r="M396" t="str">
        <f t="shared" si="19"/>
        <v>OK</v>
      </c>
      <c r="N396" t="str">
        <f t="shared" si="20"/>
        <v>OK</v>
      </c>
    </row>
    <row r="397" spans="1:14" ht="28.8" x14ac:dyDescent="0.3">
      <c r="A397">
        <v>47</v>
      </c>
      <c r="B397">
        <v>2024</v>
      </c>
      <c r="C397" s="2">
        <v>45385</v>
      </c>
      <c r="D397" s="7" t="s">
        <v>11</v>
      </c>
      <c r="E397" s="8" t="s">
        <v>16</v>
      </c>
      <c r="F397" s="8" t="s">
        <v>13</v>
      </c>
      <c r="G397" s="9"/>
      <c r="H397" s="10">
        <v>35</v>
      </c>
      <c r="I397" s="10">
        <v>50</v>
      </c>
      <c r="J397" s="10" t="s">
        <v>185</v>
      </c>
      <c r="K397" s="10">
        <v>42</v>
      </c>
      <c r="L397" t="str">
        <f t="shared" si="18"/>
        <v>OK</v>
      </c>
      <c r="M397" t="str">
        <f t="shared" si="19"/>
        <v>OK</v>
      </c>
      <c r="N397" t="str">
        <f t="shared" si="20"/>
        <v>ERRO</v>
      </c>
    </row>
    <row r="398" spans="1:14" ht="28.8" x14ac:dyDescent="0.3">
      <c r="A398">
        <v>47</v>
      </c>
      <c r="B398">
        <v>2024</v>
      </c>
      <c r="C398" s="2">
        <v>45385</v>
      </c>
      <c r="D398" s="3" t="s">
        <v>11</v>
      </c>
      <c r="E398" s="4" t="s">
        <v>17</v>
      </c>
      <c r="F398" s="4" t="s">
        <v>13</v>
      </c>
      <c r="G398" s="5"/>
      <c r="H398" s="6">
        <v>35</v>
      </c>
      <c r="I398" s="6">
        <v>50</v>
      </c>
      <c r="J398" s="6" t="s">
        <v>185</v>
      </c>
      <c r="K398" s="6">
        <v>42</v>
      </c>
      <c r="L398" t="str">
        <f t="shared" si="18"/>
        <v>OK</v>
      </c>
      <c r="M398" t="str">
        <f t="shared" si="19"/>
        <v>OK</v>
      </c>
      <c r="N398" t="str">
        <f t="shared" si="20"/>
        <v>ERRO</v>
      </c>
    </row>
    <row r="399" spans="1:14" ht="28.8" x14ac:dyDescent="0.3">
      <c r="A399">
        <v>47</v>
      </c>
      <c r="B399">
        <v>2024</v>
      </c>
      <c r="C399" s="2">
        <v>45385</v>
      </c>
      <c r="D399" s="7" t="s">
        <v>11</v>
      </c>
      <c r="E399" s="8" t="s">
        <v>18</v>
      </c>
      <c r="F399" s="8" t="s">
        <v>13</v>
      </c>
      <c r="G399" s="10">
        <v>72</v>
      </c>
      <c r="H399" s="10">
        <v>60</v>
      </c>
      <c r="I399" s="10">
        <v>72</v>
      </c>
      <c r="J399" s="10">
        <v>68</v>
      </c>
      <c r="K399" s="10">
        <v>72</v>
      </c>
      <c r="L399" t="str">
        <f t="shared" si="18"/>
        <v>OK</v>
      </c>
      <c r="M399" t="str">
        <f t="shared" si="19"/>
        <v>OK</v>
      </c>
      <c r="N399" t="str">
        <f t="shared" si="20"/>
        <v>OK</v>
      </c>
    </row>
    <row r="400" spans="1:14" ht="28.8" x14ac:dyDescent="0.3">
      <c r="A400">
        <v>47</v>
      </c>
      <c r="B400">
        <v>2024</v>
      </c>
      <c r="C400" s="2">
        <v>45385</v>
      </c>
      <c r="D400" s="3" t="s">
        <v>11</v>
      </c>
      <c r="E400" s="4" t="s">
        <v>19</v>
      </c>
      <c r="F400" s="4" t="s">
        <v>13</v>
      </c>
      <c r="G400" s="5"/>
      <c r="H400" s="6">
        <v>72</v>
      </c>
      <c r="I400" s="6">
        <v>96</v>
      </c>
      <c r="J400" s="6">
        <v>86</v>
      </c>
      <c r="K400" s="6">
        <v>90</v>
      </c>
      <c r="L400" t="str">
        <f t="shared" si="18"/>
        <v>OK</v>
      </c>
      <c r="M400" t="str">
        <f t="shared" si="19"/>
        <v>OK</v>
      </c>
      <c r="N400" t="str">
        <f t="shared" si="20"/>
        <v>OK</v>
      </c>
    </row>
    <row r="401" spans="1:14" ht="28.8" x14ac:dyDescent="0.3">
      <c r="A401">
        <v>47</v>
      </c>
      <c r="B401">
        <v>2024</v>
      </c>
      <c r="C401" s="2">
        <v>45385</v>
      </c>
      <c r="D401" s="7" t="s">
        <v>11</v>
      </c>
      <c r="E401" s="8" t="s">
        <v>20</v>
      </c>
      <c r="F401" s="8" t="s">
        <v>13</v>
      </c>
      <c r="G401" s="9"/>
      <c r="H401" s="10">
        <v>120</v>
      </c>
      <c r="I401" s="10">
        <v>120</v>
      </c>
      <c r="J401" s="10">
        <v>120</v>
      </c>
      <c r="K401" s="10">
        <v>120</v>
      </c>
      <c r="L401" t="str">
        <f t="shared" si="18"/>
        <v>OK</v>
      </c>
      <c r="M401" t="str">
        <f t="shared" si="19"/>
        <v>OK</v>
      </c>
      <c r="N401" t="str">
        <f t="shared" si="20"/>
        <v>OK</v>
      </c>
    </row>
    <row r="402" spans="1:14" ht="28.8" x14ac:dyDescent="0.3">
      <c r="A402">
        <v>47</v>
      </c>
      <c r="B402">
        <v>2024</v>
      </c>
      <c r="C402" s="2">
        <v>45385</v>
      </c>
      <c r="D402" s="3" t="s">
        <v>11</v>
      </c>
      <c r="E402" s="4" t="s">
        <v>21</v>
      </c>
      <c r="F402" s="4" t="s">
        <v>13</v>
      </c>
      <c r="G402" s="6">
        <v>30</v>
      </c>
      <c r="H402" s="6">
        <v>30</v>
      </c>
      <c r="I402" s="6">
        <v>36</v>
      </c>
      <c r="J402" s="6">
        <v>32</v>
      </c>
      <c r="K402" s="6">
        <v>30</v>
      </c>
      <c r="L402" t="str">
        <f t="shared" si="18"/>
        <v>OK</v>
      </c>
      <c r="M402" t="str">
        <f t="shared" si="19"/>
        <v>OK</v>
      </c>
      <c r="N402" t="str">
        <f t="shared" si="20"/>
        <v>OK</v>
      </c>
    </row>
    <row r="403" spans="1:14" ht="28.8" x14ac:dyDescent="0.3">
      <c r="A403">
        <v>47</v>
      </c>
      <c r="B403">
        <v>2024</v>
      </c>
      <c r="C403" s="2">
        <v>45385</v>
      </c>
      <c r="D403" s="7" t="s">
        <v>11</v>
      </c>
      <c r="E403" s="8" t="s">
        <v>73</v>
      </c>
      <c r="F403" s="8" t="s">
        <v>13</v>
      </c>
      <c r="G403" s="10">
        <v>120</v>
      </c>
      <c r="H403" s="10">
        <v>120</v>
      </c>
      <c r="I403" s="10">
        <v>120</v>
      </c>
      <c r="J403" s="10">
        <v>120</v>
      </c>
      <c r="K403" s="10">
        <v>120</v>
      </c>
      <c r="L403" t="str">
        <f t="shared" si="18"/>
        <v>OK</v>
      </c>
      <c r="M403" t="str">
        <f t="shared" si="19"/>
        <v>OK</v>
      </c>
      <c r="N403" t="str">
        <f t="shared" si="20"/>
        <v>OK</v>
      </c>
    </row>
    <row r="404" spans="1:14" ht="28.8" x14ac:dyDescent="0.3">
      <c r="A404">
        <v>47</v>
      </c>
      <c r="B404">
        <v>2024</v>
      </c>
      <c r="C404" s="2">
        <v>45385</v>
      </c>
      <c r="D404" s="3" t="s">
        <v>11</v>
      </c>
      <c r="E404" s="4" t="s">
        <v>23</v>
      </c>
      <c r="F404" s="4" t="s">
        <v>13</v>
      </c>
      <c r="G404" s="5"/>
      <c r="H404" s="6">
        <v>30</v>
      </c>
      <c r="I404" s="6">
        <v>42</v>
      </c>
      <c r="J404" s="6">
        <v>36</v>
      </c>
      <c r="K404" s="6">
        <v>36</v>
      </c>
      <c r="L404" t="str">
        <f t="shared" si="18"/>
        <v>OK</v>
      </c>
      <c r="M404" t="str">
        <f t="shared" si="19"/>
        <v>OK</v>
      </c>
      <c r="N404" t="str">
        <f t="shared" si="20"/>
        <v>OK</v>
      </c>
    </row>
    <row r="405" spans="1:14" ht="28.8" x14ac:dyDescent="0.3">
      <c r="A405">
        <v>47</v>
      </c>
      <c r="B405">
        <v>2024</v>
      </c>
      <c r="C405" s="2">
        <v>45385</v>
      </c>
      <c r="D405" s="7" t="s">
        <v>11</v>
      </c>
      <c r="E405" s="8" t="s">
        <v>24</v>
      </c>
      <c r="F405" s="8" t="s">
        <v>13</v>
      </c>
      <c r="G405" s="9"/>
      <c r="H405" s="10">
        <v>78</v>
      </c>
      <c r="I405" s="10">
        <v>96</v>
      </c>
      <c r="J405" s="10">
        <v>86</v>
      </c>
      <c r="K405" s="10">
        <v>84</v>
      </c>
      <c r="L405" t="str">
        <f t="shared" si="18"/>
        <v>OK</v>
      </c>
      <c r="M405" t="str">
        <f t="shared" si="19"/>
        <v>OK</v>
      </c>
      <c r="N405" t="str">
        <f t="shared" si="20"/>
        <v>OK</v>
      </c>
    </row>
    <row r="406" spans="1:14" ht="28.8" x14ac:dyDescent="0.3">
      <c r="A406">
        <v>47</v>
      </c>
      <c r="B406">
        <v>2024</v>
      </c>
      <c r="C406" s="2">
        <v>45385</v>
      </c>
      <c r="D406" s="3" t="s">
        <v>11</v>
      </c>
      <c r="E406" s="4" t="s">
        <v>25</v>
      </c>
      <c r="F406" s="4" t="s">
        <v>26</v>
      </c>
      <c r="G406" s="5"/>
      <c r="H406" s="6">
        <v>60</v>
      </c>
      <c r="I406" s="6">
        <v>78</v>
      </c>
      <c r="J406" s="6">
        <v>70</v>
      </c>
      <c r="K406" s="6">
        <v>72</v>
      </c>
      <c r="L406" t="str">
        <f t="shared" si="18"/>
        <v>OK</v>
      </c>
      <c r="M406" t="str">
        <f t="shared" si="19"/>
        <v>OK</v>
      </c>
      <c r="N406" t="str">
        <f t="shared" si="20"/>
        <v>OK</v>
      </c>
    </row>
    <row r="407" spans="1:14" ht="28.8" x14ac:dyDescent="0.3">
      <c r="A407">
        <v>47</v>
      </c>
      <c r="B407">
        <v>2024</v>
      </c>
      <c r="C407" s="2">
        <v>45385</v>
      </c>
      <c r="D407" s="7" t="s">
        <v>11</v>
      </c>
      <c r="E407" s="8" t="s">
        <v>27</v>
      </c>
      <c r="F407" s="8" t="s">
        <v>13</v>
      </c>
      <c r="G407" s="9"/>
      <c r="H407" s="10">
        <v>60</v>
      </c>
      <c r="I407" s="10">
        <v>120</v>
      </c>
      <c r="J407" s="10" t="s">
        <v>186</v>
      </c>
      <c r="K407" s="10">
        <v>75</v>
      </c>
      <c r="L407" t="str">
        <f t="shared" si="18"/>
        <v>OK</v>
      </c>
      <c r="M407" t="str">
        <f t="shared" si="19"/>
        <v>OK</v>
      </c>
      <c r="N407" t="str">
        <f t="shared" si="20"/>
        <v>ERRO</v>
      </c>
    </row>
    <row r="408" spans="1:14" ht="28.8" x14ac:dyDescent="0.3">
      <c r="A408">
        <v>47</v>
      </c>
      <c r="B408">
        <v>2024</v>
      </c>
      <c r="C408" s="2">
        <v>45385</v>
      </c>
      <c r="D408" s="3" t="s">
        <v>11</v>
      </c>
      <c r="E408" s="4" t="s">
        <v>28</v>
      </c>
      <c r="F408" s="4" t="s">
        <v>13</v>
      </c>
      <c r="G408" s="6">
        <v>60</v>
      </c>
      <c r="H408" s="6">
        <v>50</v>
      </c>
      <c r="I408" s="6">
        <v>84</v>
      </c>
      <c r="J408" s="6" t="s">
        <v>187</v>
      </c>
      <c r="K408" s="6">
        <v>60</v>
      </c>
      <c r="L408" t="str">
        <f t="shared" si="18"/>
        <v>OK</v>
      </c>
      <c r="M408" t="str">
        <f t="shared" si="19"/>
        <v>OK</v>
      </c>
      <c r="N408" t="str">
        <f t="shared" si="20"/>
        <v>ERRO</v>
      </c>
    </row>
    <row r="409" spans="1:14" ht="28.8" x14ac:dyDescent="0.3">
      <c r="A409">
        <v>47</v>
      </c>
      <c r="B409">
        <v>2024</v>
      </c>
      <c r="C409" s="2">
        <v>45385</v>
      </c>
      <c r="D409" s="7" t="s">
        <v>11</v>
      </c>
      <c r="E409" s="8" t="s">
        <v>29</v>
      </c>
      <c r="F409" s="8" t="s">
        <v>13</v>
      </c>
      <c r="G409" s="10">
        <v>54</v>
      </c>
      <c r="H409" s="10">
        <v>48</v>
      </c>
      <c r="I409" s="10">
        <v>54</v>
      </c>
      <c r="J409" s="10">
        <v>52</v>
      </c>
      <c r="K409" s="10">
        <v>54</v>
      </c>
      <c r="L409" t="str">
        <f t="shared" si="18"/>
        <v>OK</v>
      </c>
      <c r="M409" t="str">
        <f t="shared" si="19"/>
        <v>OK</v>
      </c>
      <c r="N409" t="str">
        <f t="shared" si="20"/>
        <v>OK</v>
      </c>
    </row>
    <row r="410" spans="1:14" ht="28.8" x14ac:dyDescent="0.3">
      <c r="A410">
        <v>47</v>
      </c>
      <c r="B410">
        <v>2024</v>
      </c>
      <c r="C410" s="2">
        <v>45385</v>
      </c>
      <c r="D410" s="3" t="s">
        <v>30</v>
      </c>
      <c r="E410" s="4" t="s">
        <v>31</v>
      </c>
      <c r="F410" s="4" t="s">
        <v>32</v>
      </c>
      <c r="G410" s="5"/>
      <c r="H410" s="6" t="s">
        <v>97</v>
      </c>
      <c r="I410" s="6">
        <v>5</v>
      </c>
      <c r="J410" s="6" t="s">
        <v>150</v>
      </c>
      <c r="K410" s="6" t="s">
        <v>150</v>
      </c>
      <c r="L410" t="str">
        <f t="shared" si="18"/>
        <v>ERRO</v>
      </c>
      <c r="M410" t="str">
        <f t="shared" si="19"/>
        <v>OK</v>
      </c>
      <c r="N410" t="str">
        <f t="shared" si="20"/>
        <v>ERRO</v>
      </c>
    </row>
    <row r="411" spans="1:14" ht="28.8" x14ac:dyDescent="0.3">
      <c r="A411">
        <v>47</v>
      </c>
      <c r="B411">
        <v>2024</v>
      </c>
      <c r="C411" s="2">
        <v>45385</v>
      </c>
      <c r="D411" s="7" t="s">
        <v>30</v>
      </c>
      <c r="E411" s="8" t="s">
        <v>34</v>
      </c>
      <c r="F411" s="8" t="s">
        <v>35</v>
      </c>
      <c r="G411" s="9"/>
      <c r="H411" s="10">
        <v>25</v>
      </c>
      <c r="I411" s="10">
        <v>40</v>
      </c>
      <c r="J411" s="10" t="s">
        <v>107</v>
      </c>
      <c r="K411" s="10" t="s">
        <v>107</v>
      </c>
      <c r="L411" t="str">
        <f t="shared" si="18"/>
        <v>OK</v>
      </c>
      <c r="M411" t="str">
        <f t="shared" si="19"/>
        <v>OK</v>
      </c>
      <c r="N411" t="str">
        <f t="shared" si="20"/>
        <v>ERRO</v>
      </c>
    </row>
    <row r="412" spans="1:14" ht="28.8" x14ac:dyDescent="0.3">
      <c r="A412">
        <v>47</v>
      </c>
      <c r="B412">
        <v>2024</v>
      </c>
      <c r="C412" s="2">
        <v>45385</v>
      </c>
      <c r="D412" s="3" t="s">
        <v>30</v>
      </c>
      <c r="E412" s="4" t="s">
        <v>36</v>
      </c>
      <c r="F412" s="4" t="s">
        <v>35</v>
      </c>
      <c r="G412" s="5"/>
      <c r="H412" s="6">
        <v>40</v>
      </c>
      <c r="I412" s="6">
        <v>45</v>
      </c>
      <c r="J412" s="6" t="s">
        <v>47</v>
      </c>
      <c r="K412" s="6" t="s">
        <v>47</v>
      </c>
      <c r="L412" t="str">
        <f t="shared" si="18"/>
        <v>OK</v>
      </c>
      <c r="M412" t="str">
        <f t="shared" si="19"/>
        <v>OK</v>
      </c>
      <c r="N412" t="str">
        <f t="shared" si="20"/>
        <v>ERRO</v>
      </c>
    </row>
    <row r="413" spans="1:14" ht="43.2" x14ac:dyDescent="0.3">
      <c r="A413">
        <v>47</v>
      </c>
      <c r="B413">
        <v>2024</v>
      </c>
      <c r="C413" s="2">
        <v>45385</v>
      </c>
      <c r="D413" s="7" t="s">
        <v>38</v>
      </c>
      <c r="E413" s="8" t="s">
        <v>153</v>
      </c>
      <c r="F413" s="8" t="s">
        <v>154</v>
      </c>
      <c r="G413" s="10">
        <v>120</v>
      </c>
      <c r="H413" s="10">
        <v>110</v>
      </c>
      <c r="I413" s="10">
        <v>120</v>
      </c>
      <c r="J413" s="10" t="s">
        <v>188</v>
      </c>
      <c r="K413" s="10" t="s">
        <v>140</v>
      </c>
      <c r="L413" t="str">
        <f t="shared" si="18"/>
        <v>OK</v>
      </c>
      <c r="M413" t="str">
        <f t="shared" si="19"/>
        <v>OK</v>
      </c>
      <c r="N413" t="str">
        <f t="shared" si="20"/>
        <v>ERRO</v>
      </c>
    </row>
    <row r="414" spans="1:14" ht="43.2" x14ac:dyDescent="0.3">
      <c r="A414">
        <v>47</v>
      </c>
      <c r="B414">
        <v>2024</v>
      </c>
      <c r="C414" s="2">
        <v>45385</v>
      </c>
      <c r="D414" s="3" t="s">
        <v>38</v>
      </c>
      <c r="E414" s="4" t="s">
        <v>39</v>
      </c>
      <c r="F414" s="4" t="s">
        <v>40</v>
      </c>
      <c r="G414" s="6">
        <v>90</v>
      </c>
      <c r="H414" s="6">
        <v>70</v>
      </c>
      <c r="I414" s="6">
        <v>100</v>
      </c>
      <c r="J414" s="6" t="s">
        <v>189</v>
      </c>
      <c r="K414" s="6">
        <v>90</v>
      </c>
      <c r="L414" t="str">
        <f t="shared" si="18"/>
        <v>OK</v>
      </c>
      <c r="M414" t="str">
        <f t="shared" si="19"/>
        <v>OK</v>
      </c>
      <c r="N414" t="str">
        <f t="shared" si="20"/>
        <v>ERRO</v>
      </c>
    </row>
    <row r="415" spans="1:14" ht="43.2" x14ac:dyDescent="0.3">
      <c r="A415">
        <v>47</v>
      </c>
      <c r="B415">
        <v>2024</v>
      </c>
      <c r="C415" s="2">
        <v>45385</v>
      </c>
      <c r="D415" s="7" t="s">
        <v>38</v>
      </c>
      <c r="E415" s="8" t="s">
        <v>42</v>
      </c>
      <c r="F415" s="8" t="s">
        <v>43</v>
      </c>
      <c r="G415" s="10">
        <v>50</v>
      </c>
      <c r="H415" s="10">
        <v>50</v>
      </c>
      <c r="I415" s="10">
        <v>80</v>
      </c>
      <c r="J415" s="10" t="s">
        <v>130</v>
      </c>
      <c r="K415" s="10">
        <v>75</v>
      </c>
      <c r="L415" t="str">
        <f t="shared" si="18"/>
        <v>OK</v>
      </c>
      <c r="M415" t="str">
        <f t="shared" si="19"/>
        <v>OK</v>
      </c>
      <c r="N415" t="str">
        <f t="shared" si="20"/>
        <v>ERRO</v>
      </c>
    </row>
    <row r="416" spans="1:14" ht="43.2" x14ac:dyDescent="0.3">
      <c r="A416">
        <v>47</v>
      </c>
      <c r="B416">
        <v>2024</v>
      </c>
      <c r="C416" s="2">
        <v>45385</v>
      </c>
      <c r="D416" s="3" t="s">
        <v>38</v>
      </c>
      <c r="E416" s="4" t="s">
        <v>44</v>
      </c>
      <c r="F416" s="4" t="s">
        <v>45</v>
      </c>
      <c r="G416" s="6">
        <v>50</v>
      </c>
      <c r="H416" s="6">
        <v>35</v>
      </c>
      <c r="I416" s="6">
        <v>60</v>
      </c>
      <c r="J416" s="6">
        <v>45</v>
      </c>
      <c r="K416" s="6">
        <v>45</v>
      </c>
      <c r="L416" t="str">
        <f t="shared" si="18"/>
        <v>OK</v>
      </c>
      <c r="M416" t="str">
        <f t="shared" si="19"/>
        <v>OK</v>
      </c>
      <c r="N416" t="str">
        <f t="shared" si="20"/>
        <v>OK</v>
      </c>
    </row>
    <row r="417" spans="1:14" ht="43.2" x14ac:dyDescent="0.3">
      <c r="A417">
        <v>47</v>
      </c>
      <c r="B417">
        <v>2024</v>
      </c>
      <c r="C417" s="2">
        <v>45385</v>
      </c>
      <c r="D417" s="7" t="s">
        <v>38</v>
      </c>
      <c r="E417" s="8" t="s">
        <v>48</v>
      </c>
      <c r="F417" s="8" t="s">
        <v>45</v>
      </c>
      <c r="G417" s="9"/>
      <c r="H417" s="10">
        <v>65</v>
      </c>
      <c r="I417" s="10">
        <v>120</v>
      </c>
      <c r="J417" s="10">
        <v>95</v>
      </c>
      <c r="K417" s="10">
        <v>100</v>
      </c>
      <c r="L417" t="str">
        <f t="shared" si="18"/>
        <v>OK</v>
      </c>
      <c r="M417" t="str">
        <f t="shared" si="19"/>
        <v>OK</v>
      </c>
      <c r="N417" t="str">
        <f t="shared" si="20"/>
        <v>OK</v>
      </c>
    </row>
    <row r="418" spans="1:14" ht="43.2" x14ac:dyDescent="0.3">
      <c r="A418">
        <v>47</v>
      </c>
      <c r="B418">
        <v>2024</v>
      </c>
      <c r="C418" s="2">
        <v>45385</v>
      </c>
      <c r="D418" s="3" t="s">
        <v>38</v>
      </c>
      <c r="E418" s="4" t="s">
        <v>49</v>
      </c>
      <c r="F418" s="4" t="s">
        <v>50</v>
      </c>
      <c r="G418" s="6">
        <v>100</v>
      </c>
      <c r="H418" s="6">
        <v>80</v>
      </c>
      <c r="I418" s="6">
        <v>130</v>
      </c>
      <c r="J418" s="6">
        <v>110</v>
      </c>
      <c r="K418" s="6">
        <v>110</v>
      </c>
      <c r="L418" t="str">
        <f t="shared" si="18"/>
        <v>OK</v>
      </c>
      <c r="M418" t="str">
        <f t="shared" si="19"/>
        <v>OK</v>
      </c>
      <c r="N418" t="str">
        <f t="shared" si="20"/>
        <v>OK</v>
      </c>
    </row>
    <row r="419" spans="1:14" ht="43.2" x14ac:dyDescent="0.3">
      <c r="A419">
        <v>47</v>
      </c>
      <c r="B419">
        <v>2024</v>
      </c>
      <c r="C419" s="2">
        <v>45385</v>
      </c>
      <c r="D419" s="7" t="s">
        <v>38</v>
      </c>
      <c r="E419" s="8" t="s">
        <v>52</v>
      </c>
      <c r="F419" s="8" t="s">
        <v>43</v>
      </c>
      <c r="G419" s="10">
        <v>80</v>
      </c>
      <c r="H419" s="10">
        <v>80</v>
      </c>
      <c r="I419" s="10">
        <v>150</v>
      </c>
      <c r="J419" s="10" t="s">
        <v>190</v>
      </c>
      <c r="K419" s="10">
        <v>120</v>
      </c>
      <c r="L419" t="str">
        <f t="shared" si="18"/>
        <v>OK</v>
      </c>
      <c r="M419" t="str">
        <f t="shared" si="19"/>
        <v>OK</v>
      </c>
      <c r="N419" t="str">
        <f t="shared" si="20"/>
        <v>ERRO</v>
      </c>
    </row>
    <row r="420" spans="1:14" ht="43.2" x14ac:dyDescent="0.3">
      <c r="A420">
        <v>47</v>
      </c>
      <c r="B420">
        <v>2024</v>
      </c>
      <c r="C420" s="2">
        <v>45385</v>
      </c>
      <c r="D420" s="3" t="s">
        <v>38</v>
      </c>
      <c r="E420" s="4" t="s">
        <v>53</v>
      </c>
      <c r="F420" s="4" t="s">
        <v>43</v>
      </c>
      <c r="G420" s="6">
        <v>60</v>
      </c>
      <c r="H420" s="6">
        <v>50</v>
      </c>
      <c r="I420" s="6">
        <v>70</v>
      </c>
      <c r="J420" s="6">
        <v>60</v>
      </c>
      <c r="K420" s="6">
        <v>60</v>
      </c>
      <c r="L420" t="str">
        <f t="shared" si="18"/>
        <v>OK</v>
      </c>
      <c r="M420" t="str">
        <f t="shared" si="19"/>
        <v>OK</v>
      </c>
      <c r="N420" t="str">
        <f t="shared" si="20"/>
        <v>OK</v>
      </c>
    </row>
    <row r="421" spans="1:14" ht="43.2" x14ac:dyDescent="0.3">
      <c r="A421">
        <v>47</v>
      </c>
      <c r="B421">
        <v>2024</v>
      </c>
      <c r="C421" s="2">
        <v>45385</v>
      </c>
      <c r="D421" s="7" t="s">
        <v>38</v>
      </c>
      <c r="E421" s="8" t="s">
        <v>54</v>
      </c>
      <c r="F421" s="8" t="s">
        <v>40</v>
      </c>
      <c r="G421" s="10">
        <v>100</v>
      </c>
      <c r="H421" s="10">
        <v>80</v>
      </c>
      <c r="I421" s="10">
        <v>100</v>
      </c>
      <c r="J421" s="10">
        <v>94</v>
      </c>
      <c r="K421" s="10">
        <v>100</v>
      </c>
      <c r="L421" t="str">
        <f t="shared" si="18"/>
        <v>OK</v>
      </c>
      <c r="M421" t="str">
        <f t="shared" si="19"/>
        <v>OK</v>
      </c>
      <c r="N421" t="str">
        <f t="shared" si="20"/>
        <v>OK</v>
      </c>
    </row>
    <row r="422" spans="1:14" ht="43.2" x14ac:dyDescent="0.3">
      <c r="A422">
        <v>47</v>
      </c>
      <c r="B422">
        <v>2024</v>
      </c>
      <c r="C422" s="2">
        <v>45385</v>
      </c>
      <c r="D422" s="3" t="s">
        <v>38</v>
      </c>
      <c r="E422" s="4" t="s">
        <v>56</v>
      </c>
      <c r="F422" s="4" t="s">
        <v>43</v>
      </c>
      <c r="G422" s="5"/>
      <c r="H422" s="6">
        <v>60</v>
      </c>
      <c r="I422" s="6">
        <v>75</v>
      </c>
      <c r="J422" s="6" t="s">
        <v>84</v>
      </c>
      <c r="K422" s="6" t="s">
        <v>84</v>
      </c>
      <c r="L422" t="str">
        <f t="shared" si="18"/>
        <v>OK</v>
      </c>
      <c r="M422" t="str">
        <f t="shared" si="19"/>
        <v>OK</v>
      </c>
      <c r="N422" t="str">
        <f t="shared" si="20"/>
        <v>ERRO</v>
      </c>
    </row>
    <row r="423" spans="1:14" ht="43.2" x14ac:dyDescent="0.3">
      <c r="A423">
        <v>47</v>
      </c>
      <c r="B423">
        <v>2024</v>
      </c>
      <c r="C423" s="2">
        <v>45385</v>
      </c>
      <c r="D423" s="7" t="s">
        <v>38</v>
      </c>
      <c r="E423" s="8" t="s">
        <v>57</v>
      </c>
      <c r="F423" s="8" t="s">
        <v>40</v>
      </c>
      <c r="G423" s="10">
        <v>80</v>
      </c>
      <c r="H423" s="10">
        <v>60</v>
      </c>
      <c r="I423" s="10">
        <v>100</v>
      </c>
      <c r="J423" s="10" t="s">
        <v>191</v>
      </c>
      <c r="K423" s="10">
        <v>80</v>
      </c>
      <c r="L423" t="str">
        <f t="shared" si="18"/>
        <v>OK</v>
      </c>
      <c r="M423" t="str">
        <f t="shared" si="19"/>
        <v>OK</v>
      </c>
      <c r="N423" t="str">
        <f t="shared" si="20"/>
        <v>ERRO</v>
      </c>
    </row>
    <row r="424" spans="1:14" ht="43.2" x14ac:dyDescent="0.3">
      <c r="A424">
        <v>47</v>
      </c>
      <c r="B424">
        <v>2024</v>
      </c>
      <c r="C424" s="2">
        <v>45385</v>
      </c>
      <c r="D424" s="3" t="s">
        <v>38</v>
      </c>
      <c r="E424" s="4" t="s">
        <v>58</v>
      </c>
      <c r="F424" s="4" t="s">
        <v>40</v>
      </c>
      <c r="G424" s="6">
        <v>120</v>
      </c>
      <c r="H424" s="6">
        <v>80</v>
      </c>
      <c r="I424" s="6">
        <v>140</v>
      </c>
      <c r="J424" s="6">
        <v>115</v>
      </c>
      <c r="K424" s="6">
        <v>120</v>
      </c>
      <c r="L424" t="str">
        <f t="shared" si="18"/>
        <v>OK</v>
      </c>
      <c r="M424" t="str">
        <f t="shared" si="19"/>
        <v>OK</v>
      </c>
      <c r="N424" t="str">
        <f t="shared" si="20"/>
        <v>OK</v>
      </c>
    </row>
    <row r="425" spans="1:14" ht="43.2" x14ac:dyDescent="0.3">
      <c r="A425">
        <v>47</v>
      </c>
      <c r="B425">
        <v>2024</v>
      </c>
      <c r="C425" s="2">
        <v>45385</v>
      </c>
      <c r="D425" s="7" t="s">
        <v>38</v>
      </c>
      <c r="E425" s="8" t="s">
        <v>59</v>
      </c>
      <c r="F425" s="8" t="s">
        <v>45</v>
      </c>
      <c r="G425" s="10">
        <v>80</v>
      </c>
      <c r="H425" s="10">
        <v>60</v>
      </c>
      <c r="I425" s="10">
        <v>100</v>
      </c>
      <c r="J425" s="10" t="s">
        <v>192</v>
      </c>
      <c r="K425" s="10">
        <v>80</v>
      </c>
      <c r="L425" t="str">
        <f t="shared" si="18"/>
        <v>OK</v>
      </c>
      <c r="M425" t="str">
        <f t="shared" si="19"/>
        <v>OK</v>
      </c>
      <c r="N425" t="str">
        <f t="shared" si="20"/>
        <v>ERRO</v>
      </c>
    </row>
    <row r="426" spans="1:14" ht="43.2" x14ac:dyDescent="0.3">
      <c r="A426">
        <v>47</v>
      </c>
      <c r="B426">
        <v>2024</v>
      </c>
      <c r="C426" s="2">
        <v>45385</v>
      </c>
      <c r="D426" s="3" t="s">
        <v>38</v>
      </c>
      <c r="E426" s="4" t="s">
        <v>60</v>
      </c>
      <c r="F426" s="4" t="s">
        <v>61</v>
      </c>
      <c r="G426" s="6">
        <v>150</v>
      </c>
      <c r="H426" s="6">
        <v>100</v>
      </c>
      <c r="I426" s="6">
        <v>150</v>
      </c>
      <c r="J426" s="6">
        <v>130</v>
      </c>
      <c r="K426" s="6">
        <v>130</v>
      </c>
      <c r="L426" t="str">
        <f t="shared" si="18"/>
        <v>OK</v>
      </c>
      <c r="M426" t="str">
        <f t="shared" si="19"/>
        <v>OK</v>
      </c>
      <c r="N426" t="str">
        <f t="shared" si="20"/>
        <v>OK</v>
      </c>
    </row>
    <row r="427" spans="1:14" ht="43.2" x14ac:dyDescent="0.3">
      <c r="A427">
        <v>47</v>
      </c>
      <c r="B427">
        <v>2024</v>
      </c>
      <c r="C427" s="2">
        <v>45385</v>
      </c>
      <c r="D427" s="7" t="s">
        <v>38</v>
      </c>
      <c r="E427" s="8" t="s">
        <v>63</v>
      </c>
      <c r="F427" s="8" t="s">
        <v>40</v>
      </c>
      <c r="G427" s="10">
        <v>220</v>
      </c>
      <c r="H427" s="10">
        <v>150</v>
      </c>
      <c r="I427" s="10">
        <v>250</v>
      </c>
      <c r="J427" s="10" t="s">
        <v>193</v>
      </c>
      <c r="K427" s="10">
        <v>230</v>
      </c>
      <c r="L427" t="str">
        <f t="shared" si="18"/>
        <v>OK</v>
      </c>
      <c r="M427" t="str">
        <f t="shared" si="19"/>
        <v>OK</v>
      </c>
      <c r="N427" t="str">
        <f t="shared" si="20"/>
        <v>ERRO</v>
      </c>
    </row>
    <row r="428" spans="1:14" ht="43.2" x14ac:dyDescent="0.3">
      <c r="A428">
        <v>47</v>
      </c>
      <c r="B428">
        <v>2024</v>
      </c>
      <c r="C428" s="2">
        <v>45385</v>
      </c>
      <c r="D428" s="3" t="s">
        <v>38</v>
      </c>
      <c r="E428" s="4" t="s">
        <v>64</v>
      </c>
      <c r="F428" s="4" t="s">
        <v>40</v>
      </c>
      <c r="G428" s="6">
        <v>140</v>
      </c>
      <c r="H428" s="6">
        <v>120</v>
      </c>
      <c r="I428" s="6">
        <v>200</v>
      </c>
      <c r="J428" s="6" t="s">
        <v>194</v>
      </c>
      <c r="K428" s="6">
        <v>140</v>
      </c>
      <c r="L428" t="str">
        <f t="shared" si="18"/>
        <v>OK</v>
      </c>
      <c r="M428" t="str">
        <f t="shared" si="19"/>
        <v>OK</v>
      </c>
      <c r="N428" t="str">
        <f t="shared" si="20"/>
        <v>ERRO</v>
      </c>
    </row>
    <row r="429" spans="1:14" x14ac:dyDescent="0.3">
      <c r="A429">
        <v>47</v>
      </c>
      <c r="B429">
        <v>2024</v>
      </c>
      <c r="C429" s="2">
        <v>45385</v>
      </c>
      <c r="D429" s="7" t="s">
        <v>65</v>
      </c>
      <c r="E429" s="8" t="s">
        <v>66</v>
      </c>
      <c r="F429" s="8" t="s">
        <v>45</v>
      </c>
      <c r="G429" s="10">
        <v>100</v>
      </c>
      <c r="H429" s="10">
        <v>100</v>
      </c>
      <c r="I429" s="10">
        <v>100</v>
      </c>
      <c r="J429" s="10">
        <v>100</v>
      </c>
      <c r="K429" s="10">
        <v>100</v>
      </c>
      <c r="L429" t="str">
        <f t="shared" si="18"/>
        <v>OK</v>
      </c>
      <c r="M429" t="str">
        <f t="shared" si="19"/>
        <v>OK</v>
      </c>
      <c r="N429" t="str">
        <f t="shared" si="20"/>
        <v>OK</v>
      </c>
    </row>
    <row r="430" spans="1:14" x14ac:dyDescent="0.3">
      <c r="A430">
        <v>47</v>
      </c>
      <c r="B430">
        <v>2024</v>
      </c>
      <c r="C430" s="2">
        <v>45385</v>
      </c>
      <c r="D430" s="3" t="s">
        <v>65</v>
      </c>
      <c r="E430" s="4" t="s">
        <v>67</v>
      </c>
      <c r="F430" s="4" t="s">
        <v>45</v>
      </c>
      <c r="G430" s="6">
        <v>80</v>
      </c>
      <c r="H430" s="6">
        <v>80</v>
      </c>
      <c r="I430" s="6">
        <v>80</v>
      </c>
      <c r="J430" s="6">
        <v>80</v>
      </c>
      <c r="K430" s="6">
        <v>80</v>
      </c>
      <c r="L430" t="str">
        <f t="shared" si="18"/>
        <v>OK</v>
      </c>
      <c r="M430" t="str">
        <f t="shared" si="19"/>
        <v>OK</v>
      </c>
      <c r="N430" t="str">
        <f t="shared" si="20"/>
        <v>OK</v>
      </c>
    </row>
    <row r="431" spans="1:14" x14ac:dyDescent="0.3">
      <c r="A431">
        <v>47</v>
      </c>
      <c r="B431">
        <v>2024</v>
      </c>
      <c r="C431" s="2">
        <v>45385</v>
      </c>
      <c r="D431" s="7" t="s">
        <v>65</v>
      </c>
      <c r="E431" s="8" t="s">
        <v>68</v>
      </c>
      <c r="F431" s="8" t="s">
        <v>45</v>
      </c>
      <c r="G431" s="10">
        <v>45</v>
      </c>
      <c r="H431" s="10">
        <v>45</v>
      </c>
      <c r="I431" s="10">
        <v>45</v>
      </c>
      <c r="J431" s="10">
        <v>45</v>
      </c>
      <c r="K431" s="10">
        <v>45</v>
      </c>
      <c r="L431" t="str">
        <f t="shared" si="18"/>
        <v>OK</v>
      </c>
      <c r="M431" t="str">
        <f t="shared" si="19"/>
        <v>OK</v>
      </c>
      <c r="N431" t="str">
        <f t="shared" si="20"/>
        <v>OK</v>
      </c>
    </row>
    <row r="432" spans="1:14" x14ac:dyDescent="0.3">
      <c r="A432">
        <v>47</v>
      </c>
      <c r="B432">
        <v>2024</v>
      </c>
      <c r="C432" s="2">
        <v>45385</v>
      </c>
      <c r="D432" s="3" t="s">
        <v>65</v>
      </c>
      <c r="E432" s="4" t="s">
        <v>69</v>
      </c>
      <c r="F432" s="4" t="s">
        <v>45</v>
      </c>
      <c r="G432" s="6">
        <v>45</v>
      </c>
      <c r="H432" s="6">
        <v>45</v>
      </c>
      <c r="I432" s="6">
        <v>45</v>
      </c>
      <c r="J432" s="6">
        <v>45</v>
      </c>
      <c r="K432" s="6">
        <v>45</v>
      </c>
      <c r="L432" t="str">
        <f t="shared" si="18"/>
        <v>OK</v>
      </c>
      <c r="M432" t="str">
        <f t="shared" si="19"/>
        <v>OK</v>
      </c>
      <c r="N432" t="str">
        <f t="shared" si="20"/>
        <v>OK</v>
      </c>
    </row>
    <row r="433" spans="1:14" x14ac:dyDescent="0.3">
      <c r="A433">
        <v>47</v>
      </c>
      <c r="B433">
        <v>2024</v>
      </c>
      <c r="C433" s="2">
        <v>45385</v>
      </c>
      <c r="D433" s="7" t="s">
        <v>65</v>
      </c>
      <c r="E433" s="8" t="s">
        <v>70</v>
      </c>
      <c r="F433" s="8" t="s">
        <v>71</v>
      </c>
      <c r="G433" s="10">
        <v>85</v>
      </c>
      <c r="H433" s="10">
        <v>85</v>
      </c>
      <c r="I433" s="10">
        <v>85</v>
      </c>
      <c r="J433" s="10">
        <v>85</v>
      </c>
      <c r="K433" s="10">
        <v>85</v>
      </c>
      <c r="L433" t="str">
        <f t="shared" si="18"/>
        <v>OK</v>
      </c>
      <c r="M433" t="str">
        <f t="shared" si="19"/>
        <v>OK</v>
      </c>
      <c r="N433" t="str">
        <f t="shared" si="20"/>
        <v>OK</v>
      </c>
    </row>
    <row r="434" spans="1:14" ht="28.8" x14ac:dyDescent="0.3">
      <c r="A434">
        <v>48</v>
      </c>
      <c r="B434">
        <v>2024</v>
      </c>
      <c r="C434" s="2">
        <v>45392</v>
      </c>
      <c r="D434" s="3" t="s">
        <v>11</v>
      </c>
      <c r="E434" s="4" t="s">
        <v>12</v>
      </c>
      <c r="F434" s="4" t="s">
        <v>13</v>
      </c>
      <c r="G434" s="6">
        <v>60</v>
      </c>
      <c r="H434" s="6">
        <v>60</v>
      </c>
      <c r="I434" s="6">
        <v>78</v>
      </c>
      <c r="J434" s="6">
        <v>66</v>
      </c>
      <c r="K434" s="6">
        <v>60</v>
      </c>
      <c r="L434" t="str">
        <f t="shared" si="18"/>
        <v>OK</v>
      </c>
      <c r="M434" t="str">
        <f t="shared" si="19"/>
        <v>OK</v>
      </c>
      <c r="N434" t="str">
        <f t="shared" si="20"/>
        <v>OK</v>
      </c>
    </row>
    <row r="435" spans="1:14" ht="28.8" x14ac:dyDescent="0.3">
      <c r="A435">
        <v>48</v>
      </c>
      <c r="B435">
        <v>2024</v>
      </c>
      <c r="C435" s="2">
        <v>45392</v>
      </c>
      <c r="D435" s="7" t="s">
        <v>11</v>
      </c>
      <c r="E435" s="8" t="s">
        <v>14</v>
      </c>
      <c r="F435" s="8" t="s">
        <v>13</v>
      </c>
      <c r="G435" s="9"/>
      <c r="H435" s="10">
        <v>44</v>
      </c>
      <c r="I435" s="10">
        <v>78</v>
      </c>
      <c r="J435" s="10" t="s">
        <v>83</v>
      </c>
      <c r="K435" s="10">
        <v>72</v>
      </c>
      <c r="L435" t="str">
        <f t="shared" si="18"/>
        <v>OK</v>
      </c>
      <c r="M435" t="str">
        <f t="shared" si="19"/>
        <v>OK</v>
      </c>
      <c r="N435" t="str">
        <f t="shared" si="20"/>
        <v>ERRO</v>
      </c>
    </row>
    <row r="436" spans="1:14" ht="28.8" x14ac:dyDescent="0.3">
      <c r="A436">
        <v>48</v>
      </c>
      <c r="B436">
        <v>2024</v>
      </c>
      <c r="C436" s="2">
        <v>45392</v>
      </c>
      <c r="D436" s="3" t="s">
        <v>11</v>
      </c>
      <c r="E436" s="4" t="s">
        <v>15</v>
      </c>
      <c r="F436" s="4" t="s">
        <v>13</v>
      </c>
      <c r="G436" s="5"/>
      <c r="H436" s="6">
        <v>42</v>
      </c>
      <c r="I436" s="6">
        <v>60</v>
      </c>
      <c r="J436" s="6">
        <v>50</v>
      </c>
      <c r="K436" s="6">
        <v>48</v>
      </c>
      <c r="L436" t="str">
        <f t="shared" si="18"/>
        <v>OK</v>
      </c>
      <c r="M436" t="str">
        <f t="shared" si="19"/>
        <v>OK</v>
      </c>
      <c r="N436" t="str">
        <f t="shared" si="20"/>
        <v>OK</v>
      </c>
    </row>
    <row r="437" spans="1:14" ht="28.8" x14ac:dyDescent="0.3">
      <c r="A437">
        <v>48</v>
      </c>
      <c r="B437">
        <v>2024</v>
      </c>
      <c r="C437" s="2">
        <v>45392</v>
      </c>
      <c r="D437" s="7" t="s">
        <v>11</v>
      </c>
      <c r="E437" s="8" t="s">
        <v>16</v>
      </c>
      <c r="F437" s="8" t="s">
        <v>13</v>
      </c>
      <c r="G437" s="9"/>
      <c r="H437" s="10">
        <v>30</v>
      </c>
      <c r="I437" s="10">
        <v>42</v>
      </c>
      <c r="J437" s="10" t="s">
        <v>180</v>
      </c>
      <c r="K437" s="10">
        <v>35</v>
      </c>
      <c r="L437" t="str">
        <f t="shared" si="18"/>
        <v>OK</v>
      </c>
      <c r="M437" t="str">
        <f t="shared" si="19"/>
        <v>OK</v>
      </c>
      <c r="N437" t="str">
        <f t="shared" si="20"/>
        <v>ERRO</v>
      </c>
    </row>
    <row r="438" spans="1:14" ht="28.8" x14ac:dyDescent="0.3">
      <c r="A438">
        <v>48</v>
      </c>
      <c r="B438">
        <v>2024</v>
      </c>
      <c r="C438" s="2">
        <v>45392</v>
      </c>
      <c r="D438" s="3" t="s">
        <v>11</v>
      </c>
      <c r="E438" s="4" t="s">
        <v>17</v>
      </c>
      <c r="F438" s="4" t="s">
        <v>13</v>
      </c>
      <c r="G438" s="5"/>
      <c r="H438" s="6">
        <v>30</v>
      </c>
      <c r="I438" s="6">
        <v>42</v>
      </c>
      <c r="J438" s="6" t="s">
        <v>180</v>
      </c>
      <c r="K438" s="6">
        <v>35</v>
      </c>
      <c r="L438" t="str">
        <f t="shared" si="18"/>
        <v>OK</v>
      </c>
      <c r="M438" t="str">
        <f t="shared" si="19"/>
        <v>OK</v>
      </c>
      <c r="N438" t="str">
        <f t="shared" si="20"/>
        <v>ERRO</v>
      </c>
    </row>
    <row r="439" spans="1:14" ht="28.8" x14ac:dyDescent="0.3">
      <c r="A439">
        <v>48</v>
      </c>
      <c r="B439">
        <v>2024</v>
      </c>
      <c r="C439" s="2">
        <v>45392</v>
      </c>
      <c r="D439" s="7" t="s">
        <v>11</v>
      </c>
      <c r="E439" s="8" t="s">
        <v>18</v>
      </c>
      <c r="F439" s="8" t="s">
        <v>13</v>
      </c>
      <c r="G439" s="9"/>
      <c r="H439" s="10">
        <v>48</v>
      </c>
      <c r="I439" s="10">
        <v>96</v>
      </c>
      <c r="J439" s="10">
        <v>69</v>
      </c>
      <c r="K439" s="10">
        <v>66</v>
      </c>
      <c r="L439" t="str">
        <f t="shared" si="18"/>
        <v>OK</v>
      </c>
      <c r="M439" t="str">
        <f t="shared" si="19"/>
        <v>OK</v>
      </c>
      <c r="N439" t="str">
        <f t="shared" si="20"/>
        <v>OK</v>
      </c>
    </row>
    <row r="440" spans="1:14" ht="28.8" x14ac:dyDescent="0.3">
      <c r="A440">
        <v>48</v>
      </c>
      <c r="B440">
        <v>2024</v>
      </c>
      <c r="C440" s="2">
        <v>45392</v>
      </c>
      <c r="D440" s="3" t="s">
        <v>11</v>
      </c>
      <c r="E440" s="4" t="s">
        <v>19</v>
      </c>
      <c r="F440" s="4" t="s">
        <v>13</v>
      </c>
      <c r="G440" s="5"/>
      <c r="H440" s="6">
        <v>96</v>
      </c>
      <c r="I440" s="6">
        <v>108</v>
      </c>
      <c r="J440" s="6" t="s">
        <v>195</v>
      </c>
      <c r="K440" s="6">
        <v>100</v>
      </c>
      <c r="L440" t="str">
        <f t="shared" si="18"/>
        <v>OK</v>
      </c>
      <c r="M440" t="str">
        <f t="shared" si="19"/>
        <v>OK</v>
      </c>
      <c r="N440" t="str">
        <f t="shared" si="20"/>
        <v>ERRO</v>
      </c>
    </row>
    <row r="441" spans="1:14" ht="28.8" x14ac:dyDescent="0.3">
      <c r="A441">
        <v>48</v>
      </c>
      <c r="B441">
        <v>2024</v>
      </c>
      <c r="C441" s="2">
        <v>45392</v>
      </c>
      <c r="D441" s="7" t="s">
        <v>11</v>
      </c>
      <c r="E441" s="8" t="s">
        <v>20</v>
      </c>
      <c r="F441" s="8" t="s">
        <v>13</v>
      </c>
      <c r="G441" s="9"/>
      <c r="H441" s="10">
        <v>84</v>
      </c>
      <c r="I441" s="10">
        <v>100</v>
      </c>
      <c r="J441" s="10" t="s">
        <v>196</v>
      </c>
      <c r="K441" s="10">
        <v>96</v>
      </c>
      <c r="L441" t="str">
        <f t="shared" si="18"/>
        <v>OK</v>
      </c>
      <c r="M441" t="str">
        <f t="shared" si="19"/>
        <v>OK</v>
      </c>
      <c r="N441" t="str">
        <f t="shared" si="20"/>
        <v>ERRO</v>
      </c>
    </row>
    <row r="442" spans="1:14" ht="28.8" x14ac:dyDescent="0.3">
      <c r="A442">
        <v>48</v>
      </c>
      <c r="B442">
        <v>2024</v>
      </c>
      <c r="C442" s="2">
        <v>45392</v>
      </c>
      <c r="D442" s="3" t="s">
        <v>11</v>
      </c>
      <c r="E442" s="4" t="s">
        <v>21</v>
      </c>
      <c r="F442" s="4" t="s">
        <v>13</v>
      </c>
      <c r="G442" s="6">
        <v>30</v>
      </c>
      <c r="H442" s="6">
        <v>30</v>
      </c>
      <c r="I442" s="6">
        <v>96</v>
      </c>
      <c r="J442" s="6">
        <v>48</v>
      </c>
      <c r="K442" s="6">
        <v>33</v>
      </c>
      <c r="L442" t="str">
        <f t="shared" si="18"/>
        <v>OK</v>
      </c>
      <c r="M442" t="str">
        <f t="shared" si="19"/>
        <v>OK</v>
      </c>
      <c r="N442" t="str">
        <f t="shared" si="20"/>
        <v>OK</v>
      </c>
    </row>
    <row r="443" spans="1:14" ht="28.8" x14ac:dyDescent="0.3">
      <c r="A443">
        <v>48</v>
      </c>
      <c r="B443">
        <v>2024</v>
      </c>
      <c r="C443" s="2">
        <v>45392</v>
      </c>
      <c r="D443" s="7" t="s">
        <v>11</v>
      </c>
      <c r="E443" s="8" t="s">
        <v>73</v>
      </c>
      <c r="F443" s="8" t="s">
        <v>13</v>
      </c>
      <c r="G443" s="9"/>
      <c r="H443" s="10">
        <v>108</v>
      </c>
      <c r="I443" s="10">
        <v>120</v>
      </c>
      <c r="J443" s="10">
        <v>114</v>
      </c>
      <c r="K443" s="10">
        <v>114</v>
      </c>
      <c r="L443" t="str">
        <f t="shared" si="18"/>
        <v>OK</v>
      </c>
      <c r="M443" t="str">
        <f t="shared" si="19"/>
        <v>OK</v>
      </c>
      <c r="N443" t="str">
        <f t="shared" si="20"/>
        <v>OK</v>
      </c>
    </row>
    <row r="444" spans="1:14" ht="28.8" x14ac:dyDescent="0.3">
      <c r="A444">
        <v>48</v>
      </c>
      <c r="B444">
        <v>2024</v>
      </c>
      <c r="C444" s="2">
        <v>45392</v>
      </c>
      <c r="D444" s="3" t="s">
        <v>11</v>
      </c>
      <c r="E444" s="4" t="s">
        <v>23</v>
      </c>
      <c r="F444" s="4" t="s">
        <v>13</v>
      </c>
      <c r="G444" s="5"/>
      <c r="H444" s="6">
        <v>30</v>
      </c>
      <c r="I444" s="6">
        <v>42</v>
      </c>
      <c r="J444" s="6">
        <v>36</v>
      </c>
      <c r="K444" s="6">
        <v>36</v>
      </c>
      <c r="L444" t="str">
        <f t="shared" si="18"/>
        <v>OK</v>
      </c>
      <c r="M444" t="str">
        <f t="shared" si="19"/>
        <v>OK</v>
      </c>
      <c r="N444" t="str">
        <f t="shared" si="20"/>
        <v>OK</v>
      </c>
    </row>
    <row r="445" spans="1:14" ht="28.8" x14ac:dyDescent="0.3">
      <c r="A445">
        <v>48</v>
      </c>
      <c r="B445">
        <v>2024</v>
      </c>
      <c r="C445" s="2">
        <v>45392</v>
      </c>
      <c r="D445" s="7" t="s">
        <v>11</v>
      </c>
      <c r="E445" s="8" t="s">
        <v>24</v>
      </c>
      <c r="F445" s="8" t="s">
        <v>13</v>
      </c>
      <c r="G445" s="9"/>
      <c r="H445" s="10">
        <v>72</v>
      </c>
      <c r="I445" s="10">
        <v>84</v>
      </c>
      <c r="J445" s="10">
        <v>78</v>
      </c>
      <c r="K445" s="10">
        <v>78</v>
      </c>
      <c r="L445" t="str">
        <f t="shared" si="18"/>
        <v>OK</v>
      </c>
      <c r="M445" t="str">
        <f t="shared" si="19"/>
        <v>OK</v>
      </c>
      <c r="N445" t="str">
        <f t="shared" si="20"/>
        <v>OK</v>
      </c>
    </row>
    <row r="446" spans="1:14" ht="28.8" x14ac:dyDescent="0.3">
      <c r="A446">
        <v>48</v>
      </c>
      <c r="B446">
        <v>2024</v>
      </c>
      <c r="C446" s="2">
        <v>45392</v>
      </c>
      <c r="D446" s="3" t="s">
        <v>11</v>
      </c>
      <c r="E446" s="4" t="s">
        <v>25</v>
      </c>
      <c r="F446" s="4" t="s">
        <v>26</v>
      </c>
      <c r="G446" s="5"/>
      <c r="H446" s="6">
        <v>32</v>
      </c>
      <c r="I446" s="6">
        <v>84</v>
      </c>
      <c r="J446" s="6" t="s">
        <v>172</v>
      </c>
      <c r="K446" s="6">
        <v>72</v>
      </c>
      <c r="L446" t="str">
        <f t="shared" si="18"/>
        <v>OK</v>
      </c>
      <c r="M446" t="str">
        <f t="shared" si="19"/>
        <v>OK</v>
      </c>
      <c r="N446" t="str">
        <f t="shared" si="20"/>
        <v>ERRO</v>
      </c>
    </row>
    <row r="447" spans="1:14" ht="28.8" x14ac:dyDescent="0.3">
      <c r="A447">
        <v>48</v>
      </c>
      <c r="B447">
        <v>2024</v>
      </c>
      <c r="C447" s="2">
        <v>45392</v>
      </c>
      <c r="D447" s="7" t="s">
        <v>11</v>
      </c>
      <c r="E447" s="8" t="s">
        <v>27</v>
      </c>
      <c r="F447" s="8" t="s">
        <v>13</v>
      </c>
      <c r="G447" s="10">
        <v>60</v>
      </c>
      <c r="H447" s="10">
        <v>60</v>
      </c>
      <c r="I447" s="10">
        <v>80</v>
      </c>
      <c r="J447" s="10" t="s">
        <v>102</v>
      </c>
      <c r="K447" s="10">
        <v>60</v>
      </c>
      <c r="L447" t="str">
        <f t="shared" si="18"/>
        <v>OK</v>
      </c>
      <c r="M447" t="str">
        <f t="shared" si="19"/>
        <v>OK</v>
      </c>
      <c r="N447" t="str">
        <f t="shared" si="20"/>
        <v>ERRO</v>
      </c>
    </row>
    <row r="448" spans="1:14" ht="28.8" x14ac:dyDescent="0.3">
      <c r="A448">
        <v>48</v>
      </c>
      <c r="B448">
        <v>2024</v>
      </c>
      <c r="C448" s="2">
        <v>45392</v>
      </c>
      <c r="D448" s="3" t="s">
        <v>11</v>
      </c>
      <c r="E448" s="4" t="s">
        <v>28</v>
      </c>
      <c r="F448" s="4" t="s">
        <v>13</v>
      </c>
      <c r="G448" s="5"/>
      <c r="H448" s="6">
        <v>50</v>
      </c>
      <c r="I448" s="6">
        <v>75</v>
      </c>
      <c r="J448" s="6" t="s">
        <v>197</v>
      </c>
      <c r="K448" s="6">
        <v>54</v>
      </c>
      <c r="L448" t="str">
        <f t="shared" si="18"/>
        <v>OK</v>
      </c>
      <c r="M448" t="str">
        <f t="shared" si="19"/>
        <v>OK</v>
      </c>
      <c r="N448" t="str">
        <f t="shared" si="20"/>
        <v>ERRO</v>
      </c>
    </row>
    <row r="449" spans="1:14" ht="28.8" x14ac:dyDescent="0.3">
      <c r="A449">
        <v>48</v>
      </c>
      <c r="B449">
        <v>2024</v>
      </c>
      <c r="C449" s="2">
        <v>45392</v>
      </c>
      <c r="D449" s="7" t="s">
        <v>11</v>
      </c>
      <c r="E449" s="8" t="s">
        <v>29</v>
      </c>
      <c r="F449" s="8" t="s">
        <v>13</v>
      </c>
      <c r="G449" s="9"/>
      <c r="H449" s="10">
        <v>42</v>
      </c>
      <c r="I449" s="10">
        <v>54</v>
      </c>
      <c r="J449" s="10">
        <v>48</v>
      </c>
      <c r="K449" s="10">
        <v>48</v>
      </c>
      <c r="L449" t="str">
        <f t="shared" si="18"/>
        <v>OK</v>
      </c>
      <c r="M449" t="str">
        <f t="shared" si="19"/>
        <v>OK</v>
      </c>
      <c r="N449" t="str">
        <f t="shared" si="20"/>
        <v>OK</v>
      </c>
    </row>
    <row r="450" spans="1:14" ht="28.8" x14ac:dyDescent="0.3">
      <c r="A450">
        <v>48</v>
      </c>
      <c r="B450">
        <v>2024</v>
      </c>
      <c r="C450" s="2">
        <v>45392</v>
      </c>
      <c r="D450" s="3" t="s">
        <v>30</v>
      </c>
      <c r="E450" s="4" t="s">
        <v>31</v>
      </c>
      <c r="F450" s="4" t="s">
        <v>32</v>
      </c>
      <c r="G450" s="6">
        <v>5</v>
      </c>
      <c r="H450" s="6" t="s">
        <v>97</v>
      </c>
      <c r="I450" s="6">
        <v>5</v>
      </c>
      <c r="J450" s="6" t="s">
        <v>164</v>
      </c>
      <c r="K450" s="6">
        <v>5</v>
      </c>
      <c r="L450" t="str">
        <f t="shared" si="18"/>
        <v>ERRO</v>
      </c>
      <c r="M450" t="str">
        <f t="shared" si="19"/>
        <v>OK</v>
      </c>
      <c r="N450" t="str">
        <f t="shared" si="20"/>
        <v>ERRO</v>
      </c>
    </row>
    <row r="451" spans="1:14" ht="28.8" x14ac:dyDescent="0.3">
      <c r="A451">
        <v>48</v>
      </c>
      <c r="B451">
        <v>2024</v>
      </c>
      <c r="C451" s="2">
        <v>45392</v>
      </c>
      <c r="D451" s="7" t="s">
        <v>30</v>
      </c>
      <c r="E451" s="8" t="s">
        <v>34</v>
      </c>
      <c r="F451" s="8" t="s">
        <v>35</v>
      </c>
      <c r="G451" s="9"/>
      <c r="H451" s="10">
        <v>20</v>
      </c>
      <c r="I451" s="10">
        <v>30</v>
      </c>
      <c r="J451" s="10">
        <v>25</v>
      </c>
      <c r="K451" s="10">
        <v>25</v>
      </c>
      <c r="L451" t="str">
        <f t="shared" ref="L451:L514" si="21">IF(H451&gt;I451,"ERRO","OK")</f>
        <v>OK</v>
      </c>
      <c r="M451" t="str">
        <f t="shared" ref="M451:M514" si="22">IF(H451&gt;J451,"ERRO","OK")</f>
        <v>OK</v>
      </c>
      <c r="N451" t="str">
        <f t="shared" ref="N451:N514" si="23">IF(I451&lt;J451,"ERRO","OK")</f>
        <v>OK</v>
      </c>
    </row>
    <row r="452" spans="1:14" ht="28.8" x14ac:dyDescent="0.3">
      <c r="A452">
        <v>48</v>
      </c>
      <c r="B452">
        <v>2024</v>
      </c>
      <c r="C452" s="2">
        <v>45392</v>
      </c>
      <c r="D452" s="3" t="s">
        <v>30</v>
      </c>
      <c r="E452" s="4" t="s">
        <v>36</v>
      </c>
      <c r="F452" s="4" t="s">
        <v>35</v>
      </c>
      <c r="G452" s="5"/>
      <c r="H452" s="6">
        <v>30</v>
      </c>
      <c r="I452" s="6">
        <v>40</v>
      </c>
      <c r="J452" s="6">
        <v>35</v>
      </c>
      <c r="K452" s="6">
        <v>35</v>
      </c>
      <c r="L452" t="str">
        <f t="shared" si="21"/>
        <v>OK</v>
      </c>
      <c r="M452" t="str">
        <f t="shared" si="22"/>
        <v>OK</v>
      </c>
      <c r="N452" t="str">
        <f t="shared" si="23"/>
        <v>OK</v>
      </c>
    </row>
    <row r="453" spans="1:14" ht="43.2" x14ac:dyDescent="0.3">
      <c r="A453">
        <v>48</v>
      </c>
      <c r="B453">
        <v>2024</v>
      </c>
      <c r="C453" s="2">
        <v>45392</v>
      </c>
      <c r="D453" s="7" t="s">
        <v>38</v>
      </c>
      <c r="E453" s="8" t="s">
        <v>153</v>
      </c>
      <c r="F453" s="8" t="s">
        <v>154</v>
      </c>
      <c r="G453" s="10">
        <v>120</v>
      </c>
      <c r="H453" s="10">
        <v>115</v>
      </c>
      <c r="I453" s="10">
        <v>120</v>
      </c>
      <c r="J453" s="10" t="s">
        <v>198</v>
      </c>
      <c r="K453" s="10">
        <v>120</v>
      </c>
      <c r="L453" t="str">
        <f t="shared" si="21"/>
        <v>OK</v>
      </c>
      <c r="M453" t="str">
        <f t="shared" si="22"/>
        <v>OK</v>
      </c>
      <c r="N453" t="str">
        <f t="shared" si="23"/>
        <v>ERRO</v>
      </c>
    </row>
    <row r="454" spans="1:14" ht="43.2" x14ac:dyDescent="0.3">
      <c r="A454">
        <v>48</v>
      </c>
      <c r="B454">
        <v>2024</v>
      </c>
      <c r="C454" s="2">
        <v>45392</v>
      </c>
      <c r="D454" s="3" t="s">
        <v>38</v>
      </c>
      <c r="E454" s="4" t="s">
        <v>39</v>
      </c>
      <c r="F454" s="4" t="s">
        <v>40</v>
      </c>
      <c r="G454" s="5"/>
      <c r="H454" s="6">
        <v>80</v>
      </c>
      <c r="I454" s="6">
        <v>100</v>
      </c>
      <c r="J454" s="6">
        <v>90</v>
      </c>
      <c r="K454" s="6">
        <v>90</v>
      </c>
      <c r="L454" t="str">
        <f t="shared" si="21"/>
        <v>OK</v>
      </c>
      <c r="M454" t="str">
        <f t="shared" si="22"/>
        <v>OK</v>
      </c>
      <c r="N454" t="str">
        <f t="shared" si="23"/>
        <v>OK</v>
      </c>
    </row>
    <row r="455" spans="1:14" ht="43.2" x14ac:dyDescent="0.3">
      <c r="A455">
        <v>48</v>
      </c>
      <c r="B455">
        <v>2024</v>
      </c>
      <c r="C455" s="2">
        <v>45392</v>
      </c>
      <c r="D455" s="7" t="s">
        <v>38</v>
      </c>
      <c r="E455" s="8" t="s">
        <v>42</v>
      </c>
      <c r="F455" s="8" t="s">
        <v>43</v>
      </c>
      <c r="G455" s="10">
        <v>75</v>
      </c>
      <c r="H455" s="10">
        <v>45</v>
      </c>
      <c r="I455" s="10">
        <v>80</v>
      </c>
      <c r="J455" s="10" t="s">
        <v>199</v>
      </c>
      <c r="K455" s="10" t="s">
        <v>200</v>
      </c>
      <c r="L455" t="str">
        <f t="shared" si="21"/>
        <v>OK</v>
      </c>
      <c r="M455" t="str">
        <f t="shared" si="22"/>
        <v>OK</v>
      </c>
      <c r="N455" t="str">
        <f t="shared" si="23"/>
        <v>ERRO</v>
      </c>
    </row>
    <row r="456" spans="1:14" ht="43.2" x14ac:dyDescent="0.3">
      <c r="A456">
        <v>48</v>
      </c>
      <c r="B456">
        <v>2024</v>
      </c>
      <c r="C456" s="2">
        <v>45392</v>
      </c>
      <c r="D456" s="3" t="s">
        <v>38</v>
      </c>
      <c r="E456" s="4" t="s">
        <v>44</v>
      </c>
      <c r="F456" s="4" t="s">
        <v>45</v>
      </c>
      <c r="G456" s="6">
        <v>50</v>
      </c>
      <c r="H456" s="6">
        <v>35</v>
      </c>
      <c r="I456" s="6">
        <v>50</v>
      </c>
      <c r="J456" s="6" t="s">
        <v>98</v>
      </c>
      <c r="K456" s="6" t="s">
        <v>47</v>
      </c>
      <c r="L456" t="str">
        <f t="shared" si="21"/>
        <v>OK</v>
      </c>
      <c r="M456" t="str">
        <f t="shared" si="22"/>
        <v>OK</v>
      </c>
      <c r="N456" t="str">
        <f t="shared" si="23"/>
        <v>ERRO</v>
      </c>
    </row>
    <row r="457" spans="1:14" ht="43.2" x14ac:dyDescent="0.3">
      <c r="A457">
        <v>48</v>
      </c>
      <c r="B457">
        <v>2024</v>
      </c>
      <c r="C457" s="2">
        <v>45392</v>
      </c>
      <c r="D457" s="7" t="s">
        <v>38</v>
      </c>
      <c r="E457" s="8" t="s">
        <v>48</v>
      </c>
      <c r="F457" s="8" t="s">
        <v>45</v>
      </c>
      <c r="G457" s="9"/>
      <c r="H457" s="10">
        <v>65</v>
      </c>
      <c r="I457" s="10">
        <v>65</v>
      </c>
      <c r="J457" s="10">
        <v>65</v>
      </c>
      <c r="K457" s="10">
        <v>65</v>
      </c>
      <c r="L457" t="str">
        <f t="shared" si="21"/>
        <v>OK</v>
      </c>
      <c r="M457" t="str">
        <f t="shared" si="22"/>
        <v>OK</v>
      </c>
      <c r="N457" t="str">
        <f t="shared" si="23"/>
        <v>OK</v>
      </c>
    </row>
    <row r="458" spans="1:14" ht="43.2" x14ac:dyDescent="0.3">
      <c r="A458">
        <v>48</v>
      </c>
      <c r="B458">
        <v>2024</v>
      </c>
      <c r="C458" s="2">
        <v>45392</v>
      </c>
      <c r="D458" s="3" t="s">
        <v>38</v>
      </c>
      <c r="E458" s="4" t="s">
        <v>49</v>
      </c>
      <c r="F458" s="4" t="s">
        <v>50</v>
      </c>
      <c r="G458" s="6">
        <v>130</v>
      </c>
      <c r="H458" s="6">
        <v>100</v>
      </c>
      <c r="I458" s="6">
        <v>130</v>
      </c>
      <c r="J458" s="6" t="s">
        <v>201</v>
      </c>
      <c r="K458" s="6">
        <v>115</v>
      </c>
      <c r="L458" t="str">
        <f t="shared" si="21"/>
        <v>OK</v>
      </c>
      <c r="M458" t="str">
        <f t="shared" si="22"/>
        <v>OK</v>
      </c>
      <c r="N458" t="str">
        <f t="shared" si="23"/>
        <v>ERRO</v>
      </c>
    </row>
    <row r="459" spans="1:14" ht="43.2" x14ac:dyDescent="0.3">
      <c r="A459">
        <v>48</v>
      </c>
      <c r="B459">
        <v>2024</v>
      </c>
      <c r="C459" s="2">
        <v>45392</v>
      </c>
      <c r="D459" s="7" t="s">
        <v>38</v>
      </c>
      <c r="E459" s="8" t="s">
        <v>52</v>
      </c>
      <c r="F459" s="8" t="s">
        <v>43</v>
      </c>
      <c r="G459" s="10">
        <v>90</v>
      </c>
      <c r="H459" s="10">
        <v>90</v>
      </c>
      <c r="I459" s="10">
        <v>150</v>
      </c>
      <c r="J459" s="10">
        <v>122</v>
      </c>
      <c r="K459" s="10">
        <v>140</v>
      </c>
      <c r="L459" t="str">
        <f t="shared" si="21"/>
        <v>OK</v>
      </c>
      <c r="M459" t="str">
        <f t="shared" si="22"/>
        <v>OK</v>
      </c>
      <c r="N459" t="str">
        <f t="shared" si="23"/>
        <v>OK</v>
      </c>
    </row>
    <row r="460" spans="1:14" ht="43.2" x14ac:dyDescent="0.3">
      <c r="A460">
        <v>48</v>
      </c>
      <c r="B460">
        <v>2024</v>
      </c>
      <c r="C460" s="2">
        <v>45392</v>
      </c>
      <c r="D460" s="3" t="s">
        <v>38</v>
      </c>
      <c r="E460" s="4" t="s">
        <v>53</v>
      </c>
      <c r="F460" s="4" t="s">
        <v>43</v>
      </c>
      <c r="G460" s="6">
        <v>60</v>
      </c>
      <c r="H460" s="6">
        <v>50</v>
      </c>
      <c r="I460" s="6">
        <v>60</v>
      </c>
      <c r="J460" s="6" t="s">
        <v>202</v>
      </c>
      <c r="K460" s="6">
        <v>59</v>
      </c>
      <c r="L460" t="str">
        <f t="shared" si="21"/>
        <v>OK</v>
      </c>
      <c r="M460" t="str">
        <f t="shared" si="22"/>
        <v>OK</v>
      </c>
      <c r="N460" t="str">
        <f t="shared" si="23"/>
        <v>ERRO</v>
      </c>
    </row>
    <row r="461" spans="1:14" ht="43.2" x14ac:dyDescent="0.3">
      <c r="A461">
        <v>48</v>
      </c>
      <c r="B461">
        <v>2024</v>
      </c>
      <c r="C461" s="2">
        <v>45392</v>
      </c>
      <c r="D461" s="7" t="s">
        <v>38</v>
      </c>
      <c r="E461" s="8" t="s">
        <v>54</v>
      </c>
      <c r="F461" s="8" t="s">
        <v>40</v>
      </c>
      <c r="G461" s="10">
        <v>100</v>
      </c>
      <c r="H461" s="10">
        <v>100</v>
      </c>
      <c r="I461" s="10">
        <v>110</v>
      </c>
      <c r="J461" s="10" t="s">
        <v>114</v>
      </c>
      <c r="K461" s="10">
        <v>100</v>
      </c>
      <c r="L461" t="str">
        <f t="shared" si="21"/>
        <v>OK</v>
      </c>
      <c r="M461" t="str">
        <f t="shared" si="22"/>
        <v>OK</v>
      </c>
      <c r="N461" t="str">
        <f t="shared" si="23"/>
        <v>ERRO</v>
      </c>
    </row>
    <row r="462" spans="1:14" ht="43.2" x14ac:dyDescent="0.3">
      <c r="A462">
        <v>48</v>
      </c>
      <c r="B462">
        <v>2024</v>
      </c>
      <c r="C462" s="2">
        <v>45392</v>
      </c>
      <c r="D462" s="3" t="s">
        <v>38</v>
      </c>
      <c r="E462" s="4" t="s">
        <v>56</v>
      </c>
      <c r="F462" s="4" t="s">
        <v>43</v>
      </c>
      <c r="G462" s="5"/>
      <c r="H462" s="6">
        <v>50</v>
      </c>
      <c r="I462" s="6">
        <v>78</v>
      </c>
      <c r="J462" s="6">
        <v>64</v>
      </c>
      <c r="K462" s="6">
        <v>64</v>
      </c>
      <c r="L462" t="str">
        <f t="shared" si="21"/>
        <v>OK</v>
      </c>
      <c r="M462" t="str">
        <f t="shared" si="22"/>
        <v>OK</v>
      </c>
      <c r="N462" t="str">
        <f t="shared" si="23"/>
        <v>OK</v>
      </c>
    </row>
    <row r="463" spans="1:14" ht="43.2" x14ac:dyDescent="0.3">
      <c r="A463">
        <v>48</v>
      </c>
      <c r="B463">
        <v>2024</v>
      </c>
      <c r="C463" s="2">
        <v>45392</v>
      </c>
      <c r="D463" s="7" t="s">
        <v>38</v>
      </c>
      <c r="E463" s="8" t="s">
        <v>57</v>
      </c>
      <c r="F463" s="8" t="s">
        <v>40</v>
      </c>
      <c r="G463" s="10">
        <v>70</v>
      </c>
      <c r="H463" s="10">
        <v>70</v>
      </c>
      <c r="I463" s="10">
        <v>85</v>
      </c>
      <c r="J463" s="10">
        <v>75</v>
      </c>
      <c r="K463" s="10" t="s">
        <v>200</v>
      </c>
      <c r="L463" t="str">
        <f t="shared" si="21"/>
        <v>OK</v>
      </c>
      <c r="M463" t="str">
        <f t="shared" si="22"/>
        <v>OK</v>
      </c>
      <c r="N463" t="str">
        <f t="shared" si="23"/>
        <v>OK</v>
      </c>
    </row>
    <row r="464" spans="1:14" ht="43.2" x14ac:dyDescent="0.3">
      <c r="A464">
        <v>48</v>
      </c>
      <c r="B464">
        <v>2024</v>
      </c>
      <c r="C464" s="2">
        <v>45392</v>
      </c>
      <c r="D464" s="3" t="s">
        <v>38</v>
      </c>
      <c r="E464" s="4" t="s">
        <v>58</v>
      </c>
      <c r="F464" s="4" t="s">
        <v>40</v>
      </c>
      <c r="G464" s="6">
        <v>100</v>
      </c>
      <c r="H464" s="6">
        <v>90</v>
      </c>
      <c r="I464" s="6">
        <v>110</v>
      </c>
      <c r="J464" s="6" t="s">
        <v>203</v>
      </c>
      <c r="K464" s="6">
        <v>100</v>
      </c>
      <c r="L464" t="str">
        <f t="shared" si="21"/>
        <v>OK</v>
      </c>
      <c r="M464" t="str">
        <f t="shared" si="22"/>
        <v>OK</v>
      </c>
      <c r="N464" t="str">
        <f t="shared" si="23"/>
        <v>ERRO</v>
      </c>
    </row>
    <row r="465" spans="1:14" ht="43.2" x14ac:dyDescent="0.3">
      <c r="A465">
        <v>48</v>
      </c>
      <c r="B465">
        <v>2024</v>
      </c>
      <c r="C465" s="2">
        <v>45392</v>
      </c>
      <c r="D465" s="7" t="s">
        <v>38</v>
      </c>
      <c r="E465" s="8" t="s">
        <v>59</v>
      </c>
      <c r="F465" s="8" t="s">
        <v>45</v>
      </c>
      <c r="G465" s="10">
        <v>70</v>
      </c>
      <c r="H465" s="10">
        <v>60</v>
      </c>
      <c r="I465" s="10">
        <v>90</v>
      </c>
      <c r="J465" s="10">
        <v>74</v>
      </c>
      <c r="K465" s="10">
        <v>70</v>
      </c>
      <c r="L465" t="str">
        <f t="shared" si="21"/>
        <v>OK</v>
      </c>
      <c r="M465" t="str">
        <f t="shared" si="22"/>
        <v>OK</v>
      </c>
      <c r="N465" t="str">
        <f t="shared" si="23"/>
        <v>OK</v>
      </c>
    </row>
    <row r="466" spans="1:14" ht="43.2" x14ac:dyDescent="0.3">
      <c r="A466">
        <v>48</v>
      </c>
      <c r="B466">
        <v>2024</v>
      </c>
      <c r="C466" s="2">
        <v>45392</v>
      </c>
      <c r="D466" s="3" t="s">
        <v>38</v>
      </c>
      <c r="E466" s="4" t="s">
        <v>60</v>
      </c>
      <c r="F466" s="4" t="s">
        <v>61</v>
      </c>
      <c r="G466" s="6">
        <v>120</v>
      </c>
      <c r="H466" s="6">
        <v>100</v>
      </c>
      <c r="I466" s="6">
        <v>130</v>
      </c>
      <c r="J466" s="6" t="s">
        <v>140</v>
      </c>
      <c r="K466" s="6">
        <v>120</v>
      </c>
      <c r="L466" t="str">
        <f t="shared" si="21"/>
        <v>OK</v>
      </c>
      <c r="M466" t="str">
        <f t="shared" si="22"/>
        <v>OK</v>
      </c>
      <c r="N466" t="str">
        <f t="shared" si="23"/>
        <v>ERRO</v>
      </c>
    </row>
    <row r="467" spans="1:14" ht="43.2" x14ac:dyDescent="0.3">
      <c r="A467">
        <v>48</v>
      </c>
      <c r="B467">
        <v>2024</v>
      </c>
      <c r="C467" s="2">
        <v>45392</v>
      </c>
      <c r="D467" s="7" t="s">
        <v>38</v>
      </c>
      <c r="E467" s="8" t="s">
        <v>63</v>
      </c>
      <c r="F467" s="8" t="s">
        <v>40</v>
      </c>
      <c r="G467" s="10">
        <v>150</v>
      </c>
      <c r="H467" s="10">
        <v>100</v>
      </c>
      <c r="I467" s="10">
        <v>190</v>
      </c>
      <c r="J467" s="10">
        <v>150</v>
      </c>
      <c r="K467" s="10">
        <v>150</v>
      </c>
      <c r="L467" t="str">
        <f t="shared" si="21"/>
        <v>OK</v>
      </c>
      <c r="M467" t="str">
        <f t="shared" si="22"/>
        <v>OK</v>
      </c>
      <c r="N467" t="str">
        <f t="shared" si="23"/>
        <v>OK</v>
      </c>
    </row>
    <row r="468" spans="1:14" ht="43.2" x14ac:dyDescent="0.3">
      <c r="A468">
        <v>48</v>
      </c>
      <c r="B468">
        <v>2024</v>
      </c>
      <c r="C468" s="2">
        <v>45392</v>
      </c>
      <c r="D468" s="3" t="s">
        <v>38</v>
      </c>
      <c r="E468" s="4" t="s">
        <v>64</v>
      </c>
      <c r="F468" s="4" t="s">
        <v>40</v>
      </c>
      <c r="G468" s="6">
        <v>180</v>
      </c>
      <c r="H468" s="6">
        <v>160</v>
      </c>
      <c r="I468" s="6">
        <v>180</v>
      </c>
      <c r="J468" s="6" t="s">
        <v>204</v>
      </c>
      <c r="K468" s="6">
        <v>175</v>
      </c>
      <c r="L468" t="str">
        <f t="shared" si="21"/>
        <v>OK</v>
      </c>
      <c r="M468" t="str">
        <f t="shared" si="22"/>
        <v>OK</v>
      </c>
      <c r="N468" t="str">
        <f t="shared" si="23"/>
        <v>ERRO</v>
      </c>
    </row>
    <row r="469" spans="1:14" x14ac:dyDescent="0.3">
      <c r="A469">
        <v>48</v>
      </c>
      <c r="B469">
        <v>2024</v>
      </c>
      <c r="C469" s="2">
        <v>45392</v>
      </c>
      <c r="D469" s="7" t="s">
        <v>65</v>
      </c>
      <c r="E469" s="8" t="s">
        <v>66</v>
      </c>
      <c r="F469" s="8" t="s">
        <v>45</v>
      </c>
      <c r="G469" s="9"/>
      <c r="H469" s="10">
        <v>130</v>
      </c>
      <c r="I469" s="10">
        <v>130</v>
      </c>
      <c r="J469" s="10">
        <v>130</v>
      </c>
      <c r="K469" s="10">
        <v>130</v>
      </c>
      <c r="L469" t="str">
        <f t="shared" si="21"/>
        <v>OK</v>
      </c>
      <c r="M469" t="str">
        <f t="shared" si="22"/>
        <v>OK</v>
      </c>
      <c r="N469" t="str">
        <f t="shared" si="23"/>
        <v>OK</v>
      </c>
    </row>
    <row r="470" spans="1:14" x14ac:dyDescent="0.3">
      <c r="A470">
        <v>48</v>
      </c>
      <c r="B470">
        <v>2024</v>
      </c>
      <c r="C470" s="2">
        <v>45392</v>
      </c>
      <c r="D470" s="3" t="s">
        <v>65</v>
      </c>
      <c r="E470" s="4" t="s">
        <v>67</v>
      </c>
      <c r="F470" s="4" t="s">
        <v>45</v>
      </c>
      <c r="G470" s="5"/>
      <c r="H470" s="6">
        <v>60</v>
      </c>
      <c r="I470" s="6">
        <v>75</v>
      </c>
      <c r="J470" s="6" t="s">
        <v>84</v>
      </c>
      <c r="K470" s="6" t="s">
        <v>84</v>
      </c>
      <c r="L470" t="str">
        <f t="shared" si="21"/>
        <v>OK</v>
      </c>
      <c r="M470" t="str">
        <f t="shared" si="22"/>
        <v>OK</v>
      </c>
      <c r="N470" t="str">
        <f t="shared" si="23"/>
        <v>ERRO</v>
      </c>
    </row>
    <row r="471" spans="1:14" x14ac:dyDescent="0.3">
      <c r="A471">
        <v>48</v>
      </c>
      <c r="B471">
        <v>2024</v>
      </c>
      <c r="C471" s="2">
        <v>45392</v>
      </c>
      <c r="D471" s="7" t="s">
        <v>65</v>
      </c>
      <c r="E471" s="8" t="s">
        <v>68</v>
      </c>
      <c r="F471" s="8" t="s">
        <v>45</v>
      </c>
      <c r="G471" s="9"/>
      <c r="H471" s="10">
        <v>40</v>
      </c>
      <c r="I471" s="10">
        <v>45</v>
      </c>
      <c r="J471" s="10" t="s">
        <v>47</v>
      </c>
      <c r="K471" s="10" t="s">
        <v>47</v>
      </c>
      <c r="L471" t="str">
        <f t="shared" si="21"/>
        <v>OK</v>
      </c>
      <c r="M471" t="str">
        <f t="shared" si="22"/>
        <v>OK</v>
      </c>
      <c r="N471" t="str">
        <f t="shared" si="23"/>
        <v>ERRO</v>
      </c>
    </row>
    <row r="472" spans="1:14" x14ac:dyDescent="0.3">
      <c r="A472">
        <v>48</v>
      </c>
      <c r="B472">
        <v>2024</v>
      </c>
      <c r="C472" s="2">
        <v>45392</v>
      </c>
      <c r="D472" s="3" t="s">
        <v>65</v>
      </c>
      <c r="E472" s="4" t="s">
        <v>69</v>
      </c>
      <c r="F472" s="4" t="s">
        <v>45</v>
      </c>
      <c r="G472" s="5"/>
      <c r="H472" s="6">
        <v>48</v>
      </c>
      <c r="I472" s="6">
        <v>48</v>
      </c>
      <c r="J472" s="6">
        <v>48</v>
      </c>
      <c r="K472" s="6">
        <v>48</v>
      </c>
      <c r="L472" t="str">
        <f t="shared" si="21"/>
        <v>OK</v>
      </c>
      <c r="M472" t="str">
        <f t="shared" si="22"/>
        <v>OK</v>
      </c>
      <c r="N472" t="str">
        <f t="shared" si="23"/>
        <v>OK</v>
      </c>
    </row>
    <row r="473" spans="1:14" x14ac:dyDescent="0.3">
      <c r="A473">
        <v>48</v>
      </c>
      <c r="B473">
        <v>2024</v>
      </c>
      <c r="C473" s="2">
        <v>45392</v>
      </c>
      <c r="D473" s="7" t="s">
        <v>65</v>
      </c>
      <c r="E473" s="8" t="s">
        <v>70</v>
      </c>
      <c r="F473" s="8" t="s">
        <v>71</v>
      </c>
      <c r="G473" s="9"/>
      <c r="H473" s="10">
        <v>75</v>
      </c>
      <c r="I473" s="10">
        <v>75</v>
      </c>
      <c r="J473" s="10">
        <v>75</v>
      </c>
      <c r="K473" s="10">
        <v>75</v>
      </c>
      <c r="L473" t="str">
        <f t="shared" si="21"/>
        <v>OK</v>
      </c>
      <c r="M473" t="str">
        <f t="shared" si="22"/>
        <v>OK</v>
      </c>
      <c r="N473" t="str">
        <f t="shared" si="23"/>
        <v>OK</v>
      </c>
    </row>
    <row r="474" spans="1:14" ht="28.8" x14ac:dyDescent="0.3">
      <c r="A474">
        <v>49</v>
      </c>
      <c r="B474">
        <v>2024</v>
      </c>
      <c r="C474" s="2">
        <v>45399</v>
      </c>
      <c r="D474" s="3" t="s">
        <v>11</v>
      </c>
      <c r="E474" s="4" t="s">
        <v>12</v>
      </c>
      <c r="F474" s="4" t="s">
        <v>13</v>
      </c>
      <c r="G474" s="6">
        <v>60</v>
      </c>
      <c r="H474" s="6">
        <v>28</v>
      </c>
      <c r="I474" s="6">
        <v>60</v>
      </c>
      <c r="J474" s="6" t="s">
        <v>205</v>
      </c>
      <c r="K474" s="6">
        <v>60</v>
      </c>
      <c r="L474" t="str">
        <f t="shared" si="21"/>
        <v>OK</v>
      </c>
      <c r="M474" t="str">
        <f t="shared" si="22"/>
        <v>OK</v>
      </c>
      <c r="N474" t="str">
        <f t="shared" si="23"/>
        <v>ERRO</v>
      </c>
    </row>
    <row r="475" spans="1:14" ht="28.8" x14ac:dyDescent="0.3">
      <c r="A475">
        <v>49</v>
      </c>
      <c r="B475">
        <v>2024</v>
      </c>
      <c r="C475" s="2">
        <v>45399</v>
      </c>
      <c r="D475" s="7" t="s">
        <v>11</v>
      </c>
      <c r="E475" s="8" t="s">
        <v>14</v>
      </c>
      <c r="F475" s="8" t="s">
        <v>13</v>
      </c>
      <c r="G475" s="9"/>
      <c r="H475" s="10">
        <v>72</v>
      </c>
      <c r="I475" s="10">
        <v>84</v>
      </c>
      <c r="J475" s="10" t="s">
        <v>206</v>
      </c>
      <c r="K475" s="10">
        <v>80</v>
      </c>
      <c r="L475" t="str">
        <f t="shared" si="21"/>
        <v>OK</v>
      </c>
      <c r="M475" t="str">
        <f t="shared" si="22"/>
        <v>OK</v>
      </c>
      <c r="N475" t="str">
        <f t="shared" si="23"/>
        <v>ERRO</v>
      </c>
    </row>
    <row r="476" spans="1:14" ht="28.8" x14ac:dyDescent="0.3">
      <c r="A476">
        <v>49</v>
      </c>
      <c r="B476">
        <v>2024</v>
      </c>
      <c r="C476" s="2">
        <v>45399</v>
      </c>
      <c r="D476" s="3" t="s">
        <v>11</v>
      </c>
      <c r="E476" s="4" t="s">
        <v>15</v>
      </c>
      <c r="F476" s="4" t="s">
        <v>13</v>
      </c>
      <c r="G476" s="5"/>
      <c r="H476" s="6">
        <v>42</v>
      </c>
      <c r="I476" s="6">
        <v>60</v>
      </c>
      <c r="J476" s="6">
        <v>50</v>
      </c>
      <c r="K476" s="6">
        <v>48</v>
      </c>
      <c r="L476" t="str">
        <f t="shared" si="21"/>
        <v>OK</v>
      </c>
      <c r="M476" t="str">
        <f t="shared" si="22"/>
        <v>OK</v>
      </c>
      <c r="N476" t="str">
        <f t="shared" si="23"/>
        <v>OK</v>
      </c>
    </row>
    <row r="477" spans="1:14" ht="28.8" x14ac:dyDescent="0.3">
      <c r="A477">
        <v>49</v>
      </c>
      <c r="B477">
        <v>2024</v>
      </c>
      <c r="C477" s="2">
        <v>45399</v>
      </c>
      <c r="D477" s="7" t="s">
        <v>11</v>
      </c>
      <c r="E477" s="8" t="s">
        <v>16</v>
      </c>
      <c r="F477" s="8" t="s">
        <v>13</v>
      </c>
      <c r="G477" s="10">
        <v>30</v>
      </c>
      <c r="H477" s="10">
        <v>30</v>
      </c>
      <c r="I477" s="10">
        <v>36</v>
      </c>
      <c r="J477" s="10" t="s">
        <v>207</v>
      </c>
      <c r="K477" s="10" t="s">
        <v>107</v>
      </c>
      <c r="L477" t="str">
        <f t="shared" si="21"/>
        <v>OK</v>
      </c>
      <c r="M477" t="str">
        <f t="shared" si="22"/>
        <v>OK</v>
      </c>
      <c r="N477" t="str">
        <f t="shared" si="23"/>
        <v>ERRO</v>
      </c>
    </row>
    <row r="478" spans="1:14" ht="28.8" x14ac:dyDescent="0.3">
      <c r="A478">
        <v>49</v>
      </c>
      <c r="B478">
        <v>2024</v>
      </c>
      <c r="C478" s="2">
        <v>45399</v>
      </c>
      <c r="D478" s="3" t="s">
        <v>11</v>
      </c>
      <c r="E478" s="4" t="s">
        <v>17</v>
      </c>
      <c r="F478" s="4" t="s">
        <v>13</v>
      </c>
      <c r="G478" s="5"/>
      <c r="H478" s="6">
        <v>30</v>
      </c>
      <c r="I478" s="6">
        <v>36</v>
      </c>
      <c r="J478" s="6" t="s">
        <v>208</v>
      </c>
      <c r="K478" s="6">
        <v>35</v>
      </c>
      <c r="L478" t="str">
        <f t="shared" si="21"/>
        <v>OK</v>
      </c>
      <c r="M478" t="str">
        <f t="shared" si="22"/>
        <v>OK</v>
      </c>
      <c r="N478" t="str">
        <f t="shared" si="23"/>
        <v>ERRO</v>
      </c>
    </row>
    <row r="479" spans="1:14" ht="28.8" x14ac:dyDescent="0.3">
      <c r="A479">
        <v>49</v>
      </c>
      <c r="B479">
        <v>2024</v>
      </c>
      <c r="C479" s="2">
        <v>45399</v>
      </c>
      <c r="D479" s="7" t="s">
        <v>11</v>
      </c>
      <c r="E479" s="8" t="s">
        <v>18</v>
      </c>
      <c r="F479" s="8" t="s">
        <v>13</v>
      </c>
      <c r="G479" s="10">
        <v>60</v>
      </c>
      <c r="H479" s="10">
        <v>60</v>
      </c>
      <c r="I479" s="10">
        <v>60</v>
      </c>
      <c r="J479" s="10">
        <v>60</v>
      </c>
      <c r="K479" s="10">
        <v>60</v>
      </c>
      <c r="L479" t="str">
        <f t="shared" si="21"/>
        <v>OK</v>
      </c>
      <c r="M479" t="str">
        <f t="shared" si="22"/>
        <v>OK</v>
      </c>
      <c r="N479" t="str">
        <f t="shared" si="23"/>
        <v>OK</v>
      </c>
    </row>
    <row r="480" spans="1:14" ht="28.8" x14ac:dyDescent="0.3">
      <c r="A480">
        <v>49</v>
      </c>
      <c r="B480">
        <v>2024</v>
      </c>
      <c r="C480" s="2">
        <v>45399</v>
      </c>
      <c r="D480" s="3" t="s">
        <v>11</v>
      </c>
      <c r="E480" s="4" t="s">
        <v>19</v>
      </c>
      <c r="F480" s="4" t="s">
        <v>13</v>
      </c>
      <c r="G480" s="6">
        <v>84</v>
      </c>
      <c r="H480" s="6">
        <v>84</v>
      </c>
      <c r="I480" s="6">
        <v>96</v>
      </c>
      <c r="J480" s="6">
        <v>88</v>
      </c>
      <c r="K480" s="6">
        <v>84</v>
      </c>
      <c r="L480" t="str">
        <f t="shared" si="21"/>
        <v>OK</v>
      </c>
      <c r="M480" t="str">
        <f t="shared" si="22"/>
        <v>OK</v>
      </c>
      <c r="N480" t="str">
        <f t="shared" si="23"/>
        <v>OK</v>
      </c>
    </row>
    <row r="481" spans="1:14" ht="28.8" x14ac:dyDescent="0.3">
      <c r="A481">
        <v>49</v>
      </c>
      <c r="B481">
        <v>2024</v>
      </c>
      <c r="C481" s="2">
        <v>45399</v>
      </c>
      <c r="D481" s="7" t="s">
        <v>11</v>
      </c>
      <c r="E481" s="8" t="s">
        <v>20</v>
      </c>
      <c r="F481" s="8" t="s">
        <v>13</v>
      </c>
      <c r="G481" s="10">
        <v>96</v>
      </c>
      <c r="H481" s="10">
        <v>96</v>
      </c>
      <c r="I481" s="10">
        <v>96</v>
      </c>
      <c r="J481" s="10">
        <v>96</v>
      </c>
      <c r="K481" s="10">
        <v>96</v>
      </c>
      <c r="L481" t="str">
        <f t="shared" si="21"/>
        <v>OK</v>
      </c>
      <c r="M481" t="str">
        <f t="shared" si="22"/>
        <v>OK</v>
      </c>
      <c r="N481" t="str">
        <f t="shared" si="23"/>
        <v>OK</v>
      </c>
    </row>
    <row r="482" spans="1:14" ht="28.8" x14ac:dyDescent="0.3">
      <c r="A482">
        <v>49</v>
      </c>
      <c r="B482">
        <v>2024</v>
      </c>
      <c r="C482" s="2">
        <v>45399</v>
      </c>
      <c r="D482" s="3" t="s">
        <v>11</v>
      </c>
      <c r="E482" s="4" t="s">
        <v>21</v>
      </c>
      <c r="F482" s="4" t="s">
        <v>13</v>
      </c>
      <c r="G482" s="6">
        <v>30</v>
      </c>
      <c r="H482" s="6">
        <v>30</v>
      </c>
      <c r="I482" s="6">
        <v>36</v>
      </c>
      <c r="J482" s="6" t="s">
        <v>209</v>
      </c>
      <c r="K482" s="6">
        <v>30</v>
      </c>
      <c r="L482" t="str">
        <f t="shared" si="21"/>
        <v>OK</v>
      </c>
      <c r="M482" t="str">
        <f t="shared" si="22"/>
        <v>OK</v>
      </c>
      <c r="N482" t="str">
        <f t="shared" si="23"/>
        <v>ERRO</v>
      </c>
    </row>
    <row r="483" spans="1:14" ht="28.8" x14ac:dyDescent="0.3">
      <c r="A483">
        <v>49</v>
      </c>
      <c r="B483">
        <v>2024</v>
      </c>
      <c r="C483" s="2">
        <v>45399</v>
      </c>
      <c r="D483" s="7" t="s">
        <v>11</v>
      </c>
      <c r="E483" s="8" t="s">
        <v>73</v>
      </c>
      <c r="F483" s="8" t="s">
        <v>13</v>
      </c>
      <c r="G483" s="9"/>
      <c r="H483" s="10">
        <v>90</v>
      </c>
      <c r="I483" s="10">
        <v>108</v>
      </c>
      <c r="J483" s="10">
        <v>98</v>
      </c>
      <c r="K483" s="10">
        <v>96</v>
      </c>
      <c r="L483" t="str">
        <f t="shared" si="21"/>
        <v>OK</v>
      </c>
      <c r="M483" t="str">
        <f t="shared" si="22"/>
        <v>OK</v>
      </c>
      <c r="N483" t="str">
        <f t="shared" si="23"/>
        <v>OK</v>
      </c>
    </row>
    <row r="484" spans="1:14" ht="28.8" x14ac:dyDescent="0.3">
      <c r="A484">
        <v>49</v>
      </c>
      <c r="B484">
        <v>2024</v>
      </c>
      <c r="C484" s="2">
        <v>45399</v>
      </c>
      <c r="D484" s="3" t="s">
        <v>11</v>
      </c>
      <c r="E484" s="4" t="s">
        <v>23</v>
      </c>
      <c r="F484" s="4" t="s">
        <v>13</v>
      </c>
      <c r="G484" s="5"/>
      <c r="H484" s="6">
        <v>30</v>
      </c>
      <c r="I484" s="6">
        <v>36</v>
      </c>
      <c r="J484" s="6" t="s">
        <v>208</v>
      </c>
      <c r="K484" s="6">
        <v>35</v>
      </c>
      <c r="L484" t="str">
        <f t="shared" si="21"/>
        <v>OK</v>
      </c>
      <c r="M484" t="str">
        <f t="shared" si="22"/>
        <v>OK</v>
      </c>
      <c r="N484" t="str">
        <f t="shared" si="23"/>
        <v>ERRO</v>
      </c>
    </row>
    <row r="485" spans="1:14" ht="28.8" x14ac:dyDescent="0.3">
      <c r="A485">
        <v>49</v>
      </c>
      <c r="B485">
        <v>2024</v>
      </c>
      <c r="C485" s="2">
        <v>45399</v>
      </c>
      <c r="D485" s="7" t="s">
        <v>11</v>
      </c>
      <c r="E485" s="8" t="s">
        <v>24</v>
      </c>
      <c r="F485" s="8" t="s">
        <v>13</v>
      </c>
      <c r="G485" s="10">
        <v>84</v>
      </c>
      <c r="H485" s="10">
        <v>84</v>
      </c>
      <c r="I485" s="10">
        <v>84</v>
      </c>
      <c r="J485" s="10">
        <v>84</v>
      </c>
      <c r="K485" s="10">
        <v>84</v>
      </c>
      <c r="L485" t="str">
        <f t="shared" si="21"/>
        <v>OK</v>
      </c>
      <c r="M485" t="str">
        <f t="shared" si="22"/>
        <v>OK</v>
      </c>
      <c r="N485" t="str">
        <f t="shared" si="23"/>
        <v>OK</v>
      </c>
    </row>
    <row r="486" spans="1:14" ht="28.8" x14ac:dyDescent="0.3">
      <c r="A486">
        <v>49</v>
      </c>
      <c r="B486">
        <v>2024</v>
      </c>
      <c r="C486" s="2">
        <v>45399</v>
      </c>
      <c r="D486" s="3" t="s">
        <v>11</v>
      </c>
      <c r="E486" s="4" t="s">
        <v>25</v>
      </c>
      <c r="F486" s="4" t="s">
        <v>26</v>
      </c>
      <c r="G486" s="5"/>
      <c r="H486" s="6">
        <v>60</v>
      </c>
      <c r="I486" s="6">
        <v>72</v>
      </c>
      <c r="J486" s="6" t="s">
        <v>83</v>
      </c>
      <c r="K486" s="6">
        <v>62</v>
      </c>
      <c r="L486" t="str">
        <f t="shared" si="21"/>
        <v>OK</v>
      </c>
      <c r="M486" t="str">
        <f t="shared" si="22"/>
        <v>OK</v>
      </c>
      <c r="N486" t="str">
        <f t="shared" si="23"/>
        <v>ERRO</v>
      </c>
    </row>
    <row r="487" spans="1:14" ht="28.8" x14ac:dyDescent="0.3">
      <c r="A487">
        <v>49</v>
      </c>
      <c r="B487">
        <v>2024</v>
      </c>
      <c r="C487" s="2">
        <v>45399</v>
      </c>
      <c r="D487" s="7" t="s">
        <v>11</v>
      </c>
      <c r="E487" s="8" t="s">
        <v>27</v>
      </c>
      <c r="F487" s="8" t="s">
        <v>13</v>
      </c>
      <c r="G487" s="9"/>
      <c r="H487" s="10">
        <v>60</v>
      </c>
      <c r="I487" s="10">
        <v>100</v>
      </c>
      <c r="J487" s="10" t="s">
        <v>158</v>
      </c>
      <c r="K487" s="10">
        <v>70</v>
      </c>
      <c r="L487" t="str">
        <f t="shared" si="21"/>
        <v>OK</v>
      </c>
      <c r="M487" t="str">
        <f t="shared" si="22"/>
        <v>OK</v>
      </c>
      <c r="N487" t="str">
        <f t="shared" si="23"/>
        <v>ERRO</v>
      </c>
    </row>
    <row r="488" spans="1:14" ht="28.8" x14ac:dyDescent="0.3">
      <c r="A488">
        <v>49</v>
      </c>
      <c r="B488">
        <v>2024</v>
      </c>
      <c r="C488" s="2">
        <v>45399</v>
      </c>
      <c r="D488" s="3" t="s">
        <v>11</v>
      </c>
      <c r="E488" s="4" t="s">
        <v>28</v>
      </c>
      <c r="F488" s="4" t="s">
        <v>13</v>
      </c>
      <c r="G488" s="5"/>
      <c r="H488" s="6">
        <v>48</v>
      </c>
      <c r="I488" s="6">
        <v>60</v>
      </c>
      <c r="J488" s="6" t="s">
        <v>210</v>
      </c>
      <c r="K488" s="6">
        <v>55</v>
      </c>
      <c r="L488" t="str">
        <f t="shared" si="21"/>
        <v>OK</v>
      </c>
      <c r="M488" t="str">
        <f t="shared" si="22"/>
        <v>OK</v>
      </c>
      <c r="N488" t="str">
        <f t="shared" si="23"/>
        <v>ERRO</v>
      </c>
    </row>
    <row r="489" spans="1:14" ht="28.8" x14ac:dyDescent="0.3">
      <c r="A489">
        <v>49</v>
      </c>
      <c r="B489">
        <v>2024</v>
      </c>
      <c r="C489" s="2">
        <v>45399</v>
      </c>
      <c r="D489" s="7" t="s">
        <v>11</v>
      </c>
      <c r="E489" s="8" t="s">
        <v>29</v>
      </c>
      <c r="F489" s="8" t="s">
        <v>13</v>
      </c>
      <c r="G489" s="9"/>
      <c r="H489" s="10">
        <v>42</v>
      </c>
      <c r="I489" s="10">
        <v>54</v>
      </c>
      <c r="J489" s="10">
        <v>48</v>
      </c>
      <c r="K489" s="10">
        <v>48</v>
      </c>
      <c r="L489" t="str">
        <f t="shared" si="21"/>
        <v>OK</v>
      </c>
      <c r="M489" t="str">
        <f t="shared" si="22"/>
        <v>OK</v>
      </c>
      <c r="N489" t="str">
        <f t="shared" si="23"/>
        <v>OK</v>
      </c>
    </row>
    <row r="490" spans="1:14" ht="28.8" x14ac:dyDescent="0.3">
      <c r="A490">
        <v>49</v>
      </c>
      <c r="B490">
        <v>2024</v>
      </c>
      <c r="C490" s="2">
        <v>45399</v>
      </c>
      <c r="D490" s="3" t="s">
        <v>30</v>
      </c>
      <c r="E490" s="4" t="s">
        <v>31</v>
      </c>
      <c r="F490" s="4" t="s">
        <v>32</v>
      </c>
      <c r="G490" s="6">
        <v>6</v>
      </c>
      <c r="H490" s="6" t="s">
        <v>97</v>
      </c>
      <c r="I490" s="6">
        <v>6</v>
      </c>
      <c r="J490" s="6" t="s">
        <v>211</v>
      </c>
      <c r="K490" s="6" t="s">
        <v>212</v>
      </c>
      <c r="L490" t="str">
        <f t="shared" si="21"/>
        <v>ERRO</v>
      </c>
      <c r="M490" t="str">
        <f t="shared" si="22"/>
        <v>OK</v>
      </c>
      <c r="N490" t="str">
        <f t="shared" si="23"/>
        <v>ERRO</v>
      </c>
    </row>
    <row r="491" spans="1:14" ht="28.8" x14ac:dyDescent="0.3">
      <c r="A491">
        <v>49</v>
      </c>
      <c r="B491">
        <v>2024</v>
      </c>
      <c r="C491" s="2">
        <v>45399</v>
      </c>
      <c r="D491" s="7" t="s">
        <v>30</v>
      </c>
      <c r="E491" s="8" t="s">
        <v>34</v>
      </c>
      <c r="F491" s="8" t="s">
        <v>35</v>
      </c>
      <c r="G491" s="10">
        <v>30</v>
      </c>
      <c r="H491" s="10">
        <v>20</v>
      </c>
      <c r="I491" s="10">
        <v>30</v>
      </c>
      <c r="J491" s="10">
        <v>27</v>
      </c>
      <c r="K491" s="10">
        <v>29</v>
      </c>
      <c r="L491" t="str">
        <f t="shared" si="21"/>
        <v>OK</v>
      </c>
      <c r="M491" t="str">
        <f t="shared" si="22"/>
        <v>OK</v>
      </c>
      <c r="N491" t="str">
        <f t="shared" si="23"/>
        <v>OK</v>
      </c>
    </row>
    <row r="492" spans="1:14" ht="28.8" x14ac:dyDescent="0.3">
      <c r="A492">
        <v>49</v>
      </c>
      <c r="B492">
        <v>2024</v>
      </c>
      <c r="C492" s="2">
        <v>45399</v>
      </c>
      <c r="D492" s="3" t="s">
        <v>30</v>
      </c>
      <c r="E492" s="4" t="s">
        <v>36</v>
      </c>
      <c r="F492" s="4" t="s">
        <v>35</v>
      </c>
      <c r="G492" s="6">
        <v>30</v>
      </c>
      <c r="H492" s="6">
        <v>30</v>
      </c>
      <c r="I492" s="6">
        <v>40</v>
      </c>
      <c r="J492" s="6" t="s">
        <v>213</v>
      </c>
      <c r="K492" s="6" t="s">
        <v>107</v>
      </c>
      <c r="L492" t="str">
        <f t="shared" si="21"/>
        <v>OK</v>
      </c>
      <c r="M492" t="str">
        <f t="shared" si="22"/>
        <v>OK</v>
      </c>
      <c r="N492" t="str">
        <f t="shared" si="23"/>
        <v>ERRO</v>
      </c>
    </row>
    <row r="493" spans="1:14" ht="43.2" x14ac:dyDescent="0.3">
      <c r="A493">
        <v>49</v>
      </c>
      <c r="B493">
        <v>2024</v>
      </c>
      <c r="C493" s="2">
        <v>45399</v>
      </c>
      <c r="D493" s="7" t="s">
        <v>38</v>
      </c>
      <c r="E493" s="8" t="s">
        <v>153</v>
      </c>
      <c r="F493" s="8" t="s">
        <v>154</v>
      </c>
      <c r="G493" s="10">
        <v>110</v>
      </c>
      <c r="H493" s="10">
        <v>110</v>
      </c>
      <c r="I493" s="10">
        <v>120</v>
      </c>
      <c r="J493" s="10" t="s">
        <v>214</v>
      </c>
      <c r="K493" s="10">
        <v>110</v>
      </c>
      <c r="L493" t="str">
        <f t="shared" si="21"/>
        <v>OK</v>
      </c>
      <c r="M493" t="str">
        <f t="shared" si="22"/>
        <v>OK</v>
      </c>
      <c r="N493" t="str">
        <f t="shared" si="23"/>
        <v>ERRO</v>
      </c>
    </row>
    <row r="494" spans="1:14" ht="43.2" x14ac:dyDescent="0.3">
      <c r="A494">
        <v>49</v>
      </c>
      <c r="B494">
        <v>2024</v>
      </c>
      <c r="C494" s="2">
        <v>45399</v>
      </c>
      <c r="D494" s="3" t="s">
        <v>38</v>
      </c>
      <c r="E494" s="4" t="s">
        <v>39</v>
      </c>
      <c r="F494" s="4" t="s">
        <v>40</v>
      </c>
      <c r="G494" s="5"/>
      <c r="H494" s="6">
        <v>60</v>
      </c>
      <c r="I494" s="6">
        <v>80</v>
      </c>
      <c r="J494" s="6" t="s">
        <v>94</v>
      </c>
      <c r="K494" s="6" t="s">
        <v>84</v>
      </c>
      <c r="L494" t="str">
        <f t="shared" si="21"/>
        <v>OK</v>
      </c>
      <c r="M494" t="str">
        <f t="shared" si="22"/>
        <v>OK</v>
      </c>
      <c r="N494" t="str">
        <f t="shared" si="23"/>
        <v>ERRO</v>
      </c>
    </row>
    <row r="495" spans="1:14" ht="43.2" x14ac:dyDescent="0.3">
      <c r="A495">
        <v>49</v>
      </c>
      <c r="B495">
        <v>2024</v>
      </c>
      <c r="C495" s="2">
        <v>45399</v>
      </c>
      <c r="D495" s="7" t="s">
        <v>38</v>
      </c>
      <c r="E495" s="8" t="s">
        <v>42</v>
      </c>
      <c r="F495" s="8" t="s">
        <v>43</v>
      </c>
      <c r="G495" s="10">
        <v>75</v>
      </c>
      <c r="H495" s="10">
        <v>50</v>
      </c>
      <c r="I495" s="10">
        <v>75</v>
      </c>
      <c r="J495" s="10">
        <v>69</v>
      </c>
      <c r="K495" s="10">
        <v>75</v>
      </c>
      <c r="L495" t="str">
        <f t="shared" si="21"/>
        <v>OK</v>
      </c>
      <c r="M495" t="str">
        <f t="shared" si="22"/>
        <v>OK</v>
      </c>
      <c r="N495" t="str">
        <f t="shared" si="23"/>
        <v>OK</v>
      </c>
    </row>
    <row r="496" spans="1:14" ht="43.2" x14ac:dyDescent="0.3">
      <c r="A496">
        <v>49</v>
      </c>
      <c r="B496">
        <v>2024</v>
      </c>
      <c r="C496" s="2">
        <v>45399</v>
      </c>
      <c r="D496" s="3" t="s">
        <v>38</v>
      </c>
      <c r="E496" s="4" t="s">
        <v>44</v>
      </c>
      <c r="F496" s="4" t="s">
        <v>45</v>
      </c>
      <c r="G496" s="6">
        <v>45</v>
      </c>
      <c r="H496" s="6">
        <v>30</v>
      </c>
      <c r="I496" s="6">
        <v>50</v>
      </c>
      <c r="J496" s="6">
        <v>44</v>
      </c>
      <c r="K496" s="6">
        <v>45</v>
      </c>
      <c r="L496" t="str">
        <f t="shared" si="21"/>
        <v>OK</v>
      </c>
      <c r="M496" t="str">
        <f t="shared" si="22"/>
        <v>OK</v>
      </c>
      <c r="N496" t="str">
        <f t="shared" si="23"/>
        <v>OK</v>
      </c>
    </row>
    <row r="497" spans="1:14" ht="43.2" x14ac:dyDescent="0.3">
      <c r="A497">
        <v>49</v>
      </c>
      <c r="B497">
        <v>2024</v>
      </c>
      <c r="C497" s="2">
        <v>45399</v>
      </c>
      <c r="D497" s="7" t="s">
        <v>38</v>
      </c>
      <c r="E497" s="8" t="s">
        <v>48</v>
      </c>
      <c r="F497" s="8" t="s">
        <v>45</v>
      </c>
      <c r="G497" s="9"/>
      <c r="H497" s="10">
        <v>110</v>
      </c>
      <c r="I497" s="10">
        <v>110</v>
      </c>
      <c r="J497" s="10">
        <v>110</v>
      </c>
      <c r="K497" s="10">
        <v>110</v>
      </c>
      <c r="L497" t="str">
        <f t="shared" si="21"/>
        <v>OK</v>
      </c>
      <c r="M497" t="str">
        <f t="shared" si="22"/>
        <v>OK</v>
      </c>
      <c r="N497" t="str">
        <f t="shared" si="23"/>
        <v>OK</v>
      </c>
    </row>
    <row r="498" spans="1:14" ht="43.2" x14ac:dyDescent="0.3">
      <c r="A498">
        <v>49</v>
      </c>
      <c r="B498">
        <v>2024</v>
      </c>
      <c r="C498" s="2">
        <v>45399</v>
      </c>
      <c r="D498" s="3" t="s">
        <v>38</v>
      </c>
      <c r="E498" s="4" t="s">
        <v>49</v>
      </c>
      <c r="F498" s="4" t="s">
        <v>50</v>
      </c>
      <c r="G498" s="6">
        <v>130</v>
      </c>
      <c r="H498" s="6">
        <v>80</v>
      </c>
      <c r="I498" s="6">
        <v>150</v>
      </c>
      <c r="J498" s="6" t="s">
        <v>167</v>
      </c>
      <c r="K498" s="6">
        <v>130</v>
      </c>
      <c r="L498" t="str">
        <f t="shared" si="21"/>
        <v>OK</v>
      </c>
      <c r="M498" t="str">
        <f t="shared" si="22"/>
        <v>OK</v>
      </c>
      <c r="N498" t="str">
        <f t="shared" si="23"/>
        <v>ERRO</v>
      </c>
    </row>
    <row r="499" spans="1:14" ht="43.2" x14ac:dyDescent="0.3">
      <c r="A499">
        <v>49</v>
      </c>
      <c r="B499">
        <v>2024</v>
      </c>
      <c r="C499" s="2">
        <v>45399</v>
      </c>
      <c r="D499" s="7" t="s">
        <v>38</v>
      </c>
      <c r="E499" s="8" t="s">
        <v>52</v>
      </c>
      <c r="F499" s="8" t="s">
        <v>43</v>
      </c>
      <c r="G499" s="10">
        <v>140</v>
      </c>
      <c r="H499" s="10">
        <v>80</v>
      </c>
      <c r="I499" s="10">
        <v>170</v>
      </c>
      <c r="J499" s="10">
        <v>138</v>
      </c>
      <c r="K499" s="10">
        <v>140</v>
      </c>
      <c r="L499" t="str">
        <f t="shared" si="21"/>
        <v>OK</v>
      </c>
      <c r="M499" t="str">
        <f t="shared" si="22"/>
        <v>OK</v>
      </c>
      <c r="N499" t="str">
        <f t="shared" si="23"/>
        <v>OK</v>
      </c>
    </row>
    <row r="500" spans="1:14" ht="43.2" x14ac:dyDescent="0.3">
      <c r="A500">
        <v>49</v>
      </c>
      <c r="B500">
        <v>2024</v>
      </c>
      <c r="C500" s="2">
        <v>45399</v>
      </c>
      <c r="D500" s="3" t="s">
        <v>38</v>
      </c>
      <c r="E500" s="4" t="s">
        <v>53</v>
      </c>
      <c r="F500" s="4" t="s">
        <v>43</v>
      </c>
      <c r="G500" s="6">
        <v>60</v>
      </c>
      <c r="H500" s="6">
        <v>50</v>
      </c>
      <c r="I500" s="6">
        <v>70</v>
      </c>
      <c r="J500" s="6">
        <v>59</v>
      </c>
      <c r="K500" s="6">
        <v>60</v>
      </c>
      <c r="L500" t="str">
        <f t="shared" si="21"/>
        <v>OK</v>
      </c>
      <c r="M500" t="str">
        <f t="shared" si="22"/>
        <v>OK</v>
      </c>
      <c r="N500" t="str">
        <f t="shared" si="23"/>
        <v>OK</v>
      </c>
    </row>
    <row r="501" spans="1:14" ht="43.2" x14ac:dyDescent="0.3">
      <c r="A501">
        <v>49</v>
      </c>
      <c r="B501">
        <v>2024</v>
      </c>
      <c r="C501" s="2">
        <v>45399</v>
      </c>
      <c r="D501" s="7" t="s">
        <v>38</v>
      </c>
      <c r="E501" s="8" t="s">
        <v>54</v>
      </c>
      <c r="F501" s="8" t="s">
        <v>40</v>
      </c>
      <c r="G501" s="9"/>
      <c r="H501" s="10">
        <v>80</v>
      </c>
      <c r="I501" s="10">
        <v>120</v>
      </c>
      <c r="J501" s="10" t="s">
        <v>184</v>
      </c>
      <c r="K501" s="10">
        <v>90</v>
      </c>
      <c r="L501" t="str">
        <f t="shared" si="21"/>
        <v>OK</v>
      </c>
      <c r="M501" t="str">
        <f t="shared" si="22"/>
        <v>OK</v>
      </c>
      <c r="N501" t="str">
        <f t="shared" si="23"/>
        <v>ERRO</v>
      </c>
    </row>
    <row r="502" spans="1:14" ht="43.2" x14ac:dyDescent="0.3">
      <c r="A502">
        <v>49</v>
      </c>
      <c r="B502">
        <v>2024</v>
      </c>
      <c r="C502" s="2">
        <v>45399</v>
      </c>
      <c r="D502" s="3" t="s">
        <v>38</v>
      </c>
      <c r="E502" s="4" t="s">
        <v>56</v>
      </c>
      <c r="F502" s="4" t="s">
        <v>43</v>
      </c>
      <c r="G502" s="5"/>
      <c r="H502" s="5"/>
      <c r="I502" s="5"/>
      <c r="J502" s="5"/>
      <c r="K502" s="5"/>
      <c r="L502" t="str">
        <f t="shared" si="21"/>
        <v>OK</v>
      </c>
      <c r="M502" t="str">
        <f t="shared" si="22"/>
        <v>OK</v>
      </c>
      <c r="N502" t="str">
        <f t="shared" si="23"/>
        <v>OK</v>
      </c>
    </row>
    <row r="503" spans="1:14" ht="43.2" x14ac:dyDescent="0.3">
      <c r="A503">
        <v>49</v>
      </c>
      <c r="B503">
        <v>2024</v>
      </c>
      <c r="C503" s="2">
        <v>45399</v>
      </c>
      <c r="D503" s="7" t="s">
        <v>38</v>
      </c>
      <c r="E503" s="8" t="s">
        <v>57</v>
      </c>
      <c r="F503" s="8" t="s">
        <v>40</v>
      </c>
      <c r="G503" s="10">
        <v>70</v>
      </c>
      <c r="H503" s="10">
        <v>60</v>
      </c>
      <c r="I503" s="10">
        <v>80</v>
      </c>
      <c r="J503" s="10">
        <v>70</v>
      </c>
      <c r="K503" s="10">
        <v>70</v>
      </c>
      <c r="L503" t="str">
        <f t="shared" si="21"/>
        <v>OK</v>
      </c>
      <c r="M503" t="str">
        <f t="shared" si="22"/>
        <v>OK</v>
      </c>
      <c r="N503" t="str">
        <f t="shared" si="23"/>
        <v>OK</v>
      </c>
    </row>
    <row r="504" spans="1:14" ht="43.2" x14ac:dyDescent="0.3">
      <c r="A504">
        <v>49</v>
      </c>
      <c r="B504">
        <v>2024</v>
      </c>
      <c r="C504" s="2">
        <v>45399</v>
      </c>
      <c r="D504" s="3" t="s">
        <v>38</v>
      </c>
      <c r="E504" s="4" t="s">
        <v>58</v>
      </c>
      <c r="F504" s="4" t="s">
        <v>40</v>
      </c>
      <c r="G504" s="6">
        <v>90</v>
      </c>
      <c r="H504" s="6">
        <v>80</v>
      </c>
      <c r="I504" s="6">
        <v>100</v>
      </c>
      <c r="J504" s="6">
        <v>89</v>
      </c>
      <c r="K504" s="6">
        <v>90</v>
      </c>
      <c r="L504" t="str">
        <f t="shared" si="21"/>
        <v>OK</v>
      </c>
      <c r="M504" t="str">
        <f t="shared" si="22"/>
        <v>OK</v>
      </c>
      <c r="N504" t="str">
        <f t="shared" si="23"/>
        <v>OK</v>
      </c>
    </row>
    <row r="505" spans="1:14" ht="43.2" x14ac:dyDescent="0.3">
      <c r="A505">
        <v>49</v>
      </c>
      <c r="B505">
        <v>2024</v>
      </c>
      <c r="C505" s="2">
        <v>45399</v>
      </c>
      <c r="D505" s="7" t="s">
        <v>38</v>
      </c>
      <c r="E505" s="8" t="s">
        <v>59</v>
      </c>
      <c r="F505" s="8" t="s">
        <v>45</v>
      </c>
      <c r="G505" s="10">
        <v>70</v>
      </c>
      <c r="H505" s="10">
        <v>45</v>
      </c>
      <c r="I505" s="10">
        <v>100</v>
      </c>
      <c r="J505" s="10" t="s">
        <v>215</v>
      </c>
      <c r="K505" s="10">
        <v>70</v>
      </c>
      <c r="L505" t="str">
        <f t="shared" si="21"/>
        <v>OK</v>
      </c>
      <c r="M505" t="str">
        <f t="shared" si="22"/>
        <v>OK</v>
      </c>
      <c r="N505" t="str">
        <f t="shared" si="23"/>
        <v>ERRO</v>
      </c>
    </row>
    <row r="506" spans="1:14" ht="43.2" x14ac:dyDescent="0.3">
      <c r="A506">
        <v>49</v>
      </c>
      <c r="B506">
        <v>2024</v>
      </c>
      <c r="C506" s="2">
        <v>45399</v>
      </c>
      <c r="D506" s="3" t="s">
        <v>38</v>
      </c>
      <c r="E506" s="4" t="s">
        <v>60</v>
      </c>
      <c r="F506" s="4" t="s">
        <v>61</v>
      </c>
      <c r="G506" s="6">
        <v>120</v>
      </c>
      <c r="H506" s="6">
        <v>100</v>
      </c>
      <c r="I506" s="6">
        <v>120</v>
      </c>
      <c r="J506" s="6">
        <v>112</v>
      </c>
      <c r="K506" s="6">
        <v>120</v>
      </c>
      <c r="L506" t="str">
        <f t="shared" si="21"/>
        <v>OK</v>
      </c>
      <c r="M506" t="str">
        <f t="shared" si="22"/>
        <v>OK</v>
      </c>
      <c r="N506" t="str">
        <f t="shared" si="23"/>
        <v>OK</v>
      </c>
    </row>
    <row r="507" spans="1:14" ht="43.2" x14ac:dyDescent="0.3">
      <c r="A507">
        <v>49</v>
      </c>
      <c r="B507">
        <v>2024</v>
      </c>
      <c r="C507" s="2">
        <v>45399</v>
      </c>
      <c r="D507" s="7" t="s">
        <v>38</v>
      </c>
      <c r="E507" s="8" t="s">
        <v>63</v>
      </c>
      <c r="F507" s="8" t="s">
        <v>40</v>
      </c>
      <c r="G507" s="9"/>
      <c r="H507" s="10">
        <v>65</v>
      </c>
      <c r="I507" s="10">
        <v>130</v>
      </c>
      <c r="J507" s="10" t="s">
        <v>216</v>
      </c>
      <c r="K507" s="10">
        <v>85</v>
      </c>
      <c r="L507" t="str">
        <f t="shared" si="21"/>
        <v>OK</v>
      </c>
      <c r="M507" t="str">
        <f t="shared" si="22"/>
        <v>OK</v>
      </c>
      <c r="N507" t="str">
        <f t="shared" si="23"/>
        <v>ERRO</v>
      </c>
    </row>
    <row r="508" spans="1:14" ht="43.2" x14ac:dyDescent="0.3">
      <c r="A508">
        <v>49</v>
      </c>
      <c r="B508">
        <v>2024</v>
      </c>
      <c r="C508" s="2">
        <v>45399</v>
      </c>
      <c r="D508" s="3" t="s">
        <v>38</v>
      </c>
      <c r="E508" s="4" t="s">
        <v>64</v>
      </c>
      <c r="F508" s="4" t="s">
        <v>40</v>
      </c>
      <c r="G508" s="6">
        <v>130</v>
      </c>
      <c r="H508" s="6">
        <v>130</v>
      </c>
      <c r="I508" s="6">
        <v>150</v>
      </c>
      <c r="J508" s="6" t="s">
        <v>171</v>
      </c>
      <c r="K508" s="6">
        <v>130</v>
      </c>
      <c r="L508" t="str">
        <f t="shared" si="21"/>
        <v>OK</v>
      </c>
      <c r="M508" t="str">
        <f t="shared" si="22"/>
        <v>OK</v>
      </c>
      <c r="N508" t="str">
        <f t="shared" si="23"/>
        <v>ERRO</v>
      </c>
    </row>
    <row r="509" spans="1:14" x14ac:dyDescent="0.3">
      <c r="A509">
        <v>49</v>
      </c>
      <c r="B509">
        <v>2024</v>
      </c>
      <c r="C509" s="2">
        <v>45399</v>
      </c>
      <c r="D509" s="7" t="s">
        <v>65</v>
      </c>
      <c r="E509" s="8" t="s">
        <v>66</v>
      </c>
      <c r="F509" s="8" t="s">
        <v>45</v>
      </c>
      <c r="G509" s="9"/>
      <c r="H509" s="10">
        <v>65</v>
      </c>
      <c r="I509" s="10">
        <v>65</v>
      </c>
      <c r="J509" s="10">
        <v>65</v>
      </c>
      <c r="K509" s="10">
        <v>65</v>
      </c>
      <c r="L509" t="str">
        <f t="shared" si="21"/>
        <v>OK</v>
      </c>
      <c r="M509" t="str">
        <f t="shared" si="22"/>
        <v>OK</v>
      </c>
      <c r="N509" t="str">
        <f t="shared" si="23"/>
        <v>OK</v>
      </c>
    </row>
    <row r="510" spans="1:14" x14ac:dyDescent="0.3">
      <c r="A510">
        <v>49</v>
      </c>
      <c r="B510">
        <v>2024</v>
      </c>
      <c r="C510" s="2">
        <v>45399</v>
      </c>
      <c r="D510" s="3" t="s">
        <v>65</v>
      </c>
      <c r="E510" s="4" t="s">
        <v>67</v>
      </c>
      <c r="F510" s="4" t="s">
        <v>45</v>
      </c>
      <c r="G510" s="5"/>
      <c r="H510" s="6">
        <v>75</v>
      </c>
      <c r="I510" s="6">
        <v>124</v>
      </c>
      <c r="J510" s="6" t="s">
        <v>217</v>
      </c>
      <c r="K510" s="6" t="s">
        <v>217</v>
      </c>
      <c r="L510" t="str">
        <f t="shared" si="21"/>
        <v>OK</v>
      </c>
      <c r="M510" t="str">
        <f t="shared" si="22"/>
        <v>OK</v>
      </c>
      <c r="N510" t="str">
        <f t="shared" si="23"/>
        <v>ERRO</v>
      </c>
    </row>
    <row r="511" spans="1:14" x14ac:dyDescent="0.3">
      <c r="A511">
        <v>49</v>
      </c>
      <c r="B511">
        <v>2024</v>
      </c>
      <c r="C511" s="2">
        <v>45399</v>
      </c>
      <c r="D511" s="7" t="s">
        <v>65</v>
      </c>
      <c r="E511" s="8" t="s">
        <v>68</v>
      </c>
      <c r="F511" s="8" t="s">
        <v>45</v>
      </c>
      <c r="G511" s="9"/>
      <c r="H511" s="10">
        <v>45</v>
      </c>
      <c r="I511" s="10">
        <v>70</v>
      </c>
      <c r="J511" s="10" t="s">
        <v>41</v>
      </c>
      <c r="K511" s="10" t="s">
        <v>41</v>
      </c>
      <c r="L511" t="str">
        <f t="shared" si="21"/>
        <v>OK</v>
      </c>
      <c r="M511" t="str">
        <f t="shared" si="22"/>
        <v>OK</v>
      </c>
      <c r="N511" t="str">
        <f t="shared" si="23"/>
        <v>ERRO</v>
      </c>
    </row>
    <row r="512" spans="1:14" x14ac:dyDescent="0.3">
      <c r="A512">
        <v>49</v>
      </c>
      <c r="B512">
        <v>2024</v>
      </c>
      <c r="C512" s="2">
        <v>45399</v>
      </c>
      <c r="D512" s="3" t="s">
        <v>65</v>
      </c>
      <c r="E512" s="4" t="s">
        <v>69</v>
      </c>
      <c r="F512" s="4" t="s">
        <v>45</v>
      </c>
      <c r="G512" s="5"/>
      <c r="H512" s="6">
        <v>50</v>
      </c>
      <c r="I512" s="6">
        <v>50</v>
      </c>
      <c r="J512" s="6">
        <v>50</v>
      </c>
      <c r="K512" s="6">
        <v>50</v>
      </c>
      <c r="L512" t="str">
        <f t="shared" si="21"/>
        <v>OK</v>
      </c>
      <c r="M512" t="str">
        <f t="shared" si="22"/>
        <v>OK</v>
      </c>
      <c r="N512" t="str">
        <f t="shared" si="23"/>
        <v>OK</v>
      </c>
    </row>
    <row r="513" spans="1:14" x14ac:dyDescent="0.3">
      <c r="A513">
        <v>49</v>
      </c>
      <c r="B513">
        <v>2024</v>
      </c>
      <c r="C513" s="2">
        <v>45399</v>
      </c>
      <c r="D513" s="7" t="s">
        <v>65</v>
      </c>
      <c r="E513" s="8" t="s">
        <v>70</v>
      </c>
      <c r="F513" s="8" t="s">
        <v>71</v>
      </c>
      <c r="G513" s="9"/>
      <c r="H513" s="10">
        <v>75</v>
      </c>
      <c r="I513" s="10">
        <v>88</v>
      </c>
      <c r="J513" s="10" t="s">
        <v>218</v>
      </c>
      <c r="K513" s="10" t="s">
        <v>218</v>
      </c>
      <c r="L513" t="str">
        <f t="shared" si="21"/>
        <v>OK</v>
      </c>
      <c r="M513" t="str">
        <f t="shared" si="22"/>
        <v>OK</v>
      </c>
      <c r="N513" t="str">
        <f t="shared" si="23"/>
        <v>ERRO</v>
      </c>
    </row>
    <row r="514" spans="1:14" ht="28.8" x14ac:dyDescent="0.3">
      <c r="A514">
        <v>50</v>
      </c>
      <c r="B514">
        <v>2024</v>
      </c>
      <c r="C514" s="2">
        <v>45406</v>
      </c>
      <c r="D514" s="3" t="s">
        <v>11</v>
      </c>
      <c r="E514" s="4" t="s">
        <v>12</v>
      </c>
      <c r="F514" s="4" t="s">
        <v>13</v>
      </c>
      <c r="G514" s="5"/>
      <c r="H514" s="6">
        <v>48</v>
      </c>
      <c r="I514" s="6">
        <v>72</v>
      </c>
      <c r="J514" s="6">
        <v>60</v>
      </c>
      <c r="K514" s="6">
        <v>60</v>
      </c>
      <c r="L514" t="str">
        <f t="shared" si="21"/>
        <v>OK</v>
      </c>
      <c r="M514" t="str">
        <f t="shared" si="22"/>
        <v>OK</v>
      </c>
      <c r="N514" t="str">
        <f t="shared" si="23"/>
        <v>OK</v>
      </c>
    </row>
    <row r="515" spans="1:14" ht="28.8" x14ac:dyDescent="0.3">
      <c r="A515">
        <v>50</v>
      </c>
      <c r="B515">
        <v>2024</v>
      </c>
      <c r="C515" s="2">
        <v>45406</v>
      </c>
      <c r="D515" s="7" t="s">
        <v>11</v>
      </c>
      <c r="E515" s="8" t="s">
        <v>14</v>
      </c>
      <c r="F515" s="8" t="s">
        <v>13</v>
      </c>
      <c r="G515" s="10">
        <v>84</v>
      </c>
      <c r="H515" s="10">
        <v>72</v>
      </c>
      <c r="I515" s="10">
        <v>84</v>
      </c>
      <c r="J515" s="10">
        <v>80</v>
      </c>
      <c r="K515" s="10">
        <v>84</v>
      </c>
      <c r="L515" t="str">
        <f t="shared" ref="L515:L578" si="24">IF(H515&gt;I515,"ERRO","OK")</f>
        <v>OK</v>
      </c>
      <c r="M515" t="str">
        <f t="shared" ref="M515:M578" si="25">IF(H515&gt;J515,"ERRO","OK")</f>
        <v>OK</v>
      </c>
      <c r="N515" t="str">
        <f t="shared" ref="N515:N578" si="26">IF(I515&lt;J515,"ERRO","OK")</f>
        <v>OK</v>
      </c>
    </row>
    <row r="516" spans="1:14" ht="28.8" x14ac:dyDescent="0.3">
      <c r="A516">
        <v>50</v>
      </c>
      <c r="B516">
        <v>2024</v>
      </c>
      <c r="C516" s="2">
        <v>45406</v>
      </c>
      <c r="D516" s="3" t="s">
        <v>11</v>
      </c>
      <c r="E516" s="4" t="s">
        <v>15</v>
      </c>
      <c r="F516" s="4" t="s">
        <v>13</v>
      </c>
      <c r="G516" s="5"/>
      <c r="H516" s="6">
        <v>42</v>
      </c>
      <c r="I516" s="6">
        <v>60</v>
      </c>
      <c r="J516" s="6">
        <v>50</v>
      </c>
      <c r="K516" s="6">
        <v>48</v>
      </c>
      <c r="L516" t="str">
        <f t="shared" si="24"/>
        <v>OK</v>
      </c>
      <c r="M516" t="str">
        <f t="shared" si="25"/>
        <v>OK</v>
      </c>
      <c r="N516" t="str">
        <f t="shared" si="26"/>
        <v>OK</v>
      </c>
    </row>
    <row r="517" spans="1:14" ht="28.8" x14ac:dyDescent="0.3">
      <c r="A517">
        <v>50</v>
      </c>
      <c r="B517">
        <v>2024</v>
      </c>
      <c r="C517" s="2">
        <v>45406</v>
      </c>
      <c r="D517" s="7" t="s">
        <v>11</v>
      </c>
      <c r="E517" s="8" t="s">
        <v>16</v>
      </c>
      <c r="F517" s="8" t="s">
        <v>13</v>
      </c>
      <c r="G517" s="10">
        <v>36</v>
      </c>
      <c r="H517" s="10">
        <v>30</v>
      </c>
      <c r="I517" s="10">
        <v>36</v>
      </c>
      <c r="J517" s="10">
        <v>34</v>
      </c>
      <c r="K517" s="10">
        <v>36</v>
      </c>
      <c r="L517" t="str">
        <f t="shared" si="24"/>
        <v>OK</v>
      </c>
      <c r="M517" t="str">
        <f t="shared" si="25"/>
        <v>OK</v>
      </c>
      <c r="N517" t="str">
        <f t="shared" si="26"/>
        <v>OK</v>
      </c>
    </row>
    <row r="518" spans="1:14" ht="28.8" x14ac:dyDescent="0.3">
      <c r="A518">
        <v>50</v>
      </c>
      <c r="B518">
        <v>2024</v>
      </c>
      <c r="C518" s="2">
        <v>45406</v>
      </c>
      <c r="D518" s="3" t="s">
        <v>11</v>
      </c>
      <c r="E518" s="4" t="s">
        <v>17</v>
      </c>
      <c r="F518" s="4" t="s">
        <v>13</v>
      </c>
      <c r="G518" s="6">
        <v>36</v>
      </c>
      <c r="H518" s="6">
        <v>30</v>
      </c>
      <c r="I518" s="6">
        <v>36</v>
      </c>
      <c r="J518" s="6">
        <v>34</v>
      </c>
      <c r="K518" s="6">
        <v>36</v>
      </c>
      <c r="L518" t="str">
        <f t="shared" si="24"/>
        <v>OK</v>
      </c>
      <c r="M518" t="str">
        <f t="shared" si="25"/>
        <v>OK</v>
      </c>
      <c r="N518" t="str">
        <f t="shared" si="26"/>
        <v>OK</v>
      </c>
    </row>
    <row r="519" spans="1:14" ht="28.8" x14ac:dyDescent="0.3">
      <c r="A519">
        <v>50</v>
      </c>
      <c r="B519">
        <v>2024</v>
      </c>
      <c r="C519" s="2">
        <v>45406</v>
      </c>
      <c r="D519" s="7" t="s">
        <v>11</v>
      </c>
      <c r="E519" s="8" t="s">
        <v>18</v>
      </c>
      <c r="F519" s="8" t="s">
        <v>13</v>
      </c>
      <c r="G519" s="10">
        <v>72</v>
      </c>
      <c r="H519" s="10">
        <v>48</v>
      </c>
      <c r="I519" s="10">
        <v>72</v>
      </c>
      <c r="J519" s="10">
        <v>64</v>
      </c>
      <c r="K519" s="10">
        <v>72</v>
      </c>
      <c r="L519" t="str">
        <f t="shared" si="24"/>
        <v>OK</v>
      </c>
      <c r="M519" t="str">
        <f t="shared" si="25"/>
        <v>OK</v>
      </c>
      <c r="N519" t="str">
        <f t="shared" si="26"/>
        <v>OK</v>
      </c>
    </row>
    <row r="520" spans="1:14" ht="28.8" x14ac:dyDescent="0.3">
      <c r="A520">
        <v>50</v>
      </c>
      <c r="B520">
        <v>2024</v>
      </c>
      <c r="C520" s="2">
        <v>45406</v>
      </c>
      <c r="D520" s="3" t="s">
        <v>11</v>
      </c>
      <c r="E520" s="4" t="s">
        <v>19</v>
      </c>
      <c r="F520" s="4" t="s">
        <v>13</v>
      </c>
      <c r="G520" s="5"/>
      <c r="H520" s="6">
        <v>72</v>
      </c>
      <c r="I520" s="6">
        <v>96</v>
      </c>
      <c r="J520" s="6">
        <v>82</v>
      </c>
      <c r="K520" s="6">
        <v>78</v>
      </c>
      <c r="L520" t="str">
        <f t="shared" si="24"/>
        <v>OK</v>
      </c>
      <c r="M520" t="str">
        <f t="shared" si="25"/>
        <v>OK</v>
      </c>
      <c r="N520" t="str">
        <f t="shared" si="26"/>
        <v>OK</v>
      </c>
    </row>
    <row r="521" spans="1:14" ht="28.8" x14ac:dyDescent="0.3">
      <c r="A521">
        <v>50</v>
      </c>
      <c r="B521">
        <v>2024</v>
      </c>
      <c r="C521" s="2">
        <v>45406</v>
      </c>
      <c r="D521" s="7" t="s">
        <v>11</v>
      </c>
      <c r="E521" s="8" t="s">
        <v>20</v>
      </c>
      <c r="F521" s="8" t="s">
        <v>13</v>
      </c>
      <c r="G521" s="10">
        <v>96</v>
      </c>
      <c r="H521" s="10">
        <v>96</v>
      </c>
      <c r="I521" s="10">
        <v>96</v>
      </c>
      <c r="J521" s="10">
        <v>96</v>
      </c>
      <c r="K521" s="10">
        <v>96</v>
      </c>
      <c r="L521" t="str">
        <f t="shared" si="24"/>
        <v>OK</v>
      </c>
      <c r="M521" t="str">
        <f t="shared" si="25"/>
        <v>OK</v>
      </c>
      <c r="N521" t="str">
        <f t="shared" si="26"/>
        <v>OK</v>
      </c>
    </row>
    <row r="522" spans="1:14" ht="28.8" x14ac:dyDescent="0.3">
      <c r="A522">
        <v>50</v>
      </c>
      <c r="B522">
        <v>2024</v>
      </c>
      <c r="C522" s="2">
        <v>45406</v>
      </c>
      <c r="D522" s="3" t="s">
        <v>11</v>
      </c>
      <c r="E522" s="4" t="s">
        <v>21</v>
      </c>
      <c r="F522" s="4" t="s">
        <v>13</v>
      </c>
      <c r="G522" s="5"/>
      <c r="H522" s="6">
        <v>24</v>
      </c>
      <c r="I522" s="6">
        <v>36</v>
      </c>
      <c r="J522" s="6">
        <v>30</v>
      </c>
      <c r="K522" s="6">
        <v>30</v>
      </c>
      <c r="L522" t="str">
        <f t="shared" si="24"/>
        <v>OK</v>
      </c>
      <c r="M522" t="str">
        <f t="shared" si="25"/>
        <v>OK</v>
      </c>
      <c r="N522" t="str">
        <f t="shared" si="26"/>
        <v>OK</v>
      </c>
    </row>
    <row r="523" spans="1:14" ht="28.8" x14ac:dyDescent="0.3">
      <c r="A523">
        <v>50</v>
      </c>
      <c r="B523">
        <v>2024</v>
      </c>
      <c r="C523" s="2">
        <v>45406</v>
      </c>
      <c r="D523" s="7" t="s">
        <v>11</v>
      </c>
      <c r="E523" s="8" t="s">
        <v>73</v>
      </c>
      <c r="F523" s="8" t="s">
        <v>13</v>
      </c>
      <c r="G523" s="10">
        <v>96</v>
      </c>
      <c r="H523" s="10">
        <v>96</v>
      </c>
      <c r="I523" s="10">
        <v>108</v>
      </c>
      <c r="J523" s="10">
        <v>100</v>
      </c>
      <c r="K523" s="10">
        <v>96</v>
      </c>
      <c r="L523" t="str">
        <f t="shared" si="24"/>
        <v>OK</v>
      </c>
      <c r="M523" t="str">
        <f t="shared" si="25"/>
        <v>OK</v>
      </c>
      <c r="N523" t="str">
        <f t="shared" si="26"/>
        <v>OK</v>
      </c>
    </row>
    <row r="524" spans="1:14" ht="28.8" x14ac:dyDescent="0.3">
      <c r="A524">
        <v>50</v>
      </c>
      <c r="B524">
        <v>2024</v>
      </c>
      <c r="C524" s="2">
        <v>45406</v>
      </c>
      <c r="D524" s="3" t="s">
        <v>11</v>
      </c>
      <c r="E524" s="4" t="s">
        <v>23</v>
      </c>
      <c r="F524" s="4" t="s">
        <v>13</v>
      </c>
      <c r="G524" s="6">
        <v>36</v>
      </c>
      <c r="H524" s="6">
        <v>24</v>
      </c>
      <c r="I524" s="6">
        <v>36</v>
      </c>
      <c r="J524" s="6">
        <v>32</v>
      </c>
      <c r="K524" s="6">
        <v>36</v>
      </c>
      <c r="L524" t="str">
        <f t="shared" si="24"/>
        <v>OK</v>
      </c>
      <c r="M524" t="str">
        <f t="shared" si="25"/>
        <v>OK</v>
      </c>
      <c r="N524" t="str">
        <f t="shared" si="26"/>
        <v>OK</v>
      </c>
    </row>
    <row r="525" spans="1:14" ht="28.8" x14ac:dyDescent="0.3">
      <c r="A525">
        <v>50</v>
      </c>
      <c r="B525">
        <v>2024</v>
      </c>
      <c r="C525" s="2">
        <v>45406</v>
      </c>
      <c r="D525" s="7" t="s">
        <v>11</v>
      </c>
      <c r="E525" s="8" t="s">
        <v>24</v>
      </c>
      <c r="F525" s="8" t="s">
        <v>13</v>
      </c>
      <c r="G525" s="10">
        <v>84</v>
      </c>
      <c r="H525" s="10">
        <v>84</v>
      </c>
      <c r="I525" s="10">
        <v>84</v>
      </c>
      <c r="J525" s="10">
        <v>84</v>
      </c>
      <c r="K525" s="10">
        <v>84</v>
      </c>
      <c r="L525" t="str">
        <f t="shared" si="24"/>
        <v>OK</v>
      </c>
      <c r="M525" t="str">
        <f t="shared" si="25"/>
        <v>OK</v>
      </c>
      <c r="N525" t="str">
        <f t="shared" si="26"/>
        <v>OK</v>
      </c>
    </row>
    <row r="526" spans="1:14" ht="28.8" x14ac:dyDescent="0.3">
      <c r="A526">
        <v>50</v>
      </c>
      <c r="B526">
        <v>2024</v>
      </c>
      <c r="C526" s="2">
        <v>45406</v>
      </c>
      <c r="D526" s="3" t="s">
        <v>11</v>
      </c>
      <c r="E526" s="4" t="s">
        <v>25</v>
      </c>
      <c r="F526" s="4" t="s">
        <v>26</v>
      </c>
      <c r="G526" s="6">
        <v>72</v>
      </c>
      <c r="H526" s="6">
        <v>72</v>
      </c>
      <c r="I526" s="6">
        <v>84</v>
      </c>
      <c r="J526" s="6">
        <v>76</v>
      </c>
      <c r="K526" s="6">
        <v>72</v>
      </c>
      <c r="L526" t="str">
        <f t="shared" si="24"/>
        <v>OK</v>
      </c>
      <c r="M526" t="str">
        <f t="shared" si="25"/>
        <v>OK</v>
      </c>
      <c r="N526" t="str">
        <f t="shared" si="26"/>
        <v>OK</v>
      </c>
    </row>
    <row r="527" spans="1:14" ht="28.8" x14ac:dyDescent="0.3">
      <c r="A527">
        <v>50</v>
      </c>
      <c r="B527">
        <v>2024</v>
      </c>
      <c r="C527" s="2">
        <v>45406</v>
      </c>
      <c r="D527" s="7" t="s">
        <v>11</v>
      </c>
      <c r="E527" s="8" t="s">
        <v>27</v>
      </c>
      <c r="F527" s="8" t="s">
        <v>13</v>
      </c>
      <c r="G527" s="10">
        <v>60</v>
      </c>
      <c r="H527" s="10">
        <v>60</v>
      </c>
      <c r="I527" s="10">
        <v>96</v>
      </c>
      <c r="J527" s="10">
        <v>72</v>
      </c>
      <c r="K527" s="10">
        <v>60</v>
      </c>
      <c r="L527" t="str">
        <f t="shared" si="24"/>
        <v>OK</v>
      </c>
      <c r="M527" t="str">
        <f t="shared" si="25"/>
        <v>OK</v>
      </c>
      <c r="N527" t="str">
        <f t="shared" si="26"/>
        <v>OK</v>
      </c>
    </row>
    <row r="528" spans="1:14" ht="28.8" x14ac:dyDescent="0.3">
      <c r="A528">
        <v>50</v>
      </c>
      <c r="B528">
        <v>2024</v>
      </c>
      <c r="C528" s="2">
        <v>45406</v>
      </c>
      <c r="D528" s="3" t="s">
        <v>11</v>
      </c>
      <c r="E528" s="4" t="s">
        <v>28</v>
      </c>
      <c r="F528" s="4" t="s">
        <v>13</v>
      </c>
      <c r="G528" s="5"/>
      <c r="H528" s="6">
        <v>48</v>
      </c>
      <c r="I528" s="6">
        <v>70</v>
      </c>
      <c r="J528" s="6" t="s">
        <v>219</v>
      </c>
      <c r="K528" s="6">
        <v>60</v>
      </c>
      <c r="L528" t="str">
        <f t="shared" si="24"/>
        <v>OK</v>
      </c>
      <c r="M528" t="str">
        <f t="shared" si="25"/>
        <v>OK</v>
      </c>
      <c r="N528" t="str">
        <f t="shared" si="26"/>
        <v>ERRO</v>
      </c>
    </row>
    <row r="529" spans="1:14" ht="28.8" x14ac:dyDescent="0.3">
      <c r="A529">
        <v>50</v>
      </c>
      <c r="B529">
        <v>2024</v>
      </c>
      <c r="C529" s="2">
        <v>45406</v>
      </c>
      <c r="D529" s="7" t="s">
        <v>11</v>
      </c>
      <c r="E529" s="8" t="s">
        <v>29</v>
      </c>
      <c r="F529" s="8" t="s">
        <v>13</v>
      </c>
      <c r="G529" s="10">
        <v>54</v>
      </c>
      <c r="H529" s="10">
        <v>48</v>
      </c>
      <c r="I529" s="10">
        <v>54</v>
      </c>
      <c r="J529" s="10">
        <v>52</v>
      </c>
      <c r="K529" s="10">
        <v>54</v>
      </c>
      <c r="L529" t="str">
        <f t="shared" si="24"/>
        <v>OK</v>
      </c>
      <c r="M529" t="str">
        <f t="shared" si="25"/>
        <v>OK</v>
      </c>
      <c r="N529" t="str">
        <f t="shared" si="26"/>
        <v>OK</v>
      </c>
    </row>
    <row r="530" spans="1:14" ht="28.8" x14ac:dyDescent="0.3">
      <c r="A530">
        <v>50</v>
      </c>
      <c r="B530">
        <v>2024</v>
      </c>
      <c r="C530" s="2">
        <v>45406</v>
      </c>
      <c r="D530" s="3" t="s">
        <v>30</v>
      </c>
      <c r="E530" s="4" t="s">
        <v>31</v>
      </c>
      <c r="F530" s="4" t="s">
        <v>32</v>
      </c>
      <c r="G530" s="6">
        <v>5</v>
      </c>
      <c r="H530" s="6">
        <v>5</v>
      </c>
      <c r="I530" s="6">
        <v>5</v>
      </c>
      <c r="J530" s="6">
        <v>5</v>
      </c>
      <c r="K530" s="6">
        <v>5</v>
      </c>
      <c r="L530" t="str">
        <f t="shared" si="24"/>
        <v>OK</v>
      </c>
      <c r="M530" t="str">
        <f t="shared" si="25"/>
        <v>OK</v>
      </c>
      <c r="N530" t="str">
        <f t="shared" si="26"/>
        <v>OK</v>
      </c>
    </row>
    <row r="531" spans="1:14" ht="28.8" x14ac:dyDescent="0.3">
      <c r="A531">
        <v>50</v>
      </c>
      <c r="B531">
        <v>2024</v>
      </c>
      <c r="C531" s="2">
        <v>45406</v>
      </c>
      <c r="D531" s="7" t="s">
        <v>30</v>
      </c>
      <c r="E531" s="8" t="s">
        <v>34</v>
      </c>
      <c r="F531" s="8" t="s">
        <v>35</v>
      </c>
      <c r="G531" s="9"/>
      <c r="H531" s="10">
        <v>25</v>
      </c>
      <c r="I531" s="10">
        <v>30</v>
      </c>
      <c r="J531" s="10" t="s">
        <v>220</v>
      </c>
      <c r="K531" s="10">
        <v>28</v>
      </c>
      <c r="L531" t="str">
        <f t="shared" si="24"/>
        <v>OK</v>
      </c>
      <c r="M531" t="str">
        <f t="shared" si="25"/>
        <v>OK</v>
      </c>
      <c r="N531" t="str">
        <f t="shared" si="26"/>
        <v>ERRO</v>
      </c>
    </row>
    <row r="532" spans="1:14" ht="28.8" x14ac:dyDescent="0.3">
      <c r="A532">
        <v>50</v>
      </c>
      <c r="B532">
        <v>2024</v>
      </c>
      <c r="C532" s="2">
        <v>45406</v>
      </c>
      <c r="D532" s="3" t="s">
        <v>30</v>
      </c>
      <c r="E532" s="4" t="s">
        <v>36</v>
      </c>
      <c r="F532" s="4" t="s">
        <v>35</v>
      </c>
      <c r="G532" s="6">
        <v>35</v>
      </c>
      <c r="H532" s="6">
        <v>30</v>
      </c>
      <c r="I532" s="6">
        <v>35</v>
      </c>
      <c r="J532" s="6" t="s">
        <v>221</v>
      </c>
      <c r="K532" s="6">
        <v>35</v>
      </c>
      <c r="L532" t="str">
        <f t="shared" si="24"/>
        <v>OK</v>
      </c>
      <c r="M532" t="str">
        <f t="shared" si="25"/>
        <v>OK</v>
      </c>
      <c r="N532" t="str">
        <f t="shared" si="26"/>
        <v>ERRO</v>
      </c>
    </row>
    <row r="533" spans="1:14" ht="43.2" x14ac:dyDescent="0.3">
      <c r="A533">
        <v>50</v>
      </c>
      <c r="B533">
        <v>2024</v>
      </c>
      <c r="C533" s="2">
        <v>45406</v>
      </c>
      <c r="D533" s="7" t="s">
        <v>38</v>
      </c>
      <c r="E533" s="8" t="s">
        <v>153</v>
      </c>
      <c r="F533" s="8" t="s">
        <v>154</v>
      </c>
      <c r="G533" s="10">
        <v>110</v>
      </c>
      <c r="H533" s="10">
        <v>80</v>
      </c>
      <c r="I533" s="10">
        <v>110</v>
      </c>
      <c r="J533" s="10">
        <v>98</v>
      </c>
      <c r="K533" s="10">
        <v>100</v>
      </c>
      <c r="L533" t="str">
        <f t="shared" si="24"/>
        <v>OK</v>
      </c>
      <c r="M533" t="str">
        <f t="shared" si="25"/>
        <v>OK</v>
      </c>
      <c r="N533" t="str">
        <f t="shared" si="26"/>
        <v>OK</v>
      </c>
    </row>
    <row r="534" spans="1:14" ht="43.2" x14ac:dyDescent="0.3">
      <c r="A534">
        <v>50</v>
      </c>
      <c r="B534">
        <v>2024</v>
      </c>
      <c r="C534" s="2">
        <v>45406</v>
      </c>
      <c r="D534" s="3" t="s">
        <v>38</v>
      </c>
      <c r="E534" s="4" t="s">
        <v>39</v>
      </c>
      <c r="F534" s="4" t="s">
        <v>40</v>
      </c>
      <c r="G534" s="6">
        <v>80</v>
      </c>
      <c r="H534" s="6">
        <v>70</v>
      </c>
      <c r="I534" s="6">
        <v>90</v>
      </c>
      <c r="J534" s="6" t="s">
        <v>155</v>
      </c>
      <c r="K534" s="6">
        <v>80</v>
      </c>
      <c r="L534" t="str">
        <f t="shared" si="24"/>
        <v>OK</v>
      </c>
      <c r="M534" t="str">
        <f t="shared" si="25"/>
        <v>OK</v>
      </c>
      <c r="N534" t="str">
        <f t="shared" si="26"/>
        <v>ERRO</v>
      </c>
    </row>
    <row r="535" spans="1:14" ht="43.2" x14ac:dyDescent="0.3">
      <c r="A535">
        <v>50</v>
      </c>
      <c r="B535">
        <v>2024</v>
      </c>
      <c r="C535" s="2">
        <v>45406</v>
      </c>
      <c r="D535" s="7" t="s">
        <v>38</v>
      </c>
      <c r="E535" s="8" t="s">
        <v>42</v>
      </c>
      <c r="F535" s="8" t="s">
        <v>43</v>
      </c>
      <c r="G535" s="10">
        <v>70</v>
      </c>
      <c r="H535" s="10">
        <v>40</v>
      </c>
      <c r="I535" s="10">
        <v>75</v>
      </c>
      <c r="J535" s="10" t="s">
        <v>222</v>
      </c>
      <c r="K535" s="10">
        <v>70</v>
      </c>
      <c r="L535" t="str">
        <f t="shared" si="24"/>
        <v>OK</v>
      </c>
      <c r="M535" t="str">
        <f t="shared" si="25"/>
        <v>OK</v>
      </c>
      <c r="N535" t="str">
        <f t="shared" si="26"/>
        <v>ERRO</v>
      </c>
    </row>
    <row r="536" spans="1:14" ht="43.2" x14ac:dyDescent="0.3">
      <c r="A536">
        <v>50</v>
      </c>
      <c r="B536">
        <v>2024</v>
      </c>
      <c r="C536" s="2">
        <v>45406</v>
      </c>
      <c r="D536" s="3" t="s">
        <v>38</v>
      </c>
      <c r="E536" s="4" t="s">
        <v>44</v>
      </c>
      <c r="F536" s="4" t="s">
        <v>45</v>
      </c>
      <c r="G536" s="6">
        <v>50</v>
      </c>
      <c r="H536" s="6">
        <v>35</v>
      </c>
      <c r="I536" s="6">
        <v>55</v>
      </c>
      <c r="J536" s="6" t="s">
        <v>223</v>
      </c>
      <c r="K536" s="6">
        <v>45</v>
      </c>
      <c r="L536" t="str">
        <f t="shared" si="24"/>
        <v>OK</v>
      </c>
      <c r="M536" t="str">
        <f t="shared" si="25"/>
        <v>OK</v>
      </c>
      <c r="N536" t="str">
        <f t="shared" si="26"/>
        <v>ERRO</v>
      </c>
    </row>
    <row r="537" spans="1:14" ht="43.2" x14ac:dyDescent="0.3">
      <c r="A537">
        <v>50</v>
      </c>
      <c r="B537">
        <v>2024</v>
      </c>
      <c r="C537" s="2">
        <v>45406</v>
      </c>
      <c r="D537" s="7" t="s">
        <v>38</v>
      </c>
      <c r="E537" s="8" t="s">
        <v>48</v>
      </c>
      <c r="F537" s="8" t="s">
        <v>45</v>
      </c>
      <c r="G537" s="9"/>
      <c r="H537" s="10">
        <v>90</v>
      </c>
      <c r="I537" s="10">
        <v>115</v>
      </c>
      <c r="J537" s="10">
        <v>105</v>
      </c>
      <c r="K537" s="10">
        <v>110</v>
      </c>
      <c r="L537" t="str">
        <f t="shared" si="24"/>
        <v>OK</v>
      </c>
      <c r="M537" t="str">
        <f t="shared" si="25"/>
        <v>OK</v>
      </c>
      <c r="N537" t="str">
        <f t="shared" si="26"/>
        <v>OK</v>
      </c>
    </row>
    <row r="538" spans="1:14" ht="43.2" x14ac:dyDescent="0.3">
      <c r="A538">
        <v>50</v>
      </c>
      <c r="B538">
        <v>2024</v>
      </c>
      <c r="C538" s="2">
        <v>45406</v>
      </c>
      <c r="D538" s="3" t="s">
        <v>38</v>
      </c>
      <c r="E538" s="4" t="s">
        <v>49</v>
      </c>
      <c r="F538" s="4" t="s">
        <v>50</v>
      </c>
      <c r="G538" s="6">
        <v>150</v>
      </c>
      <c r="H538" s="6">
        <v>100</v>
      </c>
      <c r="I538" s="6">
        <v>150</v>
      </c>
      <c r="J538" s="6" t="s">
        <v>224</v>
      </c>
      <c r="K538" s="6">
        <v>130</v>
      </c>
      <c r="L538" t="str">
        <f t="shared" si="24"/>
        <v>OK</v>
      </c>
      <c r="M538" t="str">
        <f t="shared" si="25"/>
        <v>OK</v>
      </c>
      <c r="N538" t="str">
        <f t="shared" si="26"/>
        <v>ERRO</v>
      </c>
    </row>
    <row r="539" spans="1:14" ht="43.2" x14ac:dyDescent="0.3">
      <c r="A539">
        <v>50</v>
      </c>
      <c r="B539">
        <v>2024</v>
      </c>
      <c r="C539" s="2">
        <v>45406</v>
      </c>
      <c r="D539" s="7" t="s">
        <v>38</v>
      </c>
      <c r="E539" s="8" t="s">
        <v>52</v>
      </c>
      <c r="F539" s="8" t="s">
        <v>43</v>
      </c>
      <c r="G539" s="10">
        <v>140</v>
      </c>
      <c r="H539" s="10">
        <v>80</v>
      </c>
      <c r="I539" s="10">
        <v>170</v>
      </c>
      <c r="J539" s="10">
        <v>130</v>
      </c>
      <c r="K539" s="10">
        <v>130</v>
      </c>
      <c r="L539" t="str">
        <f t="shared" si="24"/>
        <v>OK</v>
      </c>
      <c r="M539" t="str">
        <f t="shared" si="25"/>
        <v>OK</v>
      </c>
      <c r="N539" t="str">
        <f t="shared" si="26"/>
        <v>OK</v>
      </c>
    </row>
    <row r="540" spans="1:14" ht="43.2" x14ac:dyDescent="0.3">
      <c r="A540">
        <v>50</v>
      </c>
      <c r="B540">
        <v>2024</v>
      </c>
      <c r="C540" s="2">
        <v>45406</v>
      </c>
      <c r="D540" s="3" t="s">
        <v>38</v>
      </c>
      <c r="E540" s="4" t="s">
        <v>53</v>
      </c>
      <c r="F540" s="4" t="s">
        <v>43</v>
      </c>
      <c r="G540" s="6">
        <v>60</v>
      </c>
      <c r="H540" s="6">
        <v>40</v>
      </c>
      <c r="I540" s="6">
        <v>80</v>
      </c>
      <c r="J540" s="6" t="s">
        <v>225</v>
      </c>
      <c r="K540" s="6">
        <v>60</v>
      </c>
      <c r="L540" t="str">
        <f t="shared" si="24"/>
        <v>OK</v>
      </c>
      <c r="M540" t="str">
        <f t="shared" si="25"/>
        <v>OK</v>
      </c>
      <c r="N540" t="str">
        <f t="shared" si="26"/>
        <v>ERRO</v>
      </c>
    </row>
    <row r="541" spans="1:14" ht="43.2" x14ac:dyDescent="0.3">
      <c r="A541">
        <v>50</v>
      </c>
      <c r="B541">
        <v>2024</v>
      </c>
      <c r="C541" s="2">
        <v>45406</v>
      </c>
      <c r="D541" s="7" t="s">
        <v>38</v>
      </c>
      <c r="E541" s="8" t="s">
        <v>54</v>
      </c>
      <c r="F541" s="8" t="s">
        <v>40</v>
      </c>
      <c r="G541" s="10">
        <v>100</v>
      </c>
      <c r="H541" s="10">
        <v>60</v>
      </c>
      <c r="I541" s="10">
        <v>120</v>
      </c>
      <c r="J541" s="10" t="s">
        <v>226</v>
      </c>
      <c r="K541" s="10">
        <v>100</v>
      </c>
      <c r="L541" t="str">
        <f t="shared" si="24"/>
        <v>OK</v>
      </c>
      <c r="M541" t="str">
        <f t="shared" si="25"/>
        <v>OK</v>
      </c>
      <c r="N541" t="str">
        <f t="shared" si="26"/>
        <v>ERRO</v>
      </c>
    </row>
    <row r="542" spans="1:14" ht="43.2" x14ac:dyDescent="0.3">
      <c r="A542">
        <v>50</v>
      </c>
      <c r="B542">
        <v>2024</v>
      </c>
      <c r="C542" s="2">
        <v>45406</v>
      </c>
      <c r="D542" s="3" t="s">
        <v>38</v>
      </c>
      <c r="E542" s="4" t="s">
        <v>56</v>
      </c>
      <c r="F542" s="4" t="s">
        <v>43</v>
      </c>
      <c r="G542" s="5"/>
      <c r="H542" s="6">
        <v>50</v>
      </c>
      <c r="I542" s="6">
        <v>78</v>
      </c>
      <c r="J542" s="6" t="s">
        <v>172</v>
      </c>
      <c r="K542" s="6">
        <v>60</v>
      </c>
      <c r="L542" t="str">
        <f t="shared" si="24"/>
        <v>OK</v>
      </c>
      <c r="M542" t="str">
        <f t="shared" si="25"/>
        <v>OK</v>
      </c>
      <c r="N542" t="str">
        <f t="shared" si="26"/>
        <v>ERRO</v>
      </c>
    </row>
    <row r="543" spans="1:14" ht="43.2" x14ac:dyDescent="0.3">
      <c r="A543">
        <v>50</v>
      </c>
      <c r="B543">
        <v>2024</v>
      </c>
      <c r="C543" s="2">
        <v>45406</v>
      </c>
      <c r="D543" s="7" t="s">
        <v>38</v>
      </c>
      <c r="E543" s="8" t="s">
        <v>57</v>
      </c>
      <c r="F543" s="8" t="s">
        <v>40</v>
      </c>
      <c r="G543" s="10">
        <v>70</v>
      </c>
      <c r="H543" s="10">
        <v>50</v>
      </c>
      <c r="I543" s="10">
        <v>75</v>
      </c>
      <c r="J543" s="10" t="s">
        <v>102</v>
      </c>
      <c r="K543" s="10">
        <v>70</v>
      </c>
      <c r="L543" t="str">
        <f t="shared" si="24"/>
        <v>OK</v>
      </c>
      <c r="M543" t="str">
        <f t="shared" si="25"/>
        <v>OK</v>
      </c>
      <c r="N543" t="str">
        <f t="shared" si="26"/>
        <v>ERRO</v>
      </c>
    </row>
    <row r="544" spans="1:14" ht="43.2" x14ac:dyDescent="0.3">
      <c r="A544">
        <v>50</v>
      </c>
      <c r="B544">
        <v>2024</v>
      </c>
      <c r="C544" s="2">
        <v>45406</v>
      </c>
      <c r="D544" s="3" t="s">
        <v>38</v>
      </c>
      <c r="E544" s="4" t="s">
        <v>58</v>
      </c>
      <c r="F544" s="4" t="s">
        <v>40</v>
      </c>
      <c r="G544" s="6">
        <v>100</v>
      </c>
      <c r="H544" s="6">
        <v>70</v>
      </c>
      <c r="I544" s="6">
        <v>110</v>
      </c>
      <c r="J544" s="6" t="s">
        <v>227</v>
      </c>
      <c r="K544" s="6">
        <v>100</v>
      </c>
      <c r="L544" t="str">
        <f t="shared" si="24"/>
        <v>OK</v>
      </c>
      <c r="M544" t="str">
        <f t="shared" si="25"/>
        <v>OK</v>
      </c>
      <c r="N544" t="str">
        <f t="shared" si="26"/>
        <v>ERRO</v>
      </c>
    </row>
    <row r="545" spans="1:14" ht="43.2" x14ac:dyDescent="0.3">
      <c r="A545">
        <v>50</v>
      </c>
      <c r="B545">
        <v>2024</v>
      </c>
      <c r="C545" s="2">
        <v>45406</v>
      </c>
      <c r="D545" s="7" t="s">
        <v>38</v>
      </c>
      <c r="E545" s="8" t="s">
        <v>59</v>
      </c>
      <c r="F545" s="8" t="s">
        <v>45</v>
      </c>
      <c r="G545" s="10">
        <v>70</v>
      </c>
      <c r="H545" s="10">
        <v>70</v>
      </c>
      <c r="I545" s="10">
        <v>80</v>
      </c>
      <c r="J545" s="10" t="s">
        <v>228</v>
      </c>
      <c r="K545" s="10">
        <v>75</v>
      </c>
      <c r="L545" t="str">
        <f t="shared" si="24"/>
        <v>OK</v>
      </c>
      <c r="M545" t="str">
        <f t="shared" si="25"/>
        <v>OK</v>
      </c>
      <c r="N545" t="str">
        <f t="shared" si="26"/>
        <v>ERRO</v>
      </c>
    </row>
    <row r="546" spans="1:14" ht="43.2" x14ac:dyDescent="0.3">
      <c r="A546">
        <v>50</v>
      </c>
      <c r="B546">
        <v>2024</v>
      </c>
      <c r="C546" s="2">
        <v>45406</v>
      </c>
      <c r="D546" s="3" t="s">
        <v>38</v>
      </c>
      <c r="E546" s="4" t="s">
        <v>60</v>
      </c>
      <c r="F546" s="4" t="s">
        <v>61</v>
      </c>
      <c r="G546" s="6">
        <v>120</v>
      </c>
      <c r="H546" s="6">
        <v>100</v>
      </c>
      <c r="I546" s="6">
        <v>140</v>
      </c>
      <c r="J546" s="6" t="s">
        <v>160</v>
      </c>
      <c r="K546" s="6">
        <v>120</v>
      </c>
      <c r="L546" t="str">
        <f t="shared" si="24"/>
        <v>OK</v>
      </c>
      <c r="M546" t="str">
        <f t="shared" si="25"/>
        <v>OK</v>
      </c>
      <c r="N546" t="str">
        <f t="shared" si="26"/>
        <v>ERRO</v>
      </c>
    </row>
    <row r="547" spans="1:14" ht="43.2" x14ac:dyDescent="0.3">
      <c r="A547">
        <v>50</v>
      </c>
      <c r="B547">
        <v>2024</v>
      </c>
      <c r="C547" s="2">
        <v>45406</v>
      </c>
      <c r="D547" s="7" t="s">
        <v>38</v>
      </c>
      <c r="E547" s="8" t="s">
        <v>63</v>
      </c>
      <c r="F547" s="8" t="s">
        <v>40</v>
      </c>
      <c r="G547" s="10">
        <v>90</v>
      </c>
      <c r="H547" s="10">
        <v>90</v>
      </c>
      <c r="I547" s="10">
        <v>120</v>
      </c>
      <c r="J547" s="10" t="s">
        <v>82</v>
      </c>
      <c r="K547" s="10">
        <v>100</v>
      </c>
      <c r="L547" t="str">
        <f t="shared" si="24"/>
        <v>OK</v>
      </c>
      <c r="M547" t="str">
        <f t="shared" si="25"/>
        <v>OK</v>
      </c>
      <c r="N547" t="str">
        <f t="shared" si="26"/>
        <v>ERRO</v>
      </c>
    </row>
    <row r="548" spans="1:14" ht="43.2" x14ac:dyDescent="0.3">
      <c r="A548">
        <v>50</v>
      </c>
      <c r="B548">
        <v>2024</v>
      </c>
      <c r="C548" s="2">
        <v>45406</v>
      </c>
      <c r="D548" s="3" t="s">
        <v>38</v>
      </c>
      <c r="E548" s="4" t="s">
        <v>64</v>
      </c>
      <c r="F548" s="4" t="s">
        <v>40</v>
      </c>
      <c r="G548" s="6">
        <v>80</v>
      </c>
      <c r="H548" s="6">
        <v>70</v>
      </c>
      <c r="I548" s="6">
        <v>120</v>
      </c>
      <c r="J548" s="6" t="s">
        <v>229</v>
      </c>
      <c r="K548" s="6">
        <v>95</v>
      </c>
      <c r="L548" t="str">
        <f t="shared" si="24"/>
        <v>OK</v>
      </c>
      <c r="M548" t="str">
        <f t="shared" si="25"/>
        <v>OK</v>
      </c>
      <c r="N548" t="str">
        <f t="shared" si="26"/>
        <v>ERRO</v>
      </c>
    </row>
    <row r="549" spans="1:14" x14ac:dyDescent="0.3">
      <c r="A549">
        <v>50</v>
      </c>
      <c r="B549">
        <v>2024</v>
      </c>
      <c r="C549" s="2">
        <v>45406</v>
      </c>
      <c r="D549" s="7" t="s">
        <v>65</v>
      </c>
      <c r="E549" s="8" t="s">
        <v>66</v>
      </c>
      <c r="F549" s="8" t="s">
        <v>45</v>
      </c>
      <c r="G549" s="9"/>
      <c r="H549" s="10">
        <v>85</v>
      </c>
      <c r="I549" s="10">
        <v>85</v>
      </c>
      <c r="J549" s="10">
        <v>85</v>
      </c>
      <c r="K549" s="10">
        <v>85</v>
      </c>
      <c r="L549" t="str">
        <f t="shared" si="24"/>
        <v>OK</v>
      </c>
      <c r="M549" t="str">
        <f t="shared" si="25"/>
        <v>OK</v>
      </c>
      <c r="N549" t="str">
        <f t="shared" si="26"/>
        <v>OK</v>
      </c>
    </row>
    <row r="550" spans="1:14" x14ac:dyDescent="0.3">
      <c r="A550">
        <v>50</v>
      </c>
      <c r="B550">
        <v>2024</v>
      </c>
      <c r="C550" s="2">
        <v>45406</v>
      </c>
      <c r="D550" s="3" t="s">
        <v>65</v>
      </c>
      <c r="E550" s="4" t="s">
        <v>67</v>
      </c>
      <c r="F550" s="4" t="s">
        <v>45</v>
      </c>
      <c r="G550" s="5"/>
      <c r="H550" s="6">
        <v>70</v>
      </c>
      <c r="I550" s="6">
        <v>80</v>
      </c>
      <c r="J550" s="6">
        <v>75</v>
      </c>
      <c r="K550" s="6">
        <v>75</v>
      </c>
      <c r="L550" t="str">
        <f t="shared" si="24"/>
        <v>OK</v>
      </c>
      <c r="M550" t="str">
        <f t="shared" si="25"/>
        <v>OK</v>
      </c>
      <c r="N550" t="str">
        <f t="shared" si="26"/>
        <v>OK</v>
      </c>
    </row>
    <row r="551" spans="1:14" x14ac:dyDescent="0.3">
      <c r="A551">
        <v>50</v>
      </c>
      <c r="B551">
        <v>2024</v>
      </c>
      <c r="C551" s="2">
        <v>45406</v>
      </c>
      <c r="D551" s="7" t="s">
        <v>65</v>
      </c>
      <c r="E551" s="8" t="s">
        <v>68</v>
      </c>
      <c r="F551" s="8" t="s">
        <v>45</v>
      </c>
      <c r="G551" s="10">
        <v>45</v>
      </c>
      <c r="H551" s="10">
        <v>45</v>
      </c>
      <c r="I551" s="10">
        <v>45</v>
      </c>
      <c r="J551" s="10">
        <v>45</v>
      </c>
      <c r="K551" s="10">
        <v>45</v>
      </c>
      <c r="L551" t="str">
        <f t="shared" si="24"/>
        <v>OK</v>
      </c>
      <c r="M551" t="str">
        <f t="shared" si="25"/>
        <v>OK</v>
      </c>
      <c r="N551" t="str">
        <f t="shared" si="26"/>
        <v>OK</v>
      </c>
    </row>
    <row r="552" spans="1:14" x14ac:dyDescent="0.3">
      <c r="A552">
        <v>50</v>
      </c>
      <c r="B552">
        <v>2024</v>
      </c>
      <c r="C552" s="2">
        <v>45406</v>
      </c>
      <c r="D552" s="3" t="s">
        <v>65</v>
      </c>
      <c r="E552" s="4" t="s">
        <v>69</v>
      </c>
      <c r="F552" s="4" t="s">
        <v>45</v>
      </c>
      <c r="G552" s="5"/>
      <c r="H552" s="6">
        <v>60</v>
      </c>
      <c r="I552" s="6">
        <v>60</v>
      </c>
      <c r="J552" s="6">
        <v>60</v>
      </c>
      <c r="K552" s="6">
        <v>60</v>
      </c>
      <c r="L552" t="str">
        <f t="shared" si="24"/>
        <v>OK</v>
      </c>
      <c r="M552" t="str">
        <f t="shared" si="25"/>
        <v>OK</v>
      </c>
      <c r="N552" t="str">
        <f t="shared" si="26"/>
        <v>OK</v>
      </c>
    </row>
    <row r="553" spans="1:14" x14ac:dyDescent="0.3">
      <c r="A553">
        <v>50</v>
      </c>
      <c r="B553">
        <v>2024</v>
      </c>
      <c r="C553" s="2">
        <v>45406</v>
      </c>
      <c r="D553" s="7" t="s">
        <v>65</v>
      </c>
      <c r="E553" s="8" t="s">
        <v>70</v>
      </c>
      <c r="F553" s="8" t="s">
        <v>71</v>
      </c>
      <c r="G553" s="9"/>
      <c r="H553" s="10">
        <v>60</v>
      </c>
      <c r="I553" s="10">
        <v>60</v>
      </c>
      <c r="J553" s="10">
        <v>60</v>
      </c>
      <c r="K553" s="10">
        <v>60</v>
      </c>
      <c r="L553" t="str">
        <f t="shared" si="24"/>
        <v>OK</v>
      </c>
      <c r="M553" t="str">
        <f t="shared" si="25"/>
        <v>OK</v>
      </c>
      <c r="N553" t="str">
        <f t="shared" si="26"/>
        <v>OK</v>
      </c>
    </row>
    <row r="554" spans="1:14" ht="28.8" x14ac:dyDescent="0.3">
      <c r="A554">
        <v>51</v>
      </c>
      <c r="B554">
        <v>2024</v>
      </c>
      <c r="C554" s="2">
        <v>45420</v>
      </c>
      <c r="D554" s="3" t="s">
        <v>11</v>
      </c>
      <c r="E554" s="4" t="s">
        <v>12</v>
      </c>
      <c r="F554" s="4" t="s">
        <v>13</v>
      </c>
      <c r="G554" s="5"/>
      <c r="H554" s="6">
        <v>48</v>
      </c>
      <c r="I554" s="6">
        <v>78</v>
      </c>
      <c r="J554" s="6">
        <v>60</v>
      </c>
      <c r="K554" s="6">
        <v>54</v>
      </c>
      <c r="L554" t="str">
        <f t="shared" si="24"/>
        <v>OK</v>
      </c>
      <c r="M554" t="str">
        <f t="shared" si="25"/>
        <v>OK</v>
      </c>
      <c r="N554" t="str">
        <f t="shared" si="26"/>
        <v>OK</v>
      </c>
    </row>
    <row r="555" spans="1:14" ht="28.8" x14ac:dyDescent="0.3">
      <c r="A555">
        <v>51</v>
      </c>
      <c r="B555">
        <v>2024</v>
      </c>
      <c r="C555" s="2">
        <v>45420</v>
      </c>
      <c r="D555" s="7" t="s">
        <v>11</v>
      </c>
      <c r="E555" s="8" t="s">
        <v>14</v>
      </c>
      <c r="F555" s="8" t="s">
        <v>13</v>
      </c>
      <c r="G555" s="10">
        <v>72</v>
      </c>
      <c r="H555" s="10">
        <v>72</v>
      </c>
      <c r="I555" s="10">
        <v>84</v>
      </c>
      <c r="J555" s="10">
        <v>76</v>
      </c>
      <c r="K555" s="10">
        <v>72</v>
      </c>
      <c r="L555" t="str">
        <f t="shared" si="24"/>
        <v>OK</v>
      </c>
      <c r="M555" t="str">
        <f t="shared" si="25"/>
        <v>OK</v>
      </c>
      <c r="N555" t="str">
        <f t="shared" si="26"/>
        <v>OK</v>
      </c>
    </row>
    <row r="556" spans="1:14" ht="28.8" x14ac:dyDescent="0.3">
      <c r="A556">
        <v>51</v>
      </c>
      <c r="B556">
        <v>2024</v>
      </c>
      <c r="C556" s="2">
        <v>45420</v>
      </c>
      <c r="D556" s="3" t="s">
        <v>11</v>
      </c>
      <c r="E556" s="4" t="s">
        <v>15</v>
      </c>
      <c r="F556" s="4" t="s">
        <v>13</v>
      </c>
      <c r="G556" s="5"/>
      <c r="H556" s="6">
        <v>48</v>
      </c>
      <c r="I556" s="6">
        <v>84</v>
      </c>
      <c r="J556" s="6">
        <v>68</v>
      </c>
      <c r="K556" s="6">
        <v>72</v>
      </c>
      <c r="L556" t="str">
        <f t="shared" si="24"/>
        <v>OK</v>
      </c>
      <c r="M556" t="str">
        <f t="shared" si="25"/>
        <v>OK</v>
      </c>
      <c r="N556" t="str">
        <f t="shared" si="26"/>
        <v>OK</v>
      </c>
    </row>
    <row r="557" spans="1:14" ht="28.8" x14ac:dyDescent="0.3">
      <c r="A557">
        <v>51</v>
      </c>
      <c r="B557">
        <v>2024</v>
      </c>
      <c r="C557" s="2">
        <v>45420</v>
      </c>
      <c r="D557" s="7" t="s">
        <v>11</v>
      </c>
      <c r="E557" s="8" t="s">
        <v>16</v>
      </c>
      <c r="F557" s="8" t="s">
        <v>13</v>
      </c>
      <c r="G557" s="10">
        <v>30</v>
      </c>
      <c r="H557" s="10">
        <v>25</v>
      </c>
      <c r="I557" s="10">
        <v>30</v>
      </c>
      <c r="J557" s="10" t="s">
        <v>85</v>
      </c>
      <c r="K557" s="10">
        <v>30</v>
      </c>
      <c r="L557" t="str">
        <f t="shared" si="24"/>
        <v>OK</v>
      </c>
      <c r="M557" t="str">
        <f t="shared" si="25"/>
        <v>OK</v>
      </c>
      <c r="N557" t="str">
        <f t="shared" si="26"/>
        <v>ERRO</v>
      </c>
    </row>
    <row r="558" spans="1:14" ht="28.8" x14ac:dyDescent="0.3">
      <c r="A558">
        <v>51</v>
      </c>
      <c r="B558">
        <v>2024</v>
      </c>
      <c r="C558" s="2">
        <v>45420</v>
      </c>
      <c r="D558" s="3" t="s">
        <v>11</v>
      </c>
      <c r="E558" s="4" t="s">
        <v>17</v>
      </c>
      <c r="F558" s="4" t="s">
        <v>13</v>
      </c>
      <c r="G558" s="6">
        <v>30</v>
      </c>
      <c r="H558" s="6">
        <v>25</v>
      </c>
      <c r="I558" s="6">
        <v>30</v>
      </c>
      <c r="J558" s="6" t="s">
        <v>85</v>
      </c>
      <c r="K558" s="6">
        <v>30</v>
      </c>
      <c r="L558" t="str">
        <f t="shared" si="24"/>
        <v>OK</v>
      </c>
      <c r="M558" t="str">
        <f t="shared" si="25"/>
        <v>OK</v>
      </c>
      <c r="N558" t="str">
        <f t="shared" si="26"/>
        <v>ERRO</v>
      </c>
    </row>
    <row r="559" spans="1:14" ht="28.8" x14ac:dyDescent="0.3">
      <c r="A559">
        <v>51</v>
      </c>
      <c r="B559">
        <v>2024</v>
      </c>
      <c r="C559" s="2">
        <v>45420</v>
      </c>
      <c r="D559" s="7" t="s">
        <v>11</v>
      </c>
      <c r="E559" s="8" t="s">
        <v>18</v>
      </c>
      <c r="F559" s="8" t="s">
        <v>13</v>
      </c>
      <c r="G559" s="10">
        <v>60</v>
      </c>
      <c r="H559" s="10">
        <v>54</v>
      </c>
      <c r="I559" s="10">
        <v>60</v>
      </c>
      <c r="J559" s="10">
        <v>58</v>
      </c>
      <c r="K559" s="10">
        <v>60</v>
      </c>
      <c r="L559" t="str">
        <f t="shared" si="24"/>
        <v>OK</v>
      </c>
      <c r="M559" t="str">
        <f t="shared" si="25"/>
        <v>OK</v>
      </c>
      <c r="N559" t="str">
        <f t="shared" si="26"/>
        <v>OK</v>
      </c>
    </row>
    <row r="560" spans="1:14" ht="28.8" x14ac:dyDescent="0.3">
      <c r="A560">
        <v>51</v>
      </c>
      <c r="B560">
        <v>2024</v>
      </c>
      <c r="C560" s="2">
        <v>45420</v>
      </c>
      <c r="D560" s="3" t="s">
        <v>11</v>
      </c>
      <c r="E560" s="4" t="s">
        <v>19</v>
      </c>
      <c r="F560" s="4" t="s">
        <v>13</v>
      </c>
      <c r="G560" s="6">
        <v>72</v>
      </c>
      <c r="H560" s="6">
        <v>72</v>
      </c>
      <c r="I560" s="6">
        <v>84</v>
      </c>
      <c r="J560" s="6">
        <v>76</v>
      </c>
      <c r="K560" s="6">
        <v>72</v>
      </c>
      <c r="L560" t="str">
        <f t="shared" si="24"/>
        <v>OK</v>
      </c>
      <c r="M560" t="str">
        <f t="shared" si="25"/>
        <v>OK</v>
      </c>
      <c r="N560" t="str">
        <f t="shared" si="26"/>
        <v>OK</v>
      </c>
    </row>
    <row r="561" spans="1:14" ht="28.8" x14ac:dyDescent="0.3">
      <c r="A561">
        <v>51</v>
      </c>
      <c r="B561">
        <v>2024</v>
      </c>
      <c r="C561" s="2">
        <v>45420</v>
      </c>
      <c r="D561" s="7" t="s">
        <v>11</v>
      </c>
      <c r="E561" s="8" t="s">
        <v>20</v>
      </c>
      <c r="F561" s="8" t="s">
        <v>13</v>
      </c>
      <c r="G561" s="9"/>
      <c r="H561" s="10">
        <v>84</v>
      </c>
      <c r="I561" s="10">
        <v>96</v>
      </c>
      <c r="J561" s="10" t="s">
        <v>230</v>
      </c>
      <c r="K561" s="10">
        <v>95</v>
      </c>
      <c r="L561" t="str">
        <f t="shared" si="24"/>
        <v>OK</v>
      </c>
      <c r="M561" t="str">
        <f t="shared" si="25"/>
        <v>OK</v>
      </c>
      <c r="N561" t="str">
        <f t="shared" si="26"/>
        <v>ERRO</v>
      </c>
    </row>
    <row r="562" spans="1:14" ht="28.8" x14ac:dyDescent="0.3">
      <c r="A562">
        <v>51</v>
      </c>
      <c r="B562">
        <v>2024</v>
      </c>
      <c r="C562" s="2">
        <v>45420</v>
      </c>
      <c r="D562" s="3" t="s">
        <v>11</v>
      </c>
      <c r="E562" s="4" t="s">
        <v>21</v>
      </c>
      <c r="F562" s="4" t="s">
        <v>13</v>
      </c>
      <c r="G562" s="6">
        <v>30</v>
      </c>
      <c r="H562" s="6">
        <v>24</v>
      </c>
      <c r="I562" s="6">
        <v>30</v>
      </c>
      <c r="J562" s="6">
        <v>28</v>
      </c>
      <c r="K562" s="6">
        <v>30</v>
      </c>
      <c r="L562" t="str">
        <f t="shared" si="24"/>
        <v>OK</v>
      </c>
      <c r="M562" t="str">
        <f t="shared" si="25"/>
        <v>OK</v>
      </c>
      <c r="N562" t="str">
        <f t="shared" si="26"/>
        <v>OK</v>
      </c>
    </row>
    <row r="563" spans="1:14" ht="28.8" x14ac:dyDescent="0.3">
      <c r="A563">
        <v>51</v>
      </c>
      <c r="B563">
        <v>2024</v>
      </c>
      <c r="C563" s="2">
        <v>45420</v>
      </c>
      <c r="D563" s="7" t="s">
        <v>11</v>
      </c>
      <c r="E563" s="8" t="s">
        <v>73</v>
      </c>
      <c r="F563" s="8" t="s">
        <v>13</v>
      </c>
      <c r="G563" s="9"/>
      <c r="H563" s="10">
        <v>95</v>
      </c>
      <c r="I563" s="10">
        <v>108</v>
      </c>
      <c r="J563" s="10" t="s">
        <v>231</v>
      </c>
      <c r="K563" s="10">
        <v>96</v>
      </c>
      <c r="L563" t="str">
        <f t="shared" si="24"/>
        <v>OK</v>
      </c>
      <c r="M563" t="str">
        <f t="shared" si="25"/>
        <v>OK</v>
      </c>
      <c r="N563" t="str">
        <f t="shared" si="26"/>
        <v>ERRO</v>
      </c>
    </row>
    <row r="564" spans="1:14" ht="28.8" x14ac:dyDescent="0.3">
      <c r="A564">
        <v>51</v>
      </c>
      <c r="B564">
        <v>2024</v>
      </c>
      <c r="C564" s="2">
        <v>45420</v>
      </c>
      <c r="D564" s="3" t="s">
        <v>11</v>
      </c>
      <c r="E564" s="4" t="s">
        <v>23</v>
      </c>
      <c r="F564" s="4" t="s">
        <v>13</v>
      </c>
      <c r="G564" s="6">
        <v>30</v>
      </c>
      <c r="H564" s="6">
        <v>25</v>
      </c>
      <c r="I564" s="6">
        <v>30</v>
      </c>
      <c r="J564" s="6" t="s">
        <v>85</v>
      </c>
      <c r="K564" s="6">
        <v>30</v>
      </c>
      <c r="L564" t="str">
        <f t="shared" si="24"/>
        <v>OK</v>
      </c>
      <c r="M564" t="str">
        <f t="shared" si="25"/>
        <v>OK</v>
      </c>
      <c r="N564" t="str">
        <f t="shared" si="26"/>
        <v>ERRO</v>
      </c>
    </row>
    <row r="565" spans="1:14" ht="28.8" x14ac:dyDescent="0.3">
      <c r="A565">
        <v>51</v>
      </c>
      <c r="B565">
        <v>2024</v>
      </c>
      <c r="C565" s="2">
        <v>45420</v>
      </c>
      <c r="D565" s="7" t="s">
        <v>11</v>
      </c>
      <c r="E565" s="8" t="s">
        <v>24</v>
      </c>
      <c r="F565" s="8" t="s">
        <v>13</v>
      </c>
      <c r="G565" s="10">
        <v>84</v>
      </c>
      <c r="H565" s="10">
        <v>78</v>
      </c>
      <c r="I565" s="10">
        <v>84</v>
      </c>
      <c r="J565" s="10">
        <v>82</v>
      </c>
      <c r="K565" s="10">
        <v>84</v>
      </c>
      <c r="L565" t="str">
        <f t="shared" si="24"/>
        <v>OK</v>
      </c>
      <c r="M565" t="str">
        <f t="shared" si="25"/>
        <v>OK</v>
      </c>
      <c r="N565" t="str">
        <f t="shared" si="26"/>
        <v>OK</v>
      </c>
    </row>
    <row r="566" spans="1:14" ht="28.8" x14ac:dyDescent="0.3">
      <c r="A566">
        <v>51</v>
      </c>
      <c r="B566">
        <v>2024</v>
      </c>
      <c r="C566" s="2">
        <v>45420</v>
      </c>
      <c r="D566" s="3" t="s">
        <v>11</v>
      </c>
      <c r="E566" s="4" t="s">
        <v>25</v>
      </c>
      <c r="F566" s="4" t="s">
        <v>26</v>
      </c>
      <c r="G566" s="6">
        <v>60</v>
      </c>
      <c r="H566" s="6">
        <v>60</v>
      </c>
      <c r="I566" s="6">
        <v>84</v>
      </c>
      <c r="J566" s="6">
        <v>68</v>
      </c>
      <c r="K566" s="6">
        <v>60</v>
      </c>
      <c r="L566" t="str">
        <f t="shared" si="24"/>
        <v>OK</v>
      </c>
      <c r="M566" t="str">
        <f t="shared" si="25"/>
        <v>OK</v>
      </c>
      <c r="N566" t="str">
        <f t="shared" si="26"/>
        <v>OK</v>
      </c>
    </row>
    <row r="567" spans="1:14" ht="28.8" x14ac:dyDescent="0.3">
      <c r="A567">
        <v>51</v>
      </c>
      <c r="B567">
        <v>2024</v>
      </c>
      <c r="C567" s="2">
        <v>45420</v>
      </c>
      <c r="D567" s="7" t="s">
        <v>11</v>
      </c>
      <c r="E567" s="8" t="s">
        <v>27</v>
      </c>
      <c r="F567" s="8" t="s">
        <v>13</v>
      </c>
      <c r="G567" s="9"/>
      <c r="H567" s="10">
        <v>55</v>
      </c>
      <c r="I567" s="10">
        <v>84</v>
      </c>
      <c r="J567" s="10" t="s">
        <v>232</v>
      </c>
      <c r="K567" s="10">
        <v>72</v>
      </c>
      <c r="L567" t="str">
        <f t="shared" si="24"/>
        <v>OK</v>
      </c>
      <c r="M567" t="str">
        <f t="shared" si="25"/>
        <v>OK</v>
      </c>
      <c r="N567" t="str">
        <f t="shared" si="26"/>
        <v>ERRO</v>
      </c>
    </row>
    <row r="568" spans="1:14" ht="28.8" x14ac:dyDescent="0.3">
      <c r="A568">
        <v>51</v>
      </c>
      <c r="B568">
        <v>2024</v>
      </c>
      <c r="C568" s="2">
        <v>45420</v>
      </c>
      <c r="D568" s="3" t="s">
        <v>11</v>
      </c>
      <c r="E568" s="4" t="s">
        <v>28</v>
      </c>
      <c r="F568" s="4" t="s">
        <v>13</v>
      </c>
      <c r="G568" s="5"/>
      <c r="H568" s="6">
        <v>48</v>
      </c>
      <c r="I568" s="6">
        <v>70</v>
      </c>
      <c r="J568" s="6">
        <v>56</v>
      </c>
      <c r="K568" s="6">
        <v>50</v>
      </c>
      <c r="L568" t="str">
        <f t="shared" si="24"/>
        <v>OK</v>
      </c>
      <c r="M568" t="str">
        <f t="shared" si="25"/>
        <v>OK</v>
      </c>
      <c r="N568" t="str">
        <f t="shared" si="26"/>
        <v>OK</v>
      </c>
    </row>
    <row r="569" spans="1:14" ht="28.8" x14ac:dyDescent="0.3">
      <c r="A569">
        <v>51</v>
      </c>
      <c r="B569">
        <v>2024</v>
      </c>
      <c r="C569" s="2">
        <v>45420</v>
      </c>
      <c r="D569" s="7" t="s">
        <v>11</v>
      </c>
      <c r="E569" s="8" t="s">
        <v>29</v>
      </c>
      <c r="F569" s="8" t="s">
        <v>13</v>
      </c>
      <c r="G569" s="10">
        <v>54</v>
      </c>
      <c r="H569" s="10">
        <v>48</v>
      </c>
      <c r="I569" s="10">
        <v>54</v>
      </c>
      <c r="J569" s="10">
        <v>52</v>
      </c>
      <c r="K569" s="10">
        <v>54</v>
      </c>
      <c r="L569" t="str">
        <f t="shared" si="24"/>
        <v>OK</v>
      </c>
      <c r="M569" t="str">
        <f t="shared" si="25"/>
        <v>OK</v>
      </c>
      <c r="N569" t="str">
        <f t="shared" si="26"/>
        <v>OK</v>
      </c>
    </row>
    <row r="570" spans="1:14" ht="28.8" x14ac:dyDescent="0.3">
      <c r="A570">
        <v>51</v>
      </c>
      <c r="B570">
        <v>2024</v>
      </c>
      <c r="C570" s="2">
        <v>45420</v>
      </c>
      <c r="D570" s="3" t="s">
        <v>30</v>
      </c>
      <c r="E570" s="4" t="s">
        <v>31</v>
      </c>
      <c r="F570" s="4" t="s">
        <v>32</v>
      </c>
      <c r="G570" s="6">
        <v>60</v>
      </c>
      <c r="H570" s="6">
        <v>60</v>
      </c>
      <c r="I570" s="6">
        <v>72</v>
      </c>
      <c r="J570" s="6">
        <v>64</v>
      </c>
      <c r="K570" s="6">
        <v>60</v>
      </c>
      <c r="L570" t="str">
        <f t="shared" si="24"/>
        <v>OK</v>
      </c>
      <c r="M570" t="str">
        <f t="shared" si="25"/>
        <v>OK</v>
      </c>
      <c r="N570" t="str">
        <f t="shared" si="26"/>
        <v>OK</v>
      </c>
    </row>
    <row r="571" spans="1:14" ht="28.8" x14ac:dyDescent="0.3">
      <c r="A571">
        <v>51</v>
      </c>
      <c r="B571">
        <v>2024</v>
      </c>
      <c r="C571" s="2">
        <v>45420</v>
      </c>
      <c r="D571" s="7" t="s">
        <v>30</v>
      </c>
      <c r="E571" s="8" t="s">
        <v>34</v>
      </c>
      <c r="F571" s="8" t="s">
        <v>35</v>
      </c>
      <c r="G571" s="9"/>
      <c r="H571" s="10">
        <v>20</v>
      </c>
      <c r="I571" s="10">
        <v>30</v>
      </c>
      <c r="J571" s="10">
        <v>25</v>
      </c>
      <c r="K571" s="10">
        <v>25</v>
      </c>
      <c r="L571" t="str">
        <f t="shared" si="24"/>
        <v>OK</v>
      </c>
      <c r="M571" t="str">
        <f t="shared" si="25"/>
        <v>OK</v>
      </c>
      <c r="N571" t="str">
        <f t="shared" si="26"/>
        <v>OK</v>
      </c>
    </row>
    <row r="572" spans="1:14" ht="28.8" x14ac:dyDescent="0.3">
      <c r="A572">
        <v>51</v>
      </c>
      <c r="B572">
        <v>2024</v>
      </c>
      <c r="C572" s="2">
        <v>45420</v>
      </c>
      <c r="D572" s="3" t="s">
        <v>30</v>
      </c>
      <c r="E572" s="4" t="s">
        <v>36</v>
      </c>
      <c r="F572" s="4" t="s">
        <v>35</v>
      </c>
      <c r="G572" s="6">
        <v>30</v>
      </c>
      <c r="H572" s="6">
        <v>30</v>
      </c>
      <c r="I572" s="6">
        <v>35</v>
      </c>
      <c r="J572" s="6" t="s">
        <v>108</v>
      </c>
      <c r="K572" s="6">
        <v>30</v>
      </c>
      <c r="L572" t="str">
        <f t="shared" si="24"/>
        <v>OK</v>
      </c>
      <c r="M572" t="str">
        <f t="shared" si="25"/>
        <v>OK</v>
      </c>
      <c r="N572" t="str">
        <f t="shared" si="26"/>
        <v>ERRO</v>
      </c>
    </row>
    <row r="573" spans="1:14" ht="43.2" x14ac:dyDescent="0.3">
      <c r="A573">
        <v>51</v>
      </c>
      <c r="B573">
        <v>2024</v>
      </c>
      <c r="C573" s="2">
        <v>45420</v>
      </c>
      <c r="D573" s="7" t="s">
        <v>38</v>
      </c>
      <c r="E573" s="8" t="s">
        <v>153</v>
      </c>
      <c r="F573" s="8" t="s">
        <v>154</v>
      </c>
      <c r="G573" s="9"/>
      <c r="H573" s="10">
        <v>90</v>
      </c>
      <c r="I573" s="10">
        <v>90</v>
      </c>
      <c r="J573" s="10">
        <v>90</v>
      </c>
      <c r="K573" s="10">
        <v>90</v>
      </c>
      <c r="L573" t="str">
        <f t="shared" si="24"/>
        <v>OK</v>
      </c>
      <c r="M573" t="str">
        <f t="shared" si="25"/>
        <v>OK</v>
      </c>
      <c r="N573" t="str">
        <f t="shared" si="26"/>
        <v>OK</v>
      </c>
    </row>
    <row r="574" spans="1:14" ht="43.2" x14ac:dyDescent="0.3">
      <c r="A574">
        <v>51</v>
      </c>
      <c r="B574">
        <v>2024</v>
      </c>
      <c r="C574" s="2">
        <v>45420</v>
      </c>
      <c r="D574" s="3" t="s">
        <v>38</v>
      </c>
      <c r="E574" s="4" t="s">
        <v>39</v>
      </c>
      <c r="F574" s="4" t="s">
        <v>40</v>
      </c>
      <c r="G574" s="6">
        <v>70</v>
      </c>
      <c r="H574" s="6">
        <v>60</v>
      </c>
      <c r="I574" s="6">
        <v>70</v>
      </c>
      <c r="J574" s="6">
        <v>65</v>
      </c>
      <c r="K574" s="6">
        <v>65</v>
      </c>
      <c r="L574" t="str">
        <f t="shared" si="24"/>
        <v>OK</v>
      </c>
      <c r="M574" t="str">
        <f t="shared" si="25"/>
        <v>OK</v>
      </c>
      <c r="N574" t="str">
        <f t="shared" si="26"/>
        <v>OK</v>
      </c>
    </row>
    <row r="575" spans="1:14" ht="43.2" x14ac:dyDescent="0.3">
      <c r="A575">
        <v>51</v>
      </c>
      <c r="B575">
        <v>2024</v>
      </c>
      <c r="C575" s="2">
        <v>45420</v>
      </c>
      <c r="D575" s="7" t="s">
        <v>38</v>
      </c>
      <c r="E575" s="8" t="s">
        <v>42</v>
      </c>
      <c r="F575" s="8" t="s">
        <v>43</v>
      </c>
      <c r="G575" s="9"/>
      <c r="H575" s="10">
        <v>45</v>
      </c>
      <c r="I575" s="10">
        <v>70</v>
      </c>
      <c r="J575" s="10">
        <v>60</v>
      </c>
      <c r="K575" s="10" t="s">
        <v>80</v>
      </c>
      <c r="L575" t="str">
        <f t="shared" si="24"/>
        <v>OK</v>
      </c>
      <c r="M575" t="str">
        <f t="shared" si="25"/>
        <v>OK</v>
      </c>
      <c r="N575" t="str">
        <f t="shared" si="26"/>
        <v>OK</v>
      </c>
    </row>
    <row r="576" spans="1:14" ht="43.2" x14ac:dyDescent="0.3">
      <c r="A576">
        <v>51</v>
      </c>
      <c r="B576">
        <v>2024</v>
      </c>
      <c r="C576" s="2">
        <v>45420</v>
      </c>
      <c r="D576" s="3" t="s">
        <v>38</v>
      </c>
      <c r="E576" s="4" t="s">
        <v>44</v>
      </c>
      <c r="F576" s="4" t="s">
        <v>45</v>
      </c>
      <c r="G576" s="6">
        <v>40</v>
      </c>
      <c r="H576" s="6">
        <v>40</v>
      </c>
      <c r="I576" s="6">
        <v>50</v>
      </c>
      <c r="J576" s="6" t="s">
        <v>233</v>
      </c>
      <c r="K576" s="6" t="s">
        <v>47</v>
      </c>
      <c r="L576" t="str">
        <f t="shared" si="24"/>
        <v>OK</v>
      </c>
      <c r="M576" t="str">
        <f t="shared" si="25"/>
        <v>OK</v>
      </c>
      <c r="N576" t="str">
        <f t="shared" si="26"/>
        <v>ERRO</v>
      </c>
    </row>
    <row r="577" spans="1:14" ht="43.2" x14ac:dyDescent="0.3">
      <c r="A577">
        <v>51</v>
      </c>
      <c r="B577">
        <v>2024</v>
      </c>
      <c r="C577" s="2">
        <v>45420</v>
      </c>
      <c r="D577" s="7" t="s">
        <v>38</v>
      </c>
      <c r="E577" s="8" t="s">
        <v>48</v>
      </c>
      <c r="F577" s="8" t="s">
        <v>45</v>
      </c>
      <c r="G577" s="9"/>
      <c r="H577" s="10">
        <v>90</v>
      </c>
      <c r="I577" s="10">
        <v>110</v>
      </c>
      <c r="J577" s="10">
        <v>100</v>
      </c>
      <c r="K577" s="10">
        <v>100</v>
      </c>
      <c r="L577" t="str">
        <f t="shared" si="24"/>
        <v>OK</v>
      </c>
      <c r="M577" t="str">
        <f t="shared" si="25"/>
        <v>OK</v>
      </c>
      <c r="N577" t="str">
        <f t="shared" si="26"/>
        <v>OK</v>
      </c>
    </row>
    <row r="578" spans="1:14" ht="43.2" x14ac:dyDescent="0.3">
      <c r="A578">
        <v>51</v>
      </c>
      <c r="B578">
        <v>2024</v>
      </c>
      <c r="C578" s="2">
        <v>45420</v>
      </c>
      <c r="D578" s="3" t="s">
        <v>38</v>
      </c>
      <c r="E578" s="4" t="s">
        <v>49</v>
      </c>
      <c r="F578" s="4" t="s">
        <v>50</v>
      </c>
      <c r="G578" s="5"/>
      <c r="H578" s="6">
        <v>100</v>
      </c>
      <c r="I578" s="6">
        <v>160</v>
      </c>
      <c r="J578" s="6" t="s">
        <v>234</v>
      </c>
      <c r="K578" s="6">
        <v>135</v>
      </c>
      <c r="L578" t="str">
        <f t="shared" si="24"/>
        <v>OK</v>
      </c>
      <c r="M578" t="str">
        <f t="shared" si="25"/>
        <v>OK</v>
      </c>
      <c r="N578" t="str">
        <f t="shared" si="26"/>
        <v>ERRO</v>
      </c>
    </row>
    <row r="579" spans="1:14" ht="43.2" x14ac:dyDescent="0.3">
      <c r="A579">
        <v>51</v>
      </c>
      <c r="B579">
        <v>2024</v>
      </c>
      <c r="C579" s="2">
        <v>45420</v>
      </c>
      <c r="D579" s="7" t="s">
        <v>38</v>
      </c>
      <c r="E579" s="8" t="s">
        <v>52</v>
      </c>
      <c r="F579" s="8" t="s">
        <v>43</v>
      </c>
      <c r="G579" s="10">
        <v>160</v>
      </c>
      <c r="H579" s="10">
        <v>80</v>
      </c>
      <c r="I579" s="10">
        <v>170</v>
      </c>
      <c r="J579" s="10">
        <v>142</v>
      </c>
      <c r="K579" s="10">
        <v>160</v>
      </c>
      <c r="L579" t="str">
        <f t="shared" ref="L579:L642" si="27">IF(H579&gt;I579,"ERRO","OK")</f>
        <v>OK</v>
      </c>
      <c r="M579" t="str">
        <f t="shared" ref="M579:M642" si="28">IF(H579&gt;J579,"ERRO","OK")</f>
        <v>OK</v>
      </c>
      <c r="N579" t="str">
        <f t="shared" ref="N579:N642" si="29">IF(I579&lt;J579,"ERRO","OK")</f>
        <v>OK</v>
      </c>
    </row>
    <row r="580" spans="1:14" ht="43.2" x14ac:dyDescent="0.3">
      <c r="A580">
        <v>51</v>
      </c>
      <c r="B580">
        <v>2024</v>
      </c>
      <c r="C580" s="2">
        <v>45420</v>
      </c>
      <c r="D580" s="3" t="s">
        <v>38</v>
      </c>
      <c r="E580" s="4" t="s">
        <v>53</v>
      </c>
      <c r="F580" s="4" t="s">
        <v>43</v>
      </c>
      <c r="G580" s="6">
        <v>60</v>
      </c>
      <c r="H580" s="6">
        <v>45</v>
      </c>
      <c r="I580" s="6">
        <v>60</v>
      </c>
      <c r="J580" s="6" t="s">
        <v>235</v>
      </c>
      <c r="K580" s="6">
        <v>60</v>
      </c>
      <c r="L580" t="str">
        <f t="shared" si="27"/>
        <v>OK</v>
      </c>
      <c r="M580" t="str">
        <f t="shared" si="28"/>
        <v>OK</v>
      </c>
      <c r="N580" t="str">
        <f t="shared" si="29"/>
        <v>ERRO</v>
      </c>
    </row>
    <row r="581" spans="1:14" ht="43.2" x14ac:dyDescent="0.3">
      <c r="A581">
        <v>51</v>
      </c>
      <c r="B581">
        <v>2024</v>
      </c>
      <c r="C581" s="2">
        <v>45420</v>
      </c>
      <c r="D581" s="7" t="s">
        <v>38</v>
      </c>
      <c r="E581" s="8" t="s">
        <v>54</v>
      </c>
      <c r="F581" s="8" t="s">
        <v>40</v>
      </c>
      <c r="G581" s="9"/>
      <c r="H581" s="10">
        <v>120</v>
      </c>
      <c r="I581" s="10">
        <v>120</v>
      </c>
      <c r="J581" s="10">
        <v>120</v>
      </c>
      <c r="K581" s="10">
        <v>120</v>
      </c>
      <c r="L581" t="str">
        <f t="shared" si="27"/>
        <v>OK</v>
      </c>
      <c r="M581" t="str">
        <f t="shared" si="28"/>
        <v>OK</v>
      </c>
      <c r="N581" t="str">
        <f t="shared" si="29"/>
        <v>OK</v>
      </c>
    </row>
    <row r="582" spans="1:14" ht="43.2" x14ac:dyDescent="0.3">
      <c r="A582">
        <v>51</v>
      </c>
      <c r="B582">
        <v>2024</v>
      </c>
      <c r="C582" s="2">
        <v>45420</v>
      </c>
      <c r="D582" s="3" t="s">
        <v>38</v>
      </c>
      <c r="E582" s="4" t="s">
        <v>56</v>
      </c>
      <c r="F582" s="4" t="s">
        <v>43</v>
      </c>
      <c r="G582" s="5"/>
      <c r="H582" s="5"/>
      <c r="I582" s="5"/>
      <c r="J582" s="5"/>
      <c r="K582" s="5"/>
      <c r="L582" t="str">
        <f t="shared" si="27"/>
        <v>OK</v>
      </c>
      <c r="M582" t="str">
        <f t="shared" si="28"/>
        <v>OK</v>
      </c>
      <c r="N582" t="str">
        <f t="shared" si="29"/>
        <v>OK</v>
      </c>
    </row>
    <row r="583" spans="1:14" ht="43.2" x14ac:dyDescent="0.3">
      <c r="A583">
        <v>51</v>
      </c>
      <c r="B583">
        <v>2024</v>
      </c>
      <c r="C583" s="2">
        <v>45420</v>
      </c>
      <c r="D583" s="7" t="s">
        <v>38</v>
      </c>
      <c r="E583" s="8" t="s">
        <v>57</v>
      </c>
      <c r="F583" s="8" t="s">
        <v>40</v>
      </c>
      <c r="G583" s="9"/>
      <c r="H583" s="10">
        <v>75</v>
      </c>
      <c r="I583" s="10">
        <v>75</v>
      </c>
      <c r="J583" s="10">
        <v>75</v>
      </c>
      <c r="K583" s="10">
        <v>75</v>
      </c>
      <c r="L583" t="str">
        <f t="shared" si="27"/>
        <v>OK</v>
      </c>
      <c r="M583" t="str">
        <f t="shared" si="28"/>
        <v>OK</v>
      </c>
      <c r="N583" t="str">
        <f t="shared" si="29"/>
        <v>OK</v>
      </c>
    </row>
    <row r="584" spans="1:14" ht="43.2" x14ac:dyDescent="0.3">
      <c r="A584">
        <v>51</v>
      </c>
      <c r="B584">
        <v>2024</v>
      </c>
      <c r="C584" s="2">
        <v>45420</v>
      </c>
      <c r="D584" s="3" t="s">
        <v>38</v>
      </c>
      <c r="E584" s="4" t="s">
        <v>58</v>
      </c>
      <c r="F584" s="4" t="s">
        <v>40</v>
      </c>
      <c r="G584" s="5"/>
      <c r="H584" s="6">
        <v>60</v>
      </c>
      <c r="I584" s="6">
        <v>90</v>
      </c>
      <c r="J584" s="6" t="s">
        <v>155</v>
      </c>
      <c r="K584" s="6" t="s">
        <v>168</v>
      </c>
      <c r="L584" t="str">
        <f t="shared" si="27"/>
        <v>OK</v>
      </c>
      <c r="M584" t="str">
        <f t="shared" si="28"/>
        <v>OK</v>
      </c>
      <c r="N584" t="str">
        <f t="shared" si="29"/>
        <v>ERRO</v>
      </c>
    </row>
    <row r="585" spans="1:14" ht="43.2" x14ac:dyDescent="0.3">
      <c r="A585">
        <v>51</v>
      </c>
      <c r="B585">
        <v>2024</v>
      </c>
      <c r="C585" s="2">
        <v>45420</v>
      </c>
      <c r="D585" s="7" t="s">
        <v>38</v>
      </c>
      <c r="E585" s="8" t="s">
        <v>59</v>
      </c>
      <c r="F585" s="8" t="s">
        <v>45</v>
      </c>
      <c r="G585" s="9"/>
      <c r="H585" s="10">
        <v>55</v>
      </c>
      <c r="I585" s="10">
        <v>75</v>
      </c>
      <c r="J585" s="10">
        <v>65</v>
      </c>
      <c r="K585" s="10">
        <v>65</v>
      </c>
      <c r="L585" t="str">
        <f t="shared" si="27"/>
        <v>OK</v>
      </c>
      <c r="M585" t="str">
        <f t="shared" si="28"/>
        <v>OK</v>
      </c>
      <c r="N585" t="str">
        <f t="shared" si="29"/>
        <v>OK</v>
      </c>
    </row>
    <row r="586" spans="1:14" ht="43.2" x14ac:dyDescent="0.3">
      <c r="A586">
        <v>51</v>
      </c>
      <c r="B586">
        <v>2024</v>
      </c>
      <c r="C586" s="2">
        <v>45420</v>
      </c>
      <c r="D586" s="3" t="s">
        <v>38</v>
      </c>
      <c r="E586" s="4" t="s">
        <v>60</v>
      </c>
      <c r="F586" s="4" t="s">
        <v>61</v>
      </c>
      <c r="G586" s="6">
        <v>120</v>
      </c>
      <c r="H586" s="6">
        <v>120</v>
      </c>
      <c r="I586" s="6">
        <v>120</v>
      </c>
      <c r="J586" s="6">
        <v>120</v>
      </c>
      <c r="K586" s="6">
        <v>120</v>
      </c>
      <c r="L586" t="str">
        <f t="shared" si="27"/>
        <v>OK</v>
      </c>
      <c r="M586" t="str">
        <f t="shared" si="28"/>
        <v>OK</v>
      </c>
      <c r="N586" t="str">
        <f t="shared" si="29"/>
        <v>OK</v>
      </c>
    </row>
    <row r="587" spans="1:14" ht="43.2" x14ac:dyDescent="0.3">
      <c r="A587">
        <v>51</v>
      </c>
      <c r="B587">
        <v>2024</v>
      </c>
      <c r="C587" s="2">
        <v>45420</v>
      </c>
      <c r="D587" s="7" t="s">
        <v>38</v>
      </c>
      <c r="E587" s="8" t="s">
        <v>63</v>
      </c>
      <c r="F587" s="8" t="s">
        <v>40</v>
      </c>
      <c r="G587" s="9"/>
      <c r="H587" s="10">
        <v>110</v>
      </c>
      <c r="I587" s="10">
        <v>160</v>
      </c>
      <c r="J587" s="10">
        <v>140</v>
      </c>
      <c r="K587" s="10">
        <v>145</v>
      </c>
      <c r="L587" t="str">
        <f t="shared" si="27"/>
        <v>OK</v>
      </c>
      <c r="M587" t="str">
        <f t="shared" si="28"/>
        <v>OK</v>
      </c>
      <c r="N587" t="str">
        <f t="shared" si="29"/>
        <v>OK</v>
      </c>
    </row>
    <row r="588" spans="1:14" ht="43.2" x14ac:dyDescent="0.3">
      <c r="A588">
        <v>51</v>
      </c>
      <c r="B588">
        <v>2024</v>
      </c>
      <c r="C588" s="2">
        <v>45420</v>
      </c>
      <c r="D588" s="3" t="s">
        <v>38</v>
      </c>
      <c r="E588" s="4" t="s">
        <v>64</v>
      </c>
      <c r="F588" s="4" t="s">
        <v>40</v>
      </c>
      <c r="G588" s="5"/>
      <c r="H588" s="6">
        <v>110</v>
      </c>
      <c r="I588" s="6">
        <v>180</v>
      </c>
      <c r="J588" s="6">
        <v>145</v>
      </c>
      <c r="K588" s="6">
        <v>145</v>
      </c>
      <c r="L588" t="str">
        <f t="shared" si="27"/>
        <v>OK</v>
      </c>
      <c r="M588" t="str">
        <f t="shared" si="28"/>
        <v>OK</v>
      </c>
      <c r="N588" t="str">
        <f t="shared" si="29"/>
        <v>OK</v>
      </c>
    </row>
    <row r="589" spans="1:14" x14ac:dyDescent="0.3">
      <c r="A589">
        <v>51</v>
      </c>
      <c r="B589">
        <v>2024</v>
      </c>
      <c r="C589" s="2">
        <v>45420</v>
      </c>
      <c r="D589" s="7" t="s">
        <v>65</v>
      </c>
      <c r="E589" s="8" t="s">
        <v>66</v>
      </c>
      <c r="F589" s="8" t="s">
        <v>45</v>
      </c>
      <c r="G589" s="9"/>
      <c r="H589" s="10">
        <v>110</v>
      </c>
      <c r="I589" s="10">
        <v>110</v>
      </c>
      <c r="J589" s="10">
        <v>110</v>
      </c>
      <c r="K589" s="10">
        <v>110</v>
      </c>
      <c r="L589" t="str">
        <f t="shared" si="27"/>
        <v>OK</v>
      </c>
      <c r="M589" t="str">
        <f t="shared" si="28"/>
        <v>OK</v>
      </c>
      <c r="N589" t="str">
        <f t="shared" si="29"/>
        <v>OK</v>
      </c>
    </row>
    <row r="590" spans="1:14" x14ac:dyDescent="0.3">
      <c r="A590">
        <v>51</v>
      </c>
      <c r="B590">
        <v>2024</v>
      </c>
      <c r="C590" s="2">
        <v>45420</v>
      </c>
      <c r="D590" s="3" t="s">
        <v>65</v>
      </c>
      <c r="E590" s="4" t="s">
        <v>67</v>
      </c>
      <c r="F590" s="4" t="s">
        <v>45</v>
      </c>
      <c r="G590" s="6">
        <v>70</v>
      </c>
      <c r="H590" s="6">
        <v>70</v>
      </c>
      <c r="I590" s="6">
        <v>70</v>
      </c>
      <c r="J590" s="6">
        <v>70</v>
      </c>
      <c r="K590" s="6">
        <v>70</v>
      </c>
      <c r="L590" t="str">
        <f t="shared" si="27"/>
        <v>OK</v>
      </c>
      <c r="M590" t="str">
        <f t="shared" si="28"/>
        <v>OK</v>
      </c>
      <c r="N590" t="str">
        <f t="shared" si="29"/>
        <v>OK</v>
      </c>
    </row>
    <row r="591" spans="1:14" x14ac:dyDescent="0.3">
      <c r="A591">
        <v>51</v>
      </c>
      <c r="B591">
        <v>2024</v>
      </c>
      <c r="C591" s="2">
        <v>45420</v>
      </c>
      <c r="D591" s="7" t="s">
        <v>65</v>
      </c>
      <c r="E591" s="8" t="s">
        <v>68</v>
      </c>
      <c r="F591" s="8" t="s">
        <v>45</v>
      </c>
      <c r="G591" s="9"/>
      <c r="H591" s="10">
        <v>50</v>
      </c>
      <c r="I591" s="10">
        <v>60</v>
      </c>
      <c r="J591" s="10">
        <v>55</v>
      </c>
      <c r="K591" s="10">
        <v>55</v>
      </c>
      <c r="L591" t="str">
        <f t="shared" si="27"/>
        <v>OK</v>
      </c>
      <c r="M591" t="str">
        <f t="shared" si="28"/>
        <v>OK</v>
      </c>
      <c r="N591" t="str">
        <f t="shared" si="29"/>
        <v>OK</v>
      </c>
    </row>
    <row r="592" spans="1:14" x14ac:dyDescent="0.3">
      <c r="A592">
        <v>51</v>
      </c>
      <c r="B592">
        <v>2024</v>
      </c>
      <c r="C592" s="2">
        <v>45420</v>
      </c>
      <c r="D592" s="3" t="s">
        <v>65</v>
      </c>
      <c r="E592" s="4" t="s">
        <v>69</v>
      </c>
      <c r="F592" s="4" t="s">
        <v>45</v>
      </c>
      <c r="G592" s="5"/>
      <c r="H592" s="6">
        <v>55</v>
      </c>
      <c r="I592" s="6">
        <v>55</v>
      </c>
      <c r="J592" s="6">
        <v>55</v>
      </c>
      <c r="K592" s="6">
        <v>55</v>
      </c>
      <c r="L592" t="str">
        <f t="shared" si="27"/>
        <v>OK</v>
      </c>
      <c r="M592" t="str">
        <f t="shared" si="28"/>
        <v>OK</v>
      </c>
      <c r="N592" t="str">
        <f t="shared" si="29"/>
        <v>OK</v>
      </c>
    </row>
    <row r="593" spans="1:14" x14ac:dyDescent="0.3">
      <c r="A593">
        <v>51</v>
      </c>
      <c r="B593">
        <v>2024</v>
      </c>
      <c r="C593" s="2">
        <v>45420</v>
      </c>
      <c r="D593" s="7" t="s">
        <v>65</v>
      </c>
      <c r="E593" s="8" t="s">
        <v>70</v>
      </c>
      <c r="F593" s="8" t="s">
        <v>71</v>
      </c>
      <c r="G593" s="9"/>
      <c r="H593" s="10">
        <v>40</v>
      </c>
      <c r="I593" s="10">
        <v>55</v>
      </c>
      <c r="J593" s="10" t="s">
        <v>91</v>
      </c>
      <c r="K593" s="10" t="s">
        <v>91</v>
      </c>
      <c r="L593" t="str">
        <f t="shared" si="27"/>
        <v>OK</v>
      </c>
      <c r="M593" t="str">
        <f t="shared" si="28"/>
        <v>OK</v>
      </c>
      <c r="N593" t="str">
        <f t="shared" si="29"/>
        <v>ERRO</v>
      </c>
    </row>
    <row r="594" spans="1:14" ht="28.8" x14ac:dyDescent="0.3">
      <c r="A594">
        <v>52</v>
      </c>
      <c r="B594">
        <v>2024</v>
      </c>
      <c r="C594" s="2">
        <v>45427</v>
      </c>
      <c r="D594" s="3" t="s">
        <v>11</v>
      </c>
      <c r="E594" s="4" t="s">
        <v>12</v>
      </c>
      <c r="F594" s="4" t="s">
        <v>13</v>
      </c>
      <c r="G594" s="5"/>
      <c r="H594" s="6">
        <v>60</v>
      </c>
      <c r="I594" s="6">
        <v>72</v>
      </c>
      <c r="J594" s="6">
        <v>66</v>
      </c>
      <c r="K594" s="6">
        <v>66</v>
      </c>
      <c r="L594" t="str">
        <f t="shared" si="27"/>
        <v>OK</v>
      </c>
      <c r="M594" t="str">
        <f t="shared" si="28"/>
        <v>OK</v>
      </c>
      <c r="N594" t="str">
        <f t="shared" si="29"/>
        <v>OK</v>
      </c>
    </row>
    <row r="595" spans="1:14" ht="28.8" x14ac:dyDescent="0.3">
      <c r="A595">
        <v>52</v>
      </c>
      <c r="B595">
        <v>2024</v>
      </c>
      <c r="C595" s="2">
        <v>45427</v>
      </c>
      <c r="D595" s="7" t="s">
        <v>11</v>
      </c>
      <c r="E595" s="8" t="s">
        <v>14</v>
      </c>
      <c r="F595" s="8" t="s">
        <v>13</v>
      </c>
      <c r="G595" s="10">
        <v>84</v>
      </c>
      <c r="H595" s="10">
        <v>72</v>
      </c>
      <c r="I595" s="10">
        <v>84</v>
      </c>
      <c r="J595" s="10">
        <v>80</v>
      </c>
      <c r="K595" s="10">
        <v>84</v>
      </c>
      <c r="L595" t="str">
        <f t="shared" si="27"/>
        <v>OK</v>
      </c>
      <c r="M595" t="str">
        <f t="shared" si="28"/>
        <v>OK</v>
      </c>
      <c r="N595" t="str">
        <f t="shared" si="29"/>
        <v>OK</v>
      </c>
    </row>
    <row r="596" spans="1:14" ht="28.8" x14ac:dyDescent="0.3">
      <c r="A596">
        <v>52</v>
      </c>
      <c r="B596">
        <v>2024</v>
      </c>
      <c r="C596" s="2">
        <v>45427</v>
      </c>
      <c r="D596" s="3" t="s">
        <v>11</v>
      </c>
      <c r="E596" s="4" t="s">
        <v>15</v>
      </c>
      <c r="F596" s="4" t="s">
        <v>13</v>
      </c>
      <c r="G596" s="5"/>
      <c r="H596" s="6">
        <v>42</v>
      </c>
      <c r="I596" s="6">
        <v>54</v>
      </c>
      <c r="J596" s="6">
        <v>47</v>
      </c>
      <c r="K596" s="6">
        <v>45</v>
      </c>
      <c r="L596" t="str">
        <f t="shared" si="27"/>
        <v>OK</v>
      </c>
      <c r="M596" t="str">
        <f t="shared" si="28"/>
        <v>OK</v>
      </c>
      <c r="N596" t="str">
        <f t="shared" si="29"/>
        <v>OK</v>
      </c>
    </row>
    <row r="597" spans="1:14" ht="28.8" x14ac:dyDescent="0.3">
      <c r="A597">
        <v>52</v>
      </c>
      <c r="B597">
        <v>2024</v>
      </c>
      <c r="C597" s="2">
        <v>45427</v>
      </c>
      <c r="D597" s="7" t="s">
        <v>11</v>
      </c>
      <c r="E597" s="8" t="s">
        <v>16</v>
      </c>
      <c r="F597" s="8" t="s">
        <v>13</v>
      </c>
      <c r="G597" s="10">
        <v>24</v>
      </c>
      <c r="H597" s="10">
        <v>20</v>
      </c>
      <c r="I597" s="10">
        <v>33</v>
      </c>
      <c r="J597" s="10" t="s">
        <v>236</v>
      </c>
      <c r="K597" s="10">
        <v>24</v>
      </c>
      <c r="L597" t="str">
        <f t="shared" si="27"/>
        <v>OK</v>
      </c>
      <c r="M597" t="str">
        <f t="shared" si="28"/>
        <v>OK</v>
      </c>
      <c r="N597" t="str">
        <f t="shared" si="29"/>
        <v>ERRO</v>
      </c>
    </row>
    <row r="598" spans="1:14" ht="28.8" x14ac:dyDescent="0.3">
      <c r="A598">
        <v>52</v>
      </c>
      <c r="B598">
        <v>2024</v>
      </c>
      <c r="C598" s="2">
        <v>45427</v>
      </c>
      <c r="D598" s="3" t="s">
        <v>11</v>
      </c>
      <c r="E598" s="4" t="s">
        <v>17</v>
      </c>
      <c r="F598" s="4" t="s">
        <v>13</v>
      </c>
      <c r="G598" s="5"/>
      <c r="H598" s="6">
        <v>20</v>
      </c>
      <c r="I598" s="6">
        <v>33</v>
      </c>
      <c r="J598" s="6" t="s">
        <v>237</v>
      </c>
      <c r="K598" s="6">
        <v>24</v>
      </c>
      <c r="L598" t="str">
        <f t="shared" si="27"/>
        <v>OK</v>
      </c>
      <c r="M598" t="str">
        <f t="shared" si="28"/>
        <v>OK</v>
      </c>
      <c r="N598" t="str">
        <f t="shared" si="29"/>
        <v>ERRO</v>
      </c>
    </row>
    <row r="599" spans="1:14" ht="28.8" x14ac:dyDescent="0.3">
      <c r="A599">
        <v>52</v>
      </c>
      <c r="B599">
        <v>2024</v>
      </c>
      <c r="C599" s="2">
        <v>45427</v>
      </c>
      <c r="D599" s="7" t="s">
        <v>11</v>
      </c>
      <c r="E599" s="8" t="s">
        <v>18</v>
      </c>
      <c r="F599" s="8" t="s">
        <v>13</v>
      </c>
      <c r="G599" s="10">
        <v>60</v>
      </c>
      <c r="H599" s="10">
        <v>60</v>
      </c>
      <c r="I599" s="10">
        <v>60</v>
      </c>
      <c r="J599" s="10">
        <v>60</v>
      </c>
      <c r="K599" s="10">
        <v>60</v>
      </c>
      <c r="L599" t="str">
        <f t="shared" si="27"/>
        <v>OK</v>
      </c>
      <c r="M599" t="str">
        <f t="shared" si="28"/>
        <v>OK</v>
      </c>
      <c r="N599" t="str">
        <f t="shared" si="29"/>
        <v>OK</v>
      </c>
    </row>
    <row r="600" spans="1:14" ht="28.8" x14ac:dyDescent="0.3">
      <c r="A600">
        <v>52</v>
      </c>
      <c r="B600">
        <v>2024</v>
      </c>
      <c r="C600" s="2">
        <v>45427</v>
      </c>
      <c r="D600" s="3" t="s">
        <v>11</v>
      </c>
      <c r="E600" s="4" t="s">
        <v>19</v>
      </c>
      <c r="F600" s="4" t="s">
        <v>13</v>
      </c>
      <c r="G600" s="6">
        <v>72</v>
      </c>
      <c r="H600" s="6">
        <v>72</v>
      </c>
      <c r="I600" s="6">
        <v>84</v>
      </c>
      <c r="J600" s="6">
        <v>76</v>
      </c>
      <c r="K600" s="6">
        <v>72</v>
      </c>
      <c r="L600" t="str">
        <f t="shared" si="27"/>
        <v>OK</v>
      </c>
      <c r="M600" t="str">
        <f t="shared" si="28"/>
        <v>OK</v>
      </c>
      <c r="N600" t="str">
        <f t="shared" si="29"/>
        <v>OK</v>
      </c>
    </row>
    <row r="601" spans="1:14" ht="28.8" x14ac:dyDescent="0.3">
      <c r="A601">
        <v>52</v>
      </c>
      <c r="B601">
        <v>2024</v>
      </c>
      <c r="C601" s="2">
        <v>45427</v>
      </c>
      <c r="D601" s="7" t="s">
        <v>11</v>
      </c>
      <c r="E601" s="8" t="s">
        <v>20</v>
      </c>
      <c r="F601" s="8" t="s">
        <v>13</v>
      </c>
      <c r="G601" s="9"/>
      <c r="H601" s="10">
        <v>84</v>
      </c>
      <c r="I601" s="10">
        <v>96</v>
      </c>
      <c r="J601" s="10" t="s">
        <v>230</v>
      </c>
      <c r="K601" s="10">
        <v>95</v>
      </c>
      <c r="L601" t="str">
        <f t="shared" si="27"/>
        <v>OK</v>
      </c>
      <c r="M601" t="str">
        <f t="shared" si="28"/>
        <v>OK</v>
      </c>
      <c r="N601" t="str">
        <f t="shared" si="29"/>
        <v>ERRO</v>
      </c>
    </row>
    <row r="602" spans="1:14" ht="28.8" x14ac:dyDescent="0.3">
      <c r="A602">
        <v>52</v>
      </c>
      <c r="B602">
        <v>2024</v>
      </c>
      <c r="C602" s="2">
        <v>45427</v>
      </c>
      <c r="D602" s="3" t="s">
        <v>11</v>
      </c>
      <c r="E602" s="4" t="s">
        <v>21</v>
      </c>
      <c r="F602" s="4" t="s">
        <v>13</v>
      </c>
      <c r="G602" s="6">
        <v>24</v>
      </c>
      <c r="H602" s="6">
        <v>6</v>
      </c>
      <c r="I602" s="6">
        <v>30</v>
      </c>
      <c r="J602" s="6">
        <v>21</v>
      </c>
      <c r="K602" s="6">
        <v>24</v>
      </c>
      <c r="L602" t="str">
        <f t="shared" si="27"/>
        <v>OK</v>
      </c>
      <c r="M602" t="str">
        <f t="shared" si="28"/>
        <v>OK</v>
      </c>
      <c r="N602" t="str">
        <f t="shared" si="29"/>
        <v>OK</v>
      </c>
    </row>
    <row r="603" spans="1:14" ht="28.8" x14ac:dyDescent="0.3">
      <c r="A603">
        <v>52</v>
      </c>
      <c r="B603">
        <v>2024</v>
      </c>
      <c r="C603" s="2">
        <v>45427</v>
      </c>
      <c r="D603" s="7" t="s">
        <v>11</v>
      </c>
      <c r="E603" s="8" t="s">
        <v>73</v>
      </c>
      <c r="F603" s="8" t="s">
        <v>13</v>
      </c>
      <c r="G603" s="10">
        <v>96</v>
      </c>
      <c r="H603" s="10">
        <v>90</v>
      </c>
      <c r="I603" s="10">
        <v>96</v>
      </c>
      <c r="J603" s="10">
        <v>94</v>
      </c>
      <c r="K603" s="10">
        <v>96</v>
      </c>
      <c r="L603" t="str">
        <f t="shared" si="27"/>
        <v>OK</v>
      </c>
      <c r="M603" t="str">
        <f t="shared" si="28"/>
        <v>OK</v>
      </c>
      <c r="N603" t="str">
        <f t="shared" si="29"/>
        <v>OK</v>
      </c>
    </row>
    <row r="604" spans="1:14" ht="28.8" x14ac:dyDescent="0.3">
      <c r="A604">
        <v>52</v>
      </c>
      <c r="B604">
        <v>2024</v>
      </c>
      <c r="C604" s="2">
        <v>45427</v>
      </c>
      <c r="D604" s="3" t="s">
        <v>11</v>
      </c>
      <c r="E604" s="4" t="s">
        <v>23</v>
      </c>
      <c r="F604" s="4" t="s">
        <v>13</v>
      </c>
      <c r="G604" s="5"/>
      <c r="H604" s="6">
        <v>20</v>
      </c>
      <c r="I604" s="6">
        <v>33</v>
      </c>
      <c r="J604" s="6" t="s">
        <v>220</v>
      </c>
      <c r="K604" s="6">
        <v>30</v>
      </c>
      <c r="L604" t="str">
        <f t="shared" si="27"/>
        <v>OK</v>
      </c>
      <c r="M604" t="str">
        <f t="shared" si="28"/>
        <v>OK</v>
      </c>
      <c r="N604" t="str">
        <f t="shared" si="29"/>
        <v>ERRO</v>
      </c>
    </row>
    <row r="605" spans="1:14" ht="28.8" x14ac:dyDescent="0.3">
      <c r="A605">
        <v>52</v>
      </c>
      <c r="B605">
        <v>2024</v>
      </c>
      <c r="C605" s="2">
        <v>45427</v>
      </c>
      <c r="D605" s="7" t="s">
        <v>11</v>
      </c>
      <c r="E605" s="8" t="s">
        <v>24</v>
      </c>
      <c r="F605" s="8" t="s">
        <v>13</v>
      </c>
      <c r="G605" s="10">
        <v>78</v>
      </c>
      <c r="H605" s="10">
        <v>78</v>
      </c>
      <c r="I605" s="10">
        <v>84</v>
      </c>
      <c r="J605" s="10">
        <v>80</v>
      </c>
      <c r="K605" s="10">
        <v>78</v>
      </c>
      <c r="L605" t="str">
        <f t="shared" si="27"/>
        <v>OK</v>
      </c>
      <c r="M605" t="str">
        <f t="shared" si="28"/>
        <v>OK</v>
      </c>
      <c r="N605" t="str">
        <f t="shared" si="29"/>
        <v>OK</v>
      </c>
    </row>
    <row r="606" spans="1:14" ht="28.8" x14ac:dyDescent="0.3">
      <c r="A606">
        <v>52</v>
      </c>
      <c r="B606">
        <v>2024</v>
      </c>
      <c r="C606" s="2">
        <v>45427</v>
      </c>
      <c r="D606" s="3" t="s">
        <v>11</v>
      </c>
      <c r="E606" s="4" t="s">
        <v>25</v>
      </c>
      <c r="F606" s="4" t="s">
        <v>26</v>
      </c>
      <c r="G606" s="6">
        <v>72</v>
      </c>
      <c r="H606" s="6">
        <v>72</v>
      </c>
      <c r="I606" s="6">
        <v>78</v>
      </c>
      <c r="J606" s="6">
        <v>74</v>
      </c>
      <c r="K606" s="6">
        <v>72</v>
      </c>
      <c r="L606" t="str">
        <f t="shared" si="27"/>
        <v>OK</v>
      </c>
      <c r="M606" t="str">
        <f t="shared" si="28"/>
        <v>OK</v>
      </c>
      <c r="N606" t="str">
        <f t="shared" si="29"/>
        <v>OK</v>
      </c>
    </row>
    <row r="607" spans="1:14" ht="28.8" x14ac:dyDescent="0.3">
      <c r="A607">
        <v>52</v>
      </c>
      <c r="B607">
        <v>2024</v>
      </c>
      <c r="C607" s="2">
        <v>45427</v>
      </c>
      <c r="D607" s="7" t="s">
        <v>11</v>
      </c>
      <c r="E607" s="8" t="s">
        <v>27</v>
      </c>
      <c r="F607" s="8" t="s">
        <v>13</v>
      </c>
      <c r="G607" s="9"/>
      <c r="H607" s="10">
        <v>55</v>
      </c>
      <c r="I607" s="10">
        <v>86</v>
      </c>
      <c r="J607" s="10">
        <v>75</v>
      </c>
      <c r="K607" s="10">
        <v>84</v>
      </c>
      <c r="L607" t="str">
        <f t="shared" si="27"/>
        <v>OK</v>
      </c>
      <c r="M607" t="str">
        <f t="shared" si="28"/>
        <v>OK</v>
      </c>
      <c r="N607" t="str">
        <f t="shared" si="29"/>
        <v>OK</v>
      </c>
    </row>
    <row r="608" spans="1:14" ht="28.8" x14ac:dyDescent="0.3">
      <c r="A608">
        <v>52</v>
      </c>
      <c r="B608">
        <v>2024</v>
      </c>
      <c r="C608" s="2">
        <v>45427</v>
      </c>
      <c r="D608" s="3" t="s">
        <v>11</v>
      </c>
      <c r="E608" s="4" t="s">
        <v>28</v>
      </c>
      <c r="F608" s="4" t="s">
        <v>13</v>
      </c>
      <c r="G608" s="6">
        <v>60</v>
      </c>
      <c r="H608" s="6">
        <v>50</v>
      </c>
      <c r="I608" s="6">
        <v>72</v>
      </c>
      <c r="J608" s="6" t="s">
        <v>238</v>
      </c>
      <c r="K608" s="6">
        <v>60</v>
      </c>
      <c r="L608" t="str">
        <f t="shared" si="27"/>
        <v>OK</v>
      </c>
      <c r="M608" t="str">
        <f t="shared" si="28"/>
        <v>OK</v>
      </c>
      <c r="N608" t="str">
        <f t="shared" si="29"/>
        <v>ERRO</v>
      </c>
    </row>
    <row r="609" spans="1:14" ht="28.8" x14ac:dyDescent="0.3">
      <c r="A609">
        <v>52</v>
      </c>
      <c r="B609">
        <v>2024</v>
      </c>
      <c r="C609" s="2">
        <v>45427</v>
      </c>
      <c r="D609" s="7" t="s">
        <v>11</v>
      </c>
      <c r="E609" s="8" t="s">
        <v>29</v>
      </c>
      <c r="F609" s="8" t="s">
        <v>13</v>
      </c>
      <c r="G609" s="10">
        <v>54</v>
      </c>
      <c r="H609" s="10">
        <v>48</v>
      </c>
      <c r="I609" s="10">
        <v>54</v>
      </c>
      <c r="J609" s="10">
        <v>52</v>
      </c>
      <c r="K609" s="10">
        <v>54</v>
      </c>
      <c r="L609" t="str">
        <f t="shared" si="27"/>
        <v>OK</v>
      </c>
      <c r="M609" t="str">
        <f t="shared" si="28"/>
        <v>OK</v>
      </c>
      <c r="N609" t="str">
        <f t="shared" si="29"/>
        <v>OK</v>
      </c>
    </row>
    <row r="610" spans="1:14" ht="28.8" x14ac:dyDescent="0.3">
      <c r="A610">
        <v>52</v>
      </c>
      <c r="B610">
        <v>2024</v>
      </c>
      <c r="C610" s="2">
        <v>45427</v>
      </c>
      <c r="D610" s="3" t="s">
        <v>30</v>
      </c>
      <c r="E610" s="4" t="s">
        <v>31</v>
      </c>
      <c r="F610" s="4" t="s">
        <v>32</v>
      </c>
      <c r="G610" s="6">
        <v>5</v>
      </c>
      <c r="H610" s="6">
        <v>5</v>
      </c>
      <c r="I610" s="6">
        <v>5</v>
      </c>
      <c r="J610" s="6">
        <v>5</v>
      </c>
      <c r="K610" s="6">
        <v>5</v>
      </c>
      <c r="L610" t="str">
        <f t="shared" si="27"/>
        <v>OK</v>
      </c>
      <c r="M610" t="str">
        <f t="shared" si="28"/>
        <v>OK</v>
      </c>
      <c r="N610" t="str">
        <f t="shared" si="29"/>
        <v>OK</v>
      </c>
    </row>
    <row r="611" spans="1:14" ht="28.8" x14ac:dyDescent="0.3">
      <c r="A611">
        <v>52</v>
      </c>
      <c r="B611">
        <v>2024</v>
      </c>
      <c r="C611" s="2">
        <v>45427</v>
      </c>
      <c r="D611" s="7" t="s">
        <v>30</v>
      </c>
      <c r="E611" s="8" t="s">
        <v>34</v>
      </c>
      <c r="F611" s="8" t="s">
        <v>35</v>
      </c>
      <c r="G611" s="10">
        <v>25</v>
      </c>
      <c r="H611" s="10">
        <v>25</v>
      </c>
      <c r="I611" s="10">
        <v>28</v>
      </c>
      <c r="J611" s="10">
        <v>26</v>
      </c>
      <c r="K611" s="10">
        <v>25</v>
      </c>
      <c r="L611" t="str">
        <f t="shared" si="27"/>
        <v>OK</v>
      </c>
      <c r="M611" t="str">
        <f t="shared" si="28"/>
        <v>OK</v>
      </c>
      <c r="N611" t="str">
        <f t="shared" si="29"/>
        <v>OK</v>
      </c>
    </row>
    <row r="612" spans="1:14" ht="28.8" x14ac:dyDescent="0.3">
      <c r="A612">
        <v>52</v>
      </c>
      <c r="B612">
        <v>2024</v>
      </c>
      <c r="C612" s="2">
        <v>45427</v>
      </c>
      <c r="D612" s="3" t="s">
        <v>30</v>
      </c>
      <c r="E612" s="4" t="s">
        <v>36</v>
      </c>
      <c r="F612" s="4" t="s">
        <v>35</v>
      </c>
      <c r="G612" s="6">
        <v>30</v>
      </c>
      <c r="H612" s="6">
        <v>30</v>
      </c>
      <c r="I612" s="6">
        <v>35</v>
      </c>
      <c r="J612" s="6" t="s">
        <v>108</v>
      </c>
      <c r="K612" s="6">
        <v>30</v>
      </c>
      <c r="L612" t="str">
        <f t="shared" si="27"/>
        <v>OK</v>
      </c>
      <c r="M612" t="str">
        <f t="shared" si="28"/>
        <v>OK</v>
      </c>
      <c r="N612" t="str">
        <f t="shared" si="29"/>
        <v>ERRO</v>
      </c>
    </row>
    <row r="613" spans="1:14" ht="43.2" x14ac:dyDescent="0.3">
      <c r="A613">
        <v>52</v>
      </c>
      <c r="B613">
        <v>2024</v>
      </c>
      <c r="C613" s="2">
        <v>45427</v>
      </c>
      <c r="D613" s="7" t="s">
        <v>38</v>
      </c>
      <c r="E613" s="8" t="s">
        <v>153</v>
      </c>
      <c r="F613" s="8" t="s">
        <v>154</v>
      </c>
      <c r="G613" s="9"/>
      <c r="H613" s="10">
        <v>85</v>
      </c>
      <c r="I613" s="10">
        <v>90</v>
      </c>
      <c r="J613" s="10" t="s">
        <v>239</v>
      </c>
      <c r="K613" s="10" t="s">
        <v>239</v>
      </c>
      <c r="L613" t="str">
        <f t="shared" si="27"/>
        <v>OK</v>
      </c>
      <c r="M613" t="str">
        <f t="shared" si="28"/>
        <v>OK</v>
      </c>
      <c r="N613" t="str">
        <f t="shared" si="29"/>
        <v>ERRO</v>
      </c>
    </row>
    <row r="614" spans="1:14" ht="43.2" x14ac:dyDescent="0.3">
      <c r="A614">
        <v>52</v>
      </c>
      <c r="B614">
        <v>2024</v>
      </c>
      <c r="C614" s="2">
        <v>45427</v>
      </c>
      <c r="D614" s="3" t="s">
        <v>38</v>
      </c>
      <c r="E614" s="4" t="s">
        <v>39</v>
      </c>
      <c r="F614" s="4" t="s">
        <v>40</v>
      </c>
      <c r="G614" s="6">
        <v>50</v>
      </c>
      <c r="H614" s="6">
        <v>50</v>
      </c>
      <c r="I614" s="6">
        <v>80</v>
      </c>
      <c r="J614" s="6">
        <v>60</v>
      </c>
      <c r="K614" s="6">
        <v>55</v>
      </c>
      <c r="L614" t="str">
        <f t="shared" si="27"/>
        <v>OK</v>
      </c>
      <c r="M614" t="str">
        <f t="shared" si="28"/>
        <v>OK</v>
      </c>
      <c r="N614" t="str">
        <f t="shared" si="29"/>
        <v>OK</v>
      </c>
    </row>
    <row r="615" spans="1:14" ht="43.2" x14ac:dyDescent="0.3">
      <c r="A615">
        <v>52</v>
      </c>
      <c r="B615">
        <v>2024</v>
      </c>
      <c r="C615" s="2">
        <v>45427</v>
      </c>
      <c r="D615" s="7" t="s">
        <v>38</v>
      </c>
      <c r="E615" s="8" t="s">
        <v>42</v>
      </c>
      <c r="F615" s="8" t="s">
        <v>43</v>
      </c>
      <c r="G615" s="10">
        <v>70</v>
      </c>
      <c r="H615" s="10">
        <v>45</v>
      </c>
      <c r="I615" s="10">
        <v>70</v>
      </c>
      <c r="J615" s="10" t="s">
        <v>101</v>
      </c>
      <c r="K615" s="10">
        <v>60</v>
      </c>
      <c r="L615" t="str">
        <f t="shared" si="27"/>
        <v>OK</v>
      </c>
      <c r="M615" t="str">
        <f t="shared" si="28"/>
        <v>OK</v>
      </c>
      <c r="N615" t="str">
        <f t="shared" si="29"/>
        <v>ERRO</v>
      </c>
    </row>
    <row r="616" spans="1:14" ht="43.2" x14ac:dyDescent="0.3">
      <c r="A616">
        <v>52</v>
      </c>
      <c r="B616">
        <v>2024</v>
      </c>
      <c r="C616" s="2">
        <v>45427</v>
      </c>
      <c r="D616" s="3" t="s">
        <v>38</v>
      </c>
      <c r="E616" s="4" t="s">
        <v>44</v>
      </c>
      <c r="F616" s="4" t="s">
        <v>45</v>
      </c>
      <c r="G616" s="5"/>
      <c r="H616" s="6">
        <v>35</v>
      </c>
      <c r="I616" s="6">
        <v>60</v>
      </c>
      <c r="J616" s="6" t="s">
        <v>91</v>
      </c>
      <c r="K616" s="6" t="s">
        <v>91</v>
      </c>
      <c r="L616" t="str">
        <f t="shared" si="27"/>
        <v>OK</v>
      </c>
      <c r="M616" t="str">
        <f t="shared" si="28"/>
        <v>OK</v>
      </c>
      <c r="N616" t="str">
        <f t="shared" si="29"/>
        <v>ERRO</v>
      </c>
    </row>
    <row r="617" spans="1:14" ht="43.2" x14ac:dyDescent="0.3">
      <c r="A617">
        <v>52</v>
      </c>
      <c r="B617">
        <v>2024</v>
      </c>
      <c r="C617" s="2">
        <v>45427</v>
      </c>
      <c r="D617" s="7" t="s">
        <v>38</v>
      </c>
      <c r="E617" s="8" t="s">
        <v>48</v>
      </c>
      <c r="F617" s="8" t="s">
        <v>45</v>
      </c>
      <c r="G617" s="10">
        <v>110</v>
      </c>
      <c r="H617" s="10">
        <v>110</v>
      </c>
      <c r="I617" s="10">
        <v>110</v>
      </c>
      <c r="J617" s="10">
        <v>110</v>
      </c>
      <c r="K617" s="10">
        <v>110</v>
      </c>
      <c r="L617" t="str">
        <f t="shared" si="27"/>
        <v>OK</v>
      </c>
      <c r="M617" t="str">
        <f t="shared" si="28"/>
        <v>OK</v>
      </c>
      <c r="N617" t="str">
        <f t="shared" si="29"/>
        <v>OK</v>
      </c>
    </row>
    <row r="618" spans="1:14" ht="43.2" x14ac:dyDescent="0.3">
      <c r="A618">
        <v>52</v>
      </c>
      <c r="B618">
        <v>2024</v>
      </c>
      <c r="C618" s="2">
        <v>45427</v>
      </c>
      <c r="D618" s="3" t="s">
        <v>38</v>
      </c>
      <c r="E618" s="4" t="s">
        <v>49</v>
      </c>
      <c r="F618" s="4" t="s">
        <v>50</v>
      </c>
      <c r="G618" s="5"/>
      <c r="H618" s="6">
        <v>90</v>
      </c>
      <c r="I618" s="6">
        <v>160</v>
      </c>
      <c r="J618" s="6" t="s">
        <v>240</v>
      </c>
      <c r="K618" s="6">
        <v>130</v>
      </c>
      <c r="L618" t="str">
        <f t="shared" si="27"/>
        <v>OK</v>
      </c>
      <c r="M618" t="str">
        <f t="shared" si="28"/>
        <v>OK</v>
      </c>
      <c r="N618" t="str">
        <f t="shared" si="29"/>
        <v>ERRO</v>
      </c>
    </row>
    <row r="619" spans="1:14" ht="43.2" x14ac:dyDescent="0.3">
      <c r="A619">
        <v>52</v>
      </c>
      <c r="B619">
        <v>2024</v>
      </c>
      <c r="C619" s="2">
        <v>45427</v>
      </c>
      <c r="D619" s="7" t="s">
        <v>38</v>
      </c>
      <c r="E619" s="8" t="s">
        <v>52</v>
      </c>
      <c r="F619" s="8" t="s">
        <v>43</v>
      </c>
      <c r="G619" s="9"/>
      <c r="H619" s="10">
        <v>100</v>
      </c>
      <c r="I619" s="10">
        <v>170</v>
      </c>
      <c r="J619" s="10" t="s">
        <v>170</v>
      </c>
      <c r="K619" s="10">
        <v>140</v>
      </c>
      <c r="L619" t="str">
        <f t="shared" si="27"/>
        <v>OK</v>
      </c>
      <c r="M619" t="str">
        <f t="shared" si="28"/>
        <v>OK</v>
      </c>
      <c r="N619" t="str">
        <f t="shared" si="29"/>
        <v>ERRO</v>
      </c>
    </row>
    <row r="620" spans="1:14" ht="43.2" x14ac:dyDescent="0.3">
      <c r="A620">
        <v>52</v>
      </c>
      <c r="B620">
        <v>2024</v>
      </c>
      <c r="C620" s="2">
        <v>45427</v>
      </c>
      <c r="D620" s="3" t="s">
        <v>38</v>
      </c>
      <c r="E620" s="4" t="s">
        <v>53</v>
      </c>
      <c r="F620" s="4" t="s">
        <v>43</v>
      </c>
      <c r="G620" s="6">
        <v>60</v>
      </c>
      <c r="H620" s="6">
        <v>50</v>
      </c>
      <c r="I620" s="6">
        <v>60</v>
      </c>
      <c r="J620" s="6" t="s">
        <v>41</v>
      </c>
      <c r="K620" s="6">
        <v>60</v>
      </c>
      <c r="L620" t="str">
        <f t="shared" si="27"/>
        <v>OK</v>
      </c>
      <c r="M620" t="str">
        <f t="shared" si="28"/>
        <v>OK</v>
      </c>
      <c r="N620" t="str">
        <f t="shared" si="29"/>
        <v>ERRO</v>
      </c>
    </row>
    <row r="621" spans="1:14" ht="43.2" x14ac:dyDescent="0.3">
      <c r="A621">
        <v>52</v>
      </c>
      <c r="B621">
        <v>2024</v>
      </c>
      <c r="C621" s="2">
        <v>45427</v>
      </c>
      <c r="D621" s="7" t="s">
        <v>38</v>
      </c>
      <c r="E621" s="8" t="s">
        <v>54</v>
      </c>
      <c r="F621" s="8" t="s">
        <v>40</v>
      </c>
      <c r="G621" s="9"/>
      <c r="H621" s="10">
        <v>60</v>
      </c>
      <c r="I621" s="10">
        <v>110</v>
      </c>
      <c r="J621" s="10">
        <v>90</v>
      </c>
      <c r="K621" s="10">
        <v>95</v>
      </c>
      <c r="L621" t="str">
        <f t="shared" si="27"/>
        <v>OK</v>
      </c>
      <c r="M621" t="str">
        <f t="shared" si="28"/>
        <v>OK</v>
      </c>
      <c r="N621" t="str">
        <f t="shared" si="29"/>
        <v>OK</v>
      </c>
    </row>
    <row r="622" spans="1:14" ht="43.2" x14ac:dyDescent="0.3">
      <c r="A622">
        <v>52</v>
      </c>
      <c r="B622">
        <v>2024</v>
      </c>
      <c r="C622" s="2">
        <v>45427</v>
      </c>
      <c r="D622" s="3" t="s">
        <v>38</v>
      </c>
      <c r="E622" s="4" t="s">
        <v>56</v>
      </c>
      <c r="F622" s="4" t="s">
        <v>43</v>
      </c>
      <c r="G622" s="5"/>
      <c r="H622" s="6">
        <v>80</v>
      </c>
      <c r="I622" s="6">
        <v>80</v>
      </c>
      <c r="J622" s="6">
        <v>80</v>
      </c>
      <c r="K622" s="6">
        <v>80</v>
      </c>
      <c r="L622" t="str">
        <f t="shared" si="27"/>
        <v>OK</v>
      </c>
      <c r="M622" t="str">
        <f t="shared" si="28"/>
        <v>OK</v>
      </c>
      <c r="N622" t="str">
        <f t="shared" si="29"/>
        <v>OK</v>
      </c>
    </row>
    <row r="623" spans="1:14" ht="43.2" x14ac:dyDescent="0.3">
      <c r="A623">
        <v>52</v>
      </c>
      <c r="B623">
        <v>2024</v>
      </c>
      <c r="C623" s="2">
        <v>45427</v>
      </c>
      <c r="D623" s="7" t="s">
        <v>38</v>
      </c>
      <c r="E623" s="8" t="s">
        <v>57</v>
      </c>
      <c r="F623" s="8" t="s">
        <v>40</v>
      </c>
      <c r="G623" s="10">
        <v>60</v>
      </c>
      <c r="H623" s="10">
        <v>60</v>
      </c>
      <c r="I623" s="10">
        <v>60</v>
      </c>
      <c r="J623" s="10">
        <v>60</v>
      </c>
      <c r="K623" s="10">
        <v>60</v>
      </c>
      <c r="L623" t="str">
        <f t="shared" si="27"/>
        <v>OK</v>
      </c>
      <c r="M623" t="str">
        <f t="shared" si="28"/>
        <v>OK</v>
      </c>
      <c r="N623" t="str">
        <f t="shared" si="29"/>
        <v>OK</v>
      </c>
    </row>
    <row r="624" spans="1:14" ht="43.2" x14ac:dyDescent="0.3">
      <c r="A624">
        <v>52</v>
      </c>
      <c r="B624">
        <v>2024</v>
      </c>
      <c r="C624" s="2">
        <v>45427</v>
      </c>
      <c r="D624" s="3" t="s">
        <v>38</v>
      </c>
      <c r="E624" s="4" t="s">
        <v>58</v>
      </c>
      <c r="F624" s="4" t="s">
        <v>40</v>
      </c>
      <c r="G624" s="6">
        <v>90</v>
      </c>
      <c r="H624" s="6">
        <v>80</v>
      </c>
      <c r="I624" s="6">
        <v>90</v>
      </c>
      <c r="J624" s="6" t="s">
        <v>239</v>
      </c>
      <c r="K624" s="6">
        <v>90</v>
      </c>
      <c r="L624" t="str">
        <f t="shared" si="27"/>
        <v>OK</v>
      </c>
      <c r="M624" t="str">
        <f t="shared" si="28"/>
        <v>OK</v>
      </c>
      <c r="N624" t="str">
        <f t="shared" si="29"/>
        <v>ERRO</v>
      </c>
    </row>
    <row r="625" spans="1:14" ht="43.2" x14ac:dyDescent="0.3">
      <c r="A625">
        <v>52</v>
      </c>
      <c r="B625">
        <v>2024</v>
      </c>
      <c r="C625" s="2">
        <v>45427</v>
      </c>
      <c r="D625" s="7" t="s">
        <v>38</v>
      </c>
      <c r="E625" s="8" t="s">
        <v>59</v>
      </c>
      <c r="F625" s="8" t="s">
        <v>45</v>
      </c>
      <c r="G625" s="10">
        <v>60</v>
      </c>
      <c r="H625" s="10">
        <v>50</v>
      </c>
      <c r="I625" s="10">
        <v>60</v>
      </c>
      <c r="J625" s="10">
        <v>55</v>
      </c>
      <c r="K625" s="10">
        <v>55</v>
      </c>
      <c r="L625" t="str">
        <f t="shared" si="27"/>
        <v>OK</v>
      </c>
      <c r="M625" t="str">
        <f t="shared" si="28"/>
        <v>OK</v>
      </c>
      <c r="N625" t="str">
        <f t="shared" si="29"/>
        <v>OK</v>
      </c>
    </row>
    <row r="626" spans="1:14" ht="43.2" x14ac:dyDescent="0.3">
      <c r="A626">
        <v>52</v>
      </c>
      <c r="B626">
        <v>2024</v>
      </c>
      <c r="C626" s="2">
        <v>45427</v>
      </c>
      <c r="D626" s="3" t="s">
        <v>38</v>
      </c>
      <c r="E626" s="4" t="s">
        <v>60</v>
      </c>
      <c r="F626" s="4" t="s">
        <v>61</v>
      </c>
      <c r="G626" s="6">
        <v>110</v>
      </c>
      <c r="H626" s="6">
        <v>90</v>
      </c>
      <c r="I626" s="6">
        <v>120</v>
      </c>
      <c r="J626" s="6" t="s">
        <v>105</v>
      </c>
      <c r="K626" s="6">
        <v>110</v>
      </c>
      <c r="L626" t="str">
        <f t="shared" si="27"/>
        <v>OK</v>
      </c>
      <c r="M626" t="str">
        <f t="shared" si="28"/>
        <v>OK</v>
      </c>
      <c r="N626" t="str">
        <f t="shared" si="29"/>
        <v>ERRO</v>
      </c>
    </row>
    <row r="627" spans="1:14" ht="43.2" x14ac:dyDescent="0.3">
      <c r="A627">
        <v>52</v>
      </c>
      <c r="B627">
        <v>2024</v>
      </c>
      <c r="C627" s="2">
        <v>45427</v>
      </c>
      <c r="D627" s="7" t="s">
        <v>38</v>
      </c>
      <c r="E627" s="8" t="s">
        <v>63</v>
      </c>
      <c r="F627" s="8" t="s">
        <v>40</v>
      </c>
      <c r="G627" s="9"/>
      <c r="H627" s="10">
        <v>100</v>
      </c>
      <c r="I627" s="10">
        <v>150</v>
      </c>
      <c r="J627" s="10">
        <v>125</v>
      </c>
      <c r="K627" s="10">
        <v>125</v>
      </c>
      <c r="L627" t="str">
        <f t="shared" si="27"/>
        <v>OK</v>
      </c>
      <c r="M627" t="str">
        <f t="shared" si="28"/>
        <v>OK</v>
      </c>
      <c r="N627" t="str">
        <f t="shared" si="29"/>
        <v>OK</v>
      </c>
    </row>
    <row r="628" spans="1:14" ht="43.2" x14ac:dyDescent="0.3">
      <c r="A628">
        <v>52</v>
      </c>
      <c r="B628">
        <v>2024</v>
      </c>
      <c r="C628" s="2">
        <v>45427</v>
      </c>
      <c r="D628" s="3" t="s">
        <v>38</v>
      </c>
      <c r="E628" s="4" t="s">
        <v>64</v>
      </c>
      <c r="F628" s="4" t="s">
        <v>40</v>
      </c>
      <c r="G628" s="5"/>
      <c r="H628" s="6">
        <v>180</v>
      </c>
      <c r="I628" s="6">
        <v>200</v>
      </c>
      <c r="J628" s="6">
        <v>190</v>
      </c>
      <c r="K628" s="6">
        <v>190</v>
      </c>
      <c r="L628" t="str">
        <f t="shared" si="27"/>
        <v>OK</v>
      </c>
      <c r="M628" t="str">
        <f t="shared" si="28"/>
        <v>OK</v>
      </c>
      <c r="N628" t="str">
        <f t="shared" si="29"/>
        <v>OK</v>
      </c>
    </row>
    <row r="629" spans="1:14" x14ac:dyDescent="0.3">
      <c r="A629">
        <v>52</v>
      </c>
      <c r="B629">
        <v>2024</v>
      </c>
      <c r="C629" s="2">
        <v>45427</v>
      </c>
      <c r="D629" s="7" t="s">
        <v>65</v>
      </c>
      <c r="E629" s="8" t="s">
        <v>66</v>
      </c>
      <c r="F629" s="8" t="s">
        <v>45</v>
      </c>
      <c r="G629" s="9"/>
      <c r="H629" s="10">
        <v>90</v>
      </c>
      <c r="I629" s="10">
        <v>90</v>
      </c>
      <c r="J629" s="10">
        <v>90</v>
      </c>
      <c r="K629" s="10">
        <v>90</v>
      </c>
      <c r="L629" t="str">
        <f t="shared" si="27"/>
        <v>OK</v>
      </c>
      <c r="M629" t="str">
        <f t="shared" si="28"/>
        <v>OK</v>
      </c>
      <c r="N629" t="str">
        <f t="shared" si="29"/>
        <v>OK</v>
      </c>
    </row>
    <row r="630" spans="1:14" x14ac:dyDescent="0.3">
      <c r="A630">
        <v>52</v>
      </c>
      <c r="B630">
        <v>2024</v>
      </c>
      <c r="C630" s="2">
        <v>45427</v>
      </c>
      <c r="D630" s="3" t="s">
        <v>65</v>
      </c>
      <c r="E630" s="4" t="s">
        <v>67</v>
      </c>
      <c r="F630" s="4" t="s">
        <v>45</v>
      </c>
      <c r="G630" s="5"/>
      <c r="H630" s="6">
        <v>70</v>
      </c>
      <c r="I630" s="6">
        <v>80</v>
      </c>
      <c r="J630" s="6">
        <v>75</v>
      </c>
      <c r="K630" s="6">
        <v>75</v>
      </c>
      <c r="L630" t="str">
        <f t="shared" si="27"/>
        <v>OK</v>
      </c>
      <c r="M630" t="str">
        <f t="shared" si="28"/>
        <v>OK</v>
      </c>
      <c r="N630" t="str">
        <f t="shared" si="29"/>
        <v>OK</v>
      </c>
    </row>
    <row r="631" spans="1:14" x14ac:dyDescent="0.3">
      <c r="A631">
        <v>52</v>
      </c>
      <c r="B631">
        <v>2024</v>
      </c>
      <c r="C631" s="2">
        <v>45427</v>
      </c>
      <c r="D631" s="7" t="s">
        <v>65</v>
      </c>
      <c r="E631" s="8" t="s">
        <v>68</v>
      </c>
      <c r="F631" s="8" t="s">
        <v>45</v>
      </c>
      <c r="G631" s="9"/>
      <c r="H631" s="10">
        <v>50</v>
      </c>
      <c r="I631" s="10">
        <v>70</v>
      </c>
      <c r="J631" s="10">
        <v>60</v>
      </c>
      <c r="K631" s="10">
        <v>60</v>
      </c>
      <c r="L631" t="str">
        <f t="shared" si="27"/>
        <v>OK</v>
      </c>
      <c r="M631" t="str">
        <f t="shared" si="28"/>
        <v>OK</v>
      </c>
      <c r="N631" t="str">
        <f t="shared" si="29"/>
        <v>OK</v>
      </c>
    </row>
    <row r="632" spans="1:14" x14ac:dyDescent="0.3">
      <c r="A632">
        <v>52</v>
      </c>
      <c r="B632">
        <v>2024</v>
      </c>
      <c r="C632" s="2">
        <v>45427</v>
      </c>
      <c r="D632" s="3" t="s">
        <v>65</v>
      </c>
      <c r="E632" s="4" t="s">
        <v>69</v>
      </c>
      <c r="F632" s="4" t="s">
        <v>45</v>
      </c>
      <c r="G632" s="5"/>
      <c r="H632" s="6">
        <v>55</v>
      </c>
      <c r="I632" s="6">
        <v>55</v>
      </c>
      <c r="J632" s="6">
        <v>55</v>
      </c>
      <c r="K632" s="6">
        <v>55</v>
      </c>
      <c r="L632" t="str">
        <f t="shared" si="27"/>
        <v>OK</v>
      </c>
      <c r="M632" t="str">
        <f t="shared" si="28"/>
        <v>OK</v>
      </c>
      <c r="N632" t="str">
        <f t="shared" si="29"/>
        <v>OK</v>
      </c>
    </row>
    <row r="633" spans="1:14" x14ac:dyDescent="0.3">
      <c r="A633">
        <v>52</v>
      </c>
      <c r="B633">
        <v>2024</v>
      </c>
      <c r="C633" s="2">
        <v>45427</v>
      </c>
      <c r="D633" s="7" t="s">
        <v>65</v>
      </c>
      <c r="E633" s="8" t="s">
        <v>70</v>
      </c>
      <c r="F633" s="8" t="s">
        <v>71</v>
      </c>
      <c r="G633" s="9"/>
      <c r="H633" s="10">
        <v>55</v>
      </c>
      <c r="I633" s="10">
        <v>60</v>
      </c>
      <c r="J633" s="10" t="s">
        <v>41</v>
      </c>
      <c r="K633" s="10" t="s">
        <v>41</v>
      </c>
      <c r="L633" t="str">
        <f t="shared" si="27"/>
        <v>OK</v>
      </c>
      <c r="M633" t="str">
        <f t="shared" si="28"/>
        <v>OK</v>
      </c>
      <c r="N633" t="str">
        <f t="shared" si="29"/>
        <v>ERRO</v>
      </c>
    </row>
    <row r="634" spans="1:14" ht="28.8" x14ac:dyDescent="0.3">
      <c r="A634">
        <v>53</v>
      </c>
      <c r="B634">
        <v>2024</v>
      </c>
      <c r="C634" s="2">
        <v>45434</v>
      </c>
      <c r="D634" s="3" t="s">
        <v>11</v>
      </c>
      <c r="E634" s="4" t="s">
        <v>12</v>
      </c>
      <c r="F634" s="4" t="s">
        <v>13</v>
      </c>
      <c r="G634" s="6">
        <v>60</v>
      </c>
      <c r="H634" s="6">
        <v>60</v>
      </c>
      <c r="I634" s="6">
        <v>80</v>
      </c>
      <c r="J634" s="6" t="s">
        <v>102</v>
      </c>
      <c r="K634" s="6">
        <v>60</v>
      </c>
      <c r="L634" t="str">
        <f t="shared" si="27"/>
        <v>OK</v>
      </c>
      <c r="M634" t="str">
        <f t="shared" si="28"/>
        <v>OK</v>
      </c>
      <c r="N634" t="str">
        <f t="shared" si="29"/>
        <v>ERRO</v>
      </c>
    </row>
    <row r="635" spans="1:14" ht="28.8" x14ac:dyDescent="0.3">
      <c r="A635">
        <v>53</v>
      </c>
      <c r="B635">
        <v>2024</v>
      </c>
      <c r="C635" s="2">
        <v>45434</v>
      </c>
      <c r="D635" s="7" t="s">
        <v>11</v>
      </c>
      <c r="E635" s="8" t="s">
        <v>14</v>
      </c>
      <c r="F635" s="8" t="s">
        <v>13</v>
      </c>
      <c r="G635" s="10">
        <v>84</v>
      </c>
      <c r="H635" s="10">
        <v>72</v>
      </c>
      <c r="I635" s="10">
        <v>84</v>
      </c>
      <c r="J635" s="10">
        <v>80</v>
      </c>
      <c r="K635" s="10">
        <v>84</v>
      </c>
      <c r="L635" t="str">
        <f t="shared" si="27"/>
        <v>OK</v>
      </c>
      <c r="M635" t="str">
        <f t="shared" si="28"/>
        <v>OK</v>
      </c>
      <c r="N635" t="str">
        <f t="shared" si="29"/>
        <v>OK</v>
      </c>
    </row>
    <row r="636" spans="1:14" ht="28.8" x14ac:dyDescent="0.3">
      <c r="A636">
        <v>53</v>
      </c>
      <c r="B636">
        <v>2024</v>
      </c>
      <c r="C636" s="2">
        <v>45434</v>
      </c>
      <c r="D636" s="3" t="s">
        <v>11</v>
      </c>
      <c r="E636" s="4" t="s">
        <v>15</v>
      </c>
      <c r="F636" s="4" t="s">
        <v>13</v>
      </c>
      <c r="G636" s="5"/>
      <c r="H636" s="6">
        <v>36</v>
      </c>
      <c r="I636" s="6">
        <v>48</v>
      </c>
      <c r="J636" s="6">
        <v>42</v>
      </c>
      <c r="K636" s="6">
        <v>42</v>
      </c>
      <c r="L636" t="str">
        <f t="shared" si="27"/>
        <v>OK</v>
      </c>
      <c r="M636" t="str">
        <f t="shared" si="28"/>
        <v>OK</v>
      </c>
      <c r="N636" t="str">
        <f t="shared" si="29"/>
        <v>OK</v>
      </c>
    </row>
    <row r="637" spans="1:14" ht="28.8" x14ac:dyDescent="0.3">
      <c r="A637">
        <v>53</v>
      </c>
      <c r="B637">
        <v>2024</v>
      </c>
      <c r="C637" s="2">
        <v>45434</v>
      </c>
      <c r="D637" s="7" t="s">
        <v>11</v>
      </c>
      <c r="E637" s="8" t="s">
        <v>16</v>
      </c>
      <c r="F637" s="8" t="s">
        <v>13</v>
      </c>
      <c r="G637" s="10">
        <v>30</v>
      </c>
      <c r="H637" s="10">
        <v>30</v>
      </c>
      <c r="I637" s="10">
        <v>30</v>
      </c>
      <c r="J637" s="10">
        <v>30</v>
      </c>
      <c r="K637" s="10">
        <v>30</v>
      </c>
      <c r="L637" t="str">
        <f t="shared" si="27"/>
        <v>OK</v>
      </c>
      <c r="M637" t="str">
        <f t="shared" si="28"/>
        <v>OK</v>
      </c>
      <c r="N637" t="str">
        <f t="shared" si="29"/>
        <v>OK</v>
      </c>
    </row>
    <row r="638" spans="1:14" ht="28.8" x14ac:dyDescent="0.3">
      <c r="A638">
        <v>53</v>
      </c>
      <c r="B638">
        <v>2024</v>
      </c>
      <c r="C638" s="2">
        <v>45434</v>
      </c>
      <c r="D638" s="3" t="s">
        <v>11</v>
      </c>
      <c r="E638" s="4" t="s">
        <v>17</v>
      </c>
      <c r="F638" s="4" t="s">
        <v>13</v>
      </c>
      <c r="G638" s="6">
        <v>30</v>
      </c>
      <c r="H638" s="6">
        <v>24</v>
      </c>
      <c r="I638" s="6">
        <v>30</v>
      </c>
      <c r="J638" s="6">
        <v>28</v>
      </c>
      <c r="K638" s="6">
        <v>30</v>
      </c>
      <c r="L638" t="str">
        <f t="shared" si="27"/>
        <v>OK</v>
      </c>
      <c r="M638" t="str">
        <f t="shared" si="28"/>
        <v>OK</v>
      </c>
      <c r="N638" t="str">
        <f t="shared" si="29"/>
        <v>OK</v>
      </c>
    </row>
    <row r="639" spans="1:14" ht="28.8" x14ac:dyDescent="0.3">
      <c r="A639">
        <v>53</v>
      </c>
      <c r="B639">
        <v>2024</v>
      </c>
      <c r="C639" s="2">
        <v>45434</v>
      </c>
      <c r="D639" s="7" t="s">
        <v>11</v>
      </c>
      <c r="E639" s="8" t="s">
        <v>18</v>
      </c>
      <c r="F639" s="8" t="s">
        <v>13</v>
      </c>
      <c r="G639" s="10">
        <v>60</v>
      </c>
      <c r="H639" s="10">
        <v>60</v>
      </c>
      <c r="I639" s="10">
        <v>60</v>
      </c>
      <c r="J639" s="10">
        <v>60</v>
      </c>
      <c r="K639" s="10">
        <v>60</v>
      </c>
      <c r="L639" t="str">
        <f t="shared" si="27"/>
        <v>OK</v>
      </c>
      <c r="M639" t="str">
        <f t="shared" si="28"/>
        <v>OK</v>
      </c>
      <c r="N639" t="str">
        <f t="shared" si="29"/>
        <v>OK</v>
      </c>
    </row>
    <row r="640" spans="1:14" ht="28.8" x14ac:dyDescent="0.3">
      <c r="A640">
        <v>53</v>
      </c>
      <c r="B640">
        <v>2024</v>
      </c>
      <c r="C640" s="2">
        <v>45434</v>
      </c>
      <c r="D640" s="3" t="s">
        <v>11</v>
      </c>
      <c r="E640" s="4" t="s">
        <v>19</v>
      </c>
      <c r="F640" s="4" t="s">
        <v>13</v>
      </c>
      <c r="G640" s="6">
        <v>72</v>
      </c>
      <c r="H640" s="6">
        <v>72</v>
      </c>
      <c r="I640" s="6">
        <v>78</v>
      </c>
      <c r="J640" s="6">
        <v>74</v>
      </c>
      <c r="K640" s="6">
        <v>72</v>
      </c>
      <c r="L640" t="str">
        <f t="shared" si="27"/>
        <v>OK</v>
      </c>
      <c r="M640" t="str">
        <f t="shared" si="28"/>
        <v>OK</v>
      </c>
      <c r="N640" t="str">
        <f t="shared" si="29"/>
        <v>OK</v>
      </c>
    </row>
    <row r="641" spans="1:14" ht="28.8" x14ac:dyDescent="0.3">
      <c r="A641">
        <v>53</v>
      </c>
      <c r="B641">
        <v>2024</v>
      </c>
      <c r="C641" s="2">
        <v>45434</v>
      </c>
      <c r="D641" s="7" t="s">
        <v>11</v>
      </c>
      <c r="E641" s="8" t="s">
        <v>20</v>
      </c>
      <c r="F641" s="8" t="s">
        <v>13</v>
      </c>
      <c r="G641" s="10">
        <v>96</v>
      </c>
      <c r="H641" s="10">
        <v>72</v>
      </c>
      <c r="I641" s="10">
        <v>96</v>
      </c>
      <c r="J641" s="10">
        <v>88</v>
      </c>
      <c r="K641" s="10">
        <v>96</v>
      </c>
      <c r="L641" t="str">
        <f t="shared" si="27"/>
        <v>OK</v>
      </c>
      <c r="M641" t="str">
        <f t="shared" si="28"/>
        <v>OK</v>
      </c>
      <c r="N641" t="str">
        <f t="shared" si="29"/>
        <v>OK</v>
      </c>
    </row>
    <row r="642" spans="1:14" ht="28.8" x14ac:dyDescent="0.3">
      <c r="A642">
        <v>53</v>
      </c>
      <c r="B642">
        <v>2024</v>
      </c>
      <c r="C642" s="2">
        <v>45434</v>
      </c>
      <c r="D642" s="3" t="s">
        <v>11</v>
      </c>
      <c r="E642" s="4" t="s">
        <v>21</v>
      </c>
      <c r="F642" s="4" t="s">
        <v>13</v>
      </c>
      <c r="G642" s="6">
        <v>24</v>
      </c>
      <c r="H642" s="6">
        <v>24</v>
      </c>
      <c r="I642" s="6">
        <v>30</v>
      </c>
      <c r="J642" s="6">
        <v>26</v>
      </c>
      <c r="K642" s="6">
        <v>24</v>
      </c>
      <c r="L642" t="str">
        <f t="shared" si="27"/>
        <v>OK</v>
      </c>
      <c r="M642" t="str">
        <f t="shared" si="28"/>
        <v>OK</v>
      </c>
      <c r="N642" t="str">
        <f t="shared" si="29"/>
        <v>OK</v>
      </c>
    </row>
    <row r="643" spans="1:14" ht="28.8" x14ac:dyDescent="0.3">
      <c r="A643">
        <v>53</v>
      </c>
      <c r="B643">
        <v>2024</v>
      </c>
      <c r="C643" s="2">
        <v>45434</v>
      </c>
      <c r="D643" s="7" t="s">
        <v>11</v>
      </c>
      <c r="E643" s="8" t="s">
        <v>73</v>
      </c>
      <c r="F643" s="8" t="s">
        <v>13</v>
      </c>
      <c r="G643" s="10">
        <v>72</v>
      </c>
      <c r="H643" s="10">
        <v>72</v>
      </c>
      <c r="I643" s="10">
        <v>84</v>
      </c>
      <c r="J643" s="10">
        <v>76</v>
      </c>
      <c r="K643" s="10">
        <v>72</v>
      </c>
      <c r="L643" t="str">
        <f t="shared" ref="L643:L706" si="30">IF(H643&gt;I643,"ERRO","OK")</f>
        <v>OK</v>
      </c>
      <c r="M643" t="str">
        <f t="shared" ref="M643:M706" si="31">IF(H643&gt;J643,"ERRO","OK")</f>
        <v>OK</v>
      </c>
      <c r="N643" t="str">
        <f t="shared" ref="N643:N706" si="32">IF(I643&lt;J643,"ERRO","OK")</f>
        <v>OK</v>
      </c>
    </row>
    <row r="644" spans="1:14" ht="28.8" x14ac:dyDescent="0.3">
      <c r="A644">
        <v>53</v>
      </c>
      <c r="B644">
        <v>2024</v>
      </c>
      <c r="C644" s="2">
        <v>45434</v>
      </c>
      <c r="D644" s="3" t="s">
        <v>11</v>
      </c>
      <c r="E644" s="4" t="s">
        <v>23</v>
      </c>
      <c r="F644" s="4" t="s">
        <v>13</v>
      </c>
      <c r="G644" s="6">
        <v>30</v>
      </c>
      <c r="H644" s="6">
        <v>30</v>
      </c>
      <c r="I644" s="6">
        <v>30</v>
      </c>
      <c r="J644" s="6">
        <v>30</v>
      </c>
      <c r="K644" s="6">
        <v>30</v>
      </c>
      <c r="L644" t="str">
        <f t="shared" si="30"/>
        <v>OK</v>
      </c>
      <c r="M644" t="str">
        <f t="shared" si="31"/>
        <v>OK</v>
      </c>
      <c r="N644" t="str">
        <f t="shared" si="32"/>
        <v>OK</v>
      </c>
    </row>
    <row r="645" spans="1:14" ht="28.8" x14ac:dyDescent="0.3">
      <c r="A645">
        <v>53</v>
      </c>
      <c r="B645">
        <v>2024</v>
      </c>
      <c r="C645" s="2">
        <v>45434</v>
      </c>
      <c r="D645" s="7" t="s">
        <v>11</v>
      </c>
      <c r="E645" s="8" t="s">
        <v>24</v>
      </c>
      <c r="F645" s="8" t="s">
        <v>13</v>
      </c>
      <c r="G645" s="9"/>
      <c r="H645" s="10">
        <v>78</v>
      </c>
      <c r="I645" s="10">
        <v>96</v>
      </c>
      <c r="J645" s="10">
        <v>86</v>
      </c>
      <c r="K645" s="10">
        <v>84</v>
      </c>
      <c r="L645" t="str">
        <f t="shared" si="30"/>
        <v>OK</v>
      </c>
      <c r="M645" t="str">
        <f t="shared" si="31"/>
        <v>OK</v>
      </c>
      <c r="N645" t="str">
        <f t="shared" si="32"/>
        <v>OK</v>
      </c>
    </row>
    <row r="646" spans="1:14" ht="28.8" x14ac:dyDescent="0.3">
      <c r="A646">
        <v>53</v>
      </c>
      <c r="B646">
        <v>2024</v>
      </c>
      <c r="C646" s="2">
        <v>45434</v>
      </c>
      <c r="D646" s="3" t="s">
        <v>11</v>
      </c>
      <c r="E646" s="4" t="s">
        <v>25</v>
      </c>
      <c r="F646" s="4" t="s">
        <v>26</v>
      </c>
      <c r="G646" s="6">
        <v>60</v>
      </c>
      <c r="H646" s="6">
        <v>60</v>
      </c>
      <c r="I646" s="6">
        <v>78</v>
      </c>
      <c r="J646" s="6">
        <v>66</v>
      </c>
      <c r="K646" s="6">
        <v>60</v>
      </c>
      <c r="L646" t="str">
        <f t="shared" si="30"/>
        <v>OK</v>
      </c>
      <c r="M646" t="str">
        <f t="shared" si="31"/>
        <v>OK</v>
      </c>
      <c r="N646" t="str">
        <f t="shared" si="32"/>
        <v>OK</v>
      </c>
    </row>
    <row r="647" spans="1:14" ht="28.8" x14ac:dyDescent="0.3">
      <c r="A647">
        <v>53</v>
      </c>
      <c r="B647">
        <v>2024</v>
      </c>
      <c r="C647" s="2">
        <v>45434</v>
      </c>
      <c r="D647" s="7" t="s">
        <v>11</v>
      </c>
      <c r="E647" s="8" t="s">
        <v>27</v>
      </c>
      <c r="F647" s="8" t="s">
        <v>13</v>
      </c>
      <c r="G647" s="10">
        <v>84</v>
      </c>
      <c r="H647" s="10">
        <v>84</v>
      </c>
      <c r="I647" s="10">
        <v>96</v>
      </c>
      <c r="J647" s="10">
        <v>88</v>
      </c>
      <c r="K647" s="10">
        <v>84</v>
      </c>
      <c r="L647" t="str">
        <f t="shared" si="30"/>
        <v>OK</v>
      </c>
      <c r="M647" t="str">
        <f t="shared" si="31"/>
        <v>OK</v>
      </c>
      <c r="N647" t="str">
        <f t="shared" si="32"/>
        <v>OK</v>
      </c>
    </row>
    <row r="648" spans="1:14" ht="28.8" x14ac:dyDescent="0.3">
      <c r="A648">
        <v>53</v>
      </c>
      <c r="B648">
        <v>2024</v>
      </c>
      <c r="C648" s="2">
        <v>45434</v>
      </c>
      <c r="D648" s="3" t="s">
        <v>11</v>
      </c>
      <c r="E648" s="4" t="s">
        <v>28</v>
      </c>
      <c r="F648" s="4" t="s">
        <v>13</v>
      </c>
      <c r="G648" s="6">
        <v>60</v>
      </c>
      <c r="H648" s="6">
        <v>60</v>
      </c>
      <c r="I648" s="6">
        <v>70</v>
      </c>
      <c r="J648" s="6" t="s">
        <v>241</v>
      </c>
      <c r="K648" s="6">
        <v>60</v>
      </c>
      <c r="L648" t="str">
        <f t="shared" si="30"/>
        <v>OK</v>
      </c>
      <c r="M648" t="str">
        <f t="shared" si="31"/>
        <v>OK</v>
      </c>
      <c r="N648" t="str">
        <f t="shared" si="32"/>
        <v>ERRO</v>
      </c>
    </row>
    <row r="649" spans="1:14" ht="28.8" x14ac:dyDescent="0.3">
      <c r="A649">
        <v>53</v>
      </c>
      <c r="B649">
        <v>2024</v>
      </c>
      <c r="C649" s="2">
        <v>45434</v>
      </c>
      <c r="D649" s="7" t="s">
        <v>11</v>
      </c>
      <c r="E649" s="8" t="s">
        <v>29</v>
      </c>
      <c r="F649" s="8" t="s">
        <v>13</v>
      </c>
      <c r="G649" s="10">
        <v>54</v>
      </c>
      <c r="H649" s="10">
        <v>48</v>
      </c>
      <c r="I649" s="10">
        <v>54</v>
      </c>
      <c r="J649" s="10">
        <v>52</v>
      </c>
      <c r="K649" s="10">
        <v>54</v>
      </c>
      <c r="L649" t="str">
        <f t="shared" si="30"/>
        <v>OK</v>
      </c>
      <c r="M649" t="str">
        <f t="shared" si="31"/>
        <v>OK</v>
      </c>
      <c r="N649" t="str">
        <f t="shared" si="32"/>
        <v>OK</v>
      </c>
    </row>
    <row r="650" spans="1:14" ht="28.8" x14ac:dyDescent="0.3">
      <c r="A650">
        <v>53</v>
      </c>
      <c r="B650">
        <v>2024</v>
      </c>
      <c r="C650" s="2">
        <v>45434</v>
      </c>
      <c r="D650" s="3" t="s">
        <v>30</v>
      </c>
      <c r="E650" s="4" t="s">
        <v>31</v>
      </c>
      <c r="F650" s="4" t="s">
        <v>32</v>
      </c>
      <c r="G650" s="6">
        <v>5</v>
      </c>
      <c r="H650" s="6">
        <v>5</v>
      </c>
      <c r="I650" s="6">
        <v>6</v>
      </c>
      <c r="J650" s="6" t="s">
        <v>242</v>
      </c>
      <c r="K650" s="6">
        <v>5</v>
      </c>
      <c r="L650" t="str">
        <f t="shared" si="30"/>
        <v>OK</v>
      </c>
      <c r="M650" t="str">
        <f t="shared" si="31"/>
        <v>OK</v>
      </c>
      <c r="N650" t="str">
        <f t="shared" si="32"/>
        <v>ERRO</v>
      </c>
    </row>
    <row r="651" spans="1:14" ht="28.8" x14ac:dyDescent="0.3">
      <c r="A651">
        <v>53</v>
      </c>
      <c r="B651">
        <v>2024</v>
      </c>
      <c r="C651" s="2">
        <v>45434</v>
      </c>
      <c r="D651" s="7" t="s">
        <v>30</v>
      </c>
      <c r="E651" s="8" t="s">
        <v>34</v>
      </c>
      <c r="F651" s="8" t="s">
        <v>35</v>
      </c>
      <c r="G651" s="10">
        <v>25</v>
      </c>
      <c r="H651" s="10">
        <v>20</v>
      </c>
      <c r="I651" s="10">
        <v>25</v>
      </c>
      <c r="J651" s="10" t="s">
        <v>110</v>
      </c>
      <c r="K651" s="10">
        <v>25</v>
      </c>
      <c r="L651" t="str">
        <f t="shared" si="30"/>
        <v>OK</v>
      </c>
      <c r="M651" t="str">
        <f t="shared" si="31"/>
        <v>OK</v>
      </c>
      <c r="N651" t="str">
        <f t="shared" si="32"/>
        <v>ERRO</v>
      </c>
    </row>
    <row r="652" spans="1:14" ht="28.8" x14ac:dyDescent="0.3">
      <c r="A652">
        <v>53</v>
      </c>
      <c r="B652">
        <v>2024</v>
      </c>
      <c r="C652" s="2">
        <v>45434</v>
      </c>
      <c r="D652" s="3" t="s">
        <v>30</v>
      </c>
      <c r="E652" s="4" t="s">
        <v>36</v>
      </c>
      <c r="F652" s="4" t="s">
        <v>35</v>
      </c>
      <c r="G652" s="5"/>
      <c r="H652" s="6">
        <v>25</v>
      </c>
      <c r="I652" s="6">
        <v>32</v>
      </c>
      <c r="J652" s="6">
        <v>29</v>
      </c>
      <c r="K652" s="6">
        <v>30</v>
      </c>
      <c r="L652" t="str">
        <f t="shared" si="30"/>
        <v>OK</v>
      </c>
      <c r="M652" t="str">
        <f t="shared" si="31"/>
        <v>OK</v>
      </c>
      <c r="N652" t="str">
        <f t="shared" si="32"/>
        <v>OK</v>
      </c>
    </row>
    <row r="653" spans="1:14" ht="43.2" x14ac:dyDescent="0.3">
      <c r="A653">
        <v>53</v>
      </c>
      <c r="B653">
        <v>2024</v>
      </c>
      <c r="C653" s="2">
        <v>45434</v>
      </c>
      <c r="D653" s="7" t="s">
        <v>38</v>
      </c>
      <c r="E653" s="8" t="s">
        <v>153</v>
      </c>
      <c r="F653" s="8" t="s">
        <v>154</v>
      </c>
      <c r="G653" s="9"/>
      <c r="H653" s="10">
        <v>85</v>
      </c>
      <c r="I653" s="10">
        <v>90</v>
      </c>
      <c r="J653" s="10" t="s">
        <v>239</v>
      </c>
      <c r="K653" s="10" t="s">
        <v>239</v>
      </c>
      <c r="L653" t="str">
        <f t="shared" si="30"/>
        <v>OK</v>
      </c>
      <c r="M653" t="str">
        <f t="shared" si="31"/>
        <v>OK</v>
      </c>
      <c r="N653" t="str">
        <f t="shared" si="32"/>
        <v>ERRO</v>
      </c>
    </row>
    <row r="654" spans="1:14" ht="43.2" x14ac:dyDescent="0.3">
      <c r="A654">
        <v>53</v>
      </c>
      <c r="B654">
        <v>2024</v>
      </c>
      <c r="C654" s="2">
        <v>45434</v>
      </c>
      <c r="D654" s="3" t="s">
        <v>38</v>
      </c>
      <c r="E654" s="4" t="s">
        <v>39</v>
      </c>
      <c r="F654" s="4" t="s">
        <v>40</v>
      </c>
      <c r="G654" s="6">
        <v>70</v>
      </c>
      <c r="H654" s="6">
        <v>60</v>
      </c>
      <c r="I654" s="6">
        <v>70</v>
      </c>
      <c r="J654" s="6" t="s">
        <v>84</v>
      </c>
      <c r="K654" s="6">
        <v>70</v>
      </c>
      <c r="L654" t="str">
        <f t="shared" si="30"/>
        <v>OK</v>
      </c>
      <c r="M654" t="str">
        <f t="shared" si="31"/>
        <v>OK</v>
      </c>
      <c r="N654" t="str">
        <f t="shared" si="32"/>
        <v>ERRO</v>
      </c>
    </row>
    <row r="655" spans="1:14" ht="43.2" x14ac:dyDescent="0.3">
      <c r="A655">
        <v>53</v>
      </c>
      <c r="B655">
        <v>2024</v>
      </c>
      <c r="C655" s="2">
        <v>45434</v>
      </c>
      <c r="D655" s="7" t="s">
        <v>38</v>
      </c>
      <c r="E655" s="8" t="s">
        <v>42</v>
      </c>
      <c r="F655" s="8" t="s">
        <v>43</v>
      </c>
      <c r="G655" s="10">
        <v>65</v>
      </c>
      <c r="H655" s="10">
        <v>45</v>
      </c>
      <c r="I655" s="10">
        <v>65</v>
      </c>
      <c r="J655" s="10" t="s">
        <v>235</v>
      </c>
      <c r="K655" s="10" t="s">
        <v>41</v>
      </c>
      <c r="L655" t="str">
        <f t="shared" si="30"/>
        <v>OK</v>
      </c>
      <c r="M655" t="str">
        <f t="shared" si="31"/>
        <v>OK</v>
      </c>
      <c r="N655" t="str">
        <f t="shared" si="32"/>
        <v>ERRO</v>
      </c>
    </row>
    <row r="656" spans="1:14" ht="43.2" x14ac:dyDescent="0.3">
      <c r="A656">
        <v>53</v>
      </c>
      <c r="B656">
        <v>2024</v>
      </c>
      <c r="C656" s="2">
        <v>45434</v>
      </c>
      <c r="D656" s="3" t="s">
        <v>38</v>
      </c>
      <c r="E656" s="4" t="s">
        <v>44</v>
      </c>
      <c r="F656" s="4" t="s">
        <v>45</v>
      </c>
      <c r="G656" s="6">
        <v>50</v>
      </c>
      <c r="H656" s="6">
        <v>40</v>
      </c>
      <c r="I656" s="6">
        <v>50</v>
      </c>
      <c r="J656" s="6" t="s">
        <v>91</v>
      </c>
      <c r="K656" s="6">
        <v>50</v>
      </c>
      <c r="L656" t="str">
        <f t="shared" si="30"/>
        <v>OK</v>
      </c>
      <c r="M656" t="str">
        <f t="shared" si="31"/>
        <v>OK</v>
      </c>
      <c r="N656" t="str">
        <f t="shared" si="32"/>
        <v>ERRO</v>
      </c>
    </row>
    <row r="657" spans="1:14" ht="43.2" x14ac:dyDescent="0.3">
      <c r="A657">
        <v>53</v>
      </c>
      <c r="B657">
        <v>2024</v>
      </c>
      <c r="C657" s="2">
        <v>45434</v>
      </c>
      <c r="D657" s="7" t="s">
        <v>38</v>
      </c>
      <c r="E657" s="8" t="s">
        <v>48</v>
      </c>
      <c r="F657" s="8" t="s">
        <v>45</v>
      </c>
      <c r="G657" s="10">
        <v>100</v>
      </c>
      <c r="H657" s="10">
        <v>90</v>
      </c>
      <c r="I657" s="10">
        <v>100</v>
      </c>
      <c r="J657" s="10" t="s">
        <v>184</v>
      </c>
      <c r="K657" s="10">
        <v>100</v>
      </c>
      <c r="L657" t="str">
        <f t="shared" si="30"/>
        <v>OK</v>
      </c>
      <c r="M657" t="str">
        <f t="shared" si="31"/>
        <v>OK</v>
      </c>
      <c r="N657" t="str">
        <f t="shared" si="32"/>
        <v>ERRO</v>
      </c>
    </row>
    <row r="658" spans="1:14" ht="43.2" x14ac:dyDescent="0.3">
      <c r="A658">
        <v>53</v>
      </c>
      <c r="B658">
        <v>2024</v>
      </c>
      <c r="C658" s="2">
        <v>45434</v>
      </c>
      <c r="D658" s="3" t="s">
        <v>38</v>
      </c>
      <c r="E658" s="4" t="s">
        <v>49</v>
      </c>
      <c r="F658" s="4" t="s">
        <v>50</v>
      </c>
      <c r="G658" s="6">
        <v>110</v>
      </c>
      <c r="H658" s="6">
        <v>110</v>
      </c>
      <c r="I658" s="6">
        <v>150</v>
      </c>
      <c r="J658" s="6" t="s">
        <v>243</v>
      </c>
      <c r="K658" s="6" t="s">
        <v>240</v>
      </c>
      <c r="L658" t="str">
        <f t="shared" si="30"/>
        <v>OK</v>
      </c>
      <c r="M658" t="str">
        <f t="shared" si="31"/>
        <v>OK</v>
      </c>
      <c r="N658" t="str">
        <f t="shared" si="32"/>
        <v>ERRO</v>
      </c>
    </row>
    <row r="659" spans="1:14" ht="43.2" x14ac:dyDescent="0.3">
      <c r="A659">
        <v>53</v>
      </c>
      <c r="B659">
        <v>2024</v>
      </c>
      <c r="C659" s="2">
        <v>45434</v>
      </c>
      <c r="D659" s="7" t="s">
        <v>38</v>
      </c>
      <c r="E659" s="8" t="s">
        <v>52</v>
      </c>
      <c r="F659" s="8" t="s">
        <v>43</v>
      </c>
      <c r="G659" s="10">
        <v>170</v>
      </c>
      <c r="H659" s="10">
        <v>100</v>
      </c>
      <c r="I659" s="10">
        <v>170</v>
      </c>
      <c r="J659" s="10">
        <v>135</v>
      </c>
      <c r="K659" s="10">
        <v>135</v>
      </c>
      <c r="L659" t="str">
        <f t="shared" si="30"/>
        <v>OK</v>
      </c>
      <c r="M659" t="str">
        <f t="shared" si="31"/>
        <v>OK</v>
      </c>
      <c r="N659" t="str">
        <f t="shared" si="32"/>
        <v>OK</v>
      </c>
    </row>
    <row r="660" spans="1:14" ht="43.2" x14ac:dyDescent="0.3">
      <c r="A660">
        <v>53</v>
      </c>
      <c r="B660">
        <v>2024</v>
      </c>
      <c r="C660" s="2">
        <v>45434</v>
      </c>
      <c r="D660" s="3" t="s">
        <v>38</v>
      </c>
      <c r="E660" s="4" t="s">
        <v>53</v>
      </c>
      <c r="F660" s="4" t="s">
        <v>43</v>
      </c>
      <c r="G660" s="6">
        <v>50</v>
      </c>
      <c r="H660" s="6">
        <v>50</v>
      </c>
      <c r="I660" s="6">
        <v>60</v>
      </c>
      <c r="J660" s="6">
        <v>55</v>
      </c>
      <c r="K660" s="6">
        <v>55</v>
      </c>
      <c r="L660" t="str">
        <f t="shared" si="30"/>
        <v>OK</v>
      </c>
      <c r="M660" t="str">
        <f t="shared" si="31"/>
        <v>OK</v>
      </c>
      <c r="N660" t="str">
        <f t="shared" si="32"/>
        <v>OK</v>
      </c>
    </row>
    <row r="661" spans="1:14" ht="43.2" x14ac:dyDescent="0.3">
      <c r="A661">
        <v>53</v>
      </c>
      <c r="B661">
        <v>2024</v>
      </c>
      <c r="C661" s="2">
        <v>45434</v>
      </c>
      <c r="D661" s="7" t="s">
        <v>38</v>
      </c>
      <c r="E661" s="8" t="s">
        <v>54</v>
      </c>
      <c r="F661" s="8" t="s">
        <v>40</v>
      </c>
      <c r="G661" s="10">
        <v>90</v>
      </c>
      <c r="H661" s="10">
        <v>80</v>
      </c>
      <c r="I661" s="10">
        <v>90</v>
      </c>
      <c r="J661" s="10" t="s">
        <v>244</v>
      </c>
      <c r="K661" s="10">
        <v>90</v>
      </c>
      <c r="L661" t="str">
        <f t="shared" si="30"/>
        <v>OK</v>
      </c>
      <c r="M661" t="str">
        <f t="shared" si="31"/>
        <v>OK</v>
      </c>
      <c r="N661" t="str">
        <f t="shared" si="32"/>
        <v>ERRO</v>
      </c>
    </row>
    <row r="662" spans="1:14" ht="43.2" x14ac:dyDescent="0.3">
      <c r="A662">
        <v>53</v>
      </c>
      <c r="B662">
        <v>2024</v>
      </c>
      <c r="C662" s="2">
        <v>45434</v>
      </c>
      <c r="D662" s="3" t="s">
        <v>38</v>
      </c>
      <c r="E662" s="4" t="s">
        <v>56</v>
      </c>
      <c r="F662" s="4" t="s">
        <v>43</v>
      </c>
      <c r="G662" s="6">
        <v>75</v>
      </c>
      <c r="H662" s="6">
        <v>75</v>
      </c>
      <c r="I662" s="6">
        <v>75</v>
      </c>
      <c r="J662" s="6">
        <v>75</v>
      </c>
      <c r="K662" s="6">
        <v>75</v>
      </c>
      <c r="L662" t="str">
        <f t="shared" si="30"/>
        <v>OK</v>
      </c>
      <c r="M662" t="str">
        <f t="shared" si="31"/>
        <v>OK</v>
      </c>
      <c r="N662" t="str">
        <f t="shared" si="32"/>
        <v>OK</v>
      </c>
    </row>
    <row r="663" spans="1:14" ht="43.2" x14ac:dyDescent="0.3">
      <c r="A663">
        <v>53</v>
      </c>
      <c r="B663">
        <v>2024</v>
      </c>
      <c r="C663" s="2">
        <v>45434</v>
      </c>
      <c r="D663" s="7" t="s">
        <v>38</v>
      </c>
      <c r="E663" s="8" t="s">
        <v>57</v>
      </c>
      <c r="F663" s="8" t="s">
        <v>40</v>
      </c>
      <c r="G663" s="9"/>
      <c r="H663" s="10">
        <v>50</v>
      </c>
      <c r="I663" s="10">
        <v>85</v>
      </c>
      <c r="J663" s="10" t="s">
        <v>62</v>
      </c>
      <c r="K663" s="10">
        <v>70</v>
      </c>
      <c r="L663" t="str">
        <f t="shared" si="30"/>
        <v>OK</v>
      </c>
      <c r="M663" t="str">
        <f t="shared" si="31"/>
        <v>OK</v>
      </c>
      <c r="N663" t="str">
        <f t="shared" si="32"/>
        <v>ERRO</v>
      </c>
    </row>
    <row r="664" spans="1:14" ht="43.2" x14ac:dyDescent="0.3">
      <c r="A664">
        <v>53</v>
      </c>
      <c r="B664">
        <v>2024</v>
      </c>
      <c r="C664" s="2">
        <v>45434</v>
      </c>
      <c r="D664" s="3" t="s">
        <v>38</v>
      </c>
      <c r="E664" s="4" t="s">
        <v>58</v>
      </c>
      <c r="F664" s="4" t="s">
        <v>40</v>
      </c>
      <c r="G664" s="6">
        <v>80</v>
      </c>
      <c r="H664" s="6">
        <v>80</v>
      </c>
      <c r="I664" s="6">
        <v>150</v>
      </c>
      <c r="J664" s="6">
        <v>100</v>
      </c>
      <c r="K664" s="6">
        <v>85</v>
      </c>
      <c r="L664" t="str">
        <f t="shared" si="30"/>
        <v>OK</v>
      </c>
      <c r="M664" t="str">
        <f t="shared" si="31"/>
        <v>OK</v>
      </c>
      <c r="N664" t="str">
        <f t="shared" si="32"/>
        <v>OK</v>
      </c>
    </row>
    <row r="665" spans="1:14" ht="43.2" x14ac:dyDescent="0.3">
      <c r="A665">
        <v>53</v>
      </c>
      <c r="B665">
        <v>2024</v>
      </c>
      <c r="C665" s="2">
        <v>45434</v>
      </c>
      <c r="D665" s="7" t="s">
        <v>38</v>
      </c>
      <c r="E665" s="8" t="s">
        <v>59</v>
      </c>
      <c r="F665" s="8" t="s">
        <v>45</v>
      </c>
      <c r="G665" s="10">
        <v>50</v>
      </c>
      <c r="H665" s="10">
        <v>50</v>
      </c>
      <c r="I665" s="10">
        <v>65</v>
      </c>
      <c r="J665" s="10">
        <v>56</v>
      </c>
      <c r="K665" s="10">
        <v>55</v>
      </c>
      <c r="L665" t="str">
        <f t="shared" si="30"/>
        <v>OK</v>
      </c>
      <c r="M665" t="str">
        <f t="shared" si="31"/>
        <v>OK</v>
      </c>
      <c r="N665" t="str">
        <f t="shared" si="32"/>
        <v>OK</v>
      </c>
    </row>
    <row r="666" spans="1:14" ht="43.2" x14ac:dyDescent="0.3">
      <c r="A666">
        <v>53</v>
      </c>
      <c r="B666">
        <v>2024</v>
      </c>
      <c r="C666" s="2">
        <v>45434</v>
      </c>
      <c r="D666" s="3" t="s">
        <v>38</v>
      </c>
      <c r="E666" s="4" t="s">
        <v>60</v>
      </c>
      <c r="F666" s="4" t="s">
        <v>61</v>
      </c>
      <c r="G666" s="6">
        <v>120</v>
      </c>
      <c r="H666" s="6">
        <v>100</v>
      </c>
      <c r="I666" s="6">
        <v>120</v>
      </c>
      <c r="J666" s="6" t="s">
        <v>166</v>
      </c>
      <c r="K666" s="6">
        <v>115</v>
      </c>
      <c r="L666" t="str">
        <f t="shared" si="30"/>
        <v>OK</v>
      </c>
      <c r="M666" t="str">
        <f t="shared" si="31"/>
        <v>OK</v>
      </c>
      <c r="N666" t="str">
        <f t="shared" si="32"/>
        <v>ERRO</v>
      </c>
    </row>
    <row r="667" spans="1:14" ht="43.2" x14ac:dyDescent="0.3">
      <c r="A667">
        <v>53</v>
      </c>
      <c r="B667">
        <v>2024</v>
      </c>
      <c r="C667" s="2">
        <v>45434</v>
      </c>
      <c r="D667" s="7" t="s">
        <v>38</v>
      </c>
      <c r="E667" s="8" t="s">
        <v>63</v>
      </c>
      <c r="F667" s="8" t="s">
        <v>40</v>
      </c>
      <c r="G667" s="10">
        <v>140</v>
      </c>
      <c r="H667" s="10">
        <v>80</v>
      </c>
      <c r="I667" s="10">
        <v>140</v>
      </c>
      <c r="J667" s="10" t="s">
        <v>245</v>
      </c>
      <c r="K667" s="10">
        <v>105</v>
      </c>
      <c r="L667" t="str">
        <f t="shared" si="30"/>
        <v>OK</v>
      </c>
      <c r="M667" t="str">
        <f t="shared" si="31"/>
        <v>OK</v>
      </c>
      <c r="N667" t="str">
        <f t="shared" si="32"/>
        <v>ERRO</v>
      </c>
    </row>
    <row r="668" spans="1:14" ht="43.2" x14ac:dyDescent="0.3">
      <c r="A668">
        <v>53</v>
      </c>
      <c r="B668">
        <v>2024</v>
      </c>
      <c r="C668" s="2">
        <v>45434</v>
      </c>
      <c r="D668" s="3" t="s">
        <v>38</v>
      </c>
      <c r="E668" s="4" t="s">
        <v>64</v>
      </c>
      <c r="F668" s="4" t="s">
        <v>40</v>
      </c>
      <c r="G668" s="6">
        <v>200</v>
      </c>
      <c r="H668" s="6">
        <v>170</v>
      </c>
      <c r="I668" s="6">
        <v>200</v>
      </c>
      <c r="J668" s="6">
        <v>190</v>
      </c>
      <c r="K668" s="6">
        <v>200</v>
      </c>
      <c r="L668" t="str">
        <f t="shared" si="30"/>
        <v>OK</v>
      </c>
      <c r="M668" t="str">
        <f t="shared" si="31"/>
        <v>OK</v>
      </c>
      <c r="N668" t="str">
        <f t="shared" si="32"/>
        <v>OK</v>
      </c>
    </row>
    <row r="669" spans="1:14" x14ac:dyDescent="0.3">
      <c r="A669">
        <v>53</v>
      </c>
      <c r="B669">
        <v>2024</v>
      </c>
      <c r="C669" s="2">
        <v>45434</v>
      </c>
      <c r="D669" s="7" t="s">
        <v>65</v>
      </c>
      <c r="E669" s="8" t="s">
        <v>66</v>
      </c>
      <c r="F669" s="8" t="s">
        <v>45</v>
      </c>
      <c r="G669" s="9"/>
      <c r="H669" s="10">
        <v>170</v>
      </c>
      <c r="I669" s="10">
        <v>170</v>
      </c>
      <c r="J669" s="10">
        <v>170</v>
      </c>
      <c r="K669" s="10">
        <v>170</v>
      </c>
      <c r="L669" t="str">
        <f t="shared" si="30"/>
        <v>OK</v>
      </c>
      <c r="M669" t="str">
        <f t="shared" si="31"/>
        <v>OK</v>
      </c>
      <c r="N669" t="str">
        <f t="shared" si="32"/>
        <v>OK</v>
      </c>
    </row>
    <row r="670" spans="1:14" x14ac:dyDescent="0.3">
      <c r="A670">
        <v>53</v>
      </c>
      <c r="B670">
        <v>2024</v>
      </c>
      <c r="C670" s="2">
        <v>45434</v>
      </c>
      <c r="D670" s="3" t="s">
        <v>65</v>
      </c>
      <c r="E670" s="4" t="s">
        <v>67</v>
      </c>
      <c r="F670" s="4" t="s">
        <v>45</v>
      </c>
      <c r="G670" s="5"/>
      <c r="H670" s="6">
        <v>75</v>
      </c>
      <c r="I670" s="6">
        <v>75</v>
      </c>
      <c r="J670" s="6">
        <v>75</v>
      </c>
      <c r="K670" s="6">
        <v>75</v>
      </c>
      <c r="L670" t="str">
        <f t="shared" si="30"/>
        <v>OK</v>
      </c>
      <c r="M670" t="str">
        <f t="shared" si="31"/>
        <v>OK</v>
      </c>
      <c r="N670" t="str">
        <f t="shared" si="32"/>
        <v>OK</v>
      </c>
    </row>
    <row r="671" spans="1:14" x14ac:dyDescent="0.3">
      <c r="A671">
        <v>53</v>
      </c>
      <c r="B671">
        <v>2024</v>
      </c>
      <c r="C671" s="2">
        <v>45434</v>
      </c>
      <c r="D671" s="7" t="s">
        <v>65</v>
      </c>
      <c r="E671" s="8" t="s">
        <v>68</v>
      </c>
      <c r="F671" s="8" t="s">
        <v>45</v>
      </c>
      <c r="G671" s="9"/>
      <c r="H671" s="10">
        <v>0</v>
      </c>
      <c r="I671" s="10">
        <v>0</v>
      </c>
      <c r="J671" s="9"/>
      <c r="K671" s="9"/>
      <c r="L671" t="str">
        <f t="shared" si="30"/>
        <v>OK</v>
      </c>
      <c r="M671" t="str">
        <f t="shared" si="31"/>
        <v>OK</v>
      </c>
      <c r="N671" t="str">
        <f t="shared" si="32"/>
        <v>OK</v>
      </c>
    </row>
    <row r="672" spans="1:14" x14ac:dyDescent="0.3">
      <c r="A672">
        <v>53</v>
      </c>
      <c r="B672">
        <v>2024</v>
      </c>
      <c r="C672" s="2">
        <v>45434</v>
      </c>
      <c r="D672" s="3" t="s">
        <v>65</v>
      </c>
      <c r="E672" s="4" t="s">
        <v>69</v>
      </c>
      <c r="F672" s="4" t="s">
        <v>45</v>
      </c>
      <c r="G672" s="5"/>
      <c r="H672" s="6">
        <v>50</v>
      </c>
      <c r="I672" s="6">
        <v>50</v>
      </c>
      <c r="J672" s="6">
        <v>50</v>
      </c>
      <c r="K672" s="6">
        <v>50</v>
      </c>
      <c r="L672" t="str">
        <f t="shared" si="30"/>
        <v>OK</v>
      </c>
      <c r="M672" t="str">
        <f t="shared" si="31"/>
        <v>OK</v>
      </c>
      <c r="N672" t="str">
        <f t="shared" si="32"/>
        <v>OK</v>
      </c>
    </row>
    <row r="673" spans="1:14" x14ac:dyDescent="0.3">
      <c r="A673">
        <v>53</v>
      </c>
      <c r="B673">
        <v>2024</v>
      </c>
      <c r="C673" s="2">
        <v>45434</v>
      </c>
      <c r="D673" s="7" t="s">
        <v>65</v>
      </c>
      <c r="E673" s="8" t="s">
        <v>70</v>
      </c>
      <c r="F673" s="8" t="s">
        <v>71</v>
      </c>
      <c r="G673" s="9"/>
      <c r="H673" s="10">
        <v>50</v>
      </c>
      <c r="I673" s="10">
        <v>60</v>
      </c>
      <c r="J673" s="10">
        <v>55</v>
      </c>
      <c r="K673" s="10">
        <v>55</v>
      </c>
      <c r="L673" t="str">
        <f t="shared" si="30"/>
        <v>OK</v>
      </c>
      <c r="M673" t="str">
        <f t="shared" si="31"/>
        <v>OK</v>
      </c>
      <c r="N673" t="str">
        <f t="shared" si="32"/>
        <v>OK</v>
      </c>
    </row>
    <row r="674" spans="1:14" ht="28.8" x14ac:dyDescent="0.3">
      <c r="A674">
        <v>54</v>
      </c>
      <c r="B674">
        <v>2024</v>
      </c>
      <c r="C674" s="2">
        <v>45441</v>
      </c>
      <c r="D674" s="3" t="s">
        <v>11</v>
      </c>
      <c r="E674" s="4" t="s">
        <v>12</v>
      </c>
      <c r="F674" s="4" t="s">
        <v>13</v>
      </c>
      <c r="G674" s="6">
        <v>60</v>
      </c>
      <c r="H674" s="6">
        <v>48</v>
      </c>
      <c r="I674" s="6">
        <v>66</v>
      </c>
      <c r="J674" s="6" t="s">
        <v>246</v>
      </c>
      <c r="K674" s="6">
        <v>60</v>
      </c>
      <c r="L674" t="str">
        <f t="shared" si="30"/>
        <v>OK</v>
      </c>
      <c r="M674" t="str">
        <f t="shared" si="31"/>
        <v>OK</v>
      </c>
      <c r="N674" t="str">
        <f t="shared" si="32"/>
        <v>ERRO</v>
      </c>
    </row>
    <row r="675" spans="1:14" ht="28.8" x14ac:dyDescent="0.3">
      <c r="A675">
        <v>54</v>
      </c>
      <c r="B675">
        <v>2024</v>
      </c>
      <c r="C675" s="2">
        <v>45441</v>
      </c>
      <c r="D675" s="7" t="s">
        <v>11</v>
      </c>
      <c r="E675" s="8" t="s">
        <v>14</v>
      </c>
      <c r="F675" s="8" t="s">
        <v>13</v>
      </c>
      <c r="G675" s="10">
        <v>84</v>
      </c>
      <c r="H675" s="10">
        <v>60</v>
      </c>
      <c r="I675" s="10">
        <v>84</v>
      </c>
      <c r="J675" s="10">
        <v>78</v>
      </c>
      <c r="K675" s="10">
        <v>84</v>
      </c>
      <c r="L675" t="str">
        <f t="shared" si="30"/>
        <v>OK</v>
      </c>
      <c r="M675" t="str">
        <f t="shared" si="31"/>
        <v>OK</v>
      </c>
      <c r="N675" t="str">
        <f t="shared" si="32"/>
        <v>OK</v>
      </c>
    </row>
    <row r="676" spans="1:14" ht="28.8" x14ac:dyDescent="0.3">
      <c r="A676">
        <v>54</v>
      </c>
      <c r="B676">
        <v>2024</v>
      </c>
      <c r="C676" s="2">
        <v>45441</v>
      </c>
      <c r="D676" s="3" t="s">
        <v>11</v>
      </c>
      <c r="E676" s="4" t="s">
        <v>15</v>
      </c>
      <c r="F676" s="4" t="s">
        <v>13</v>
      </c>
      <c r="G676" s="5"/>
      <c r="H676" s="6">
        <v>36</v>
      </c>
      <c r="I676" s="6">
        <v>54</v>
      </c>
      <c r="J676" s="6" t="s">
        <v>247</v>
      </c>
      <c r="K676" s="6">
        <v>44</v>
      </c>
      <c r="L676" t="str">
        <f t="shared" si="30"/>
        <v>OK</v>
      </c>
      <c r="M676" t="str">
        <f t="shared" si="31"/>
        <v>OK</v>
      </c>
      <c r="N676" t="str">
        <f t="shared" si="32"/>
        <v>ERRO</v>
      </c>
    </row>
    <row r="677" spans="1:14" ht="28.8" x14ac:dyDescent="0.3">
      <c r="A677">
        <v>54</v>
      </c>
      <c r="B677">
        <v>2024</v>
      </c>
      <c r="C677" s="2">
        <v>45441</v>
      </c>
      <c r="D677" s="7" t="s">
        <v>11</v>
      </c>
      <c r="E677" s="8" t="s">
        <v>16</v>
      </c>
      <c r="F677" s="8" t="s">
        <v>13</v>
      </c>
      <c r="G677" s="10">
        <v>24</v>
      </c>
      <c r="H677" s="10">
        <v>24</v>
      </c>
      <c r="I677" s="10">
        <v>30</v>
      </c>
      <c r="J677" s="10">
        <v>27</v>
      </c>
      <c r="K677" s="10">
        <v>27</v>
      </c>
      <c r="L677" t="str">
        <f t="shared" si="30"/>
        <v>OK</v>
      </c>
      <c r="M677" t="str">
        <f t="shared" si="31"/>
        <v>OK</v>
      </c>
      <c r="N677" t="str">
        <f t="shared" si="32"/>
        <v>OK</v>
      </c>
    </row>
    <row r="678" spans="1:14" ht="28.8" x14ac:dyDescent="0.3">
      <c r="A678">
        <v>54</v>
      </c>
      <c r="B678">
        <v>2024</v>
      </c>
      <c r="C678" s="2">
        <v>45441</v>
      </c>
      <c r="D678" s="3" t="s">
        <v>11</v>
      </c>
      <c r="E678" s="4" t="s">
        <v>17</v>
      </c>
      <c r="F678" s="4" t="s">
        <v>13</v>
      </c>
      <c r="G678" s="6">
        <v>24</v>
      </c>
      <c r="H678" s="6">
        <v>24</v>
      </c>
      <c r="I678" s="6">
        <v>30</v>
      </c>
      <c r="J678" s="6">
        <v>27</v>
      </c>
      <c r="K678" s="6">
        <v>27</v>
      </c>
      <c r="L678" t="str">
        <f t="shared" si="30"/>
        <v>OK</v>
      </c>
      <c r="M678" t="str">
        <f t="shared" si="31"/>
        <v>OK</v>
      </c>
      <c r="N678" t="str">
        <f t="shared" si="32"/>
        <v>OK</v>
      </c>
    </row>
    <row r="679" spans="1:14" ht="28.8" x14ac:dyDescent="0.3">
      <c r="A679">
        <v>54</v>
      </c>
      <c r="B679">
        <v>2024</v>
      </c>
      <c r="C679" s="2">
        <v>45441</v>
      </c>
      <c r="D679" s="7" t="s">
        <v>11</v>
      </c>
      <c r="E679" s="8" t="s">
        <v>18</v>
      </c>
      <c r="F679" s="8" t="s">
        <v>13</v>
      </c>
      <c r="G679" s="10">
        <v>50</v>
      </c>
      <c r="H679" s="10">
        <v>48</v>
      </c>
      <c r="I679" s="10">
        <v>60</v>
      </c>
      <c r="J679" s="10">
        <v>52</v>
      </c>
      <c r="K679" s="10">
        <v>50</v>
      </c>
      <c r="L679" t="str">
        <f t="shared" si="30"/>
        <v>OK</v>
      </c>
      <c r="M679" t="str">
        <f t="shared" si="31"/>
        <v>OK</v>
      </c>
      <c r="N679" t="str">
        <f t="shared" si="32"/>
        <v>OK</v>
      </c>
    </row>
    <row r="680" spans="1:14" ht="28.8" x14ac:dyDescent="0.3">
      <c r="A680">
        <v>54</v>
      </c>
      <c r="B680">
        <v>2024</v>
      </c>
      <c r="C680" s="2">
        <v>45441</v>
      </c>
      <c r="D680" s="3" t="s">
        <v>11</v>
      </c>
      <c r="E680" s="4" t="s">
        <v>19</v>
      </c>
      <c r="F680" s="4" t="s">
        <v>13</v>
      </c>
      <c r="G680" s="6">
        <v>84</v>
      </c>
      <c r="H680" s="6">
        <v>84</v>
      </c>
      <c r="I680" s="6">
        <v>96</v>
      </c>
      <c r="J680" s="6">
        <v>90</v>
      </c>
      <c r="K680" s="6">
        <v>90</v>
      </c>
      <c r="L680" t="str">
        <f t="shared" si="30"/>
        <v>OK</v>
      </c>
      <c r="M680" t="str">
        <f t="shared" si="31"/>
        <v>OK</v>
      </c>
      <c r="N680" t="str">
        <f t="shared" si="32"/>
        <v>OK</v>
      </c>
    </row>
    <row r="681" spans="1:14" ht="28.8" x14ac:dyDescent="0.3">
      <c r="A681">
        <v>54</v>
      </c>
      <c r="B681">
        <v>2024</v>
      </c>
      <c r="C681" s="2">
        <v>45441</v>
      </c>
      <c r="D681" s="7" t="s">
        <v>11</v>
      </c>
      <c r="E681" s="8" t="s">
        <v>20</v>
      </c>
      <c r="F681" s="8" t="s">
        <v>13</v>
      </c>
      <c r="G681" s="10">
        <v>96</v>
      </c>
      <c r="H681" s="10">
        <v>84</v>
      </c>
      <c r="I681" s="10">
        <v>96</v>
      </c>
      <c r="J681" s="10">
        <v>93</v>
      </c>
      <c r="K681" s="10">
        <v>96</v>
      </c>
      <c r="L681" t="str">
        <f t="shared" si="30"/>
        <v>OK</v>
      </c>
      <c r="M681" t="str">
        <f t="shared" si="31"/>
        <v>OK</v>
      </c>
      <c r="N681" t="str">
        <f t="shared" si="32"/>
        <v>OK</v>
      </c>
    </row>
    <row r="682" spans="1:14" ht="28.8" x14ac:dyDescent="0.3">
      <c r="A682">
        <v>54</v>
      </c>
      <c r="B682">
        <v>2024</v>
      </c>
      <c r="C682" s="2">
        <v>45441</v>
      </c>
      <c r="D682" s="3" t="s">
        <v>11</v>
      </c>
      <c r="E682" s="4" t="s">
        <v>21</v>
      </c>
      <c r="F682" s="4" t="s">
        <v>13</v>
      </c>
      <c r="G682" s="6">
        <v>24</v>
      </c>
      <c r="H682" s="6">
        <v>24</v>
      </c>
      <c r="I682" s="6">
        <v>30</v>
      </c>
      <c r="J682" s="6">
        <v>27</v>
      </c>
      <c r="K682" s="6">
        <v>27</v>
      </c>
      <c r="L682" t="str">
        <f t="shared" si="30"/>
        <v>OK</v>
      </c>
      <c r="M682" t="str">
        <f t="shared" si="31"/>
        <v>OK</v>
      </c>
      <c r="N682" t="str">
        <f t="shared" si="32"/>
        <v>OK</v>
      </c>
    </row>
    <row r="683" spans="1:14" ht="28.8" x14ac:dyDescent="0.3">
      <c r="A683">
        <v>54</v>
      </c>
      <c r="B683">
        <v>2024</v>
      </c>
      <c r="C683" s="2">
        <v>45441</v>
      </c>
      <c r="D683" s="7" t="s">
        <v>11</v>
      </c>
      <c r="E683" s="8" t="s">
        <v>73</v>
      </c>
      <c r="F683" s="8" t="s">
        <v>13</v>
      </c>
      <c r="G683" s="10">
        <v>96</v>
      </c>
      <c r="H683" s="10">
        <v>96</v>
      </c>
      <c r="I683" s="10">
        <v>120</v>
      </c>
      <c r="J683" s="10">
        <v>102</v>
      </c>
      <c r="K683" s="10">
        <v>96</v>
      </c>
      <c r="L683" t="str">
        <f t="shared" si="30"/>
        <v>OK</v>
      </c>
      <c r="M683" t="str">
        <f t="shared" si="31"/>
        <v>OK</v>
      </c>
      <c r="N683" t="str">
        <f t="shared" si="32"/>
        <v>OK</v>
      </c>
    </row>
    <row r="684" spans="1:14" ht="28.8" x14ac:dyDescent="0.3">
      <c r="A684">
        <v>54</v>
      </c>
      <c r="B684">
        <v>2024</v>
      </c>
      <c r="C684" s="2">
        <v>45441</v>
      </c>
      <c r="D684" s="3" t="s">
        <v>11</v>
      </c>
      <c r="E684" s="4" t="s">
        <v>23</v>
      </c>
      <c r="F684" s="4" t="s">
        <v>13</v>
      </c>
      <c r="G684" s="6">
        <v>24</v>
      </c>
      <c r="H684" s="6">
        <v>24</v>
      </c>
      <c r="I684" s="6">
        <v>30</v>
      </c>
      <c r="J684" s="6">
        <v>27</v>
      </c>
      <c r="K684" s="6">
        <v>27</v>
      </c>
      <c r="L684" t="str">
        <f t="shared" si="30"/>
        <v>OK</v>
      </c>
      <c r="M684" t="str">
        <f t="shared" si="31"/>
        <v>OK</v>
      </c>
      <c r="N684" t="str">
        <f t="shared" si="32"/>
        <v>OK</v>
      </c>
    </row>
    <row r="685" spans="1:14" ht="28.8" x14ac:dyDescent="0.3">
      <c r="A685">
        <v>54</v>
      </c>
      <c r="B685">
        <v>2024</v>
      </c>
      <c r="C685" s="2">
        <v>45441</v>
      </c>
      <c r="D685" s="7" t="s">
        <v>11</v>
      </c>
      <c r="E685" s="8" t="s">
        <v>24</v>
      </c>
      <c r="F685" s="8" t="s">
        <v>13</v>
      </c>
      <c r="G685" s="9"/>
      <c r="H685" s="10">
        <v>66</v>
      </c>
      <c r="I685" s="10">
        <v>86</v>
      </c>
      <c r="J685" s="10" t="s">
        <v>248</v>
      </c>
      <c r="K685" s="10">
        <v>75</v>
      </c>
      <c r="L685" t="str">
        <f t="shared" si="30"/>
        <v>OK</v>
      </c>
      <c r="M685" t="str">
        <f t="shared" si="31"/>
        <v>OK</v>
      </c>
      <c r="N685" t="str">
        <f t="shared" si="32"/>
        <v>ERRO</v>
      </c>
    </row>
    <row r="686" spans="1:14" ht="28.8" x14ac:dyDescent="0.3">
      <c r="A686">
        <v>54</v>
      </c>
      <c r="B686">
        <v>2024</v>
      </c>
      <c r="C686" s="2">
        <v>45441</v>
      </c>
      <c r="D686" s="3" t="s">
        <v>11</v>
      </c>
      <c r="E686" s="4" t="s">
        <v>25</v>
      </c>
      <c r="F686" s="4" t="s">
        <v>26</v>
      </c>
      <c r="G686" s="6">
        <v>48</v>
      </c>
      <c r="H686" s="6">
        <v>48</v>
      </c>
      <c r="I686" s="6">
        <v>72</v>
      </c>
      <c r="J686" s="6">
        <v>57</v>
      </c>
      <c r="K686" s="6">
        <v>54</v>
      </c>
      <c r="L686" t="str">
        <f t="shared" si="30"/>
        <v>OK</v>
      </c>
      <c r="M686" t="str">
        <f t="shared" si="31"/>
        <v>OK</v>
      </c>
      <c r="N686" t="str">
        <f t="shared" si="32"/>
        <v>OK</v>
      </c>
    </row>
    <row r="687" spans="1:14" ht="28.8" x14ac:dyDescent="0.3">
      <c r="A687">
        <v>54</v>
      </c>
      <c r="B687">
        <v>2024</v>
      </c>
      <c r="C687" s="2">
        <v>45441</v>
      </c>
      <c r="D687" s="7" t="s">
        <v>11</v>
      </c>
      <c r="E687" s="8" t="s">
        <v>27</v>
      </c>
      <c r="F687" s="8" t="s">
        <v>13</v>
      </c>
      <c r="G687" s="9"/>
      <c r="H687" s="10">
        <v>60</v>
      </c>
      <c r="I687" s="10">
        <v>96</v>
      </c>
      <c r="J687" s="10">
        <v>78</v>
      </c>
      <c r="K687" s="10">
        <v>78</v>
      </c>
      <c r="L687" t="str">
        <f t="shared" si="30"/>
        <v>OK</v>
      </c>
      <c r="M687" t="str">
        <f t="shared" si="31"/>
        <v>OK</v>
      </c>
      <c r="N687" t="str">
        <f t="shared" si="32"/>
        <v>OK</v>
      </c>
    </row>
    <row r="688" spans="1:14" ht="28.8" x14ac:dyDescent="0.3">
      <c r="A688">
        <v>54</v>
      </c>
      <c r="B688">
        <v>2024</v>
      </c>
      <c r="C688" s="2">
        <v>45441</v>
      </c>
      <c r="D688" s="3" t="s">
        <v>11</v>
      </c>
      <c r="E688" s="4" t="s">
        <v>28</v>
      </c>
      <c r="F688" s="4" t="s">
        <v>13</v>
      </c>
      <c r="G688" s="6">
        <v>48</v>
      </c>
      <c r="H688" s="6">
        <v>48</v>
      </c>
      <c r="I688" s="6">
        <v>72</v>
      </c>
      <c r="J688" s="6" t="s">
        <v>249</v>
      </c>
      <c r="K688" s="6">
        <v>50</v>
      </c>
      <c r="L688" t="str">
        <f t="shared" si="30"/>
        <v>OK</v>
      </c>
      <c r="M688" t="str">
        <f t="shared" si="31"/>
        <v>OK</v>
      </c>
      <c r="N688" t="str">
        <f t="shared" si="32"/>
        <v>ERRO</v>
      </c>
    </row>
    <row r="689" spans="1:14" ht="28.8" x14ac:dyDescent="0.3">
      <c r="A689">
        <v>54</v>
      </c>
      <c r="B689">
        <v>2024</v>
      </c>
      <c r="C689" s="2">
        <v>45441</v>
      </c>
      <c r="D689" s="7" t="s">
        <v>11</v>
      </c>
      <c r="E689" s="8" t="s">
        <v>29</v>
      </c>
      <c r="F689" s="8" t="s">
        <v>13</v>
      </c>
      <c r="G689" s="10">
        <v>54</v>
      </c>
      <c r="H689" s="10">
        <v>48</v>
      </c>
      <c r="I689" s="10">
        <v>60</v>
      </c>
      <c r="J689" s="10">
        <v>54</v>
      </c>
      <c r="K689" s="10">
        <v>54</v>
      </c>
      <c r="L689" t="str">
        <f t="shared" si="30"/>
        <v>OK</v>
      </c>
      <c r="M689" t="str">
        <f t="shared" si="31"/>
        <v>OK</v>
      </c>
      <c r="N689" t="str">
        <f t="shared" si="32"/>
        <v>OK</v>
      </c>
    </row>
    <row r="690" spans="1:14" ht="28.8" x14ac:dyDescent="0.3">
      <c r="A690">
        <v>54</v>
      </c>
      <c r="B690">
        <v>2024</v>
      </c>
      <c r="C690" s="2">
        <v>45441</v>
      </c>
      <c r="D690" s="3" t="s">
        <v>30</v>
      </c>
      <c r="E690" s="4" t="s">
        <v>31</v>
      </c>
      <c r="F690" s="4" t="s">
        <v>32</v>
      </c>
      <c r="G690" s="6">
        <v>5</v>
      </c>
      <c r="H690" s="6">
        <v>5</v>
      </c>
      <c r="I690" s="6">
        <v>6</v>
      </c>
      <c r="J690" s="6" t="s">
        <v>250</v>
      </c>
      <c r="K690" s="6">
        <v>5</v>
      </c>
      <c r="L690" t="str">
        <f t="shared" si="30"/>
        <v>OK</v>
      </c>
      <c r="M690" t="str">
        <f t="shared" si="31"/>
        <v>OK</v>
      </c>
      <c r="N690" t="str">
        <f t="shared" si="32"/>
        <v>ERRO</v>
      </c>
    </row>
    <row r="691" spans="1:14" ht="28.8" x14ac:dyDescent="0.3">
      <c r="A691">
        <v>54</v>
      </c>
      <c r="B691">
        <v>2024</v>
      </c>
      <c r="C691" s="2">
        <v>45441</v>
      </c>
      <c r="D691" s="7" t="s">
        <v>30</v>
      </c>
      <c r="E691" s="8" t="s">
        <v>34</v>
      </c>
      <c r="F691" s="8" t="s">
        <v>35</v>
      </c>
      <c r="G691" s="10">
        <v>20</v>
      </c>
      <c r="H691" s="10">
        <v>15</v>
      </c>
      <c r="I691" s="10">
        <v>25</v>
      </c>
      <c r="J691" s="10">
        <v>20</v>
      </c>
      <c r="K691" s="10">
        <v>20</v>
      </c>
      <c r="L691" t="str">
        <f t="shared" si="30"/>
        <v>OK</v>
      </c>
      <c r="M691" t="str">
        <f t="shared" si="31"/>
        <v>OK</v>
      </c>
      <c r="N691" t="str">
        <f t="shared" si="32"/>
        <v>OK</v>
      </c>
    </row>
    <row r="692" spans="1:14" ht="28.8" x14ac:dyDescent="0.3">
      <c r="A692">
        <v>54</v>
      </c>
      <c r="B692">
        <v>2024</v>
      </c>
      <c r="C692" s="2">
        <v>45441</v>
      </c>
      <c r="D692" s="3" t="s">
        <v>30</v>
      </c>
      <c r="E692" s="4" t="s">
        <v>36</v>
      </c>
      <c r="F692" s="4" t="s">
        <v>35</v>
      </c>
      <c r="G692" s="6">
        <v>25</v>
      </c>
      <c r="H692" s="6">
        <v>25</v>
      </c>
      <c r="I692" s="6">
        <v>35</v>
      </c>
      <c r="J692" s="6">
        <v>30</v>
      </c>
      <c r="K692" s="6">
        <v>30</v>
      </c>
      <c r="L692" t="str">
        <f t="shared" si="30"/>
        <v>OK</v>
      </c>
      <c r="M692" t="str">
        <f t="shared" si="31"/>
        <v>OK</v>
      </c>
      <c r="N692" t="str">
        <f t="shared" si="32"/>
        <v>OK</v>
      </c>
    </row>
    <row r="693" spans="1:14" ht="43.2" x14ac:dyDescent="0.3">
      <c r="A693">
        <v>54</v>
      </c>
      <c r="B693">
        <v>2024</v>
      </c>
      <c r="C693" s="2">
        <v>45441</v>
      </c>
      <c r="D693" s="7" t="s">
        <v>38</v>
      </c>
      <c r="E693" s="8" t="s">
        <v>153</v>
      </c>
      <c r="F693" s="8" t="s">
        <v>154</v>
      </c>
      <c r="G693" s="9"/>
      <c r="H693" s="10">
        <v>85</v>
      </c>
      <c r="I693" s="10">
        <v>85</v>
      </c>
      <c r="J693" s="10">
        <v>85</v>
      </c>
      <c r="K693" s="10">
        <v>85</v>
      </c>
      <c r="L693" t="str">
        <f t="shared" si="30"/>
        <v>OK</v>
      </c>
      <c r="M693" t="str">
        <f t="shared" si="31"/>
        <v>OK</v>
      </c>
      <c r="N693" t="str">
        <f t="shared" si="32"/>
        <v>OK</v>
      </c>
    </row>
    <row r="694" spans="1:14" ht="43.2" x14ac:dyDescent="0.3">
      <c r="A694">
        <v>54</v>
      </c>
      <c r="B694">
        <v>2024</v>
      </c>
      <c r="C694" s="2">
        <v>45441</v>
      </c>
      <c r="D694" s="3" t="s">
        <v>38</v>
      </c>
      <c r="E694" s="4" t="s">
        <v>39</v>
      </c>
      <c r="F694" s="4" t="s">
        <v>40</v>
      </c>
      <c r="G694" s="6">
        <v>100</v>
      </c>
      <c r="H694" s="6">
        <v>80</v>
      </c>
      <c r="I694" s="6">
        <v>100</v>
      </c>
      <c r="J694" s="6" t="s">
        <v>196</v>
      </c>
      <c r="K694" s="6">
        <v>100</v>
      </c>
      <c r="L694" t="str">
        <f t="shared" si="30"/>
        <v>OK</v>
      </c>
      <c r="M694" t="str">
        <f t="shared" si="31"/>
        <v>OK</v>
      </c>
      <c r="N694" t="str">
        <f t="shared" si="32"/>
        <v>ERRO</v>
      </c>
    </row>
    <row r="695" spans="1:14" ht="43.2" x14ac:dyDescent="0.3">
      <c r="A695">
        <v>54</v>
      </c>
      <c r="B695">
        <v>2024</v>
      </c>
      <c r="C695" s="2">
        <v>45441</v>
      </c>
      <c r="D695" s="7" t="s">
        <v>38</v>
      </c>
      <c r="E695" s="8" t="s">
        <v>42</v>
      </c>
      <c r="F695" s="8" t="s">
        <v>43</v>
      </c>
      <c r="G695" s="10">
        <v>50</v>
      </c>
      <c r="H695" s="10">
        <v>50</v>
      </c>
      <c r="I695" s="10">
        <v>70</v>
      </c>
      <c r="J695" s="10">
        <v>60</v>
      </c>
      <c r="K695" s="10">
        <v>60</v>
      </c>
      <c r="L695" t="str">
        <f t="shared" si="30"/>
        <v>OK</v>
      </c>
      <c r="M695" t="str">
        <f t="shared" si="31"/>
        <v>OK</v>
      </c>
      <c r="N695" t="str">
        <f t="shared" si="32"/>
        <v>OK</v>
      </c>
    </row>
    <row r="696" spans="1:14" ht="43.2" x14ac:dyDescent="0.3">
      <c r="A696">
        <v>54</v>
      </c>
      <c r="B696">
        <v>2024</v>
      </c>
      <c r="C696" s="2">
        <v>45441</v>
      </c>
      <c r="D696" s="3" t="s">
        <v>38</v>
      </c>
      <c r="E696" s="4" t="s">
        <v>44</v>
      </c>
      <c r="F696" s="4" t="s">
        <v>45</v>
      </c>
      <c r="G696" s="5"/>
      <c r="H696" s="6">
        <v>40</v>
      </c>
      <c r="I696" s="6">
        <v>50</v>
      </c>
      <c r="J696" s="6">
        <v>45</v>
      </c>
      <c r="K696" s="6">
        <v>45</v>
      </c>
      <c r="L696" t="str">
        <f t="shared" si="30"/>
        <v>OK</v>
      </c>
      <c r="M696" t="str">
        <f t="shared" si="31"/>
        <v>OK</v>
      </c>
      <c r="N696" t="str">
        <f t="shared" si="32"/>
        <v>OK</v>
      </c>
    </row>
    <row r="697" spans="1:14" ht="43.2" x14ac:dyDescent="0.3">
      <c r="A697">
        <v>54</v>
      </c>
      <c r="B697">
        <v>2024</v>
      </c>
      <c r="C697" s="2">
        <v>45441</v>
      </c>
      <c r="D697" s="7" t="s">
        <v>38</v>
      </c>
      <c r="E697" s="8" t="s">
        <v>48</v>
      </c>
      <c r="F697" s="8" t="s">
        <v>45</v>
      </c>
      <c r="G697" s="9"/>
      <c r="H697" s="10">
        <v>100</v>
      </c>
      <c r="I697" s="10">
        <v>100</v>
      </c>
      <c r="J697" s="10">
        <v>100</v>
      </c>
      <c r="K697" s="10">
        <v>100</v>
      </c>
      <c r="L697" t="str">
        <f t="shared" si="30"/>
        <v>OK</v>
      </c>
      <c r="M697" t="str">
        <f t="shared" si="31"/>
        <v>OK</v>
      </c>
      <c r="N697" t="str">
        <f t="shared" si="32"/>
        <v>OK</v>
      </c>
    </row>
    <row r="698" spans="1:14" ht="43.2" x14ac:dyDescent="0.3">
      <c r="A698">
        <v>54</v>
      </c>
      <c r="B698">
        <v>2024</v>
      </c>
      <c r="C698" s="2">
        <v>45441</v>
      </c>
      <c r="D698" s="3" t="s">
        <v>38</v>
      </c>
      <c r="E698" s="4" t="s">
        <v>49</v>
      </c>
      <c r="F698" s="4" t="s">
        <v>50</v>
      </c>
      <c r="G698" s="6">
        <v>110</v>
      </c>
      <c r="H698" s="6">
        <v>110</v>
      </c>
      <c r="I698" s="6">
        <v>140</v>
      </c>
      <c r="J698" s="6">
        <v>120</v>
      </c>
      <c r="K698" s="6">
        <v>110</v>
      </c>
      <c r="L698" t="str">
        <f t="shared" si="30"/>
        <v>OK</v>
      </c>
      <c r="M698" t="str">
        <f t="shared" si="31"/>
        <v>OK</v>
      </c>
      <c r="N698" t="str">
        <f t="shared" si="32"/>
        <v>OK</v>
      </c>
    </row>
    <row r="699" spans="1:14" ht="43.2" x14ac:dyDescent="0.3">
      <c r="A699">
        <v>54</v>
      </c>
      <c r="B699">
        <v>2024</v>
      </c>
      <c r="C699" s="2">
        <v>45441</v>
      </c>
      <c r="D699" s="7" t="s">
        <v>38</v>
      </c>
      <c r="E699" s="8" t="s">
        <v>52</v>
      </c>
      <c r="F699" s="8" t="s">
        <v>43</v>
      </c>
      <c r="G699" s="9"/>
      <c r="H699" s="10">
        <v>100</v>
      </c>
      <c r="I699" s="10">
        <v>170</v>
      </c>
      <c r="J699" s="10" t="s">
        <v>234</v>
      </c>
      <c r="K699" s="10">
        <v>130</v>
      </c>
      <c r="L699" t="str">
        <f t="shared" si="30"/>
        <v>OK</v>
      </c>
      <c r="M699" t="str">
        <f t="shared" si="31"/>
        <v>OK</v>
      </c>
      <c r="N699" t="str">
        <f t="shared" si="32"/>
        <v>ERRO</v>
      </c>
    </row>
    <row r="700" spans="1:14" ht="43.2" x14ac:dyDescent="0.3">
      <c r="A700">
        <v>54</v>
      </c>
      <c r="B700">
        <v>2024</v>
      </c>
      <c r="C700" s="2">
        <v>45441</v>
      </c>
      <c r="D700" s="3" t="s">
        <v>38</v>
      </c>
      <c r="E700" s="4" t="s">
        <v>53</v>
      </c>
      <c r="F700" s="4" t="s">
        <v>43</v>
      </c>
      <c r="G700" s="6">
        <v>70</v>
      </c>
      <c r="H700" s="6">
        <v>60</v>
      </c>
      <c r="I700" s="6">
        <v>70</v>
      </c>
      <c r="J700" s="6" t="s">
        <v>102</v>
      </c>
      <c r="K700" s="6">
        <v>70</v>
      </c>
      <c r="L700" t="str">
        <f t="shared" si="30"/>
        <v>OK</v>
      </c>
      <c r="M700" t="str">
        <f t="shared" si="31"/>
        <v>OK</v>
      </c>
      <c r="N700" t="str">
        <f t="shared" si="32"/>
        <v>ERRO</v>
      </c>
    </row>
    <row r="701" spans="1:14" ht="43.2" x14ac:dyDescent="0.3">
      <c r="A701">
        <v>54</v>
      </c>
      <c r="B701">
        <v>2024</v>
      </c>
      <c r="C701" s="2">
        <v>45441</v>
      </c>
      <c r="D701" s="7" t="s">
        <v>38</v>
      </c>
      <c r="E701" s="8" t="s">
        <v>54</v>
      </c>
      <c r="F701" s="8" t="s">
        <v>40</v>
      </c>
      <c r="G701" s="9"/>
      <c r="H701" s="10">
        <v>110</v>
      </c>
      <c r="I701" s="10">
        <v>120</v>
      </c>
      <c r="J701" s="10">
        <v>115</v>
      </c>
      <c r="K701" s="10">
        <v>115</v>
      </c>
      <c r="L701" t="str">
        <f t="shared" si="30"/>
        <v>OK</v>
      </c>
      <c r="M701" t="str">
        <f t="shared" si="31"/>
        <v>OK</v>
      </c>
      <c r="N701" t="str">
        <f t="shared" si="32"/>
        <v>OK</v>
      </c>
    </row>
    <row r="702" spans="1:14" ht="43.2" x14ac:dyDescent="0.3">
      <c r="A702">
        <v>54</v>
      </c>
      <c r="B702">
        <v>2024</v>
      </c>
      <c r="C702" s="2">
        <v>45441</v>
      </c>
      <c r="D702" s="3" t="s">
        <v>38</v>
      </c>
      <c r="E702" s="4" t="s">
        <v>56</v>
      </c>
      <c r="F702" s="4" t="s">
        <v>43</v>
      </c>
      <c r="G702" s="5"/>
      <c r="H702" s="6">
        <v>75</v>
      </c>
      <c r="I702" s="6">
        <v>75</v>
      </c>
      <c r="J702" s="6">
        <v>75</v>
      </c>
      <c r="K702" s="6">
        <v>75</v>
      </c>
      <c r="L702" t="str">
        <f t="shared" si="30"/>
        <v>OK</v>
      </c>
      <c r="M702" t="str">
        <f t="shared" si="31"/>
        <v>OK</v>
      </c>
      <c r="N702" t="str">
        <f t="shared" si="32"/>
        <v>OK</v>
      </c>
    </row>
    <row r="703" spans="1:14" ht="43.2" x14ac:dyDescent="0.3">
      <c r="A703">
        <v>54</v>
      </c>
      <c r="B703">
        <v>2024</v>
      </c>
      <c r="C703" s="2">
        <v>45441</v>
      </c>
      <c r="D703" s="7" t="s">
        <v>38</v>
      </c>
      <c r="E703" s="8" t="s">
        <v>57</v>
      </c>
      <c r="F703" s="8" t="s">
        <v>40</v>
      </c>
      <c r="G703" s="9"/>
      <c r="H703" s="10">
        <v>80</v>
      </c>
      <c r="I703" s="10">
        <v>80</v>
      </c>
      <c r="J703" s="10">
        <v>80</v>
      </c>
      <c r="K703" s="10">
        <v>80</v>
      </c>
      <c r="L703" t="str">
        <f t="shared" si="30"/>
        <v>OK</v>
      </c>
      <c r="M703" t="str">
        <f t="shared" si="31"/>
        <v>OK</v>
      </c>
      <c r="N703" t="str">
        <f t="shared" si="32"/>
        <v>OK</v>
      </c>
    </row>
    <row r="704" spans="1:14" ht="43.2" x14ac:dyDescent="0.3">
      <c r="A704">
        <v>54</v>
      </c>
      <c r="B704">
        <v>2024</v>
      </c>
      <c r="C704" s="2">
        <v>45441</v>
      </c>
      <c r="D704" s="3" t="s">
        <v>38</v>
      </c>
      <c r="E704" s="4" t="s">
        <v>58</v>
      </c>
      <c r="F704" s="4" t="s">
        <v>40</v>
      </c>
      <c r="G704" s="5"/>
      <c r="H704" s="6">
        <v>60</v>
      </c>
      <c r="I704" s="6">
        <v>100</v>
      </c>
      <c r="J704" s="6" t="s">
        <v>155</v>
      </c>
      <c r="K704" s="6" t="s">
        <v>134</v>
      </c>
      <c r="L704" t="str">
        <f t="shared" si="30"/>
        <v>OK</v>
      </c>
      <c r="M704" t="str">
        <f t="shared" si="31"/>
        <v>OK</v>
      </c>
      <c r="N704" t="str">
        <f t="shared" si="32"/>
        <v>ERRO</v>
      </c>
    </row>
    <row r="705" spans="1:14" ht="43.2" x14ac:dyDescent="0.3">
      <c r="A705">
        <v>54</v>
      </c>
      <c r="B705">
        <v>2024</v>
      </c>
      <c r="C705" s="2">
        <v>45441</v>
      </c>
      <c r="D705" s="7" t="s">
        <v>38</v>
      </c>
      <c r="E705" s="8" t="s">
        <v>59</v>
      </c>
      <c r="F705" s="8" t="s">
        <v>45</v>
      </c>
      <c r="G705" s="10">
        <v>60</v>
      </c>
      <c r="H705" s="10">
        <v>50</v>
      </c>
      <c r="I705" s="10">
        <v>60</v>
      </c>
      <c r="J705" s="10" t="s">
        <v>235</v>
      </c>
      <c r="K705" s="10" t="s">
        <v>41</v>
      </c>
      <c r="L705" t="str">
        <f t="shared" si="30"/>
        <v>OK</v>
      </c>
      <c r="M705" t="str">
        <f t="shared" si="31"/>
        <v>OK</v>
      </c>
      <c r="N705" t="str">
        <f t="shared" si="32"/>
        <v>ERRO</v>
      </c>
    </row>
    <row r="706" spans="1:14" ht="43.2" x14ac:dyDescent="0.3">
      <c r="A706">
        <v>54</v>
      </c>
      <c r="B706">
        <v>2024</v>
      </c>
      <c r="C706" s="2">
        <v>45441</v>
      </c>
      <c r="D706" s="3" t="s">
        <v>38</v>
      </c>
      <c r="E706" s="4" t="s">
        <v>60</v>
      </c>
      <c r="F706" s="4" t="s">
        <v>61</v>
      </c>
      <c r="G706" s="5"/>
      <c r="H706" s="6">
        <v>140</v>
      </c>
      <c r="I706" s="6">
        <v>150</v>
      </c>
      <c r="J706" s="6">
        <v>145</v>
      </c>
      <c r="K706" s="6">
        <v>145</v>
      </c>
      <c r="L706" t="str">
        <f t="shared" si="30"/>
        <v>OK</v>
      </c>
      <c r="M706" t="str">
        <f t="shared" si="31"/>
        <v>OK</v>
      </c>
      <c r="N706" t="str">
        <f t="shared" si="32"/>
        <v>OK</v>
      </c>
    </row>
    <row r="707" spans="1:14" ht="43.2" x14ac:dyDescent="0.3">
      <c r="A707">
        <v>54</v>
      </c>
      <c r="B707">
        <v>2024</v>
      </c>
      <c r="C707" s="2">
        <v>45441</v>
      </c>
      <c r="D707" s="7" t="s">
        <v>38</v>
      </c>
      <c r="E707" s="8" t="s">
        <v>63</v>
      </c>
      <c r="F707" s="8" t="s">
        <v>40</v>
      </c>
      <c r="G707" s="9"/>
      <c r="H707" s="10">
        <v>100</v>
      </c>
      <c r="I707" s="10">
        <v>150</v>
      </c>
      <c r="J707" s="10" t="s">
        <v>251</v>
      </c>
      <c r="K707" s="10">
        <v>120</v>
      </c>
      <c r="L707" t="str">
        <f t="shared" ref="L707:L770" si="33">IF(H707&gt;I707,"ERRO","OK")</f>
        <v>OK</v>
      </c>
      <c r="M707" t="str">
        <f t="shared" ref="M707:M770" si="34">IF(H707&gt;J707,"ERRO","OK")</f>
        <v>OK</v>
      </c>
      <c r="N707" t="str">
        <f t="shared" ref="N707:N770" si="35">IF(I707&lt;J707,"ERRO","OK")</f>
        <v>ERRO</v>
      </c>
    </row>
    <row r="708" spans="1:14" ht="43.2" x14ac:dyDescent="0.3">
      <c r="A708">
        <v>54</v>
      </c>
      <c r="B708">
        <v>2024</v>
      </c>
      <c r="C708" s="2">
        <v>45441</v>
      </c>
      <c r="D708" s="3" t="s">
        <v>38</v>
      </c>
      <c r="E708" s="4" t="s">
        <v>64</v>
      </c>
      <c r="F708" s="4" t="s">
        <v>40</v>
      </c>
      <c r="G708" s="6">
        <v>200</v>
      </c>
      <c r="H708" s="6">
        <v>200</v>
      </c>
      <c r="I708" s="6">
        <v>200</v>
      </c>
      <c r="J708" s="6">
        <v>200</v>
      </c>
      <c r="K708" s="6">
        <v>200</v>
      </c>
      <c r="L708" t="str">
        <f t="shared" si="33"/>
        <v>OK</v>
      </c>
      <c r="M708" t="str">
        <f t="shared" si="34"/>
        <v>OK</v>
      </c>
      <c r="N708" t="str">
        <f t="shared" si="35"/>
        <v>OK</v>
      </c>
    </row>
    <row r="709" spans="1:14" x14ac:dyDescent="0.3">
      <c r="A709">
        <v>54</v>
      </c>
      <c r="B709">
        <v>2024</v>
      </c>
      <c r="C709" s="2">
        <v>45441</v>
      </c>
      <c r="D709" s="7" t="s">
        <v>65</v>
      </c>
      <c r="E709" s="8" t="s">
        <v>66</v>
      </c>
      <c r="F709" s="8" t="s">
        <v>45</v>
      </c>
      <c r="G709" s="9"/>
      <c r="H709" s="10">
        <v>100</v>
      </c>
      <c r="I709" s="10">
        <v>100</v>
      </c>
      <c r="J709" s="10">
        <v>100</v>
      </c>
      <c r="K709" s="10">
        <v>100</v>
      </c>
      <c r="L709" t="str">
        <f t="shared" si="33"/>
        <v>OK</v>
      </c>
      <c r="M709" t="str">
        <f t="shared" si="34"/>
        <v>OK</v>
      </c>
      <c r="N709" t="str">
        <f t="shared" si="35"/>
        <v>OK</v>
      </c>
    </row>
    <row r="710" spans="1:14" x14ac:dyDescent="0.3">
      <c r="A710">
        <v>54</v>
      </c>
      <c r="B710">
        <v>2024</v>
      </c>
      <c r="C710" s="2">
        <v>45441</v>
      </c>
      <c r="D710" s="3" t="s">
        <v>65</v>
      </c>
      <c r="E710" s="4" t="s">
        <v>67</v>
      </c>
      <c r="F710" s="4" t="s">
        <v>45</v>
      </c>
      <c r="G710" s="5"/>
      <c r="H710" s="6">
        <v>75</v>
      </c>
      <c r="I710" s="6">
        <v>75</v>
      </c>
      <c r="J710" s="6">
        <v>75</v>
      </c>
      <c r="K710" s="6">
        <v>75</v>
      </c>
      <c r="L710" t="str">
        <f t="shared" si="33"/>
        <v>OK</v>
      </c>
      <c r="M710" t="str">
        <f t="shared" si="34"/>
        <v>OK</v>
      </c>
      <c r="N710" t="str">
        <f t="shared" si="35"/>
        <v>OK</v>
      </c>
    </row>
    <row r="711" spans="1:14" x14ac:dyDescent="0.3">
      <c r="A711">
        <v>54</v>
      </c>
      <c r="B711">
        <v>2024</v>
      </c>
      <c r="C711" s="2">
        <v>45441</v>
      </c>
      <c r="D711" s="7" t="s">
        <v>65</v>
      </c>
      <c r="E711" s="8" t="s">
        <v>68</v>
      </c>
      <c r="F711" s="8" t="s">
        <v>45</v>
      </c>
      <c r="G711" s="9"/>
      <c r="H711" s="9"/>
      <c r="I711" s="9"/>
      <c r="J711" s="9"/>
      <c r="K711" s="9"/>
      <c r="L711" t="str">
        <f t="shared" si="33"/>
        <v>OK</v>
      </c>
      <c r="M711" t="str">
        <f t="shared" si="34"/>
        <v>OK</v>
      </c>
      <c r="N711" t="str">
        <f t="shared" si="35"/>
        <v>OK</v>
      </c>
    </row>
    <row r="712" spans="1:14" x14ac:dyDescent="0.3">
      <c r="A712">
        <v>54</v>
      </c>
      <c r="B712">
        <v>2024</v>
      </c>
      <c r="C712" s="2">
        <v>45441</v>
      </c>
      <c r="D712" s="3" t="s">
        <v>65</v>
      </c>
      <c r="E712" s="4" t="s">
        <v>69</v>
      </c>
      <c r="F712" s="4" t="s">
        <v>45</v>
      </c>
      <c r="G712" s="5"/>
      <c r="H712" s="6">
        <v>40</v>
      </c>
      <c r="I712" s="6">
        <v>40</v>
      </c>
      <c r="J712" s="6">
        <v>40</v>
      </c>
      <c r="K712" s="6">
        <v>40</v>
      </c>
      <c r="L712" t="str">
        <f t="shared" si="33"/>
        <v>OK</v>
      </c>
      <c r="M712" t="str">
        <f t="shared" si="34"/>
        <v>OK</v>
      </c>
      <c r="N712" t="str">
        <f t="shared" si="35"/>
        <v>OK</v>
      </c>
    </row>
    <row r="713" spans="1:14" x14ac:dyDescent="0.3">
      <c r="A713">
        <v>54</v>
      </c>
      <c r="B713">
        <v>2024</v>
      </c>
      <c r="C713" s="2">
        <v>45441</v>
      </c>
      <c r="D713" s="7" t="s">
        <v>65</v>
      </c>
      <c r="E713" s="8" t="s">
        <v>70</v>
      </c>
      <c r="F713" s="8" t="s">
        <v>71</v>
      </c>
      <c r="G713" s="9"/>
      <c r="H713" s="10">
        <v>55</v>
      </c>
      <c r="I713" s="10">
        <v>55</v>
      </c>
      <c r="J713" s="10">
        <v>55</v>
      </c>
      <c r="K713" s="10">
        <v>55</v>
      </c>
      <c r="L713" t="str">
        <f t="shared" si="33"/>
        <v>OK</v>
      </c>
      <c r="M713" t="str">
        <f t="shared" si="34"/>
        <v>OK</v>
      </c>
      <c r="N713" t="str">
        <f t="shared" si="35"/>
        <v>OK</v>
      </c>
    </row>
    <row r="714" spans="1:14" ht="28.8" x14ac:dyDescent="0.3">
      <c r="A714">
        <v>55</v>
      </c>
      <c r="B714">
        <v>2024</v>
      </c>
      <c r="C714" s="2">
        <v>45448</v>
      </c>
      <c r="D714" s="3" t="s">
        <v>11</v>
      </c>
      <c r="E714" s="4" t="s">
        <v>12</v>
      </c>
      <c r="F714" s="4" t="s">
        <v>13</v>
      </c>
      <c r="G714" s="6">
        <v>72</v>
      </c>
      <c r="H714" s="6">
        <v>48</v>
      </c>
      <c r="I714" s="6">
        <v>72</v>
      </c>
      <c r="J714" s="6">
        <v>64</v>
      </c>
      <c r="K714" s="6">
        <v>72</v>
      </c>
      <c r="L714" t="str">
        <f t="shared" si="33"/>
        <v>OK</v>
      </c>
      <c r="M714" t="str">
        <f t="shared" si="34"/>
        <v>OK</v>
      </c>
      <c r="N714" t="str">
        <f t="shared" si="35"/>
        <v>OK</v>
      </c>
    </row>
    <row r="715" spans="1:14" ht="28.8" x14ac:dyDescent="0.3">
      <c r="A715">
        <v>55</v>
      </c>
      <c r="B715">
        <v>2024</v>
      </c>
      <c r="C715" s="2">
        <v>45448</v>
      </c>
      <c r="D715" s="7" t="s">
        <v>11</v>
      </c>
      <c r="E715" s="8" t="s">
        <v>14</v>
      </c>
      <c r="F715" s="8" t="s">
        <v>13</v>
      </c>
      <c r="G715" s="10">
        <v>84</v>
      </c>
      <c r="H715" s="10">
        <v>72</v>
      </c>
      <c r="I715" s="10">
        <v>84</v>
      </c>
      <c r="J715" s="10">
        <v>80</v>
      </c>
      <c r="K715" s="10">
        <v>84</v>
      </c>
      <c r="L715" t="str">
        <f t="shared" si="33"/>
        <v>OK</v>
      </c>
      <c r="M715" t="str">
        <f t="shared" si="34"/>
        <v>OK</v>
      </c>
      <c r="N715" t="str">
        <f t="shared" si="35"/>
        <v>OK</v>
      </c>
    </row>
    <row r="716" spans="1:14" ht="28.8" x14ac:dyDescent="0.3">
      <c r="A716">
        <v>55</v>
      </c>
      <c r="B716">
        <v>2024</v>
      </c>
      <c r="C716" s="2">
        <v>45448</v>
      </c>
      <c r="D716" s="3" t="s">
        <v>11</v>
      </c>
      <c r="E716" s="4" t="s">
        <v>15</v>
      </c>
      <c r="F716" s="4" t="s">
        <v>13</v>
      </c>
      <c r="G716" s="5"/>
      <c r="H716" s="6">
        <v>36</v>
      </c>
      <c r="I716" s="6">
        <v>54</v>
      </c>
      <c r="J716" s="6">
        <v>44</v>
      </c>
      <c r="K716" s="6">
        <v>42</v>
      </c>
      <c r="L716" t="str">
        <f t="shared" si="33"/>
        <v>OK</v>
      </c>
      <c r="M716" t="str">
        <f t="shared" si="34"/>
        <v>OK</v>
      </c>
      <c r="N716" t="str">
        <f t="shared" si="35"/>
        <v>OK</v>
      </c>
    </row>
    <row r="717" spans="1:14" ht="28.8" x14ac:dyDescent="0.3">
      <c r="A717">
        <v>55</v>
      </c>
      <c r="B717">
        <v>2024</v>
      </c>
      <c r="C717" s="2">
        <v>45448</v>
      </c>
      <c r="D717" s="7" t="s">
        <v>11</v>
      </c>
      <c r="E717" s="8" t="s">
        <v>16</v>
      </c>
      <c r="F717" s="8" t="s">
        <v>13</v>
      </c>
      <c r="G717" s="10">
        <v>30</v>
      </c>
      <c r="H717" s="10">
        <v>24</v>
      </c>
      <c r="I717" s="10">
        <v>30</v>
      </c>
      <c r="J717" s="10">
        <v>28</v>
      </c>
      <c r="K717" s="10">
        <v>30</v>
      </c>
      <c r="L717" t="str">
        <f t="shared" si="33"/>
        <v>OK</v>
      </c>
      <c r="M717" t="str">
        <f t="shared" si="34"/>
        <v>OK</v>
      </c>
      <c r="N717" t="str">
        <f t="shared" si="35"/>
        <v>OK</v>
      </c>
    </row>
    <row r="718" spans="1:14" ht="28.8" x14ac:dyDescent="0.3">
      <c r="A718">
        <v>55</v>
      </c>
      <c r="B718">
        <v>2024</v>
      </c>
      <c r="C718" s="2">
        <v>45448</v>
      </c>
      <c r="D718" s="3" t="s">
        <v>11</v>
      </c>
      <c r="E718" s="4" t="s">
        <v>17</v>
      </c>
      <c r="F718" s="4" t="s">
        <v>13</v>
      </c>
      <c r="G718" s="6">
        <v>30</v>
      </c>
      <c r="H718" s="6">
        <v>24</v>
      </c>
      <c r="I718" s="6">
        <v>30</v>
      </c>
      <c r="J718" s="6">
        <v>28</v>
      </c>
      <c r="K718" s="6">
        <v>30</v>
      </c>
      <c r="L718" t="str">
        <f t="shared" si="33"/>
        <v>OK</v>
      </c>
      <c r="M718" t="str">
        <f t="shared" si="34"/>
        <v>OK</v>
      </c>
      <c r="N718" t="str">
        <f t="shared" si="35"/>
        <v>OK</v>
      </c>
    </row>
    <row r="719" spans="1:14" ht="28.8" x14ac:dyDescent="0.3">
      <c r="A719">
        <v>55</v>
      </c>
      <c r="B719">
        <v>2024</v>
      </c>
      <c r="C719" s="2">
        <v>45448</v>
      </c>
      <c r="D719" s="7" t="s">
        <v>11</v>
      </c>
      <c r="E719" s="8" t="s">
        <v>18</v>
      </c>
      <c r="F719" s="8" t="s">
        <v>13</v>
      </c>
      <c r="G719" s="10">
        <v>60</v>
      </c>
      <c r="H719" s="10">
        <v>60</v>
      </c>
      <c r="I719" s="10">
        <v>60</v>
      </c>
      <c r="J719" s="10">
        <v>60</v>
      </c>
      <c r="K719" s="10">
        <v>60</v>
      </c>
      <c r="L719" t="str">
        <f t="shared" si="33"/>
        <v>OK</v>
      </c>
      <c r="M719" t="str">
        <f t="shared" si="34"/>
        <v>OK</v>
      </c>
      <c r="N719" t="str">
        <f t="shared" si="35"/>
        <v>OK</v>
      </c>
    </row>
    <row r="720" spans="1:14" ht="28.8" x14ac:dyDescent="0.3">
      <c r="A720">
        <v>55</v>
      </c>
      <c r="B720">
        <v>2024</v>
      </c>
      <c r="C720" s="2">
        <v>45448</v>
      </c>
      <c r="D720" s="3" t="s">
        <v>11</v>
      </c>
      <c r="E720" s="4" t="s">
        <v>19</v>
      </c>
      <c r="F720" s="4" t="s">
        <v>13</v>
      </c>
      <c r="G720" s="6">
        <v>96</v>
      </c>
      <c r="H720" s="6">
        <v>96</v>
      </c>
      <c r="I720" s="6">
        <v>120</v>
      </c>
      <c r="J720" s="6">
        <v>104</v>
      </c>
      <c r="K720" s="6">
        <v>96</v>
      </c>
      <c r="L720" t="str">
        <f t="shared" si="33"/>
        <v>OK</v>
      </c>
      <c r="M720" t="str">
        <f t="shared" si="34"/>
        <v>OK</v>
      </c>
      <c r="N720" t="str">
        <f t="shared" si="35"/>
        <v>OK</v>
      </c>
    </row>
    <row r="721" spans="1:14" ht="28.8" x14ac:dyDescent="0.3">
      <c r="A721">
        <v>55</v>
      </c>
      <c r="B721">
        <v>2024</v>
      </c>
      <c r="C721" s="2">
        <v>45448</v>
      </c>
      <c r="D721" s="7" t="s">
        <v>11</v>
      </c>
      <c r="E721" s="8" t="s">
        <v>20</v>
      </c>
      <c r="F721" s="8" t="s">
        <v>13</v>
      </c>
      <c r="G721" s="9"/>
      <c r="H721" s="10">
        <v>84</v>
      </c>
      <c r="I721" s="10">
        <v>120</v>
      </c>
      <c r="J721" s="10">
        <v>100</v>
      </c>
      <c r="K721" s="10">
        <v>96</v>
      </c>
      <c r="L721" t="str">
        <f t="shared" si="33"/>
        <v>OK</v>
      </c>
      <c r="M721" t="str">
        <f t="shared" si="34"/>
        <v>OK</v>
      </c>
      <c r="N721" t="str">
        <f t="shared" si="35"/>
        <v>OK</v>
      </c>
    </row>
    <row r="722" spans="1:14" ht="28.8" x14ac:dyDescent="0.3">
      <c r="A722">
        <v>55</v>
      </c>
      <c r="B722">
        <v>2024</v>
      </c>
      <c r="C722" s="2">
        <v>45448</v>
      </c>
      <c r="D722" s="3" t="s">
        <v>11</v>
      </c>
      <c r="E722" s="4" t="s">
        <v>21</v>
      </c>
      <c r="F722" s="4" t="s">
        <v>13</v>
      </c>
      <c r="G722" s="6">
        <v>24</v>
      </c>
      <c r="H722" s="6">
        <v>24</v>
      </c>
      <c r="I722" s="6">
        <v>30</v>
      </c>
      <c r="J722" s="6">
        <v>26</v>
      </c>
      <c r="K722" s="6">
        <v>24</v>
      </c>
      <c r="L722" t="str">
        <f t="shared" si="33"/>
        <v>OK</v>
      </c>
      <c r="M722" t="str">
        <f t="shared" si="34"/>
        <v>OK</v>
      </c>
      <c r="N722" t="str">
        <f t="shared" si="35"/>
        <v>OK</v>
      </c>
    </row>
    <row r="723" spans="1:14" ht="28.8" x14ac:dyDescent="0.3">
      <c r="A723">
        <v>55</v>
      </c>
      <c r="B723">
        <v>2024</v>
      </c>
      <c r="C723" s="2">
        <v>45448</v>
      </c>
      <c r="D723" s="7" t="s">
        <v>11</v>
      </c>
      <c r="E723" s="8" t="s">
        <v>73</v>
      </c>
      <c r="F723" s="8" t="s">
        <v>13</v>
      </c>
      <c r="G723" s="9"/>
      <c r="H723" s="10">
        <v>96</v>
      </c>
      <c r="I723" s="10">
        <v>120</v>
      </c>
      <c r="J723" s="10">
        <v>106</v>
      </c>
      <c r="K723" s="10">
        <v>102</v>
      </c>
      <c r="L723" t="str">
        <f t="shared" si="33"/>
        <v>OK</v>
      </c>
      <c r="M723" t="str">
        <f t="shared" si="34"/>
        <v>OK</v>
      </c>
      <c r="N723" t="str">
        <f t="shared" si="35"/>
        <v>OK</v>
      </c>
    </row>
    <row r="724" spans="1:14" ht="28.8" x14ac:dyDescent="0.3">
      <c r="A724">
        <v>55</v>
      </c>
      <c r="B724">
        <v>2024</v>
      </c>
      <c r="C724" s="2">
        <v>45448</v>
      </c>
      <c r="D724" s="3" t="s">
        <v>11</v>
      </c>
      <c r="E724" s="4" t="s">
        <v>23</v>
      </c>
      <c r="F724" s="4" t="s">
        <v>13</v>
      </c>
      <c r="G724" s="6">
        <v>30</v>
      </c>
      <c r="H724" s="6">
        <v>24</v>
      </c>
      <c r="I724" s="6">
        <v>30</v>
      </c>
      <c r="J724" s="6">
        <v>28</v>
      </c>
      <c r="K724" s="6">
        <v>30</v>
      </c>
      <c r="L724" t="str">
        <f t="shared" si="33"/>
        <v>OK</v>
      </c>
      <c r="M724" t="str">
        <f t="shared" si="34"/>
        <v>OK</v>
      </c>
      <c r="N724" t="str">
        <f t="shared" si="35"/>
        <v>OK</v>
      </c>
    </row>
    <row r="725" spans="1:14" ht="28.8" x14ac:dyDescent="0.3">
      <c r="A725">
        <v>55</v>
      </c>
      <c r="B725">
        <v>2024</v>
      </c>
      <c r="C725" s="2">
        <v>45448</v>
      </c>
      <c r="D725" s="7" t="s">
        <v>11</v>
      </c>
      <c r="E725" s="8" t="s">
        <v>24</v>
      </c>
      <c r="F725" s="8" t="s">
        <v>13</v>
      </c>
      <c r="G725" s="10">
        <v>60</v>
      </c>
      <c r="H725" s="10">
        <v>60</v>
      </c>
      <c r="I725" s="10">
        <v>84</v>
      </c>
      <c r="J725" s="10">
        <v>68</v>
      </c>
      <c r="K725" s="10">
        <v>60</v>
      </c>
      <c r="L725" t="str">
        <f t="shared" si="33"/>
        <v>OK</v>
      </c>
      <c r="M725" t="str">
        <f t="shared" si="34"/>
        <v>OK</v>
      </c>
      <c r="N725" t="str">
        <f t="shared" si="35"/>
        <v>OK</v>
      </c>
    </row>
    <row r="726" spans="1:14" ht="28.8" x14ac:dyDescent="0.3">
      <c r="A726">
        <v>55</v>
      </c>
      <c r="B726">
        <v>2024</v>
      </c>
      <c r="C726" s="2">
        <v>45448</v>
      </c>
      <c r="D726" s="3" t="s">
        <v>11</v>
      </c>
      <c r="E726" s="4" t="s">
        <v>25</v>
      </c>
      <c r="F726" s="4" t="s">
        <v>26</v>
      </c>
      <c r="G726" s="6">
        <v>60</v>
      </c>
      <c r="H726" s="6">
        <v>60</v>
      </c>
      <c r="I726" s="6">
        <v>78</v>
      </c>
      <c r="J726" s="6">
        <v>66</v>
      </c>
      <c r="K726" s="6">
        <v>60</v>
      </c>
      <c r="L726" t="str">
        <f t="shared" si="33"/>
        <v>OK</v>
      </c>
      <c r="M726" t="str">
        <f t="shared" si="34"/>
        <v>OK</v>
      </c>
      <c r="N726" t="str">
        <f t="shared" si="35"/>
        <v>OK</v>
      </c>
    </row>
    <row r="727" spans="1:14" ht="28.8" x14ac:dyDescent="0.3">
      <c r="A727">
        <v>55</v>
      </c>
      <c r="B727">
        <v>2024</v>
      </c>
      <c r="C727" s="2">
        <v>45448</v>
      </c>
      <c r="D727" s="7" t="s">
        <v>11</v>
      </c>
      <c r="E727" s="8" t="s">
        <v>27</v>
      </c>
      <c r="F727" s="8" t="s">
        <v>13</v>
      </c>
      <c r="G727" s="9"/>
      <c r="H727" s="10">
        <v>72</v>
      </c>
      <c r="I727" s="10">
        <v>100</v>
      </c>
      <c r="J727" s="10" t="s">
        <v>252</v>
      </c>
      <c r="K727" s="10">
        <v>84</v>
      </c>
      <c r="L727" t="str">
        <f t="shared" si="33"/>
        <v>OK</v>
      </c>
      <c r="M727" t="str">
        <f t="shared" si="34"/>
        <v>OK</v>
      </c>
      <c r="N727" t="str">
        <f t="shared" si="35"/>
        <v>ERRO</v>
      </c>
    </row>
    <row r="728" spans="1:14" ht="28.8" x14ac:dyDescent="0.3">
      <c r="A728">
        <v>55</v>
      </c>
      <c r="B728">
        <v>2024</v>
      </c>
      <c r="C728" s="2">
        <v>45448</v>
      </c>
      <c r="D728" s="3" t="s">
        <v>11</v>
      </c>
      <c r="E728" s="4" t="s">
        <v>28</v>
      </c>
      <c r="F728" s="4" t="s">
        <v>13</v>
      </c>
      <c r="G728" s="5"/>
      <c r="H728" s="6">
        <v>48</v>
      </c>
      <c r="I728" s="6">
        <v>80</v>
      </c>
      <c r="J728" s="6">
        <v>61</v>
      </c>
      <c r="K728" s="6">
        <v>55</v>
      </c>
      <c r="L728" t="str">
        <f t="shared" si="33"/>
        <v>OK</v>
      </c>
      <c r="M728" t="str">
        <f t="shared" si="34"/>
        <v>OK</v>
      </c>
      <c r="N728" t="str">
        <f t="shared" si="35"/>
        <v>OK</v>
      </c>
    </row>
    <row r="729" spans="1:14" ht="28.8" x14ac:dyDescent="0.3">
      <c r="A729">
        <v>55</v>
      </c>
      <c r="B729">
        <v>2024</v>
      </c>
      <c r="C729" s="2">
        <v>45448</v>
      </c>
      <c r="D729" s="7" t="s">
        <v>11</v>
      </c>
      <c r="E729" s="8" t="s">
        <v>29</v>
      </c>
      <c r="F729" s="8" t="s">
        <v>13</v>
      </c>
      <c r="G729" s="10">
        <v>54</v>
      </c>
      <c r="H729" s="10">
        <v>48</v>
      </c>
      <c r="I729" s="10">
        <v>54</v>
      </c>
      <c r="J729" s="10">
        <v>52</v>
      </c>
      <c r="K729" s="10">
        <v>54</v>
      </c>
      <c r="L729" t="str">
        <f t="shared" si="33"/>
        <v>OK</v>
      </c>
      <c r="M729" t="str">
        <f t="shared" si="34"/>
        <v>OK</v>
      </c>
      <c r="N729" t="str">
        <f t="shared" si="35"/>
        <v>OK</v>
      </c>
    </row>
    <row r="730" spans="1:14" ht="28.8" x14ac:dyDescent="0.3">
      <c r="A730">
        <v>55</v>
      </c>
      <c r="B730">
        <v>2024</v>
      </c>
      <c r="C730" s="2">
        <v>45448</v>
      </c>
      <c r="D730" s="3" t="s">
        <v>30</v>
      </c>
      <c r="E730" s="4" t="s">
        <v>31</v>
      </c>
      <c r="F730" s="4" t="s">
        <v>32</v>
      </c>
      <c r="G730" s="6">
        <v>5</v>
      </c>
      <c r="H730" s="6">
        <v>5</v>
      </c>
      <c r="I730" s="6">
        <v>6</v>
      </c>
      <c r="J730" s="6" t="s">
        <v>253</v>
      </c>
      <c r="K730" s="6">
        <v>5</v>
      </c>
      <c r="L730" t="str">
        <f t="shared" si="33"/>
        <v>OK</v>
      </c>
      <c r="M730" t="str">
        <f t="shared" si="34"/>
        <v>OK</v>
      </c>
      <c r="N730" t="str">
        <f t="shared" si="35"/>
        <v>ERRO</v>
      </c>
    </row>
    <row r="731" spans="1:14" ht="28.8" x14ac:dyDescent="0.3">
      <c r="A731">
        <v>55</v>
      </c>
      <c r="B731">
        <v>2024</v>
      </c>
      <c r="C731" s="2">
        <v>45448</v>
      </c>
      <c r="D731" s="7" t="s">
        <v>30</v>
      </c>
      <c r="E731" s="8" t="s">
        <v>34</v>
      </c>
      <c r="F731" s="8" t="s">
        <v>35</v>
      </c>
      <c r="G731" s="10">
        <v>20</v>
      </c>
      <c r="H731" s="10">
        <v>20</v>
      </c>
      <c r="I731" s="10">
        <v>20</v>
      </c>
      <c r="J731" s="10">
        <v>20</v>
      </c>
      <c r="K731" s="10">
        <v>20</v>
      </c>
      <c r="L731" t="str">
        <f t="shared" si="33"/>
        <v>OK</v>
      </c>
      <c r="M731" t="str">
        <f t="shared" si="34"/>
        <v>OK</v>
      </c>
      <c r="N731" t="str">
        <f t="shared" si="35"/>
        <v>OK</v>
      </c>
    </row>
    <row r="732" spans="1:14" ht="28.8" x14ac:dyDescent="0.3">
      <c r="A732">
        <v>55</v>
      </c>
      <c r="B732">
        <v>2024</v>
      </c>
      <c r="C732" s="2">
        <v>45448</v>
      </c>
      <c r="D732" s="3" t="s">
        <v>30</v>
      </c>
      <c r="E732" s="4" t="s">
        <v>36</v>
      </c>
      <c r="F732" s="4" t="s">
        <v>35</v>
      </c>
      <c r="G732" s="5"/>
      <c r="H732" s="6">
        <v>25</v>
      </c>
      <c r="I732" s="6">
        <v>35</v>
      </c>
      <c r="J732" s="6">
        <v>30</v>
      </c>
      <c r="K732" s="6">
        <v>30</v>
      </c>
      <c r="L732" t="str">
        <f t="shared" si="33"/>
        <v>OK</v>
      </c>
      <c r="M732" t="str">
        <f t="shared" si="34"/>
        <v>OK</v>
      </c>
      <c r="N732" t="str">
        <f t="shared" si="35"/>
        <v>OK</v>
      </c>
    </row>
    <row r="733" spans="1:14" ht="43.2" x14ac:dyDescent="0.3">
      <c r="A733">
        <v>55</v>
      </c>
      <c r="B733">
        <v>2024</v>
      </c>
      <c r="C733" s="2">
        <v>45448</v>
      </c>
      <c r="D733" s="7" t="s">
        <v>38</v>
      </c>
      <c r="E733" s="8" t="s">
        <v>153</v>
      </c>
      <c r="F733" s="8" t="s">
        <v>154</v>
      </c>
      <c r="G733" s="9"/>
      <c r="H733" s="10">
        <v>85</v>
      </c>
      <c r="I733" s="10">
        <v>95</v>
      </c>
      <c r="J733" s="10">
        <v>90</v>
      </c>
      <c r="K733" s="10">
        <v>90</v>
      </c>
      <c r="L733" t="str">
        <f t="shared" si="33"/>
        <v>OK</v>
      </c>
      <c r="M733" t="str">
        <f t="shared" si="34"/>
        <v>OK</v>
      </c>
      <c r="N733" t="str">
        <f t="shared" si="35"/>
        <v>OK</v>
      </c>
    </row>
    <row r="734" spans="1:14" ht="43.2" x14ac:dyDescent="0.3">
      <c r="A734">
        <v>55</v>
      </c>
      <c r="B734">
        <v>2024</v>
      </c>
      <c r="C734" s="2">
        <v>45448</v>
      </c>
      <c r="D734" s="3" t="s">
        <v>38</v>
      </c>
      <c r="E734" s="4" t="s">
        <v>39</v>
      </c>
      <c r="F734" s="4" t="s">
        <v>40</v>
      </c>
      <c r="G734" s="6">
        <v>120</v>
      </c>
      <c r="H734" s="6">
        <v>100</v>
      </c>
      <c r="I734" s="6">
        <v>120</v>
      </c>
      <c r="J734" s="6">
        <v>116</v>
      </c>
      <c r="K734" s="6">
        <v>120</v>
      </c>
      <c r="L734" t="str">
        <f t="shared" si="33"/>
        <v>OK</v>
      </c>
      <c r="M734" t="str">
        <f t="shared" si="34"/>
        <v>OK</v>
      </c>
      <c r="N734" t="str">
        <f t="shared" si="35"/>
        <v>OK</v>
      </c>
    </row>
    <row r="735" spans="1:14" ht="43.2" x14ac:dyDescent="0.3">
      <c r="A735">
        <v>55</v>
      </c>
      <c r="B735">
        <v>2024</v>
      </c>
      <c r="C735" s="2">
        <v>45448</v>
      </c>
      <c r="D735" s="7" t="s">
        <v>38</v>
      </c>
      <c r="E735" s="8" t="s">
        <v>42</v>
      </c>
      <c r="F735" s="8" t="s">
        <v>43</v>
      </c>
      <c r="G735" s="10">
        <v>60</v>
      </c>
      <c r="H735" s="10">
        <v>40</v>
      </c>
      <c r="I735" s="10">
        <v>70</v>
      </c>
      <c r="J735" s="10" t="s">
        <v>41</v>
      </c>
      <c r="K735" s="10">
        <v>60</v>
      </c>
      <c r="L735" t="str">
        <f t="shared" si="33"/>
        <v>OK</v>
      </c>
      <c r="M735" t="str">
        <f t="shared" si="34"/>
        <v>OK</v>
      </c>
      <c r="N735" t="str">
        <f t="shared" si="35"/>
        <v>ERRO</v>
      </c>
    </row>
    <row r="736" spans="1:14" ht="43.2" x14ac:dyDescent="0.3">
      <c r="A736">
        <v>55</v>
      </c>
      <c r="B736">
        <v>2024</v>
      </c>
      <c r="C736" s="2">
        <v>45448</v>
      </c>
      <c r="D736" s="3" t="s">
        <v>38</v>
      </c>
      <c r="E736" s="4" t="s">
        <v>44</v>
      </c>
      <c r="F736" s="4" t="s">
        <v>45</v>
      </c>
      <c r="G736" s="6">
        <v>40</v>
      </c>
      <c r="H736" s="6">
        <v>35</v>
      </c>
      <c r="I736" s="6">
        <v>55</v>
      </c>
      <c r="J736" s="6" t="s">
        <v>47</v>
      </c>
      <c r="K736" s="6">
        <v>40</v>
      </c>
      <c r="L736" t="str">
        <f t="shared" si="33"/>
        <v>OK</v>
      </c>
      <c r="M736" t="str">
        <f t="shared" si="34"/>
        <v>OK</v>
      </c>
      <c r="N736" t="str">
        <f t="shared" si="35"/>
        <v>ERRO</v>
      </c>
    </row>
    <row r="737" spans="1:14" ht="43.2" x14ac:dyDescent="0.3">
      <c r="A737">
        <v>55</v>
      </c>
      <c r="B737">
        <v>2024</v>
      </c>
      <c r="C737" s="2">
        <v>45448</v>
      </c>
      <c r="D737" s="7" t="s">
        <v>38</v>
      </c>
      <c r="E737" s="8" t="s">
        <v>48</v>
      </c>
      <c r="F737" s="8" t="s">
        <v>45</v>
      </c>
      <c r="G737" s="9"/>
      <c r="H737" s="10">
        <v>90</v>
      </c>
      <c r="I737" s="10">
        <v>110</v>
      </c>
      <c r="J737" s="10">
        <v>100</v>
      </c>
      <c r="K737" s="10">
        <v>100</v>
      </c>
      <c r="L737" t="str">
        <f t="shared" si="33"/>
        <v>OK</v>
      </c>
      <c r="M737" t="str">
        <f t="shared" si="34"/>
        <v>OK</v>
      </c>
      <c r="N737" t="str">
        <f t="shared" si="35"/>
        <v>OK</v>
      </c>
    </row>
    <row r="738" spans="1:14" ht="43.2" x14ac:dyDescent="0.3">
      <c r="A738">
        <v>55</v>
      </c>
      <c r="B738">
        <v>2024</v>
      </c>
      <c r="C738" s="2">
        <v>45448</v>
      </c>
      <c r="D738" s="3" t="s">
        <v>38</v>
      </c>
      <c r="E738" s="4" t="s">
        <v>49</v>
      </c>
      <c r="F738" s="4" t="s">
        <v>50</v>
      </c>
      <c r="G738" s="6">
        <v>120</v>
      </c>
      <c r="H738" s="6">
        <v>80</v>
      </c>
      <c r="I738" s="6">
        <v>120</v>
      </c>
      <c r="J738" s="6">
        <v>110</v>
      </c>
      <c r="K738" s="6">
        <v>120</v>
      </c>
      <c r="L738" t="str">
        <f t="shared" si="33"/>
        <v>OK</v>
      </c>
      <c r="M738" t="str">
        <f t="shared" si="34"/>
        <v>OK</v>
      </c>
      <c r="N738" t="str">
        <f t="shared" si="35"/>
        <v>OK</v>
      </c>
    </row>
    <row r="739" spans="1:14" ht="43.2" x14ac:dyDescent="0.3">
      <c r="A739">
        <v>55</v>
      </c>
      <c r="B739">
        <v>2024</v>
      </c>
      <c r="C739" s="2">
        <v>45448</v>
      </c>
      <c r="D739" s="7" t="s">
        <v>38</v>
      </c>
      <c r="E739" s="8" t="s">
        <v>52</v>
      </c>
      <c r="F739" s="8" t="s">
        <v>43</v>
      </c>
      <c r="G739" s="9"/>
      <c r="H739" s="10">
        <v>60</v>
      </c>
      <c r="I739" s="10">
        <v>160</v>
      </c>
      <c r="J739" s="10">
        <v>118</v>
      </c>
      <c r="K739" s="10">
        <v>130</v>
      </c>
      <c r="L739" t="str">
        <f t="shared" si="33"/>
        <v>OK</v>
      </c>
      <c r="M739" t="str">
        <f t="shared" si="34"/>
        <v>OK</v>
      </c>
      <c r="N739" t="str">
        <f t="shared" si="35"/>
        <v>OK</v>
      </c>
    </row>
    <row r="740" spans="1:14" ht="43.2" x14ac:dyDescent="0.3">
      <c r="A740">
        <v>55</v>
      </c>
      <c r="B740">
        <v>2024</v>
      </c>
      <c r="C740" s="2">
        <v>45448</v>
      </c>
      <c r="D740" s="3" t="s">
        <v>38</v>
      </c>
      <c r="E740" s="4" t="s">
        <v>53</v>
      </c>
      <c r="F740" s="4" t="s">
        <v>43</v>
      </c>
      <c r="G740" s="6">
        <v>80</v>
      </c>
      <c r="H740" s="6">
        <v>75</v>
      </c>
      <c r="I740" s="6">
        <v>110</v>
      </c>
      <c r="J740" s="6">
        <v>90</v>
      </c>
      <c r="K740" s="6">
        <v>80</v>
      </c>
      <c r="L740" t="str">
        <f t="shared" si="33"/>
        <v>OK</v>
      </c>
      <c r="M740" t="str">
        <f t="shared" si="34"/>
        <v>OK</v>
      </c>
      <c r="N740" t="str">
        <f t="shared" si="35"/>
        <v>OK</v>
      </c>
    </row>
    <row r="741" spans="1:14" ht="43.2" x14ac:dyDescent="0.3">
      <c r="A741">
        <v>55</v>
      </c>
      <c r="B741">
        <v>2024</v>
      </c>
      <c r="C741" s="2">
        <v>45448</v>
      </c>
      <c r="D741" s="7" t="s">
        <v>38</v>
      </c>
      <c r="E741" s="8" t="s">
        <v>54</v>
      </c>
      <c r="F741" s="8" t="s">
        <v>40</v>
      </c>
      <c r="G741" s="10">
        <v>100</v>
      </c>
      <c r="H741" s="10">
        <v>70</v>
      </c>
      <c r="I741" s="10">
        <v>100</v>
      </c>
      <c r="J741" s="10" t="s">
        <v>239</v>
      </c>
      <c r="K741" s="10">
        <v>90</v>
      </c>
      <c r="L741" t="str">
        <f t="shared" si="33"/>
        <v>OK</v>
      </c>
      <c r="M741" t="str">
        <f t="shared" si="34"/>
        <v>OK</v>
      </c>
      <c r="N741" t="str">
        <f t="shared" si="35"/>
        <v>ERRO</v>
      </c>
    </row>
    <row r="742" spans="1:14" ht="43.2" x14ac:dyDescent="0.3">
      <c r="A742">
        <v>55</v>
      </c>
      <c r="B742">
        <v>2024</v>
      </c>
      <c r="C742" s="2">
        <v>45448</v>
      </c>
      <c r="D742" s="3" t="s">
        <v>38</v>
      </c>
      <c r="E742" s="4" t="s">
        <v>56</v>
      </c>
      <c r="F742" s="4" t="s">
        <v>43</v>
      </c>
      <c r="G742" s="5"/>
      <c r="H742" s="6">
        <v>40</v>
      </c>
      <c r="I742" s="6">
        <v>60</v>
      </c>
      <c r="J742" s="6" t="s">
        <v>254</v>
      </c>
      <c r="K742" s="6" t="s">
        <v>78</v>
      </c>
      <c r="L742" t="str">
        <f t="shared" si="33"/>
        <v>OK</v>
      </c>
      <c r="M742" t="str">
        <f t="shared" si="34"/>
        <v>OK</v>
      </c>
      <c r="N742" t="str">
        <f t="shared" si="35"/>
        <v>ERRO</v>
      </c>
    </row>
    <row r="743" spans="1:14" ht="43.2" x14ac:dyDescent="0.3">
      <c r="A743">
        <v>55</v>
      </c>
      <c r="B743">
        <v>2024</v>
      </c>
      <c r="C743" s="2">
        <v>45448</v>
      </c>
      <c r="D743" s="7" t="s">
        <v>38</v>
      </c>
      <c r="E743" s="8" t="s">
        <v>57</v>
      </c>
      <c r="F743" s="8" t="s">
        <v>40</v>
      </c>
      <c r="G743" s="10">
        <v>70</v>
      </c>
      <c r="H743" s="10">
        <v>65</v>
      </c>
      <c r="I743" s="10">
        <v>70</v>
      </c>
      <c r="J743" s="10" t="s">
        <v>94</v>
      </c>
      <c r="K743" s="10">
        <v>70</v>
      </c>
      <c r="L743" t="str">
        <f t="shared" si="33"/>
        <v>OK</v>
      </c>
      <c r="M743" t="str">
        <f t="shared" si="34"/>
        <v>OK</v>
      </c>
      <c r="N743" t="str">
        <f t="shared" si="35"/>
        <v>ERRO</v>
      </c>
    </row>
    <row r="744" spans="1:14" ht="43.2" x14ac:dyDescent="0.3">
      <c r="A744">
        <v>55</v>
      </c>
      <c r="B744">
        <v>2024</v>
      </c>
      <c r="C744" s="2">
        <v>45448</v>
      </c>
      <c r="D744" s="3" t="s">
        <v>38</v>
      </c>
      <c r="E744" s="4" t="s">
        <v>58</v>
      </c>
      <c r="F744" s="4" t="s">
        <v>40</v>
      </c>
      <c r="G744" s="6">
        <v>120</v>
      </c>
      <c r="H744" s="6">
        <v>100</v>
      </c>
      <c r="I744" s="6">
        <v>125</v>
      </c>
      <c r="J744" s="6" t="s">
        <v>255</v>
      </c>
      <c r="K744" s="6">
        <v>120</v>
      </c>
      <c r="L744" t="str">
        <f t="shared" si="33"/>
        <v>OK</v>
      </c>
      <c r="M744" t="str">
        <f t="shared" si="34"/>
        <v>OK</v>
      </c>
      <c r="N744" t="str">
        <f t="shared" si="35"/>
        <v>ERRO</v>
      </c>
    </row>
    <row r="745" spans="1:14" ht="43.2" x14ac:dyDescent="0.3">
      <c r="A745">
        <v>55</v>
      </c>
      <c r="B745">
        <v>2024</v>
      </c>
      <c r="C745" s="2">
        <v>45448</v>
      </c>
      <c r="D745" s="7" t="s">
        <v>38</v>
      </c>
      <c r="E745" s="8" t="s">
        <v>59</v>
      </c>
      <c r="F745" s="8" t="s">
        <v>45</v>
      </c>
      <c r="G745" s="10">
        <v>50</v>
      </c>
      <c r="H745" s="10">
        <v>40</v>
      </c>
      <c r="I745" s="10">
        <v>80</v>
      </c>
      <c r="J745" s="10" t="s">
        <v>242</v>
      </c>
      <c r="K745" s="10">
        <v>50</v>
      </c>
      <c r="L745" t="str">
        <f t="shared" si="33"/>
        <v>OK</v>
      </c>
      <c r="M745" t="str">
        <f t="shared" si="34"/>
        <v>OK</v>
      </c>
      <c r="N745" t="str">
        <f t="shared" si="35"/>
        <v>ERRO</v>
      </c>
    </row>
    <row r="746" spans="1:14" ht="43.2" x14ac:dyDescent="0.3">
      <c r="A746">
        <v>55</v>
      </c>
      <c r="B746">
        <v>2024</v>
      </c>
      <c r="C746" s="2">
        <v>45448</v>
      </c>
      <c r="D746" s="3" t="s">
        <v>38</v>
      </c>
      <c r="E746" s="4" t="s">
        <v>60</v>
      </c>
      <c r="F746" s="4" t="s">
        <v>61</v>
      </c>
      <c r="G746" s="5"/>
      <c r="H746" s="6">
        <v>120</v>
      </c>
      <c r="I746" s="6">
        <v>200</v>
      </c>
      <c r="J746" s="6">
        <v>160</v>
      </c>
      <c r="K746" s="6">
        <v>160</v>
      </c>
      <c r="L746" t="str">
        <f t="shared" si="33"/>
        <v>OK</v>
      </c>
      <c r="M746" t="str">
        <f t="shared" si="34"/>
        <v>OK</v>
      </c>
      <c r="N746" t="str">
        <f t="shared" si="35"/>
        <v>OK</v>
      </c>
    </row>
    <row r="747" spans="1:14" ht="43.2" x14ac:dyDescent="0.3">
      <c r="A747">
        <v>55</v>
      </c>
      <c r="B747">
        <v>2024</v>
      </c>
      <c r="C747" s="2">
        <v>45448</v>
      </c>
      <c r="D747" s="7" t="s">
        <v>38</v>
      </c>
      <c r="E747" s="8" t="s">
        <v>63</v>
      </c>
      <c r="F747" s="8" t="s">
        <v>40</v>
      </c>
      <c r="G747" s="10">
        <v>130</v>
      </c>
      <c r="H747" s="10">
        <v>100</v>
      </c>
      <c r="I747" s="10">
        <v>170</v>
      </c>
      <c r="J747" s="10">
        <v>140</v>
      </c>
      <c r="K747" s="10">
        <v>140</v>
      </c>
      <c r="L747" t="str">
        <f t="shared" si="33"/>
        <v>OK</v>
      </c>
      <c r="M747" t="str">
        <f t="shared" si="34"/>
        <v>OK</v>
      </c>
      <c r="N747" t="str">
        <f t="shared" si="35"/>
        <v>OK</v>
      </c>
    </row>
    <row r="748" spans="1:14" ht="43.2" x14ac:dyDescent="0.3">
      <c r="A748">
        <v>55</v>
      </c>
      <c r="B748">
        <v>2024</v>
      </c>
      <c r="C748" s="2">
        <v>45448</v>
      </c>
      <c r="D748" s="3" t="s">
        <v>38</v>
      </c>
      <c r="E748" s="4" t="s">
        <v>64</v>
      </c>
      <c r="F748" s="4" t="s">
        <v>40</v>
      </c>
      <c r="G748" s="5"/>
      <c r="H748" s="6">
        <v>120</v>
      </c>
      <c r="I748" s="6">
        <v>235</v>
      </c>
      <c r="J748" s="6" t="s">
        <v>256</v>
      </c>
      <c r="K748" s="6">
        <v>210</v>
      </c>
      <c r="L748" t="str">
        <f t="shared" si="33"/>
        <v>OK</v>
      </c>
      <c r="M748" t="str">
        <f t="shared" si="34"/>
        <v>OK</v>
      </c>
      <c r="N748" t="str">
        <f t="shared" si="35"/>
        <v>ERRO</v>
      </c>
    </row>
    <row r="749" spans="1:14" x14ac:dyDescent="0.3">
      <c r="A749">
        <v>55</v>
      </c>
      <c r="B749">
        <v>2024</v>
      </c>
      <c r="C749" s="2">
        <v>45448</v>
      </c>
      <c r="D749" s="7" t="s">
        <v>65</v>
      </c>
      <c r="E749" s="8" t="s">
        <v>66</v>
      </c>
      <c r="F749" s="8" t="s">
        <v>45</v>
      </c>
      <c r="G749" s="9"/>
      <c r="H749" s="9"/>
      <c r="I749" s="9"/>
      <c r="J749" s="9"/>
      <c r="K749" s="9"/>
      <c r="L749" t="str">
        <f t="shared" si="33"/>
        <v>OK</v>
      </c>
      <c r="M749" t="str">
        <f t="shared" si="34"/>
        <v>OK</v>
      </c>
      <c r="N749" t="str">
        <f t="shared" si="35"/>
        <v>OK</v>
      </c>
    </row>
    <row r="750" spans="1:14" x14ac:dyDescent="0.3">
      <c r="A750">
        <v>55</v>
      </c>
      <c r="B750">
        <v>2024</v>
      </c>
      <c r="C750" s="2">
        <v>45448</v>
      </c>
      <c r="D750" s="3" t="s">
        <v>65</v>
      </c>
      <c r="E750" s="4" t="s">
        <v>67</v>
      </c>
      <c r="F750" s="4" t="s">
        <v>45</v>
      </c>
      <c r="G750" s="5"/>
      <c r="H750" s="5"/>
      <c r="I750" s="5"/>
      <c r="J750" s="5"/>
      <c r="K750" s="5"/>
      <c r="L750" t="str">
        <f t="shared" si="33"/>
        <v>OK</v>
      </c>
      <c r="M750" t="str">
        <f t="shared" si="34"/>
        <v>OK</v>
      </c>
      <c r="N750" t="str">
        <f t="shared" si="35"/>
        <v>OK</v>
      </c>
    </row>
    <row r="751" spans="1:14" x14ac:dyDescent="0.3">
      <c r="A751">
        <v>55</v>
      </c>
      <c r="B751">
        <v>2024</v>
      </c>
      <c r="C751" s="2">
        <v>45448</v>
      </c>
      <c r="D751" s="7" t="s">
        <v>65</v>
      </c>
      <c r="E751" s="8" t="s">
        <v>68</v>
      </c>
      <c r="F751" s="8" t="s">
        <v>45</v>
      </c>
      <c r="G751" s="9"/>
      <c r="H751" s="9"/>
      <c r="I751" s="9"/>
      <c r="J751" s="9"/>
      <c r="K751" s="9"/>
      <c r="L751" t="str">
        <f t="shared" si="33"/>
        <v>OK</v>
      </c>
      <c r="M751" t="str">
        <f t="shared" si="34"/>
        <v>OK</v>
      </c>
      <c r="N751" t="str">
        <f t="shared" si="35"/>
        <v>OK</v>
      </c>
    </row>
    <row r="752" spans="1:14" x14ac:dyDescent="0.3">
      <c r="A752">
        <v>55</v>
      </c>
      <c r="B752">
        <v>2024</v>
      </c>
      <c r="C752" s="2">
        <v>45448</v>
      </c>
      <c r="D752" s="3" t="s">
        <v>65</v>
      </c>
      <c r="E752" s="4" t="s">
        <v>69</v>
      </c>
      <c r="F752" s="4" t="s">
        <v>45</v>
      </c>
      <c r="G752" s="5"/>
      <c r="H752" s="6">
        <v>50</v>
      </c>
      <c r="I752" s="6">
        <v>50</v>
      </c>
      <c r="J752" s="6">
        <v>50</v>
      </c>
      <c r="K752" s="6">
        <v>50</v>
      </c>
      <c r="L752" t="str">
        <f t="shared" si="33"/>
        <v>OK</v>
      </c>
      <c r="M752" t="str">
        <f t="shared" si="34"/>
        <v>OK</v>
      </c>
      <c r="N752" t="str">
        <f t="shared" si="35"/>
        <v>OK</v>
      </c>
    </row>
    <row r="753" spans="1:14" x14ac:dyDescent="0.3">
      <c r="A753">
        <v>55</v>
      </c>
      <c r="B753">
        <v>2024</v>
      </c>
      <c r="C753" s="2">
        <v>45448</v>
      </c>
      <c r="D753" s="7" t="s">
        <v>65</v>
      </c>
      <c r="E753" s="8" t="s">
        <v>70</v>
      </c>
      <c r="F753" s="8" t="s">
        <v>71</v>
      </c>
      <c r="G753" s="10">
        <v>60</v>
      </c>
      <c r="H753" s="10">
        <v>60</v>
      </c>
      <c r="I753" s="10">
        <v>60</v>
      </c>
      <c r="J753" s="10">
        <v>60</v>
      </c>
      <c r="K753" s="10">
        <v>60</v>
      </c>
      <c r="L753" t="str">
        <f t="shared" si="33"/>
        <v>OK</v>
      </c>
      <c r="M753" t="str">
        <f t="shared" si="34"/>
        <v>OK</v>
      </c>
      <c r="N753" t="str">
        <f t="shared" si="35"/>
        <v>OK</v>
      </c>
    </row>
    <row r="754" spans="1:14" ht="28.8" x14ac:dyDescent="0.3">
      <c r="A754">
        <v>56</v>
      </c>
      <c r="B754">
        <v>2024</v>
      </c>
      <c r="C754" s="2">
        <v>45455</v>
      </c>
      <c r="D754" s="3" t="s">
        <v>11</v>
      </c>
      <c r="E754" s="4" t="s">
        <v>12</v>
      </c>
      <c r="F754" s="4" t="s">
        <v>13</v>
      </c>
      <c r="G754" s="5"/>
      <c r="H754" s="5"/>
      <c r="I754" s="5"/>
      <c r="J754" s="5"/>
      <c r="K754" s="5"/>
      <c r="L754" t="str">
        <f t="shared" si="33"/>
        <v>OK</v>
      </c>
      <c r="M754" t="str">
        <f t="shared" si="34"/>
        <v>OK</v>
      </c>
      <c r="N754" t="str">
        <f t="shared" si="35"/>
        <v>OK</v>
      </c>
    </row>
    <row r="755" spans="1:14" ht="28.8" x14ac:dyDescent="0.3">
      <c r="A755">
        <v>56</v>
      </c>
      <c r="B755">
        <v>2024</v>
      </c>
      <c r="C755" s="2">
        <v>45455</v>
      </c>
      <c r="D755" s="7" t="s">
        <v>11</v>
      </c>
      <c r="E755" s="8" t="s">
        <v>14</v>
      </c>
      <c r="F755" s="8" t="s">
        <v>13</v>
      </c>
      <c r="G755" s="9"/>
      <c r="H755" s="10">
        <v>60</v>
      </c>
      <c r="I755" s="10">
        <v>72</v>
      </c>
      <c r="J755" s="10">
        <v>66</v>
      </c>
      <c r="K755" s="10">
        <v>66</v>
      </c>
      <c r="L755" t="str">
        <f t="shared" si="33"/>
        <v>OK</v>
      </c>
      <c r="M755" t="str">
        <f t="shared" si="34"/>
        <v>OK</v>
      </c>
      <c r="N755" t="str">
        <f t="shared" si="35"/>
        <v>OK</v>
      </c>
    </row>
    <row r="756" spans="1:14" ht="28.8" x14ac:dyDescent="0.3">
      <c r="A756">
        <v>56</v>
      </c>
      <c r="B756">
        <v>2024</v>
      </c>
      <c r="C756" s="2">
        <v>45455</v>
      </c>
      <c r="D756" s="3" t="s">
        <v>11</v>
      </c>
      <c r="E756" s="4" t="s">
        <v>15</v>
      </c>
      <c r="F756" s="4" t="s">
        <v>13</v>
      </c>
      <c r="G756" s="5"/>
      <c r="H756" s="6">
        <v>72</v>
      </c>
      <c r="I756" s="6">
        <v>84</v>
      </c>
      <c r="J756" s="6">
        <v>78</v>
      </c>
      <c r="K756" s="6">
        <v>78</v>
      </c>
      <c r="L756" t="str">
        <f t="shared" si="33"/>
        <v>OK</v>
      </c>
      <c r="M756" t="str">
        <f t="shared" si="34"/>
        <v>OK</v>
      </c>
      <c r="N756" t="str">
        <f t="shared" si="35"/>
        <v>OK</v>
      </c>
    </row>
    <row r="757" spans="1:14" ht="28.8" x14ac:dyDescent="0.3">
      <c r="A757">
        <v>56</v>
      </c>
      <c r="B757">
        <v>2024</v>
      </c>
      <c r="C757" s="2">
        <v>45455</v>
      </c>
      <c r="D757" s="7" t="s">
        <v>11</v>
      </c>
      <c r="E757" s="8" t="s">
        <v>16</v>
      </c>
      <c r="F757" s="8" t="s">
        <v>13</v>
      </c>
      <c r="G757" s="9"/>
      <c r="H757" s="10">
        <v>42</v>
      </c>
      <c r="I757" s="10">
        <v>54</v>
      </c>
      <c r="J757" s="10">
        <v>48</v>
      </c>
      <c r="K757" s="10">
        <v>48</v>
      </c>
      <c r="L757" t="str">
        <f t="shared" si="33"/>
        <v>OK</v>
      </c>
      <c r="M757" t="str">
        <f t="shared" si="34"/>
        <v>OK</v>
      </c>
      <c r="N757" t="str">
        <f t="shared" si="35"/>
        <v>OK</v>
      </c>
    </row>
    <row r="758" spans="1:14" ht="28.8" x14ac:dyDescent="0.3">
      <c r="A758">
        <v>56</v>
      </c>
      <c r="B758">
        <v>2024</v>
      </c>
      <c r="C758" s="2">
        <v>45455</v>
      </c>
      <c r="D758" s="3" t="s">
        <v>11</v>
      </c>
      <c r="E758" s="4" t="s">
        <v>17</v>
      </c>
      <c r="F758" s="4" t="s">
        <v>13</v>
      </c>
      <c r="G758" s="6">
        <v>30</v>
      </c>
      <c r="H758" s="6">
        <v>30</v>
      </c>
      <c r="I758" s="6">
        <v>30</v>
      </c>
      <c r="J758" s="6">
        <v>30</v>
      </c>
      <c r="K758" s="6">
        <v>30</v>
      </c>
      <c r="L758" t="str">
        <f t="shared" si="33"/>
        <v>OK</v>
      </c>
      <c r="M758" t="str">
        <f t="shared" si="34"/>
        <v>OK</v>
      </c>
      <c r="N758" t="str">
        <f t="shared" si="35"/>
        <v>OK</v>
      </c>
    </row>
    <row r="759" spans="1:14" ht="28.8" x14ac:dyDescent="0.3">
      <c r="A759">
        <v>56</v>
      </c>
      <c r="B759">
        <v>2024</v>
      </c>
      <c r="C759" s="2">
        <v>45455</v>
      </c>
      <c r="D759" s="7" t="s">
        <v>11</v>
      </c>
      <c r="E759" s="8" t="s">
        <v>18</v>
      </c>
      <c r="F759" s="8" t="s">
        <v>13</v>
      </c>
      <c r="G759" s="10">
        <v>30</v>
      </c>
      <c r="H759" s="10">
        <v>30</v>
      </c>
      <c r="I759" s="10">
        <v>30</v>
      </c>
      <c r="J759" s="10">
        <v>30</v>
      </c>
      <c r="K759" s="10">
        <v>30</v>
      </c>
      <c r="L759" t="str">
        <f t="shared" si="33"/>
        <v>OK</v>
      </c>
      <c r="M759" t="str">
        <f t="shared" si="34"/>
        <v>OK</v>
      </c>
      <c r="N759" t="str">
        <f t="shared" si="35"/>
        <v>OK</v>
      </c>
    </row>
    <row r="760" spans="1:14" ht="28.8" x14ac:dyDescent="0.3">
      <c r="A760">
        <v>56</v>
      </c>
      <c r="B760">
        <v>2024</v>
      </c>
      <c r="C760" s="2">
        <v>45455</v>
      </c>
      <c r="D760" s="3" t="s">
        <v>11</v>
      </c>
      <c r="E760" s="4" t="s">
        <v>19</v>
      </c>
      <c r="F760" s="4" t="s">
        <v>13</v>
      </c>
      <c r="G760" s="6">
        <v>60</v>
      </c>
      <c r="H760" s="6">
        <v>60</v>
      </c>
      <c r="I760" s="6">
        <v>60</v>
      </c>
      <c r="J760" s="6">
        <v>60</v>
      </c>
      <c r="K760" s="6">
        <v>60</v>
      </c>
      <c r="L760" t="str">
        <f t="shared" si="33"/>
        <v>OK</v>
      </c>
      <c r="M760" t="str">
        <f t="shared" si="34"/>
        <v>OK</v>
      </c>
      <c r="N760" t="str">
        <f t="shared" si="35"/>
        <v>OK</v>
      </c>
    </row>
    <row r="761" spans="1:14" ht="28.8" x14ac:dyDescent="0.3">
      <c r="A761">
        <v>56</v>
      </c>
      <c r="B761">
        <v>2024</v>
      </c>
      <c r="C761" s="2">
        <v>45455</v>
      </c>
      <c r="D761" s="7" t="s">
        <v>11</v>
      </c>
      <c r="E761" s="8" t="s">
        <v>20</v>
      </c>
      <c r="F761" s="8" t="s">
        <v>13</v>
      </c>
      <c r="G761" s="10">
        <v>96</v>
      </c>
      <c r="H761" s="10">
        <v>96</v>
      </c>
      <c r="I761" s="10">
        <v>96</v>
      </c>
      <c r="J761" s="10">
        <v>96</v>
      </c>
      <c r="K761" s="10">
        <v>96</v>
      </c>
      <c r="L761" t="str">
        <f t="shared" si="33"/>
        <v>OK</v>
      </c>
      <c r="M761" t="str">
        <f t="shared" si="34"/>
        <v>OK</v>
      </c>
      <c r="N761" t="str">
        <f t="shared" si="35"/>
        <v>OK</v>
      </c>
    </row>
    <row r="762" spans="1:14" ht="28.8" x14ac:dyDescent="0.3">
      <c r="A762">
        <v>56</v>
      </c>
      <c r="B762">
        <v>2024</v>
      </c>
      <c r="C762" s="2">
        <v>45455</v>
      </c>
      <c r="D762" s="3" t="s">
        <v>11</v>
      </c>
      <c r="E762" s="4" t="s">
        <v>21</v>
      </c>
      <c r="F762" s="4" t="s">
        <v>13</v>
      </c>
      <c r="G762" s="5"/>
      <c r="H762" s="6">
        <v>80</v>
      </c>
      <c r="I762" s="6">
        <v>84</v>
      </c>
      <c r="J762" s="6">
        <v>82</v>
      </c>
      <c r="K762" s="6">
        <v>82</v>
      </c>
      <c r="L762" t="str">
        <f t="shared" si="33"/>
        <v>OK</v>
      </c>
      <c r="M762" t="str">
        <f t="shared" si="34"/>
        <v>OK</v>
      </c>
      <c r="N762" t="str">
        <f t="shared" si="35"/>
        <v>OK</v>
      </c>
    </row>
    <row r="763" spans="1:14" ht="28.8" x14ac:dyDescent="0.3">
      <c r="A763">
        <v>56</v>
      </c>
      <c r="B763">
        <v>2024</v>
      </c>
      <c r="C763" s="2">
        <v>45455</v>
      </c>
      <c r="D763" s="7" t="s">
        <v>11</v>
      </c>
      <c r="E763" s="8" t="s">
        <v>73</v>
      </c>
      <c r="F763" s="8" t="s">
        <v>13</v>
      </c>
      <c r="G763" s="9"/>
      <c r="H763" s="10">
        <v>25</v>
      </c>
      <c r="I763" s="10">
        <v>30</v>
      </c>
      <c r="J763" s="10" t="s">
        <v>257</v>
      </c>
      <c r="K763" s="10" t="s">
        <v>257</v>
      </c>
      <c r="L763" t="str">
        <f t="shared" si="33"/>
        <v>OK</v>
      </c>
      <c r="M763" t="str">
        <f t="shared" si="34"/>
        <v>OK</v>
      </c>
      <c r="N763" t="str">
        <f t="shared" si="35"/>
        <v>ERRO</v>
      </c>
    </row>
    <row r="764" spans="1:14" ht="28.8" x14ac:dyDescent="0.3">
      <c r="A764">
        <v>56</v>
      </c>
      <c r="B764">
        <v>2024</v>
      </c>
      <c r="C764" s="2">
        <v>45455</v>
      </c>
      <c r="D764" s="3" t="s">
        <v>11</v>
      </c>
      <c r="E764" s="4" t="s">
        <v>23</v>
      </c>
      <c r="F764" s="4" t="s">
        <v>13</v>
      </c>
      <c r="G764" s="5"/>
      <c r="H764" s="6">
        <v>100</v>
      </c>
      <c r="I764" s="6">
        <v>108</v>
      </c>
      <c r="J764" s="6">
        <v>104</v>
      </c>
      <c r="K764" s="6">
        <v>104</v>
      </c>
      <c r="L764" t="str">
        <f t="shared" si="33"/>
        <v>OK</v>
      </c>
      <c r="M764" t="str">
        <f t="shared" si="34"/>
        <v>OK</v>
      </c>
      <c r="N764" t="str">
        <f t="shared" si="35"/>
        <v>OK</v>
      </c>
    </row>
    <row r="765" spans="1:14" ht="28.8" x14ac:dyDescent="0.3">
      <c r="A765">
        <v>56</v>
      </c>
      <c r="B765">
        <v>2024</v>
      </c>
      <c r="C765" s="2">
        <v>45455</v>
      </c>
      <c r="D765" s="7" t="s">
        <v>11</v>
      </c>
      <c r="E765" s="8" t="s">
        <v>24</v>
      </c>
      <c r="F765" s="8" t="s">
        <v>13</v>
      </c>
      <c r="G765" s="10">
        <v>30</v>
      </c>
      <c r="H765" s="10">
        <v>30</v>
      </c>
      <c r="I765" s="10">
        <v>30</v>
      </c>
      <c r="J765" s="10">
        <v>30</v>
      </c>
      <c r="K765" s="10">
        <v>30</v>
      </c>
      <c r="L765" t="str">
        <f t="shared" si="33"/>
        <v>OK</v>
      </c>
      <c r="M765" t="str">
        <f t="shared" si="34"/>
        <v>OK</v>
      </c>
      <c r="N765" t="str">
        <f t="shared" si="35"/>
        <v>OK</v>
      </c>
    </row>
    <row r="766" spans="1:14" ht="28.8" x14ac:dyDescent="0.3">
      <c r="A766">
        <v>56</v>
      </c>
      <c r="B766">
        <v>2024</v>
      </c>
      <c r="C766" s="2">
        <v>45455</v>
      </c>
      <c r="D766" s="3" t="s">
        <v>11</v>
      </c>
      <c r="E766" s="4" t="s">
        <v>25</v>
      </c>
      <c r="F766" s="4" t="s">
        <v>26</v>
      </c>
      <c r="G766" s="6">
        <v>72</v>
      </c>
      <c r="H766" s="6">
        <v>72</v>
      </c>
      <c r="I766" s="6">
        <v>72</v>
      </c>
      <c r="J766" s="6">
        <v>72</v>
      </c>
      <c r="K766" s="6">
        <v>72</v>
      </c>
      <c r="L766" t="str">
        <f t="shared" si="33"/>
        <v>OK</v>
      </c>
      <c r="M766" t="str">
        <f t="shared" si="34"/>
        <v>OK</v>
      </c>
      <c r="N766" t="str">
        <f t="shared" si="35"/>
        <v>OK</v>
      </c>
    </row>
    <row r="767" spans="1:14" ht="28.8" x14ac:dyDescent="0.3">
      <c r="A767">
        <v>56</v>
      </c>
      <c r="B767">
        <v>2024</v>
      </c>
      <c r="C767" s="2">
        <v>45455</v>
      </c>
      <c r="D767" s="7" t="s">
        <v>11</v>
      </c>
      <c r="E767" s="8" t="s">
        <v>27</v>
      </c>
      <c r="F767" s="8" t="s">
        <v>13</v>
      </c>
      <c r="G767" s="9"/>
      <c r="H767" s="10">
        <v>60</v>
      </c>
      <c r="I767" s="10">
        <v>72</v>
      </c>
      <c r="J767" s="10">
        <v>66</v>
      </c>
      <c r="K767" s="10">
        <v>66</v>
      </c>
      <c r="L767" t="str">
        <f t="shared" si="33"/>
        <v>OK</v>
      </c>
      <c r="M767" t="str">
        <f t="shared" si="34"/>
        <v>OK</v>
      </c>
      <c r="N767" t="str">
        <f t="shared" si="35"/>
        <v>OK</v>
      </c>
    </row>
    <row r="768" spans="1:14" ht="28.8" x14ac:dyDescent="0.3">
      <c r="A768">
        <v>56</v>
      </c>
      <c r="B768">
        <v>2024</v>
      </c>
      <c r="C768" s="2">
        <v>45455</v>
      </c>
      <c r="D768" s="3" t="s">
        <v>11</v>
      </c>
      <c r="E768" s="4" t="s">
        <v>28</v>
      </c>
      <c r="F768" s="4" t="s">
        <v>13</v>
      </c>
      <c r="G768" s="6">
        <v>96</v>
      </c>
      <c r="H768" s="6">
        <v>60</v>
      </c>
      <c r="I768" s="6">
        <v>96</v>
      </c>
      <c r="J768" s="6">
        <v>84</v>
      </c>
      <c r="K768" s="6">
        <v>96</v>
      </c>
      <c r="L768" t="str">
        <f t="shared" si="33"/>
        <v>OK</v>
      </c>
      <c r="M768" t="str">
        <f t="shared" si="34"/>
        <v>OK</v>
      </c>
      <c r="N768" t="str">
        <f t="shared" si="35"/>
        <v>OK</v>
      </c>
    </row>
    <row r="769" spans="1:14" ht="28.8" x14ac:dyDescent="0.3">
      <c r="A769">
        <v>56</v>
      </c>
      <c r="B769">
        <v>2024</v>
      </c>
      <c r="C769" s="2">
        <v>45455</v>
      </c>
      <c r="D769" s="7" t="s">
        <v>11</v>
      </c>
      <c r="E769" s="8" t="s">
        <v>29</v>
      </c>
      <c r="F769" s="8" t="s">
        <v>13</v>
      </c>
      <c r="G769" s="9"/>
      <c r="H769" s="10">
        <v>50</v>
      </c>
      <c r="I769" s="10">
        <v>65</v>
      </c>
      <c r="J769" s="10" t="s">
        <v>258</v>
      </c>
      <c r="K769" s="10">
        <v>60</v>
      </c>
      <c r="L769" t="str">
        <f t="shared" si="33"/>
        <v>OK</v>
      </c>
      <c r="M769" t="str">
        <f t="shared" si="34"/>
        <v>OK</v>
      </c>
      <c r="N769" t="str">
        <f t="shared" si="35"/>
        <v>ERRO</v>
      </c>
    </row>
    <row r="770" spans="1:14" ht="28.8" x14ac:dyDescent="0.3">
      <c r="A770">
        <v>56</v>
      </c>
      <c r="B770">
        <v>2024</v>
      </c>
      <c r="C770" s="2">
        <v>45455</v>
      </c>
      <c r="D770" s="3" t="s">
        <v>30</v>
      </c>
      <c r="E770" s="4" t="s">
        <v>31</v>
      </c>
      <c r="F770" s="4" t="s">
        <v>32</v>
      </c>
      <c r="G770" s="6">
        <v>5</v>
      </c>
      <c r="H770" s="6">
        <v>5</v>
      </c>
      <c r="I770" s="6">
        <v>5</v>
      </c>
      <c r="J770" s="6">
        <v>5</v>
      </c>
      <c r="K770" s="6">
        <v>5</v>
      </c>
      <c r="L770" t="str">
        <f t="shared" si="33"/>
        <v>OK</v>
      </c>
      <c r="M770" t="str">
        <f t="shared" si="34"/>
        <v>OK</v>
      </c>
      <c r="N770" t="str">
        <f t="shared" si="35"/>
        <v>OK</v>
      </c>
    </row>
    <row r="771" spans="1:14" ht="28.8" x14ac:dyDescent="0.3">
      <c r="A771">
        <v>56</v>
      </c>
      <c r="B771">
        <v>2024</v>
      </c>
      <c r="C771" s="2">
        <v>45455</v>
      </c>
      <c r="D771" s="7" t="s">
        <v>30</v>
      </c>
      <c r="E771" s="8" t="s">
        <v>34</v>
      </c>
      <c r="F771" s="8" t="s">
        <v>35</v>
      </c>
      <c r="G771" s="10">
        <v>25</v>
      </c>
      <c r="H771" s="10">
        <v>25</v>
      </c>
      <c r="I771" s="10">
        <v>25</v>
      </c>
      <c r="J771" s="10">
        <v>25</v>
      </c>
      <c r="K771" s="10">
        <v>25</v>
      </c>
      <c r="L771" t="str">
        <f t="shared" ref="L771:L834" si="36">IF(H771&gt;I771,"ERRO","OK")</f>
        <v>OK</v>
      </c>
      <c r="M771" t="str">
        <f t="shared" ref="M771:M834" si="37">IF(H771&gt;J771,"ERRO","OK")</f>
        <v>OK</v>
      </c>
      <c r="N771" t="str">
        <f t="shared" ref="N771:N834" si="38">IF(I771&lt;J771,"ERRO","OK")</f>
        <v>OK</v>
      </c>
    </row>
    <row r="772" spans="1:14" ht="28.8" x14ac:dyDescent="0.3">
      <c r="A772">
        <v>56</v>
      </c>
      <c r="B772">
        <v>2024</v>
      </c>
      <c r="C772" s="2">
        <v>45455</v>
      </c>
      <c r="D772" s="3" t="s">
        <v>30</v>
      </c>
      <c r="E772" s="4" t="s">
        <v>36</v>
      </c>
      <c r="F772" s="4" t="s">
        <v>35</v>
      </c>
      <c r="G772" s="6">
        <v>30</v>
      </c>
      <c r="H772" s="6">
        <v>30</v>
      </c>
      <c r="I772" s="6">
        <v>30</v>
      </c>
      <c r="J772" s="6">
        <v>30</v>
      </c>
      <c r="K772" s="6">
        <v>30</v>
      </c>
      <c r="L772" t="str">
        <f t="shared" si="36"/>
        <v>OK</v>
      </c>
      <c r="M772" t="str">
        <f t="shared" si="37"/>
        <v>OK</v>
      </c>
      <c r="N772" t="str">
        <f t="shared" si="38"/>
        <v>OK</v>
      </c>
    </row>
    <row r="773" spans="1:14" ht="43.2" x14ac:dyDescent="0.3">
      <c r="A773">
        <v>56</v>
      </c>
      <c r="B773">
        <v>2024</v>
      </c>
      <c r="C773" s="2">
        <v>45455</v>
      </c>
      <c r="D773" s="7" t="s">
        <v>38</v>
      </c>
      <c r="E773" s="8" t="s">
        <v>153</v>
      </c>
      <c r="F773" s="8" t="s">
        <v>154</v>
      </c>
      <c r="G773" s="9"/>
      <c r="H773" s="10">
        <v>90</v>
      </c>
      <c r="I773" s="10">
        <v>110</v>
      </c>
      <c r="J773" s="10" t="s">
        <v>259</v>
      </c>
      <c r="K773" s="10">
        <v>95</v>
      </c>
      <c r="L773" t="str">
        <f t="shared" si="36"/>
        <v>OK</v>
      </c>
      <c r="M773" t="str">
        <f t="shared" si="37"/>
        <v>OK</v>
      </c>
      <c r="N773" t="str">
        <f t="shared" si="38"/>
        <v>ERRO</v>
      </c>
    </row>
    <row r="774" spans="1:14" ht="43.2" x14ac:dyDescent="0.3">
      <c r="A774">
        <v>56</v>
      </c>
      <c r="B774">
        <v>2024</v>
      </c>
      <c r="C774" s="2">
        <v>45455</v>
      </c>
      <c r="D774" s="3" t="s">
        <v>38</v>
      </c>
      <c r="E774" s="4" t="s">
        <v>39</v>
      </c>
      <c r="F774" s="4" t="s">
        <v>40</v>
      </c>
      <c r="G774" s="6">
        <v>90</v>
      </c>
      <c r="H774" s="6">
        <v>80</v>
      </c>
      <c r="I774" s="6">
        <v>100</v>
      </c>
      <c r="J774" s="6">
        <v>92</v>
      </c>
      <c r="K774" s="6">
        <v>90</v>
      </c>
      <c r="L774" t="str">
        <f t="shared" si="36"/>
        <v>OK</v>
      </c>
      <c r="M774" t="str">
        <f t="shared" si="37"/>
        <v>OK</v>
      </c>
      <c r="N774" t="str">
        <f t="shared" si="38"/>
        <v>OK</v>
      </c>
    </row>
    <row r="775" spans="1:14" ht="43.2" x14ac:dyDescent="0.3">
      <c r="A775">
        <v>56</v>
      </c>
      <c r="B775">
        <v>2024</v>
      </c>
      <c r="C775" s="2">
        <v>45455</v>
      </c>
      <c r="D775" s="7" t="s">
        <v>38</v>
      </c>
      <c r="E775" s="8" t="s">
        <v>42</v>
      </c>
      <c r="F775" s="8" t="s">
        <v>43</v>
      </c>
      <c r="G775" s="10">
        <v>65</v>
      </c>
      <c r="H775" s="10">
        <v>48</v>
      </c>
      <c r="I775" s="10">
        <v>70</v>
      </c>
      <c r="J775" s="10">
        <v>63</v>
      </c>
      <c r="K775" s="10">
        <v>65</v>
      </c>
      <c r="L775" t="str">
        <f t="shared" si="36"/>
        <v>OK</v>
      </c>
      <c r="M775" t="str">
        <f t="shared" si="37"/>
        <v>OK</v>
      </c>
      <c r="N775" t="str">
        <f t="shared" si="38"/>
        <v>OK</v>
      </c>
    </row>
    <row r="776" spans="1:14" ht="43.2" x14ac:dyDescent="0.3">
      <c r="A776">
        <v>56</v>
      </c>
      <c r="B776">
        <v>2024</v>
      </c>
      <c r="C776" s="2">
        <v>45455</v>
      </c>
      <c r="D776" s="3" t="s">
        <v>38</v>
      </c>
      <c r="E776" s="4" t="s">
        <v>44</v>
      </c>
      <c r="F776" s="4" t="s">
        <v>45</v>
      </c>
      <c r="G776" s="6">
        <v>40</v>
      </c>
      <c r="H776" s="6">
        <v>35</v>
      </c>
      <c r="I776" s="6">
        <v>60</v>
      </c>
      <c r="J776" s="6">
        <v>45</v>
      </c>
      <c r="K776" s="6" t="s">
        <v>47</v>
      </c>
      <c r="L776" t="str">
        <f t="shared" si="36"/>
        <v>OK</v>
      </c>
      <c r="M776" t="str">
        <f t="shared" si="37"/>
        <v>OK</v>
      </c>
      <c r="N776" t="str">
        <f t="shared" si="38"/>
        <v>OK</v>
      </c>
    </row>
    <row r="777" spans="1:14" ht="43.2" x14ac:dyDescent="0.3">
      <c r="A777">
        <v>56</v>
      </c>
      <c r="B777">
        <v>2024</v>
      </c>
      <c r="C777" s="2">
        <v>45455</v>
      </c>
      <c r="D777" s="7" t="s">
        <v>38</v>
      </c>
      <c r="E777" s="8" t="s">
        <v>48</v>
      </c>
      <c r="F777" s="8" t="s">
        <v>45</v>
      </c>
      <c r="G777" s="9"/>
      <c r="H777" s="10">
        <v>100</v>
      </c>
      <c r="I777" s="10">
        <v>115</v>
      </c>
      <c r="J777" s="10" t="s">
        <v>260</v>
      </c>
      <c r="K777" s="10">
        <v>110</v>
      </c>
      <c r="L777" t="str">
        <f t="shared" si="36"/>
        <v>OK</v>
      </c>
      <c r="M777" t="str">
        <f t="shared" si="37"/>
        <v>OK</v>
      </c>
      <c r="N777" t="str">
        <f t="shared" si="38"/>
        <v>ERRO</v>
      </c>
    </row>
    <row r="778" spans="1:14" ht="43.2" x14ac:dyDescent="0.3">
      <c r="A778">
        <v>56</v>
      </c>
      <c r="B778">
        <v>2024</v>
      </c>
      <c r="C778" s="2">
        <v>45455</v>
      </c>
      <c r="D778" s="3" t="s">
        <v>38</v>
      </c>
      <c r="E778" s="4" t="s">
        <v>49</v>
      </c>
      <c r="F778" s="4" t="s">
        <v>50</v>
      </c>
      <c r="G778" s="6">
        <v>120</v>
      </c>
      <c r="H778" s="6">
        <v>100</v>
      </c>
      <c r="I778" s="6">
        <v>120</v>
      </c>
      <c r="J778" s="6">
        <v>110</v>
      </c>
      <c r="K778" s="6">
        <v>110</v>
      </c>
      <c r="L778" t="str">
        <f t="shared" si="36"/>
        <v>OK</v>
      </c>
      <c r="M778" t="str">
        <f t="shared" si="37"/>
        <v>OK</v>
      </c>
      <c r="N778" t="str">
        <f t="shared" si="38"/>
        <v>OK</v>
      </c>
    </row>
    <row r="779" spans="1:14" ht="43.2" x14ac:dyDescent="0.3">
      <c r="A779">
        <v>56</v>
      </c>
      <c r="B779">
        <v>2024</v>
      </c>
      <c r="C779" s="2">
        <v>45455</v>
      </c>
      <c r="D779" s="7" t="s">
        <v>38</v>
      </c>
      <c r="E779" s="8" t="s">
        <v>52</v>
      </c>
      <c r="F779" s="8" t="s">
        <v>43</v>
      </c>
      <c r="G779" s="9"/>
      <c r="H779" s="10">
        <v>90</v>
      </c>
      <c r="I779" s="10">
        <v>145</v>
      </c>
      <c r="J779" s="10" t="s">
        <v>261</v>
      </c>
      <c r="K779" s="10">
        <v>125</v>
      </c>
      <c r="L779" t="str">
        <f t="shared" si="36"/>
        <v>OK</v>
      </c>
      <c r="M779" t="str">
        <f t="shared" si="37"/>
        <v>OK</v>
      </c>
      <c r="N779" t="str">
        <f t="shared" si="38"/>
        <v>ERRO</v>
      </c>
    </row>
    <row r="780" spans="1:14" ht="43.2" x14ac:dyDescent="0.3">
      <c r="A780">
        <v>56</v>
      </c>
      <c r="B780">
        <v>2024</v>
      </c>
      <c r="C780" s="2">
        <v>45455</v>
      </c>
      <c r="D780" s="3" t="s">
        <v>38</v>
      </c>
      <c r="E780" s="4" t="s">
        <v>53</v>
      </c>
      <c r="F780" s="4" t="s">
        <v>43</v>
      </c>
      <c r="G780" s="6">
        <v>80</v>
      </c>
      <c r="H780" s="6">
        <v>60</v>
      </c>
      <c r="I780" s="6">
        <v>80</v>
      </c>
      <c r="J780" s="6">
        <v>74</v>
      </c>
      <c r="K780" s="6">
        <v>75</v>
      </c>
      <c r="L780" t="str">
        <f t="shared" si="36"/>
        <v>OK</v>
      </c>
      <c r="M780" t="str">
        <f t="shared" si="37"/>
        <v>OK</v>
      </c>
      <c r="N780" t="str">
        <f t="shared" si="38"/>
        <v>OK</v>
      </c>
    </row>
    <row r="781" spans="1:14" ht="43.2" x14ac:dyDescent="0.3">
      <c r="A781">
        <v>56</v>
      </c>
      <c r="B781">
        <v>2024</v>
      </c>
      <c r="C781" s="2">
        <v>45455</v>
      </c>
      <c r="D781" s="7" t="s">
        <v>38</v>
      </c>
      <c r="E781" s="8" t="s">
        <v>54</v>
      </c>
      <c r="F781" s="8" t="s">
        <v>40</v>
      </c>
      <c r="G781" s="9"/>
      <c r="H781" s="10">
        <v>90</v>
      </c>
      <c r="I781" s="10">
        <v>130</v>
      </c>
      <c r="J781" s="10">
        <v>110</v>
      </c>
      <c r="K781" s="10">
        <v>110</v>
      </c>
      <c r="L781" t="str">
        <f t="shared" si="36"/>
        <v>OK</v>
      </c>
      <c r="M781" t="str">
        <f t="shared" si="37"/>
        <v>OK</v>
      </c>
      <c r="N781" t="str">
        <f t="shared" si="38"/>
        <v>OK</v>
      </c>
    </row>
    <row r="782" spans="1:14" ht="43.2" x14ac:dyDescent="0.3">
      <c r="A782">
        <v>56</v>
      </c>
      <c r="B782">
        <v>2024</v>
      </c>
      <c r="C782" s="2">
        <v>45455</v>
      </c>
      <c r="D782" s="3" t="s">
        <v>38</v>
      </c>
      <c r="E782" s="4" t="s">
        <v>56</v>
      </c>
      <c r="F782" s="4" t="s">
        <v>43</v>
      </c>
      <c r="G782" s="6">
        <v>70</v>
      </c>
      <c r="H782" s="6">
        <v>35</v>
      </c>
      <c r="I782" s="6">
        <v>70</v>
      </c>
      <c r="J782" s="6" t="s">
        <v>92</v>
      </c>
      <c r="K782" s="6">
        <v>55</v>
      </c>
      <c r="L782" t="str">
        <f t="shared" si="36"/>
        <v>OK</v>
      </c>
      <c r="M782" t="str">
        <f t="shared" si="37"/>
        <v>OK</v>
      </c>
      <c r="N782" t="str">
        <f t="shared" si="38"/>
        <v>ERRO</v>
      </c>
    </row>
    <row r="783" spans="1:14" ht="43.2" x14ac:dyDescent="0.3">
      <c r="A783">
        <v>56</v>
      </c>
      <c r="B783">
        <v>2024</v>
      </c>
      <c r="C783" s="2">
        <v>45455</v>
      </c>
      <c r="D783" s="7" t="s">
        <v>38</v>
      </c>
      <c r="E783" s="8" t="s">
        <v>57</v>
      </c>
      <c r="F783" s="8" t="s">
        <v>40</v>
      </c>
      <c r="G783" s="9"/>
      <c r="H783" s="10">
        <v>70</v>
      </c>
      <c r="I783" s="10">
        <v>90</v>
      </c>
      <c r="J783" s="10" t="s">
        <v>262</v>
      </c>
      <c r="K783" s="10">
        <v>75</v>
      </c>
      <c r="L783" t="str">
        <f t="shared" si="36"/>
        <v>OK</v>
      </c>
      <c r="M783" t="str">
        <f t="shared" si="37"/>
        <v>OK</v>
      </c>
      <c r="N783" t="str">
        <f t="shared" si="38"/>
        <v>ERRO</v>
      </c>
    </row>
    <row r="784" spans="1:14" ht="43.2" x14ac:dyDescent="0.3">
      <c r="A784">
        <v>56</v>
      </c>
      <c r="B784">
        <v>2024</v>
      </c>
      <c r="C784" s="2">
        <v>45455</v>
      </c>
      <c r="D784" s="3" t="s">
        <v>38</v>
      </c>
      <c r="E784" s="4" t="s">
        <v>58</v>
      </c>
      <c r="F784" s="4" t="s">
        <v>40</v>
      </c>
      <c r="G784" s="6">
        <v>110</v>
      </c>
      <c r="H784" s="6">
        <v>90</v>
      </c>
      <c r="I784" s="6">
        <v>130</v>
      </c>
      <c r="J784" s="6" t="s">
        <v>263</v>
      </c>
      <c r="K784" s="6">
        <v>105</v>
      </c>
      <c r="L784" t="str">
        <f t="shared" si="36"/>
        <v>OK</v>
      </c>
      <c r="M784" t="str">
        <f t="shared" si="37"/>
        <v>OK</v>
      </c>
      <c r="N784" t="str">
        <f t="shared" si="38"/>
        <v>ERRO</v>
      </c>
    </row>
    <row r="785" spans="1:14" ht="43.2" x14ac:dyDescent="0.3">
      <c r="A785">
        <v>56</v>
      </c>
      <c r="B785">
        <v>2024</v>
      </c>
      <c r="C785" s="2">
        <v>45455</v>
      </c>
      <c r="D785" s="7" t="s">
        <v>38</v>
      </c>
      <c r="E785" s="8" t="s">
        <v>59</v>
      </c>
      <c r="F785" s="8" t="s">
        <v>45</v>
      </c>
      <c r="G785" s="10">
        <v>60</v>
      </c>
      <c r="H785" s="10">
        <v>45</v>
      </c>
      <c r="I785" s="10">
        <v>60</v>
      </c>
      <c r="J785" s="10">
        <v>54</v>
      </c>
      <c r="K785" s="10">
        <v>55</v>
      </c>
      <c r="L785" t="str">
        <f t="shared" si="36"/>
        <v>OK</v>
      </c>
      <c r="M785" t="str">
        <f t="shared" si="37"/>
        <v>OK</v>
      </c>
      <c r="N785" t="str">
        <f t="shared" si="38"/>
        <v>OK</v>
      </c>
    </row>
    <row r="786" spans="1:14" ht="43.2" x14ac:dyDescent="0.3">
      <c r="A786">
        <v>56</v>
      </c>
      <c r="B786">
        <v>2024</v>
      </c>
      <c r="C786" s="2">
        <v>45455</v>
      </c>
      <c r="D786" s="3" t="s">
        <v>38</v>
      </c>
      <c r="E786" s="4" t="s">
        <v>60</v>
      </c>
      <c r="F786" s="4" t="s">
        <v>61</v>
      </c>
      <c r="G786" s="6">
        <v>200</v>
      </c>
      <c r="H786" s="6">
        <v>100</v>
      </c>
      <c r="I786" s="6">
        <v>200</v>
      </c>
      <c r="J786" s="6">
        <v>160</v>
      </c>
      <c r="K786" s="6">
        <v>160</v>
      </c>
      <c r="L786" t="str">
        <f t="shared" si="36"/>
        <v>OK</v>
      </c>
      <c r="M786" t="str">
        <f t="shared" si="37"/>
        <v>OK</v>
      </c>
      <c r="N786" t="str">
        <f t="shared" si="38"/>
        <v>OK</v>
      </c>
    </row>
    <row r="787" spans="1:14" ht="43.2" x14ac:dyDescent="0.3">
      <c r="A787">
        <v>56</v>
      </c>
      <c r="B787">
        <v>2024</v>
      </c>
      <c r="C787" s="2">
        <v>45455</v>
      </c>
      <c r="D787" s="7" t="s">
        <v>38</v>
      </c>
      <c r="E787" s="8" t="s">
        <v>63</v>
      </c>
      <c r="F787" s="8" t="s">
        <v>40</v>
      </c>
      <c r="G787" s="10">
        <v>180</v>
      </c>
      <c r="H787" s="10">
        <v>120</v>
      </c>
      <c r="I787" s="10">
        <v>180</v>
      </c>
      <c r="J787" s="10">
        <v>158</v>
      </c>
      <c r="K787" s="10">
        <v>160</v>
      </c>
      <c r="L787" t="str">
        <f t="shared" si="36"/>
        <v>OK</v>
      </c>
      <c r="M787" t="str">
        <f t="shared" si="37"/>
        <v>OK</v>
      </c>
      <c r="N787" t="str">
        <f t="shared" si="38"/>
        <v>OK</v>
      </c>
    </row>
    <row r="788" spans="1:14" ht="43.2" x14ac:dyDescent="0.3">
      <c r="A788">
        <v>56</v>
      </c>
      <c r="B788">
        <v>2024</v>
      </c>
      <c r="C788" s="2">
        <v>45455</v>
      </c>
      <c r="D788" s="3" t="s">
        <v>38</v>
      </c>
      <c r="E788" s="4" t="s">
        <v>64</v>
      </c>
      <c r="F788" s="4" t="s">
        <v>40</v>
      </c>
      <c r="G788" s="5"/>
      <c r="H788" s="6">
        <v>200</v>
      </c>
      <c r="I788" s="6">
        <v>250</v>
      </c>
      <c r="J788" s="6" t="s">
        <v>264</v>
      </c>
      <c r="K788" s="6">
        <v>220</v>
      </c>
      <c r="L788" t="str">
        <f t="shared" si="36"/>
        <v>OK</v>
      </c>
      <c r="M788" t="str">
        <f t="shared" si="37"/>
        <v>OK</v>
      </c>
      <c r="N788" t="str">
        <f t="shared" si="38"/>
        <v>ERRO</v>
      </c>
    </row>
    <row r="789" spans="1:14" x14ac:dyDescent="0.3">
      <c r="A789">
        <v>56</v>
      </c>
      <c r="B789">
        <v>2024</v>
      </c>
      <c r="C789" s="2">
        <v>45455</v>
      </c>
      <c r="D789" s="7" t="s">
        <v>65</v>
      </c>
      <c r="E789" s="8" t="s">
        <v>66</v>
      </c>
      <c r="F789" s="8" t="s">
        <v>45</v>
      </c>
      <c r="G789" s="9"/>
      <c r="H789" s="10">
        <v>110</v>
      </c>
      <c r="I789" s="10">
        <v>110</v>
      </c>
      <c r="J789" s="10">
        <v>110</v>
      </c>
      <c r="K789" s="10">
        <v>110</v>
      </c>
      <c r="L789" t="str">
        <f t="shared" si="36"/>
        <v>OK</v>
      </c>
      <c r="M789" t="str">
        <f t="shared" si="37"/>
        <v>OK</v>
      </c>
      <c r="N789" t="str">
        <f t="shared" si="38"/>
        <v>OK</v>
      </c>
    </row>
    <row r="790" spans="1:14" x14ac:dyDescent="0.3">
      <c r="A790">
        <v>56</v>
      </c>
      <c r="B790">
        <v>2024</v>
      </c>
      <c r="C790" s="2">
        <v>45455</v>
      </c>
      <c r="D790" s="3" t="s">
        <v>65</v>
      </c>
      <c r="E790" s="4" t="s">
        <v>67</v>
      </c>
      <c r="F790" s="4" t="s">
        <v>45</v>
      </c>
      <c r="G790" s="5"/>
      <c r="H790" s="6">
        <v>110</v>
      </c>
      <c r="I790" s="6">
        <v>110</v>
      </c>
      <c r="J790" s="6">
        <v>110</v>
      </c>
      <c r="K790" s="6">
        <v>110</v>
      </c>
      <c r="L790" t="str">
        <f t="shared" si="36"/>
        <v>OK</v>
      </c>
      <c r="M790" t="str">
        <f t="shared" si="37"/>
        <v>OK</v>
      </c>
      <c r="N790" t="str">
        <f t="shared" si="38"/>
        <v>OK</v>
      </c>
    </row>
    <row r="791" spans="1:14" x14ac:dyDescent="0.3">
      <c r="A791">
        <v>56</v>
      </c>
      <c r="B791">
        <v>2024</v>
      </c>
      <c r="C791" s="2">
        <v>45455</v>
      </c>
      <c r="D791" s="7" t="s">
        <v>65</v>
      </c>
      <c r="E791" s="8" t="s">
        <v>68</v>
      </c>
      <c r="F791" s="8" t="s">
        <v>45</v>
      </c>
      <c r="G791" s="9"/>
      <c r="H791" s="9"/>
      <c r="I791" s="9"/>
      <c r="J791" s="9"/>
      <c r="K791" s="9"/>
      <c r="L791" t="str">
        <f t="shared" si="36"/>
        <v>OK</v>
      </c>
      <c r="M791" t="str">
        <f t="shared" si="37"/>
        <v>OK</v>
      </c>
      <c r="N791" t="str">
        <f t="shared" si="38"/>
        <v>OK</v>
      </c>
    </row>
    <row r="792" spans="1:14" x14ac:dyDescent="0.3">
      <c r="A792">
        <v>56</v>
      </c>
      <c r="B792">
        <v>2024</v>
      </c>
      <c r="C792" s="2">
        <v>45455</v>
      </c>
      <c r="D792" s="3" t="s">
        <v>65</v>
      </c>
      <c r="E792" s="4" t="s">
        <v>69</v>
      </c>
      <c r="F792" s="4" t="s">
        <v>45</v>
      </c>
      <c r="G792" s="5"/>
      <c r="H792" s="6">
        <v>48</v>
      </c>
      <c r="I792" s="6">
        <v>48</v>
      </c>
      <c r="J792" s="6">
        <v>48</v>
      </c>
      <c r="K792" s="6">
        <v>48</v>
      </c>
      <c r="L792" t="str">
        <f t="shared" si="36"/>
        <v>OK</v>
      </c>
      <c r="M792" t="str">
        <f t="shared" si="37"/>
        <v>OK</v>
      </c>
      <c r="N792" t="str">
        <f t="shared" si="38"/>
        <v>OK</v>
      </c>
    </row>
    <row r="793" spans="1:14" x14ac:dyDescent="0.3">
      <c r="A793">
        <v>56</v>
      </c>
      <c r="B793">
        <v>2024</v>
      </c>
      <c r="C793" s="2">
        <v>45455</v>
      </c>
      <c r="D793" s="7" t="s">
        <v>65</v>
      </c>
      <c r="E793" s="8" t="s">
        <v>70</v>
      </c>
      <c r="F793" s="8" t="s">
        <v>71</v>
      </c>
      <c r="G793" s="9"/>
      <c r="H793" s="10">
        <v>65</v>
      </c>
      <c r="I793" s="10">
        <v>65</v>
      </c>
      <c r="J793" s="10">
        <v>65</v>
      </c>
      <c r="K793" s="10">
        <v>65</v>
      </c>
      <c r="L793" t="str">
        <f t="shared" si="36"/>
        <v>OK</v>
      </c>
      <c r="M793" t="str">
        <f t="shared" si="37"/>
        <v>OK</v>
      </c>
      <c r="N793" t="str">
        <f t="shared" si="38"/>
        <v>OK</v>
      </c>
    </row>
    <row r="794" spans="1:14" ht="28.8" x14ac:dyDescent="0.3">
      <c r="A794">
        <v>57</v>
      </c>
      <c r="B794">
        <v>2024</v>
      </c>
      <c r="C794" s="2">
        <v>45462</v>
      </c>
      <c r="D794" s="3" t="s">
        <v>11</v>
      </c>
      <c r="E794" s="4" t="s">
        <v>12</v>
      </c>
      <c r="F794" s="4" t="s">
        <v>13</v>
      </c>
      <c r="G794" s="5"/>
      <c r="H794" s="6">
        <v>48</v>
      </c>
      <c r="I794" s="6">
        <v>60</v>
      </c>
      <c r="J794" s="6">
        <v>54</v>
      </c>
      <c r="K794" s="6">
        <v>54</v>
      </c>
      <c r="L794" t="str">
        <f t="shared" si="36"/>
        <v>OK</v>
      </c>
      <c r="M794" t="str">
        <f t="shared" si="37"/>
        <v>OK</v>
      </c>
      <c r="N794" t="str">
        <f t="shared" si="38"/>
        <v>OK</v>
      </c>
    </row>
    <row r="795" spans="1:14" ht="28.8" x14ac:dyDescent="0.3">
      <c r="A795">
        <v>57</v>
      </c>
      <c r="B795">
        <v>2024</v>
      </c>
      <c r="C795" s="2">
        <v>45462</v>
      </c>
      <c r="D795" s="7" t="s">
        <v>11</v>
      </c>
      <c r="E795" s="8" t="s">
        <v>14</v>
      </c>
      <c r="F795" s="8" t="s">
        <v>13</v>
      </c>
      <c r="G795" s="10">
        <v>84</v>
      </c>
      <c r="H795" s="10">
        <v>84</v>
      </c>
      <c r="I795" s="10">
        <v>84</v>
      </c>
      <c r="J795" s="10">
        <v>84</v>
      </c>
      <c r="K795" s="10">
        <v>84</v>
      </c>
      <c r="L795" t="str">
        <f t="shared" si="36"/>
        <v>OK</v>
      </c>
      <c r="M795" t="str">
        <f t="shared" si="37"/>
        <v>OK</v>
      </c>
      <c r="N795" t="str">
        <f t="shared" si="38"/>
        <v>OK</v>
      </c>
    </row>
    <row r="796" spans="1:14" ht="28.8" x14ac:dyDescent="0.3">
      <c r="A796">
        <v>57</v>
      </c>
      <c r="B796">
        <v>2024</v>
      </c>
      <c r="C796" s="2">
        <v>45462</v>
      </c>
      <c r="D796" s="3" t="s">
        <v>11</v>
      </c>
      <c r="E796" s="4" t="s">
        <v>15</v>
      </c>
      <c r="F796" s="4" t="s">
        <v>13</v>
      </c>
      <c r="G796" s="5"/>
      <c r="H796" s="6">
        <v>36</v>
      </c>
      <c r="I796" s="6">
        <v>42</v>
      </c>
      <c r="J796" s="6">
        <v>39</v>
      </c>
      <c r="K796" s="6">
        <v>39</v>
      </c>
      <c r="L796" t="str">
        <f t="shared" si="36"/>
        <v>OK</v>
      </c>
      <c r="M796" t="str">
        <f t="shared" si="37"/>
        <v>OK</v>
      </c>
      <c r="N796" t="str">
        <f t="shared" si="38"/>
        <v>OK</v>
      </c>
    </row>
    <row r="797" spans="1:14" ht="28.8" x14ac:dyDescent="0.3">
      <c r="A797">
        <v>57</v>
      </c>
      <c r="B797">
        <v>2024</v>
      </c>
      <c r="C797" s="2">
        <v>45462</v>
      </c>
      <c r="D797" s="7" t="s">
        <v>11</v>
      </c>
      <c r="E797" s="8" t="s">
        <v>16</v>
      </c>
      <c r="F797" s="8" t="s">
        <v>13</v>
      </c>
      <c r="G797" s="9"/>
      <c r="H797" s="10">
        <v>20</v>
      </c>
      <c r="I797" s="10">
        <v>24</v>
      </c>
      <c r="J797" s="10">
        <v>22</v>
      </c>
      <c r="K797" s="10">
        <v>22</v>
      </c>
      <c r="L797" t="str">
        <f t="shared" si="36"/>
        <v>OK</v>
      </c>
      <c r="M797" t="str">
        <f t="shared" si="37"/>
        <v>OK</v>
      </c>
      <c r="N797" t="str">
        <f t="shared" si="38"/>
        <v>OK</v>
      </c>
    </row>
    <row r="798" spans="1:14" ht="28.8" x14ac:dyDescent="0.3">
      <c r="A798">
        <v>57</v>
      </c>
      <c r="B798">
        <v>2024</v>
      </c>
      <c r="C798" s="2">
        <v>45462</v>
      </c>
      <c r="D798" s="3" t="s">
        <v>11</v>
      </c>
      <c r="E798" s="4" t="s">
        <v>17</v>
      </c>
      <c r="F798" s="4" t="s">
        <v>13</v>
      </c>
      <c r="G798" s="5"/>
      <c r="H798" s="6">
        <v>20</v>
      </c>
      <c r="I798" s="6">
        <v>24</v>
      </c>
      <c r="J798" s="6">
        <v>22</v>
      </c>
      <c r="K798" s="6">
        <v>22</v>
      </c>
      <c r="L798" t="str">
        <f t="shared" si="36"/>
        <v>OK</v>
      </c>
      <c r="M798" t="str">
        <f t="shared" si="37"/>
        <v>OK</v>
      </c>
      <c r="N798" t="str">
        <f t="shared" si="38"/>
        <v>OK</v>
      </c>
    </row>
    <row r="799" spans="1:14" ht="28.8" x14ac:dyDescent="0.3">
      <c r="A799">
        <v>57</v>
      </c>
      <c r="B799">
        <v>2024</v>
      </c>
      <c r="C799" s="2">
        <v>45462</v>
      </c>
      <c r="D799" s="7" t="s">
        <v>11</v>
      </c>
      <c r="E799" s="8" t="s">
        <v>18</v>
      </c>
      <c r="F799" s="8" t="s">
        <v>13</v>
      </c>
      <c r="G799" s="10">
        <v>60</v>
      </c>
      <c r="H799" s="10">
        <v>60</v>
      </c>
      <c r="I799" s="10">
        <v>60</v>
      </c>
      <c r="J799" s="10">
        <v>60</v>
      </c>
      <c r="K799" s="10">
        <v>60</v>
      </c>
      <c r="L799" t="str">
        <f t="shared" si="36"/>
        <v>OK</v>
      </c>
      <c r="M799" t="str">
        <f t="shared" si="37"/>
        <v>OK</v>
      </c>
      <c r="N799" t="str">
        <f t="shared" si="38"/>
        <v>OK</v>
      </c>
    </row>
    <row r="800" spans="1:14" ht="28.8" x14ac:dyDescent="0.3">
      <c r="A800">
        <v>57</v>
      </c>
      <c r="B800">
        <v>2024</v>
      </c>
      <c r="C800" s="2">
        <v>45462</v>
      </c>
      <c r="D800" s="3" t="s">
        <v>11</v>
      </c>
      <c r="E800" s="4" t="s">
        <v>19</v>
      </c>
      <c r="F800" s="4" t="s">
        <v>13</v>
      </c>
      <c r="G800" s="5"/>
      <c r="H800" s="6">
        <v>90</v>
      </c>
      <c r="I800" s="6">
        <v>96</v>
      </c>
      <c r="J800" s="6">
        <v>93</v>
      </c>
      <c r="K800" s="6">
        <v>93</v>
      </c>
      <c r="L800" t="str">
        <f t="shared" si="36"/>
        <v>OK</v>
      </c>
      <c r="M800" t="str">
        <f t="shared" si="37"/>
        <v>OK</v>
      </c>
      <c r="N800" t="str">
        <f t="shared" si="38"/>
        <v>OK</v>
      </c>
    </row>
    <row r="801" spans="1:14" ht="28.8" x14ac:dyDescent="0.3">
      <c r="A801">
        <v>57</v>
      </c>
      <c r="B801">
        <v>2024</v>
      </c>
      <c r="C801" s="2">
        <v>45462</v>
      </c>
      <c r="D801" s="7" t="s">
        <v>11</v>
      </c>
      <c r="E801" s="8" t="s">
        <v>20</v>
      </c>
      <c r="F801" s="8" t="s">
        <v>13</v>
      </c>
      <c r="G801" s="10">
        <v>84</v>
      </c>
      <c r="H801" s="10">
        <v>84</v>
      </c>
      <c r="I801" s="10">
        <v>84</v>
      </c>
      <c r="J801" s="10">
        <v>84</v>
      </c>
      <c r="K801" s="10">
        <v>84</v>
      </c>
      <c r="L801" t="str">
        <f t="shared" si="36"/>
        <v>OK</v>
      </c>
      <c r="M801" t="str">
        <f t="shared" si="37"/>
        <v>OK</v>
      </c>
      <c r="N801" t="str">
        <f t="shared" si="38"/>
        <v>OK</v>
      </c>
    </row>
    <row r="802" spans="1:14" ht="28.8" x14ac:dyDescent="0.3">
      <c r="A802">
        <v>57</v>
      </c>
      <c r="B802">
        <v>2024</v>
      </c>
      <c r="C802" s="2">
        <v>45462</v>
      </c>
      <c r="D802" s="3" t="s">
        <v>11</v>
      </c>
      <c r="E802" s="4" t="s">
        <v>21</v>
      </c>
      <c r="F802" s="4" t="s">
        <v>13</v>
      </c>
      <c r="G802" s="5"/>
      <c r="H802" s="6">
        <v>24</v>
      </c>
      <c r="I802" s="6">
        <v>30</v>
      </c>
      <c r="J802" s="6">
        <v>27</v>
      </c>
      <c r="K802" s="6">
        <v>27</v>
      </c>
      <c r="L802" t="str">
        <f t="shared" si="36"/>
        <v>OK</v>
      </c>
      <c r="M802" t="str">
        <f t="shared" si="37"/>
        <v>OK</v>
      </c>
      <c r="N802" t="str">
        <f t="shared" si="38"/>
        <v>OK</v>
      </c>
    </row>
    <row r="803" spans="1:14" ht="28.8" x14ac:dyDescent="0.3">
      <c r="A803">
        <v>57</v>
      </c>
      <c r="B803">
        <v>2024</v>
      </c>
      <c r="C803" s="2">
        <v>45462</v>
      </c>
      <c r="D803" s="7" t="s">
        <v>11</v>
      </c>
      <c r="E803" s="8" t="s">
        <v>73</v>
      </c>
      <c r="F803" s="8" t="s">
        <v>13</v>
      </c>
      <c r="G803" s="9"/>
      <c r="H803" s="10">
        <v>96</v>
      </c>
      <c r="I803" s="10">
        <v>108</v>
      </c>
      <c r="J803" s="10">
        <v>102</v>
      </c>
      <c r="K803" s="10">
        <v>102</v>
      </c>
      <c r="L803" t="str">
        <f t="shared" si="36"/>
        <v>OK</v>
      </c>
      <c r="M803" t="str">
        <f t="shared" si="37"/>
        <v>OK</v>
      </c>
      <c r="N803" t="str">
        <f t="shared" si="38"/>
        <v>OK</v>
      </c>
    </row>
    <row r="804" spans="1:14" ht="28.8" x14ac:dyDescent="0.3">
      <c r="A804">
        <v>57</v>
      </c>
      <c r="B804">
        <v>2024</v>
      </c>
      <c r="C804" s="2">
        <v>45462</v>
      </c>
      <c r="D804" s="3" t="s">
        <v>11</v>
      </c>
      <c r="E804" s="4" t="s">
        <v>23</v>
      </c>
      <c r="F804" s="4" t="s">
        <v>13</v>
      </c>
      <c r="G804" s="5"/>
      <c r="H804" s="6">
        <v>20</v>
      </c>
      <c r="I804" s="6">
        <v>24</v>
      </c>
      <c r="J804" s="6">
        <v>22</v>
      </c>
      <c r="K804" s="6">
        <v>22</v>
      </c>
      <c r="L804" t="str">
        <f t="shared" si="36"/>
        <v>OK</v>
      </c>
      <c r="M804" t="str">
        <f t="shared" si="37"/>
        <v>OK</v>
      </c>
      <c r="N804" t="str">
        <f t="shared" si="38"/>
        <v>OK</v>
      </c>
    </row>
    <row r="805" spans="1:14" ht="28.8" x14ac:dyDescent="0.3">
      <c r="A805">
        <v>57</v>
      </c>
      <c r="B805">
        <v>2024</v>
      </c>
      <c r="C805" s="2">
        <v>45462</v>
      </c>
      <c r="D805" s="7" t="s">
        <v>11</v>
      </c>
      <c r="E805" s="8" t="s">
        <v>24</v>
      </c>
      <c r="F805" s="8" t="s">
        <v>13</v>
      </c>
      <c r="G805" s="9"/>
      <c r="H805" s="10">
        <v>72</v>
      </c>
      <c r="I805" s="10">
        <v>78</v>
      </c>
      <c r="J805" s="10">
        <v>75</v>
      </c>
      <c r="K805" s="10">
        <v>75</v>
      </c>
      <c r="L805" t="str">
        <f t="shared" si="36"/>
        <v>OK</v>
      </c>
      <c r="M805" t="str">
        <f t="shared" si="37"/>
        <v>OK</v>
      </c>
      <c r="N805" t="str">
        <f t="shared" si="38"/>
        <v>OK</v>
      </c>
    </row>
    <row r="806" spans="1:14" ht="28.8" x14ac:dyDescent="0.3">
      <c r="A806">
        <v>57</v>
      </c>
      <c r="B806">
        <v>2024</v>
      </c>
      <c r="C806" s="2">
        <v>45462</v>
      </c>
      <c r="D806" s="3" t="s">
        <v>11</v>
      </c>
      <c r="E806" s="4" t="s">
        <v>25</v>
      </c>
      <c r="F806" s="4" t="s">
        <v>26</v>
      </c>
      <c r="G806" s="6">
        <v>60</v>
      </c>
      <c r="H806" s="6">
        <v>60</v>
      </c>
      <c r="I806" s="6">
        <v>60</v>
      </c>
      <c r="J806" s="6">
        <v>60</v>
      </c>
      <c r="K806" s="6">
        <v>60</v>
      </c>
      <c r="L806" t="str">
        <f t="shared" si="36"/>
        <v>OK</v>
      </c>
      <c r="M806" t="str">
        <f t="shared" si="37"/>
        <v>OK</v>
      </c>
      <c r="N806" t="str">
        <f t="shared" si="38"/>
        <v>OK</v>
      </c>
    </row>
    <row r="807" spans="1:14" ht="28.8" x14ac:dyDescent="0.3">
      <c r="A807">
        <v>57</v>
      </c>
      <c r="B807">
        <v>2024</v>
      </c>
      <c r="C807" s="2">
        <v>45462</v>
      </c>
      <c r="D807" s="7" t="s">
        <v>11</v>
      </c>
      <c r="E807" s="8" t="s">
        <v>27</v>
      </c>
      <c r="F807" s="8" t="s">
        <v>13</v>
      </c>
      <c r="G807" s="9"/>
      <c r="H807" s="10">
        <v>66</v>
      </c>
      <c r="I807" s="10">
        <v>72</v>
      </c>
      <c r="J807" s="10">
        <v>69</v>
      </c>
      <c r="K807" s="10">
        <v>69</v>
      </c>
      <c r="L807" t="str">
        <f t="shared" si="36"/>
        <v>OK</v>
      </c>
      <c r="M807" t="str">
        <f t="shared" si="37"/>
        <v>OK</v>
      </c>
      <c r="N807" t="str">
        <f t="shared" si="38"/>
        <v>OK</v>
      </c>
    </row>
    <row r="808" spans="1:14" ht="28.8" x14ac:dyDescent="0.3">
      <c r="A808">
        <v>57</v>
      </c>
      <c r="B808">
        <v>2024</v>
      </c>
      <c r="C808" s="2">
        <v>45462</v>
      </c>
      <c r="D808" s="3" t="s">
        <v>11</v>
      </c>
      <c r="E808" s="4" t="s">
        <v>28</v>
      </c>
      <c r="F808" s="4" t="s">
        <v>13</v>
      </c>
      <c r="G808" s="5"/>
      <c r="H808" s="6">
        <v>45</v>
      </c>
      <c r="I808" s="6">
        <v>48</v>
      </c>
      <c r="J808" s="6" t="s">
        <v>174</v>
      </c>
      <c r="K808" s="6" t="s">
        <v>174</v>
      </c>
      <c r="L808" t="str">
        <f t="shared" si="36"/>
        <v>OK</v>
      </c>
      <c r="M808" t="str">
        <f t="shared" si="37"/>
        <v>OK</v>
      </c>
      <c r="N808" t="str">
        <f t="shared" si="38"/>
        <v>ERRO</v>
      </c>
    </row>
    <row r="809" spans="1:14" ht="28.8" x14ac:dyDescent="0.3">
      <c r="A809">
        <v>57</v>
      </c>
      <c r="B809">
        <v>2024</v>
      </c>
      <c r="C809" s="2">
        <v>45462</v>
      </c>
      <c r="D809" s="7" t="s">
        <v>11</v>
      </c>
      <c r="E809" s="8" t="s">
        <v>29</v>
      </c>
      <c r="F809" s="8" t="s">
        <v>13</v>
      </c>
      <c r="G809" s="9"/>
      <c r="H809" s="10">
        <v>48</v>
      </c>
      <c r="I809" s="10">
        <v>54</v>
      </c>
      <c r="J809" s="10">
        <v>51</v>
      </c>
      <c r="K809" s="10">
        <v>51</v>
      </c>
      <c r="L809" t="str">
        <f t="shared" si="36"/>
        <v>OK</v>
      </c>
      <c r="M809" t="str">
        <f t="shared" si="37"/>
        <v>OK</v>
      </c>
      <c r="N809" t="str">
        <f t="shared" si="38"/>
        <v>OK</v>
      </c>
    </row>
    <row r="810" spans="1:14" ht="28.8" x14ac:dyDescent="0.3">
      <c r="A810">
        <v>57</v>
      </c>
      <c r="B810">
        <v>2024</v>
      </c>
      <c r="C810" s="2">
        <v>45462</v>
      </c>
      <c r="D810" s="3" t="s">
        <v>30</v>
      </c>
      <c r="E810" s="4" t="s">
        <v>31</v>
      </c>
      <c r="F810" s="4" t="s">
        <v>32</v>
      </c>
      <c r="G810" s="6">
        <v>5</v>
      </c>
      <c r="H810" s="6">
        <v>5</v>
      </c>
      <c r="I810" s="6">
        <v>5</v>
      </c>
      <c r="J810" s="6">
        <v>5</v>
      </c>
      <c r="K810" s="6">
        <v>5</v>
      </c>
      <c r="L810" t="str">
        <f t="shared" si="36"/>
        <v>OK</v>
      </c>
      <c r="M810" t="str">
        <f t="shared" si="37"/>
        <v>OK</v>
      </c>
      <c r="N810" t="str">
        <f t="shared" si="38"/>
        <v>OK</v>
      </c>
    </row>
    <row r="811" spans="1:14" ht="28.8" x14ac:dyDescent="0.3">
      <c r="A811">
        <v>57</v>
      </c>
      <c r="B811">
        <v>2024</v>
      </c>
      <c r="C811" s="2">
        <v>45462</v>
      </c>
      <c r="D811" s="7" t="s">
        <v>30</v>
      </c>
      <c r="E811" s="8" t="s">
        <v>34</v>
      </c>
      <c r="F811" s="8" t="s">
        <v>35</v>
      </c>
      <c r="G811" s="10">
        <v>20</v>
      </c>
      <c r="H811" s="10">
        <v>20</v>
      </c>
      <c r="I811" s="10">
        <v>20</v>
      </c>
      <c r="J811" s="10">
        <v>20</v>
      </c>
      <c r="K811" s="10">
        <v>20</v>
      </c>
      <c r="L811" t="str">
        <f t="shared" si="36"/>
        <v>OK</v>
      </c>
      <c r="M811" t="str">
        <f t="shared" si="37"/>
        <v>OK</v>
      </c>
      <c r="N811" t="str">
        <f t="shared" si="38"/>
        <v>OK</v>
      </c>
    </row>
    <row r="812" spans="1:14" ht="28.8" x14ac:dyDescent="0.3">
      <c r="A812">
        <v>57</v>
      </c>
      <c r="B812">
        <v>2024</v>
      </c>
      <c r="C812" s="2">
        <v>45462</v>
      </c>
      <c r="D812" s="3" t="s">
        <v>30</v>
      </c>
      <c r="E812" s="4" t="s">
        <v>36</v>
      </c>
      <c r="F812" s="4" t="s">
        <v>35</v>
      </c>
      <c r="G812" s="5"/>
      <c r="H812" s="6">
        <v>25</v>
      </c>
      <c r="I812" s="6">
        <v>35</v>
      </c>
      <c r="J812" s="6">
        <v>30</v>
      </c>
      <c r="K812" s="6">
        <v>30</v>
      </c>
      <c r="L812" t="str">
        <f t="shared" si="36"/>
        <v>OK</v>
      </c>
      <c r="M812" t="str">
        <f t="shared" si="37"/>
        <v>OK</v>
      </c>
      <c r="N812" t="str">
        <f t="shared" si="38"/>
        <v>OK</v>
      </c>
    </row>
    <row r="813" spans="1:14" ht="43.2" x14ac:dyDescent="0.3">
      <c r="A813">
        <v>57</v>
      </c>
      <c r="B813">
        <v>2024</v>
      </c>
      <c r="C813" s="2">
        <v>45462</v>
      </c>
      <c r="D813" s="7" t="s">
        <v>38</v>
      </c>
      <c r="E813" s="8" t="s">
        <v>153</v>
      </c>
      <c r="F813" s="8" t="s">
        <v>154</v>
      </c>
      <c r="G813" s="9"/>
      <c r="H813" s="10">
        <v>80</v>
      </c>
      <c r="I813" s="10">
        <v>95</v>
      </c>
      <c r="J813" s="10" t="s">
        <v>239</v>
      </c>
      <c r="K813" s="10" t="s">
        <v>239</v>
      </c>
      <c r="L813" t="str">
        <f t="shared" si="36"/>
        <v>OK</v>
      </c>
      <c r="M813" t="str">
        <f t="shared" si="37"/>
        <v>OK</v>
      </c>
      <c r="N813" t="str">
        <f t="shared" si="38"/>
        <v>ERRO</v>
      </c>
    </row>
    <row r="814" spans="1:14" ht="43.2" x14ac:dyDescent="0.3">
      <c r="A814">
        <v>57</v>
      </c>
      <c r="B814">
        <v>2024</v>
      </c>
      <c r="C814" s="2">
        <v>45462</v>
      </c>
      <c r="D814" s="3" t="s">
        <v>38</v>
      </c>
      <c r="E814" s="4" t="s">
        <v>39</v>
      </c>
      <c r="F814" s="4" t="s">
        <v>40</v>
      </c>
      <c r="G814" s="6">
        <v>50</v>
      </c>
      <c r="H814" s="6">
        <v>50</v>
      </c>
      <c r="I814" s="6">
        <v>60</v>
      </c>
      <c r="J814" s="6">
        <v>54</v>
      </c>
      <c r="K814" s="6">
        <v>50</v>
      </c>
      <c r="L814" t="str">
        <f t="shared" si="36"/>
        <v>OK</v>
      </c>
      <c r="M814" t="str">
        <f t="shared" si="37"/>
        <v>OK</v>
      </c>
      <c r="N814" t="str">
        <f t="shared" si="38"/>
        <v>OK</v>
      </c>
    </row>
    <row r="815" spans="1:14" ht="43.2" x14ac:dyDescent="0.3">
      <c r="A815">
        <v>57</v>
      </c>
      <c r="B815">
        <v>2024</v>
      </c>
      <c r="C815" s="2">
        <v>45462</v>
      </c>
      <c r="D815" s="7" t="s">
        <v>38</v>
      </c>
      <c r="E815" s="8" t="s">
        <v>42</v>
      </c>
      <c r="F815" s="8" t="s">
        <v>43</v>
      </c>
      <c r="G815" s="10">
        <v>65</v>
      </c>
      <c r="H815" s="10">
        <v>45</v>
      </c>
      <c r="I815" s="10">
        <v>65</v>
      </c>
      <c r="J815" s="10">
        <v>57</v>
      </c>
      <c r="K815" s="10">
        <v>60</v>
      </c>
      <c r="L815" t="str">
        <f t="shared" si="36"/>
        <v>OK</v>
      </c>
      <c r="M815" t="str">
        <f t="shared" si="37"/>
        <v>OK</v>
      </c>
      <c r="N815" t="str">
        <f t="shared" si="38"/>
        <v>OK</v>
      </c>
    </row>
    <row r="816" spans="1:14" ht="43.2" x14ac:dyDescent="0.3">
      <c r="A816">
        <v>57</v>
      </c>
      <c r="B816">
        <v>2024</v>
      </c>
      <c r="C816" s="2">
        <v>45462</v>
      </c>
      <c r="D816" s="3" t="s">
        <v>38</v>
      </c>
      <c r="E816" s="4" t="s">
        <v>44</v>
      </c>
      <c r="F816" s="4" t="s">
        <v>45</v>
      </c>
      <c r="G816" s="5"/>
      <c r="H816" s="6">
        <v>40</v>
      </c>
      <c r="I816" s="6">
        <v>55</v>
      </c>
      <c r="J816" s="6" t="s">
        <v>91</v>
      </c>
      <c r="K816" s="6" t="s">
        <v>91</v>
      </c>
      <c r="L816" t="str">
        <f t="shared" si="36"/>
        <v>OK</v>
      </c>
      <c r="M816" t="str">
        <f t="shared" si="37"/>
        <v>OK</v>
      </c>
      <c r="N816" t="str">
        <f t="shared" si="38"/>
        <v>ERRO</v>
      </c>
    </row>
    <row r="817" spans="1:14" ht="43.2" x14ac:dyDescent="0.3">
      <c r="A817">
        <v>57</v>
      </c>
      <c r="B817">
        <v>2024</v>
      </c>
      <c r="C817" s="2">
        <v>45462</v>
      </c>
      <c r="D817" s="7" t="s">
        <v>38</v>
      </c>
      <c r="E817" s="8" t="s">
        <v>48</v>
      </c>
      <c r="F817" s="8" t="s">
        <v>45</v>
      </c>
      <c r="G817" s="9"/>
      <c r="H817" s="10">
        <v>90</v>
      </c>
      <c r="I817" s="10">
        <v>110</v>
      </c>
      <c r="J817" s="10">
        <v>100</v>
      </c>
      <c r="K817" s="10">
        <v>100</v>
      </c>
      <c r="L817" t="str">
        <f t="shared" si="36"/>
        <v>OK</v>
      </c>
      <c r="M817" t="str">
        <f t="shared" si="37"/>
        <v>OK</v>
      </c>
      <c r="N817" t="str">
        <f t="shared" si="38"/>
        <v>OK</v>
      </c>
    </row>
    <row r="818" spans="1:14" ht="43.2" x14ac:dyDescent="0.3">
      <c r="A818">
        <v>57</v>
      </c>
      <c r="B818">
        <v>2024</v>
      </c>
      <c r="C818" s="2">
        <v>45462</v>
      </c>
      <c r="D818" s="3" t="s">
        <v>38</v>
      </c>
      <c r="E818" s="4" t="s">
        <v>49</v>
      </c>
      <c r="F818" s="4" t="s">
        <v>50</v>
      </c>
      <c r="G818" s="6">
        <v>110</v>
      </c>
      <c r="H818" s="6">
        <v>90</v>
      </c>
      <c r="I818" s="6">
        <v>110</v>
      </c>
      <c r="J818" s="6" t="s">
        <v>183</v>
      </c>
      <c r="K818" s="6">
        <v>105</v>
      </c>
      <c r="L818" t="str">
        <f t="shared" si="36"/>
        <v>OK</v>
      </c>
      <c r="M818" t="str">
        <f t="shared" si="37"/>
        <v>OK</v>
      </c>
      <c r="N818" t="str">
        <f t="shared" si="38"/>
        <v>ERRO</v>
      </c>
    </row>
    <row r="819" spans="1:14" ht="43.2" x14ac:dyDescent="0.3">
      <c r="A819">
        <v>57</v>
      </c>
      <c r="B819">
        <v>2024</v>
      </c>
      <c r="C819" s="2">
        <v>45462</v>
      </c>
      <c r="D819" s="7" t="s">
        <v>38</v>
      </c>
      <c r="E819" s="8" t="s">
        <v>52</v>
      </c>
      <c r="F819" s="8" t="s">
        <v>43</v>
      </c>
      <c r="G819" s="10">
        <v>80</v>
      </c>
      <c r="H819" s="10">
        <v>70</v>
      </c>
      <c r="I819" s="10">
        <v>100</v>
      </c>
      <c r="J819" s="10">
        <v>84</v>
      </c>
      <c r="K819" s="10">
        <v>80</v>
      </c>
      <c r="L819" t="str">
        <f t="shared" si="36"/>
        <v>OK</v>
      </c>
      <c r="M819" t="str">
        <f t="shared" si="37"/>
        <v>OK</v>
      </c>
      <c r="N819" t="str">
        <f t="shared" si="38"/>
        <v>OK</v>
      </c>
    </row>
    <row r="820" spans="1:14" ht="43.2" x14ac:dyDescent="0.3">
      <c r="A820">
        <v>57</v>
      </c>
      <c r="B820">
        <v>2024</v>
      </c>
      <c r="C820" s="2">
        <v>45462</v>
      </c>
      <c r="D820" s="3" t="s">
        <v>38</v>
      </c>
      <c r="E820" s="4" t="s">
        <v>53</v>
      </c>
      <c r="F820" s="4" t="s">
        <v>43</v>
      </c>
      <c r="G820" s="5"/>
      <c r="H820" s="6">
        <v>50</v>
      </c>
      <c r="I820" s="6">
        <v>85</v>
      </c>
      <c r="J820" s="6" t="s">
        <v>265</v>
      </c>
      <c r="K820" s="6">
        <v>65</v>
      </c>
      <c r="L820" t="str">
        <f t="shared" si="36"/>
        <v>OK</v>
      </c>
      <c r="M820" t="str">
        <f t="shared" si="37"/>
        <v>OK</v>
      </c>
      <c r="N820" t="str">
        <f t="shared" si="38"/>
        <v>ERRO</v>
      </c>
    </row>
    <row r="821" spans="1:14" ht="43.2" x14ac:dyDescent="0.3">
      <c r="A821">
        <v>57</v>
      </c>
      <c r="B821">
        <v>2024</v>
      </c>
      <c r="C821" s="2">
        <v>45462</v>
      </c>
      <c r="D821" s="7" t="s">
        <v>38</v>
      </c>
      <c r="E821" s="8" t="s">
        <v>54</v>
      </c>
      <c r="F821" s="8" t="s">
        <v>40</v>
      </c>
      <c r="G821" s="10">
        <v>100</v>
      </c>
      <c r="H821" s="10">
        <v>100</v>
      </c>
      <c r="I821" s="10">
        <v>100</v>
      </c>
      <c r="J821" s="10">
        <v>100</v>
      </c>
      <c r="K821" s="10">
        <v>100</v>
      </c>
      <c r="L821" t="str">
        <f t="shared" si="36"/>
        <v>OK</v>
      </c>
      <c r="M821" t="str">
        <f t="shared" si="37"/>
        <v>OK</v>
      </c>
      <c r="N821" t="str">
        <f t="shared" si="38"/>
        <v>OK</v>
      </c>
    </row>
    <row r="822" spans="1:14" ht="43.2" x14ac:dyDescent="0.3">
      <c r="A822">
        <v>57</v>
      </c>
      <c r="B822">
        <v>2024</v>
      </c>
      <c r="C822" s="2">
        <v>45462</v>
      </c>
      <c r="D822" s="3" t="s">
        <v>38</v>
      </c>
      <c r="E822" s="4" t="s">
        <v>56</v>
      </c>
      <c r="F822" s="4" t="s">
        <v>43</v>
      </c>
      <c r="G822" s="5"/>
      <c r="H822" s="6">
        <v>60</v>
      </c>
      <c r="I822" s="6">
        <v>70</v>
      </c>
      <c r="J822" s="6">
        <v>65</v>
      </c>
      <c r="K822" s="6">
        <v>65</v>
      </c>
      <c r="L822" t="str">
        <f t="shared" si="36"/>
        <v>OK</v>
      </c>
      <c r="M822" t="str">
        <f t="shared" si="37"/>
        <v>OK</v>
      </c>
      <c r="N822" t="str">
        <f t="shared" si="38"/>
        <v>OK</v>
      </c>
    </row>
    <row r="823" spans="1:14" ht="43.2" x14ac:dyDescent="0.3">
      <c r="A823">
        <v>57</v>
      </c>
      <c r="B823">
        <v>2024</v>
      </c>
      <c r="C823" s="2">
        <v>45462</v>
      </c>
      <c r="D823" s="7" t="s">
        <v>38</v>
      </c>
      <c r="E823" s="8" t="s">
        <v>57</v>
      </c>
      <c r="F823" s="8" t="s">
        <v>40</v>
      </c>
      <c r="G823" s="10">
        <v>80</v>
      </c>
      <c r="H823" s="10">
        <v>80</v>
      </c>
      <c r="I823" s="10">
        <v>80</v>
      </c>
      <c r="J823" s="10">
        <v>80</v>
      </c>
      <c r="K823" s="10">
        <v>80</v>
      </c>
      <c r="L823" t="str">
        <f t="shared" si="36"/>
        <v>OK</v>
      </c>
      <c r="M823" t="str">
        <f t="shared" si="37"/>
        <v>OK</v>
      </c>
      <c r="N823" t="str">
        <f t="shared" si="38"/>
        <v>OK</v>
      </c>
    </row>
    <row r="824" spans="1:14" ht="43.2" x14ac:dyDescent="0.3">
      <c r="A824">
        <v>57</v>
      </c>
      <c r="B824">
        <v>2024</v>
      </c>
      <c r="C824" s="2">
        <v>45462</v>
      </c>
      <c r="D824" s="3" t="s">
        <v>38</v>
      </c>
      <c r="E824" s="4" t="s">
        <v>58</v>
      </c>
      <c r="F824" s="4" t="s">
        <v>40</v>
      </c>
      <c r="G824" s="6">
        <v>80</v>
      </c>
      <c r="H824" s="6">
        <v>65</v>
      </c>
      <c r="I824" s="6">
        <v>80</v>
      </c>
      <c r="J824" s="6">
        <v>75</v>
      </c>
      <c r="K824" s="6">
        <v>80</v>
      </c>
      <c r="L824" t="str">
        <f t="shared" si="36"/>
        <v>OK</v>
      </c>
      <c r="M824" t="str">
        <f t="shared" si="37"/>
        <v>OK</v>
      </c>
      <c r="N824" t="str">
        <f t="shared" si="38"/>
        <v>OK</v>
      </c>
    </row>
    <row r="825" spans="1:14" ht="43.2" x14ac:dyDescent="0.3">
      <c r="A825">
        <v>57</v>
      </c>
      <c r="B825">
        <v>2024</v>
      </c>
      <c r="C825" s="2">
        <v>45462</v>
      </c>
      <c r="D825" s="7" t="s">
        <v>38</v>
      </c>
      <c r="E825" s="8" t="s">
        <v>59</v>
      </c>
      <c r="F825" s="8" t="s">
        <v>45</v>
      </c>
      <c r="G825" s="10">
        <v>60</v>
      </c>
      <c r="H825" s="10">
        <v>50</v>
      </c>
      <c r="I825" s="10">
        <v>60</v>
      </c>
      <c r="J825" s="10" t="s">
        <v>235</v>
      </c>
      <c r="K825" s="10" t="s">
        <v>41</v>
      </c>
      <c r="L825" t="str">
        <f t="shared" si="36"/>
        <v>OK</v>
      </c>
      <c r="M825" t="str">
        <f t="shared" si="37"/>
        <v>OK</v>
      </c>
      <c r="N825" t="str">
        <f t="shared" si="38"/>
        <v>ERRO</v>
      </c>
    </row>
    <row r="826" spans="1:14" ht="43.2" x14ac:dyDescent="0.3">
      <c r="A826">
        <v>57</v>
      </c>
      <c r="B826">
        <v>2024</v>
      </c>
      <c r="C826" s="2">
        <v>45462</v>
      </c>
      <c r="D826" s="3" t="s">
        <v>38</v>
      </c>
      <c r="E826" s="4" t="s">
        <v>60</v>
      </c>
      <c r="F826" s="4" t="s">
        <v>61</v>
      </c>
      <c r="G826" s="6">
        <v>180</v>
      </c>
      <c r="H826" s="6">
        <v>180</v>
      </c>
      <c r="I826" s="6">
        <v>180</v>
      </c>
      <c r="J826" s="6">
        <v>180</v>
      </c>
      <c r="K826" s="6">
        <v>180</v>
      </c>
      <c r="L826" t="str">
        <f t="shared" si="36"/>
        <v>OK</v>
      </c>
      <c r="M826" t="str">
        <f t="shared" si="37"/>
        <v>OK</v>
      </c>
      <c r="N826" t="str">
        <f t="shared" si="38"/>
        <v>OK</v>
      </c>
    </row>
    <row r="827" spans="1:14" ht="43.2" x14ac:dyDescent="0.3">
      <c r="A827">
        <v>57</v>
      </c>
      <c r="B827">
        <v>2024</v>
      </c>
      <c r="C827" s="2">
        <v>45462</v>
      </c>
      <c r="D827" s="7" t="s">
        <v>38</v>
      </c>
      <c r="E827" s="8" t="s">
        <v>63</v>
      </c>
      <c r="F827" s="8" t="s">
        <v>40</v>
      </c>
      <c r="G827" s="10">
        <v>90</v>
      </c>
      <c r="H827" s="10">
        <v>80</v>
      </c>
      <c r="I827" s="10">
        <v>100</v>
      </c>
      <c r="J827" s="10">
        <v>92</v>
      </c>
      <c r="K827" s="10">
        <v>90</v>
      </c>
      <c r="L827" t="str">
        <f t="shared" si="36"/>
        <v>OK</v>
      </c>
      <c r="M827" t="str">
        <f t="shared" si="37"/>
        <v>OK</v>
      </c>
      <c r="N827" t="str">
        <f t="shared" si="38"/>
        <v>OK</v>
      </c>
    </row>
    <row r="828" spans="1:14" ht="43.2" x14ac:dyDescent="0.3">
      <c r="A828">
        <v>57</v>
      </c>
      <c r="B828">
        <v>2024</v>
      </c>
      <c r="C828" s="2">
        <v>45462</v>
      </c>
      <c r="D828" s="3" t="s">
        <v>38</v>
      </c>
      <c r="E828" s="4" t="s">
        <v>64</v>
      </c>
      <c r="F828" s="4" t="s">
        <v>40</v>
      </c>
      <c r="G828" s="5"/>
      <c r="H828" s="6">
        <v>150</v>
      </c>
      <c r="I828" s="6">
        <v>220</v>
      </c>
      <c r="J828" s="6" t="s">
        <v>266</v>
      </c>
      <c r="K828" s="6">
        <v>160</v>
      </c>
      <c r="L828" t="str">
        <f t="shared" si="36"/>
        <v>OK</v>
      </c>
      <c r="M828" t="str">
        <f t="shared" si="37"/>
        <v>OK</v>
      </c>
      <c r="N828" t="str">
        <f t="shared" si="38"/>
        <v>ERRO</v>
      </c>
    </row>
    <row r="829" spans="1:14" x14ac:dyDescent="0.3">
      <c r="A829">
        <v>57</v>
      </c>
      <c r="B829">
        <v>2024</v>
      </c>
      <c r="C829" s="2">
        <v>45462</v>
      </c>
      <c r="D829" s="7" t="s">
        <v>65</v>
      </c>
      <c r="E829" s="8" t="s">
        <v>66</v>
      </c>
      <c r="F829" s="8" t="s">
        <v>45</v>
      </c>
      <c r="G829" s="9"/>
      <c r="H829" s="10">
        <v>120</v>
      </c>
      <c r="I829" s="10">
        <v>120</v>
      </c>
      <c r="J829" s="10">
        <v>120</v>
      </c>
      <c r="K829" s="10">
        <v>120</v>
      </c>
      <c r="L829" t="str">
        <f t="shared" si="36"/>
        <v>OK</v>
      </c>
      <c r="M829" t="str">
        <f t="shared" si="37"/>
        <v>OK</v>
      </c>
      <c r="N829" t="str">
        <f t="shared" si="38"/>
        <v>OK</v>
      </c>
    </row>
    <row r="830" spans="1:14" x14ac:dyDescent="0.3">
      <c r="A830">
        <v>57</v>
      </c>
      <c r="B830">
        <v>2024</v>
      </c>
      <c r="C830" s="2">
        <v>45462</v>
      </c>
      <c r="D830" s="3" t="s">
        <v>65</v>
      </c>
      <c r="E830" s="4" t="s">
        <v>67</v>
      </c>
      <c r="F830" s="4" t="s">
        <v>45</v>
      </c>
      <c r="G830" s="5"/>
      <c r="H830" s="5"/>
      <c r="I830" s="5"/>
      <c r="J830" s="5"/>
      <c r="K830" s="5"/>
      <c r="L830" t="str">
        <f t="shared" si="36"/>
        <v>OK</v>
      </c>
      <c r="M830" t="str">
        <f t="shared" si="37"/>
        <v>OK</v>
      </c>
      <c r="N830" t="str">
        <f t="shared" si="38"/>
        <v>OK</v>
      </c>
    </row>
    <row r="831" spans="1:14" x14ac:dyDescent="0.3">
      <c r="A831">
        <v>57</v>
      </c>
      <c r="B831">
        <v>2024</v>
      </c>
      <c r="C831" s="2">
        <v>45462</v>
      </c>
      <c r="D831" s="7" t="s">
        <v>65</v>
      </c>
      <c r="E831" s="8" t="s">
        <v>68</v>
      </c>
      <c r="F831" s="8" t="s">
        <v>45</v>
      </c>
      <c r="G831" s="9"/>
      <c r="H831" s="9"/>
      <c r="I831" s="9"/>
      <c r="J831" s="9"/>
      <c r="K831" s="9"/>
      <c r="L831" t="str">
        <f t="shared" si="36"/>
        <v>OK</v>
      </c>
      <c r="M831" t="str">
        <f t="shared" si="37"/>
        <v>OK</v>
      </c>
      <c r="N831" t="str">
        <f t="shared" si="38"/>
        <v>OK</v>
      </c>
    </row>
    <row r="832" spans="1:14" x14ac:dyDescent="0.3">
      <c r="A832">
        <v>57</v>
      </c>
      <c r="B832">
        <v>2024</v>
      </c>
      <c r="C832" s="2">
        <v>45462</v>
      </c>
      <c r="D832" s="3" t="s">
        <v>65</v>
      </c>
      <c r="E832" s="4" t="s">
        <v>69</v>
      </c>
      <c r="F832" s="4" t="s">
        <v>45</v>
      </c>
      <c r="G832" s="5"/>
      <c r="H832" s="6">
        <v>50</v>
      </c>
      <c r="I832" s="6">
        <v>50</v>
      </c>
      <c r="J832" s="6">
        <v>50</v>
      </c>
      <c r="K832" s="6">
        <v>50</v>
      </c>
      <c r="L832" t="str">
        <f t="shared" si="36"/>
        <v>OK</v>
      </c>
      <c r="M832" t="str">
        <f t="shared" si="37"/>
        <v>OK</v>
      </c>
      <c r="N832" t="str">
        <f t="shared" si="38"/>
        <v>OK</v>
      </c>
    </row>
    <row r="833" spans="1:14" x14ac:dyDescent="0.3">
      <c r="A833">
        <v>57</v>
      </c>
      <c r="B833">
        <v>2024</v>
      </c>
      <c r="C833" s="2">
        <v>45462</v>
      </c>
      <c r="D833" s="7" t="s">
        <v>65</v>
      </c>
      <c r="E833" s="8" t="s">
        <v>70</v>
      </c>
      <c r="F833" s="8" t="s">
        <v>71</v>
      </c>
      <c r="G833" s="9"/>
      <c r="H833" s="10">
        <v>60</v>
      </c>
      <c r="I833" s="10">
        <v>60</v>
      </c>
      <c r="J833" s="10">
        <v>60</v>
      </c>
      <c r="K833" s="10">
        <v>60</v>
      </c>
      <c r="L833" t="str">
        <f t="shared" si="36"/>
        <v>OK</v>
      </c>
      <c r="M833" t="str">
        <f t="shared" si="37"/>
        <v>OK</v>
      </c>
      <c r="N833" t="str">
        <f t="shared" si="38"/>
        <v>OK</v>
      </c>
    </row>
    <row r="834" spans="1:14" ht="28.8" x14ac:dyDescent="0.3">
      <c r="A834">
        <v>58</v>
      </c>
      <c r="B834">
        <v>2024</v>
      </c>
      <c r="C834" s="2">
        <v>45469</v>
      </c>
      <c r="D834" s="3" t="s">
        <v>11</v>
      </c>
      <c r="E834" s="4" t="s">
        <v>12</v>
      </c>
      <c r="F834" s="4" t="s">
        <v>13</v>
      </c>
      <c r="G834" s="6">
        <v>60</v>
      </c>
      <c r="H834" s="6">
        <v>60</v>
      </c>
      <c r="I834" s="6">
        <v>60</v>
      </c>
      <c r="J834" s="6">
        <v>60</v>
      </c>
      <c r="K834" s="6">
        <v>60</v>
      </c>
      <c r="L834" t="str">
        <f t="shared" si="36"/>
        <v>OK</v>
      </c>
      <c r="M834" t="str">
        <f t="shared" si="37"/>
        <v>OK</v>
      </c>
      <c r="N834" t="str">
        <f t="shared" si="38"/>
        <v>OK</v>
      </c>
    </row>
    <row r="835" spans="1:14" ht="28.8" x14ac:dyDescent="0.3">
      <c r="A835">
        <v>58</v>
      </c>
      <c r="B835">
        <v>2024</v>
      </c>
      <c r="C835" s="2">
        <v>45469</v>
      </c>
      <c r="D835" s="7" t="s">
        <v>11</v>
      </c>
      <c r="E835" s="8" t="s">
        <v>14</v>
      </c>
      <c r="F835" s="8" t="s">
        <v>13</v>
      </c>
      <c r="G835" s="10">
        <v>84</v>
      </c>
      <c r="H835" s="10">
        <v>84</v>
      </c>
      <c r="I835" s="10">
        <v>84</v>
      </c>
      <c r="J835" s="10">
        <v>84</v>
      </c>
      <c r="K835" s="10">
        <v>84</v>
      </c>
      <c r="L835" t="str">
        <f t="shared" ref="L835:L898" si="39">IF(H835&gt;I835,"ERRO","OK")</f>
        <v>OK</v>
      </c>
      <c r="M835" t="str">
        <f t="shared" ref="M835:M898" si="40">IF(H835&gt;J835,"ERRO","OK")</f>
        <v>OK</v>
      </c>
      <c r="N835" t="str">
        <f t="shared" ref="N835:N898" si="41">IF(I835&lt;J835,"ERRO","OK")</f>
        <v>OK</v>
      </c>
    </row>
    <row r="836" spans="1:14" ht="28.8" x14ac:dyDescent="0.3">
      <c r="A836">
        <v>58</v>
      </c>
      <c r="B836">
        <v>2024</v>
      </c>
      <c r="C836" s="2">
        <v>45469</v>
      </c>
      <c r="D836" s="3" t="s">
        <v>11</v>
      </c>
      <c r="E836" s="4" t="s">
        <v>15</v>
      </c>
      <c r="F836" s="4" t="s">
        <v>13</v>
      </c>
      <c r="G836" s="5"/>
      <c r="H836" s="6">
        <v>36</v>
      </c>
      <c r="I836" s="6">
        <v>40</v>
      </c>
      <c r="J836" s="6">
        <v>38</v>
      </c>
      <c r="K836" s="6">
        <v>38</v>
      </c>
      <c r="L836" t="str">
        <f t="shared" si="39"/>
        <v>OK</v>
      </c>
      <c r="M836" t="str">
        <f t="shared" si="40"/>
        <v>OK</v>
      </c>
      <c r="N836" t="str">
        <f t="shared" si="41"/>
        <v>OK</v>
      </c>
    </row>
    <row r="837" spans="1:14" ht="28.8" x14ac:dyDescent="0.3">
      <c r="A837">
        <v>58</v>
      </c>
      <c r="B837">
        <v>2024</v>
      </c>
      <c r="C837" s="2">
        <v>45469</v>
      </c>
      <c r="D837" s="7" t="s">
        <v>11</v>
      </c>
      <c r="E837" s="8" t="s">
        <v>16</v>
      </c>
      <c r="F837" s="8" t="s">
        <v>13</v>
      </c>
      <c r="G837" s="9"/>
      <c r="H837" s="10">
        <v>20</v>
      </c>
      <c r="I837" s="10">
        <v>24</v>
      </c>
      <c r="J837" s="10">
        <v>22</v>
      </c>
      <c r="K837" s="10">
        <v>22</v>
      </c>
      <c r="L837" t="str">
        <f t="shared" si="39"/>
        <v>OK</v>
      </c>
      <c r="M837" t="str">
        <f t="shared" si="40"/>
        <v>OK</v>
      </c>
      <c r="N837" t="str">
        <f t="shared" si="41"/>
        <v>OK</v>
      </c>
    </row>
    <row r="838" spans="1:14" ht="28.8" x14ac:dyDescent="0.3">
      <c r="A838">
        <v>58</v>
      </c>
      <c r="B838">
        <v>2024</v>
      </c>
      <c r="C838" s="2">
        <v>45469</v>
      </c>
      <c r="D838" s="3" t="s">
        <v>11</v>
      </c>
      <c r="E838" s="4" t="s">
        <v>17</v>
      </c>
      <c r="F838" s="4" t="s">
        <v>13</v>
      </c>
      <c r="G838" s="5"/>
      <c r="H838" s="6">
        <v>20</v>
      </c>
      <c r="I838" s="6">
        <v>24</v>
      </c>
      <c r="J838" s="6">
        <v>22</v>
      </c>
      <c r="K838" s="6">
        <v>22</v>
      </c>
      <c r="L838" t="str">
        <f t="shared" si="39"/>
        <v>OK</v>
      </c>
      <c r="M838" t="str">
        <f t="shared" si="40"/>
        <v>OK</v>
      </c>
      <c r="N838" t="str">
        <f t="shared" si="41"/>
        <v>OK</v>
      </c>
    </row>
    <row r="839" spans="1:14" ht="28.8" x14ac:dyDescent="0.3">
      <c r="A839">
        <v>58</v>
      </c>
      <c r="B839">
        <v>2024</v>
      </c>
      <c r="C839" s="2">
        <v>45469</v>
      </c>
      <c r="D839" s="7" t="s">
        <v>11</v>
      </c>
      <c r="E839" s="8" t="s">
        <v>18</v>
      </c>
      <c r="F839" s="8" t="s">
        <v>13</v>
      </c>
      <c r="G839" s="10">
        <v>60</v>
      </c>
      <c r="H839" s="10">
        <v>60</v>
      </c>
      <c r="I839" s="10">
        <v>60</v>
      </c>
      <c r="J839" s="10">
        <v>60</v>
      </c>
      <c r="K839" s="10">
        <v>60</v>
      </c>
      <c r="L839" t="str">
        <f t="shared" si="39"/>
        <v>OK</v>
      </c>
      <c r="M839" t="str">
        <f t="shared" si="40"/>
        <v>OK</v>
      </c>
      <c r="N839" t="str">
        <f t="shared" si="41"/>
        <v>OK</v>
      </c>
    </row>
    <row r="840" spans="1:14" ht="28.8" x14ac:dyDescent="0.3">
      <c r="A840">
        <v>58</v>
      </c>
      <c r="B840">
        <v>2024</v>
      </c>
      <c r="C840" s="2">
        <v>45469</v>
      </c>
      <c r="D840" s="3" t="s">
        <v>11</v>
      </c>
      <c r="E840" s="4" t="s">
        <v>19</v>
      </c>
      <c r="F840" s="4" t="s">
        <v>13</v>
      </c>
      <c r="G840" s="6">
        <v>84</v>
      </c>
      <c r="H840" s="6">
        <v>60</v>
      </c>
      <c r="I840" s="6">
        <v>84</v>
      </c>
      <c r="J840" s="6">
        <v>76</v>
      </c>
      <c r="K840" s="6">
        <v>84</v>
      </c>
      <c r="L840" t="str">
        <f t="shared" si="39"/>
        <v>OK</v>
      </c>
      <c r="M840" t="str">
        <f t="shared" si="40"/>
        <v>OK</v>
      </c>
      <c r="N840" t="str">
        <f t="shared" si="41"/>
        <v>OK</v>
      </c>
    </row>
    <row r="841" spans="1:14" ht="28.8" x14ac:dyDescent="0.3">
      <c r="A841">
        <v>58</v>
      </c>
      <c r="B841">
        <v>2024</v>
      </c>
      <c r="C841" s="2">
        <v>45469</v>
      </c>
      <c r="D841" s="7" t="s">
        <v>11</v>
      </c>
      <c r="E841" s="8" t="s">
        <v>20</v>
      </c>
      <c r="F841" s="8" t="s">
        <v>13</v>
      </c>
      <c r="G841" s="9"/>
      <c r="H841" s="10">
        <v>84</v>
      </c>
      <c r="I841" s="10">
        <v>96</v>
      </c>
      <c r="J841" s="10">
        <v>90</v>
      </c>
      <c r="K841" s="10">
        <v>90</v>
      </c>
      <c r="L841" t="str">
        <f t="shared" si="39"/>
        <v>OK</v>
      </c>
      <c r="M841" t="str">
        <f t="shared" si="40"/>
        <v>OK</v>
      </c>
      <c r="N841" t="str">
        <f t="shared" si="41"/>
        <v>OK</v>
      </c>
    </row>
    <row r="842" spans="1:14" ht="28.8" x14ac:dyDescent="0.3">
      <c r="A842">
        <v>58</v>
      </c>
      <c r="B842">
        <v>2024</v>
      </c>
      <c r="C842" s="2">
        <v>45469</v>
      </c>
      <c r="D842" s="3" t="s">
        <v>11</v>
      </c>
      <c r="E842" s="4" t="s">
        <v>21</v>
      </c>
      <c r="F842" s="4" t="s">
        <v>13</v>
      </c>
      <c r="G842" s="6">
        <v>24</v>
      </c>
      <c r="H842" s="6">
        <v>24</v>
      </c>
      <c r="I842" s="6">
        <v>30</v>
      </c>
      <c r="J842" s="6">
        <v>26</v>
      </c>
      <c r="K842" s="6">
        <v>24</v>
      </c>
      <c r="L842" t="str">
        <f t="shared" si="39"/>
        <v>OK</v>
      </c>
      <c r="M842" t="str">
        <f t="shared" si="40"/>
        <v>OK</v>
      </c>
      <c r="N842" t="str">
        <f t="shared" si="41"/>
        <v>OK</v>
      </c>
    </row>
    <row r="843" spans="1:14" ht="28.8" x14ac:dyDescent="0.3">
      <c r="A843">
        <v>58</v>
      </c>
      <c r="B843">
        <v>2024</v>
      </c>
      <c r="C843" s="2">
        <v>45469</v>
      </c>
      <c r="D843" s="7" t="s">
        <v>11</v>
      </c>
      <c r="E843" s="8" t="s">
        <v>73</v>
      </c>
      <c r="F843" s="8" t="s">
        <v>13</v>
      </c>
      <c r="G843" s="9"/>
      <c r="H843" s="10">
        <v>84</v>
      </c>
      <c r="I843" s="10">
        <v>96</v>
      </c>
      <c r="J843" s="10">
        <v>90</v>
      </c>
      <c r="K843" s="10">
        <v>90</v>
      </c>
      <c r="L843" t="str">
        <f t="shared" si="39"/>
        <v>OK</v>
      </c>
      <c r="M843" t="str">
        <f t="shared" si="40"/>
        <v>OK</v>
      </c>
      <c r="N843" t="str">
        <f t="shared" si="41"/>
        <v>OK</v>
      </c>
    </row>
    <row r="844" spans="1:14" ht="28.8" x14ac:dyDescent="0.3">
      <c r="A844">
        <v>58</v>
      </c>
      <c r="B844">
        <v>2024</v>
      </c>
      <c r="C844" s="2">
        <v>45469</v>
      </c>
      <c r="D844" s="3" t="s">
        <v>11</v>
      </c>
      <c r="E844" s="4" t="s">
        <v>23</v>
      </c>
      <c r="F844" s="4" t="s">
        <v>13</v>
      </c>
      <c r="G844" s="5"/>
      <c r="H844" s="6">
        <v>20</v>
      </c>
      <c r="I844" s="6">
        <v>24</v>
      </c>
      <c r="J844" s="6">
        <v>22</v>
      </c>
      <c r="K844" s="6">
        <v>22</v>
      </c>
      <c r="L844" t="str">
        <f t="shared" si="39"/>
        <v>OK</v>
      </c>
      <c r="M844" t="str">
        <f t="shared" si="40"/>
        <v>OK</v>
      </c>
      <c r="N844" t="str">
        <f t="shared" si="41"/>
        <v>OK</v>
      </c>
    </row>
    <row r="845" spans="1:14" ht="28.8" x14ac:dyDescent="0.3">
      <c r="A845">
        <v>58</v>
      </c>
      <c r="B845">
        <v>2024</v>
      </c>
      <c r="C845" s="2">
        <v>45469</v>
      </c>
      <c r="D845" s="7" t="s">
        <v>11</v>
      </c>
      <c r="E845" s="8" t="s">
        <v>24</v>
      </c>
      <c r="F845" s="8" t="s">
        <v>13</v>
      </c>
      <c r="G845" s="10">
        <v>72</v>
      </c>
      <c r="H845" s="10">
        <v>72</v>
      </c>
      <c r="I845" s="10">
        <v>72</v>
      </c>
      <c r="J845" s="10">
        <v>72</v>
      </c>
      <c r="K845" s="10">
        <v>72</v>
      </c>
      <c r="L845" t="str">
        <f t="shared" si="39"/>
        <v>OK</v>
      </c>
      <c r="M845" t="str">
        <f t="shared" si="40"/>
        <v>OK</v>
      </c>
      <c r="N845" t="str">
        <f t="shared" si="41"/>
        <v>OK</v>
      </c>
    </row>
    <row r="846" spans="1:14" ht="28.8" x14ac:dyDescent="0.3">
      <c r="A846">
        <v>58</v>
      </c>
      <c r="B846">
        <v>2024</v>
      </c>
      <c r="C846" s="2">
        <v>45469</v>
      </c>
      <c r="D846" s="3" t="s">
        <v>11</v>
      </c>
      <c r="E846" s="4" t="s">
        <v>25</v>
      </c>
      <c r="F846" s="4" t="s">
        <v>26</v>
      </c>
      <c r="G846" s="5"/>
      <c r="H846" s="6">
        <v>60</v>
      </c>
      <c r="I846" s="6">
        <v>72</v>
      </c>
      <c r="J846" s="6">
        <v>66</v>
      </c>
      <c r="K846" s="6">
        <v>66</v>
      </c>
      <c r="L846" t="str">
        <f t="shared" si="39"/>
        <v>OK</v>
      </c>
      <c r="M846" t="str">
        <f t="shared" si="40"/>
        <v>OK</v>
      </c>
      <c r="N846" t="str">
        <f t="shared" si="41"/>
        <v>OK</v>
      </c>
    </row>
    <row r="847" spans="1:14" ht="28.8" x14ac:dyDescent="0.3">
      <c r="A847">
        <v>58</v>
      </c>
      <c r="B847">
        <v>2024</v>
      </c>
      <c r="C847" s="2">
        <v>45469</v>
      </c>
      <c r="D847" s="7" t="s">
        <v>11</v>
      </c>
      <c r="E847" s="8" t="s">
        <v>27</v>
      </c>
      <c r="F847" s="8" t="s">
        <v>13</v>
      </c>
      <c r="G847" s="9"/>
      <c r="H847" s="10">
        <v>65</v>
      </c>
      <c r="I847" s="10">
        <v>72</v>
      </c>
      <c r="J847" s="10" t="s">
        <v>267</v>
      </c>
      <c r="K847" s="10" t="s">
        <v>267</v>
      </c>
      <c r="L847" t="str">
        <f t="shared" si="39"/>
        <v>OK</v>
      </c>
      <c r="M847" t="str">
        <f t="shared" si="40"/>
        <v>OK</v>
      </c>
      <c r="N847" t="str">
        <f t="shared" si="41"/>
        <v>ERRO</v>
      </c>
    </row>
    <row r="848" spans="1:14" ht="28.8" x14ac:dyDescent="0.3">
      <c r="A848">
        <v>58</v>
      </c>
      <c r="B848">
        <v>2024</v>
      </c>
      <c r="C848" s="2">
        <v>45469</v>
      </c>
      <c r="D848" s="3" t="s">
        <v>11</v>
      </c>
      <c r="E848" s="4" t="s">
        <v>28</v>
      </c>
      <c r="F848" s="4" t="s">
        <v>13</v>
      </c>
      <c r="G848" s="6">
        <v>60</v>
      </c>
      <c r="H848" s="6">
        <v>50</v>
      </c>
      <c r="I848" s="6">
        <v>60</v>
      </c>
      <c r="J848" s="6" t="s">
        <v>55</v>
      </c>
      <c r="K848" s="6">
        <v>60</v>
      </c>
      <c r="L848" t="str">
        <f t="shared" si="39"/>
        <v>OK</v>
      </c>
      <c r="M848" t="str">
        <f t="shared" si="40"/>
        <v>OK</v>
      </c>
      <c r="N848" t="str">
        <f t="shared" si="41"/>
        <v>ERRO</v>
      </c>
    </row>
    <row r="849" spans="1:14" ht="28.8" x14ac:dyDescent="0.3">
      <c r="A849">
        <v>58</v>
      </c>
      <c r="B849">
        <v>2024</v>
      </c>
      <c r="C849" s="2">
        <v>45469</v>
      </c>
      <c r="D849" s="7" t="s">
        <v>11</v>
      </c>
      <c r="E849" s="8" t="s">
        <v>29</v>
      </c>
      <c r="F849" s="8" t="s">
        <v>13</v>
      </c>
      <c r="G849" s="9"/>
      <c r="H849" s="10">
        <v>54</v>
      </c>
      <c r="I849" s="10">
        <v>72</v>
      </c>
      <c r="J849" s="10">
        <v>62</v>
      </c>
      <c r="K849" s="10">
        <v>60</v>
      </c>
      <c r="L849" t="str">
        <f t="shared" si="39"/>
        <v>OK</v>
      </c>
      <c r="M849" t="str">
        <f t="shared" si="40"/>
        <v>OK</v>
      </c>
      <c r="N849" t="str">
        <f t="shared" si="41"/>
        <v>OK</v>
      </c>
    </row>
    <row r="850" spans="1:14" ht="28.8" x14ac:dyDescent="0.3">
      <c r="A850">
        <v>58</v>
      </c>
      <c r="B850">
        <v>2024</v>
      </c>
      <c r="C850" s="2">
        <v>45469</v>
      </c>
      <c r="D850" s="3" t="s">
        <v>30</v>
      </c>
      <c r="E850" s="4" t="s">
        <v>31</v>
      </c>
      <c r="F850" s="4" t="s">
        <v>32</v>
      </c>
      <c r="G850" s="6">
        <v>5</v>
      </c>
      <c r="H850" s="6">
        <v>5</v>
      </c>
      <c r="I850" s="6">
        <v>5</v>
      </c>
      <c r="J850" s="6">
        <v>5</v>
      </c>
      <c r="K850" s="6">
        <v>5</v>
      </c>
      <c r="L850" t="str">
        <f t="shared" si="39"/>
        <v>OK</v>
      </c>
      <c r="M850" t="str">
        <f t="shared" si="40"/>
        <v>OK</v>
      </c>
      <c r="N850" t="str">
        <f t="shared" si="41"/>
        <v>OK</v>
      </c>
    </row>
    <row r="851" spans="1:14" ht="28.8" x14ac:dyDescent="0.3">
      <c r="A851">
        <v>58</v>
      </c>
      <c r="B851">
        <v>2024</v>
      </c>
      <c r="C851" s="2">
        <v>45469</v>
      </c>
      <c r="D851" s="7" t="s">
        <v>30</v>
      </c>
      <c r="E851" s="8" t="s">
        <v>34</v>
      </c>
      <c r="F851" s="8" t="s">
        <v>35</v>
      </c>
      <c r="G851" s="10">
        <v>20</v>
      </c>
      <c r="H851" s="10">
        <v>20</v>
      </c>
      <c r="I851" s="10">
        <v>20</v>
      </c>
      <c r="J851" s="10">
        <v>20</v>
      </c>
      <c r="K851" s="10">
        <v>20</v>
      </c>
      <c r="L851" t="str">
        <f t="shared" si="39"/>
        <v>OK</v>
      </c>
      <c r="M851" t="str">
        <f t="shared" si="40"/>
        <v>OK</v>
      </c>
      <c r="N851" t="str">
        <f t="shared" si="41"/>
        <v>OK</v>
      </c>
    </row>
    <row r="852" spans="1:14" ht="28.8" x14ac:dyDescent="0.3">
      <c r="A852">
        <v>58</v>
      </c>
      <c r="B852">
        <v>2024</v>
      </c>
      <c r="C852" s="2">
        <v>45469</v>
      </c>
      <c r="D852" s="3" t="s">
        <v>30</v>
      </c>
      <c r="E852" s="4" t="s">
        <v>36</v>
      </c>
      <c r="F852" s="4" t="s">
        <v>35</v>
      </c>
      <c r="G852" s="5"/>
      <c r="H852" s="6">
        <v>15</v>
      </c>
      <c r="I852" s="6">
        <v>35</v>
      </c>
      <c r="J852" s="6">
        <v>25</v>
      </c>
      <c r="K852" s="6">
        <v>25</v>
      </c>
      <c r="L852" t="str">
        <f t="shared" si="39"/>
        <v>OK</v>
      </c>
      <c r="M852" t="str">
        <f t="shared" si="40"/>
        <v>OK</v>
      </c>
      <c r="N852" t="str">
        <f t="shared" si="41"/>
        <v>OK</v>
      </c>
    </row>
    <row r="853" spans="1:14" ht="43.2" x14ac:dyDescent="0.3">
      <c r="A853">
        <v>58</v>
      </c>
      <c r="B853">
        <v>2024</v>
      </c>
      <c r="C853" s="2">
        <v>45469</v>
      </c>
      <c r="D853" s="7" t="s">
        <v>38</v>
      </c>
      <c r="E853" s="8" t="s">
        <v>153</v>
      </c>
      <c r="F853" s="8" t="s">
        <v>154</v>
      </c>
      <c r="G853" s="9"/>
      <c r="H853" s="10">
        <v>70</v>
      </c>
      <c r="I853" s="10">
        <v>90</v>
      </c>
      <c r="J853" s="10">
        <v>80</v>
      </c>
      <c r="K853" s="10">
        <v>80</v>
      </c>
      <c r="L853" t="str">
        <f t="shared" si="39"/>
        <v>OK</v>
      </c>
      <c r="M853" t="str">
        <f t="shared" si="40"/>
        <v>OK</v>
      </c>
      <c r="N853" t="str">
        <f t="shared" si="41"/>
        <v>OK</v>
      </c>
    </row>
    <row r="854" spans="1:14" ht="43.2" x14ac:dyDescent="0.3">
      <c r="A854">
        <v>58</v>
      </c>
      <c r="B854">
        <v>2024</v>
      </c>
      <c r="C854" s="2">
        <v>45469</v>
      </c>
      <c r="D854" s="3" t="s">
        <v>38</v>
      </c>
      <c r="E854" s="4" t="s">
        <v>39</v>
      </c>
      <c r="F854" s="4" t="s">
        <v>40</v>
      </c>
      <c r="G854" s="6">
        <v>45</v>
      </c>
      <c r="H854" s="6">
        <v>40</v>
      </c>
      <c r="I854" s="6">
        <v>100</v>
      </c>
      <c r="J854" s="6" t="s">
        <v>242</v>
      </c>
      <c r="K854" s="6">
        <v>45</v>
      </c>
      <c r="L854" t="str">
        <f t="shared" si="39"/>
        <v>OK</v>
      </c>
      <c r="M854" t="str">
        <f t="shared" si="40"/>
        <v>OK</v>
      </c>
      <c r="N854" t="str">
        <f t="shared" si="41"/>
        <v>ERRO</v>
      </c>
    </row>
    <row r="855" spans="1:14" ht="43.2" x14ac:dyDescent="0.3">
      <c r="A855">
        <v>58</v>
      </c>
      <c r="B855">
        <v>2024</v>
      </c>
      <c r="C855" s="2">
        <v>45469</v>
      </c>
      <c r="D855" s="7" t="s">
        <v>38</v>
      </c>
      <c r="E855" s="8" t="s">
        <v>42</v>
      </c>
      <c r="F855" s="8" t="s">
        <v>43</v>
      </c>
      <c r="G855" s="10">
        <v>65</v>
      </c>
      <c r="H855" s="10">
        <v>45</v>
      </c>
      <c r="I855" s="10">
        <v>70</v>
      </c>
      <c r="J855" s="10" t="s">
        <v>268</v>
      </c>
      <c r="K855" s="10" t="s">
        <v>80</v>
      </c>
      <c r="L855" t="str">
        <f t="shared" si="39"/>
        <v>OK</v>
      </c>
      <c r="M855" t="str">
        <f t="shared" si="40"/>
        <v>OK</v>
      </c>
      <c r="N855" t="str">
        <f t="shared" si="41"/>
        <v>ERRO</v>
      </c>
    </row>
    <row r="856" spans="1:14" ht="43.2" x14ac:dyDescent="0.3">
      <c r="A856">
        <v>58</v>
      </c>
      <c r="B856">
        <v>2024</v>
      </c>
      <c r="C856" s="2">
        <v>45469</v>
      </c>
      <c r="D856" s="3" t="s">
        <v>38</v>
      </c>
      <c r="E856" s="4" t="s">
        <v>44</v>
      </c>
      <c r="F856" s="4" t="s">
        <v>45</v>
      </c>
      <c r="G856" s="6">
        <v>40</v>
      </c>
      <c r="H856" s="6">
        <v>40</v>
      </c>
      <c r="I856" s="6">
        <v>55</v>
      </c>
      <c r="J856" s="6" t="s">
        <v>90</v>
      </c>
      <c r="K856" s="6">
        <v>45</v>
      </c>
      <c r="L856" t="str">
        <f t="shared" si="39"/>
        <v>OK</v>
      </c>
      <c r="M856" t="str">
        <f t="shared" si="40"/>
        <v>OK</v>
      </c>
      <c r="N856" t="str">
        <f t="shared" si="41"/>
        <v>ERRO</v>
      </c>
    </row>
    <row r="857" spans="1:14" ht="43.2" x14ac:dyDescent="0.3">
      <c r="A857">
        <v>58</v>
      </c>
      <c r="B857">
        <v>2024</v>
      </c>
      <c r="C857" s="2">
        <v>45469</v>
      </c>
      <c r="D857" s="7" t="s">
        <v>38</v>
      </c>
      <c r="E857" s="8" t="s">
        <v>48</v>
      </c>
      <c r="F857" s="8" t="s">
        <v>45</v>
      </c>
      <c r="G857" s="9"/>
      <c r="H857" s="10">
        <v>45</v>
      </c>
      <c r="I857" s="10">
        <v>115</v>
      </c>
      <c r="J857" s="10" t="s">
        <v>155</v>
      </c>
      <c r="K857" s="10" t="s">
        <v>134</v>
      </c>
      <c r="L857" t="str">
        <f t="shared" si="39"/>
        <v>OK</v>
      </c>
      <c r="M857" t="str">
        <f t="shared" si="40"/>
        <v>OK</v>
      </c>
      <c r="N857" t="str">
        <f t="shared" si="41"/>
        <v>ERRO</v>
      </c>
    </row>
    <row r="858" spans="1:14" ht="43.2" x14ac:dyDescent="0.3">
      <c r="A858">
        <v>58</v>
      </c>
      <c r="B858">
        <v>2024</v>
      </c>
      <c r="C858" s="2">
        <v>45469</v>
      </c>
      <c r="D858" s="3" t="s">
        <v>38</v>
      </c>
      <c r="E858" s="4" t="s">
        <v>49</v>
      </c>
      <c r="F858" s="4" t="s">
        <v>50</v>
      </c>
      <c r="G858" s="6">
        <v>80</v>
      </c>
      <c r="H858" s="6">
        <v>70</v>
      </c>
      <c r="I858" s="6">
        <v>100</v>
      </c>
      <c r="J858" s="6">
        <v>85</v>
      </c>
      <c r="K858" s="6">
        <v>80</v>
      </c>
      <c r="L858" t="str">
        <f t="shared" si="39"/>
        <v>OK</v>
      </c>
      <c r="M858" t="str">
        <f t="shared" si="40"/>
        <v>OK</v>
      </c>
      <c r="N858" t="str">
        <f t="shared" si="41"/>
        <v>OK</v>
      </c>
    </row>
    <row r="859" spans="1:14" ht="43.2" x14ac:dyDescent="0.3">
      <c r="A859">
        <v>58</v>
      </c>
      <c r="B859">
        <v>2024</v>
      </c>
      <c r="C859" s="2">
        <v>45469</v>
      </c>
      <c r="D859" s="7" t="s">
        <v>38</v>
      </c>
      <c r="E859" s="8" t="s">
        <v>52</v>
      </c>
      <c r="F859" s="8" t="s">
        <v>43</v>
      </c>
      <c r="G859" s="10">
        <v>90</v>
      </c>
      <c r="H859" s="10">
        <v>65</v>
      </c>
      <c r="I859" s="10">
        <v>90</v>
      </c>
      <c r="J859" s="10">
        <v>81</v>
      </c>
      <c r="K859" s="10">
        <v>90</v>
      </c>
      <c r="L859" t="str">
        <f t="shared" si="39"/>
        <v>OK</v>
      </c>
      <c r="M859" t="str">
        <f t="shared" si="40"/>
        <v>OK</v>
      </c>
      <c r="N859" t="str">
        <f t="shared" si="41"/>
        <v>OK</v>
      </c>
    </row>
    <row r="860" spans="1:14" ht="43.2" x14ac:dyDescent="0.3">
      <c r="A860">
        <v>58</v>
      </c>
      <c r="B860">
        <v>2024</v>
      </c>
      <c r="C860" s="2">
        <v>45469</v>
      </c>
      <c r="D860" s="3" t="s">
        <v>38</v>
      </c>
      <c r="E860" s="4" t="s">
        <v>53</v>
      </c>
      <c r="F860" s="4" t="s">
        <v>43</v>
      </c>
      <c r="G860" s="5"/>
      <c r="H860" s="6">
        <v>55</v>
      </c>
      <c r="I860" s="6">
        <v>80</v>
      </c>
      <c r="J860" s="6" t="s">
        <v>265</v>
      </c>
      <c r="K860" s="6">
        <v>65</v>
      </c>
      <c r="L860" t="str">
        <f t="shared" si="39"/>
        <v>OK</v>
      </c>
      <c r="M860" t="str">
        <f t="shared" si="40"/>
        <v>OK</v>
      </c>
      <c r="N860" t="str">
        <f t="shared" si="41"/>
        <v>ERRO</v>
      </c>
    </row>
    <row r="861" spans="1:14" ht="43.2" x14ac:dyDescent="0.3">
      <c r="A861">
        <v>58</v>
      </c>
      <c r="B861">
        <v>2024</v>
      </c>
      <c r="C861" s="2">
        <v>45469</v>
      </c>
      <c r="D861" s="7" t="s">
        <v>38</v>
      </c>
      <c r="E861" s="8" t="s">
        <v>54</v>
      </c>
      <c r="F861" s="8" t="s">
        <v>40</v>
      </c>
      <c r="G861" s="10">
        <v>100</v>
      </c>
      <c r="H861" s="10">
        <v>80</v>
      </c>
      <c r="I861" s="10">
        <v>100</v>
      </c>
      <c r="J861" s="10">
        <v>95</v>
      </c>
      <c r="K861" s="10">
        <v>100</v>
      </c>
      <c r="L861" t="str">
        <f t="shared" si="39"/>
        <v>OK</v>
      </c>
      <c r="M861" t="str">
        <f t="shared" si="40"/>
        <v>OK</v>
      </c>
      <c r="N861" t="str">
        <f t="shared" si="41"/>
        <v>OK</v>
      </c>
    </row>
    <row r="862" spans="1:14" ht="43.2" x14ac:dyDescent="0.3">
      <c r="A862">
        <v>58</v>
      </c>
      <c r="B862">
        <v>2024</v>
      </c>
      <c r="C862" s="2">
        <v>45469</v>
      </c>
      <c r="D862" s="3" t="s">
        <v>38</v>
      </c>
      <c r="E862" s="4" t="s">
        <v>56</v>
      </c>
      <c r="F862" s="4" t="s">
        <v>43</v>
      </c>
      <c r="G862" s="5"/>
      <c r="H862" s="6">
        <v>40</v>
      </c>
      <c r="I862" s="6">
        <v>60</v>
      </c>
      <c r="J862" s="6" t="s">
        <v>254</v>
      </c>
      <c r="K862" s="6" t="s">
        <v>78</v>
      </c>
      <c r="L862" t="str">
        <f t="shared" si="39"/>
        <v>OK</v>
      </c>
      <c r="M862" t="str">
        <f t="shared" si="40"/>
        <v>OK</v>
      </c>
      <c r="N862" t="str">
        <f t="shared" si="41"/>
        <v>ERRO</v>
      </c>
    </row>
    <row r="863" spans="1:14" ht="43.2" x14ac:dyDescent="0.3">
      <c r="A863">
        <v>58</v>
      </c>
      <c r="B863">
        <v>2024</v>
      </c>
      <c r="C863" s="2">
        <v>45469</v>
      </c>
      <c r="D863" s="7" t="s">
        <v>38</v>
      </c>
      <c r="E863" s="8" t="s">
        <v>57</v>
      </c>
      <c r="F863" s="8" t="s">
        <v>40</v>
      </c>
      <c r="G863" s="9"/>
      <c r="H863" s="10">
        <v>50</v>
      </c>
      <c r="I863" s="10">
        <v>70</v>
      </c>
      <c r="J863" s="10" t="s">
        <v>131</v>
      </c>
      <c r="K863" s="10">
        <v>65</v>
      </c>
      <c r="L863" t="str">
        <f t="shared" si="39"/>
        <v>OK</v>
      </c>
      <c r="M863" t="str">
        <f t="shared" si="40"/>
        <v>OK</v>
      </c>
      <c r="N863" t="str">
        <f t="shared" si="41"/>
        <v>ERRO</v>
      </c>
    </row>
    <row r="864" spans="1:14" ht="43.2" x14ac:dyDescent="0.3">
      <c r="A864">
        <v>58</v>
      </c>
      <c r="B864">
        <v>2024</v>
      </c>
      <c r="C864" s="2">
        <v>45469</v>
      </c>
      <c r="D864" s="3" t="s">
        <v>38</v>
      </c>
      <c r="E864" s="4" t="s">
        <v>58</v>
      </c>
      <c r="F864" s="4" t="s">
        <v>40</v>
      </c>
      <c r="G864" s="6">
        <v>60</v>
      </c>
      <c r="H864" s="6">
        <v>60</v>
      </c>
      <c r="I864" s="6">
        <v>70</v>
      </c>
      <c r="J864" s="6">
        <v>65</v>
      </c>
      <c r="K864" s="6">
        <v>65</v>
      </c>
      <c r="L864" t="str">
        <f t="shared" si="39"/>
        <v>OK</v>
      </c>
      <c r="M864" t="str">
        <f t="shared" si="40"/>
        <v>OK</v>
      </c>
      <c r="N864" t="str">
        <f t="shared" si="41"/>
        <v>OK</v>
      </c>
    </row>
    <row r="865" spans="1:14" ht="43.2" x14ac:dyDescent="0.3">
      <c r="A865">
        <v>58</v>
      </c>
      <c r="B865">
        <v>2024</v>
      </c>
      <c r="C865" s="2">
        <v>45469</v>
      </c>
      <c r="D865" s="7" t="s">
        <v>38</v>
      </c>
      <c r="E865" s="8" t="s">
        <v>59</v>
      </c>
      <c r="F865" s="8" t="s">
        <v>45</v>
      </c>
      <c r="G865" s="10">
        <v>45</v>
      </c>
      <c r="H865" s="10">
        <v>40</v>
      </c>
      <c r="I865" s="10">
        <v>60</v>
      </c>
      <c r="J865" s="10" t="s">
        <v>112</v>
      </c>
      <c r="K865" s="10">
        <v>50</v>
      </c>
      <c r="L865" t="str">
        <f t="shared" si="39"/>
        <v>OK</v>
      </c>
      <c r="M865" t="str">
        <f t="shared" si="40"/>
        <v>OK</v>
      </c>
      <c r="N865" t="str">
        <f t="shared" si="41"/>
        <v>ERRO</v>
      </c>
    </row>
    <row r="866" spans="1:14" ht="43.2" x14ac:dyDescent="0.3">
      <c r="A866">
        <v>58</v>
      </c>
      <c r="B866">
        <v>2024</v>
      </c>
      <c r="C866" s="2">
        <v>45469</v>
      </c>
      <c r="D866" s="3" t="s">
        <v>38</v>
      </c>
      <c r="E866" s="4" t="s">
        <v>60</v>
      </c>
      <c r="F866" s="4" t="s">
        <v>61</v>
      </c>
      <c r="G866" s="5"/>
      <c r="H866" s="6">
        <v>120</v>
      </c>
      <c r="I866" s="6">
        <v>180</v>
      </c>
      <c r="J866" s="6" t="s">
        <v>269</v>
      </c>
      <c r="K866" s="6">
        <v>130</v>
      </c>
      <c r="L866" t="str">
        <f t="shared" si="39"/>
        <v>OK</v>
      </c>
      <c r="M866" t="str">
        <f t="shared" si="40"/>
        <v>OK</v>
      </c>
      <c r="N866" t="str">
        <f t="shared" si="41"/>
        <v>ERRO</v>
      </c>
    </row>
    <row r="867" spans="1:14" ht="43.2" x14ac:dyDescent="0.3">
      <c r="A867">
        <v>58</v>
      </c>
      <c r="B867">
        <v>2024</v>
      </c>
      <c r="C867" s="2">
        <v>45469</v>
      </c>
      <c r="D867" s="7" t="s">
        <v>38</v>
      </c>
      <c r="E867" s="8" t="s">
        <v>63</v>
      </c>
      <c r="F867" s="8" t="s">
        <v>40</v>
      </c>
      <c r="G867" s="10">
        <v>70</v>
      </c>
      <c r="H867" s="10">
        <v>70</v>
      </c>
      <c r="I867" s="10">
        <v>100</v>
      </c>
      <c r="J867" s="10" t="s">
        <v>270</v>
      </c>
      <c r="K867" s="10">
        <v>80</v>
      </c>
      <c r="L867" t="str">
        <f t="shared" si="39"/>
        <v>OK</v>
      </c>
      <c r="M867" t="str">
        <f t="shared" si="40"/>
        <v>OK</v>
      </c>
      <c r="N867" t="str">
        <f t="shared" si="41"/>
        <v>ERRO</v>
      </c>
    </row>
    <row r="868" spans="1:14" ht="43.2" x14ac:dyDescent="0.3">
      <c r="A868">
        <v>58</v>
      </c>
      <c r="B868">
        <v>2024</v>
      </c>
      <c r="C868" s="2">
        <v>45469</v>
      </c>
      <c r="D868" s="3" t="s">
        <v>38</v>
      </c>
      <c r="E868" s="4" t="s">
        <v>64</v>
      </c>
      <c r="F868" s="4" t="s">
        <v>40</v>
      </c>
      <c r="G868" s="6">
        <v>120</v>
      </c>
      <c r="H868" s="6">
        <v>100</v>
      </c>
      <c r="I868" s="6">
        <v>200</v>
      </c>
      <c r="J868" s="6">
        <v>135</v>
      </c>
      <c r="K868" s="6">
        <v>120</v>
      </c>
      <c r="L868" t="str">
        <f t="shared" si="39"/>
        <v>OK</v>
      </c>
      <c r="M868" t="str">
        <f t="shared" si="40"/>
        <v>OK</v>
      </c>
      <c r="N868" t="str">
        <f t="shared" si="41"/>
        <v>OK</v>
      </c>
    </row>
    <row r="869" spans="1:14" x14ac:dyDescent="0.3">
      <c r="A869">
        <v>58</v>
      </c>
      <c r="B869">
        <v>2024</v>
      </c>
      <c r="C869" s="2">
        <v>45469</v>
      </c>
      <c r="D869" s="7" t="s">
        <v>65</v>
      </c>
      <c r="E869" s="8" t="s">
        <v>66</v>
      </c>
      <c r="F869" s="8" t="s">
        <v>45</v>
      </c>
      <c r="G869" s="9"/>
      <c r="H869" s="10">
        <v>130</v>
      </c>
      <c r="I869" s="10">
        <v>130</v>
      </c>
      <c r="J869" s="10">
        <v>130</v>
      </c>
      <c r="K869" s="10">
        <v>130</v>
      </c>
      <c r="L869" t="str">
        <f t="shared" si="39"/>
        <v>OK</v>
      </c>
      <c r="M869" t="str">
        <f t="shared" si="40"/>
        <v>OK</v>
      </c>
      <c r="N869" t="str">
        <f t="shared" si="41"/>
        <v>OK</v>
      </c>
    </row>
    <row r="870" spans="1:14" x14ac:dyDescent="0.3">
      <c r="A870">
        <v>58</v>
      </c>
      <c r="B870">
        <v>2024</v>
      </c>
      <c r="C870" s="2">
        <v>45469</v>
      </c>
      <c r="D870" s="3" t="s">
        <v>65</v>
      </c>
      <c r="E870" s="4" t="s">
        <v>67</v>
      </c>
      <c r="F870" s="4" t="s">
        <v>45</v>
      </c>
      <c r="G870" s="5"/>
      <c r="H870" s="5"/>
      <c r="I870" s="5"/>
      <c r="J870" s="5"/>
      <c r="K870" s="5"/>
      <c r="L870" t="str">
        <f t="shared" si="39"/>
        <v>OK</v>
      </c>
      <c r="M870" t="str">
        <f t="shared" si="40"/>
        <v>OK</v>
      </c>
      <c r="N870" t="str">
        <f t="shared" si="41"/>
        <v>OK</v>
      </c>
    </row>
    <row r="871" spans="1:14" x14ac:dyDescent="0.3">
      <c r="A871">
        <v>58</v>
      </c>
      <c r="B871">
        <v>2024</v>
      </c>
      <c r="C871" s="2">
        <v>45469</v>
      </c>
      <c r="D871" s="7" t="s">
        <v>65</v>
      </c>
      <c r="E871" s="8" t="s">
        <v>68</v>
      </c>
      <c r="F871" s="8" t="s">
        <v>45</v>
      </c>
      <c r="G871" s="9"/>
      <c r="H871" s="9"/>
      <c r="I871" s="9"/>
      <c r="J871" s="9"/>
      <c r="K871" s="9"/>
      <c r="L871" t="str">
        <f t="shared" si="39"/>
        <v>OK</v>
      </c>
      <c r="M871" t="str">
        <f t="shared" si="40"/>
        <v>OK</v>
      </c>
      <c r="N871" t="str">
        <f t="shared" si="41"/>
        <v>OK</v>
      </c>
    </row>
    <row r="872" spans="1:14" x14ac:dyDescent="0.3">
      <c r="A872">
        <v>58</v>
      </c>
      <c r="B872">
        <v>2024</v>
      </c>
      <c r="C872" s="2">
        <v>45469</v>
      </c>
      <c r="D872" s="3" t="s">
        <v>65</v>
      </c>
      <c r="E872" s="4" t="s">
        <v>69</v>
      </c>
      <c r="F872" s="4" t="s">
        <v>45</v>
      </c>
      <c r="G872" s="5"/>
      <c r="H872" s="6">
        <v>50</v>
      </c>
      <c r="I872" s="6">
        <v>50</v>
      </c>
      <c r="J872" s="6">
        <v>50</v>
      </c>
      <c r="K872" s="6">
        <v>50</v>
      </c>
      <c r="L872" t="str">
        <f t="shared" si="39"/>
        <v>OK</v>
      </c>
      <c r="M872" t="str">
        <f t="shared" si="40"/>
        <v>OK</v>
      </c>
      <c r="N872" t="str">
        <f t="shared" si="41"/>
        <v>OK</v>
      </c>
    </row>
    <row r="873" spans="1:14" x14ac:dyDescent="0.3">
      <c r="A873">
        <v>58</v>
      </c>
      <c r="B873">
        <v>2024</v>
      </c>
      <c r="C873" s="2">
        <v>45469</v>
      </c>
      <c r="D873" s="7" t="s">
        <v>65</v>
      </c>
      <c r="E873" s="8" t="s">
        <v>70</v>
      </c>
      <c r="F873" s="8" t="s">
        <v>71</v>
      </c>
      <c r="G873" s="9"/>
      <c r="H873" s="10">
        <v>60</v>
      </c>
      <c r="I873" s="10">
        <v>65</v>
      </c>
      <c r="J873" s="10" t="s">
        <v>80</v>
      </c>
      <c r="K873" s="10" t="s">
        <v>80</v>
      </c>
      <c r="L873" t="str">
        <f t="shared" si="39"/>
        <v>OK</v>
      </c>
      <c r="M873" t="str">
        <f t="shared" si="40"/>
        <v>OK</v>
      </c>
      <c r="N873" t="str">
        <f t="shared" si="41"/>
        <v>ERRO</v>
      </c>
    </row>
    <row r="874" spans="1:14" ht="28.8" x14ac:dyDescent="0.3">
      <c r="A874">
        <v>59</v>
      </c>
      <c r="B874">
        <v>2024</v>
      </c>
      <c r="C874" s="2">
        <v>45476</v>
      </c>
      <c r="D874" s="3" t="s">
        <v>11</v>
      </c>
      <c r="E874" s="4" t="s">
        <v>12</v>
      </c>
      <c r="F874" s="4" t="s">
        <v>13</v>
      </c>
      <c r="G874" s="6">
        <v>60</v>
      </c>
      <c r="H874" s="6">
        <v>48</v>
      </c>
      <c r="I874" s="6">
        <v>60</v>
      </c>
      <c r="J874" s="6">
        <v>57</v>
      </c>
      <c r="K874" s="6">
        <v>60</v>
      </c>
      <c r="L874" t="str">
        <f t="shared" si="39"/>
        <v>OK</v>
      </c>
      <c r="M874" t="str">
        <f t="shared" si="40"/>
        <v>OK</v>
      </c>
      <c r="N874" t="str">
        <f t="shared" si="41"/>
        <v>OK</v>
      </c>
    </row>
    <row r="875" spans="1:14" ht="28.8" x14ac:dyDescent="0.3">
      <c r="A875">
        <v>59</v>
      </c>
      <c r="B875">
        <v>2024</v>
      </c>
      <c r="C875" s="2">
        <v>45476</v>
      </c>
      <c r="D875" s="7" t="s">
        <v>11</v>
      </c>
      <c r="E875" s="8" t="s">
        <v>14</v>
      </c>
      <c r="F875" s="8" t="s">
        <v>13</v>
      </c>
      <c r="G875" s="10">
        <v>72</v>
      </c>
      <c r="H875" s="10">
        <v>72</v>
      </c>
      <c r="I875" s="10">
        <v>84</v>
      </c>
      <c r="J875" s="10">
        <v>75</v>
      </c>
      <c r="K875" s="10">
        <v>72</v>
      </c>
      <c r="L875" t="str">
        <f t="shared" si="39"/>
        <v>OK</v>
      </c>
      <c r="M875" t="str">
        <f t="shared" si="40"/>
        <v>OK</v>
      </c>
      <c r="N875" t="str">
        <f t="shared" si="41"/>
        <v>OK</v>
      </c>
    </row>
    <row r="876" spans="1:14" ht="28.8" x14ac:dyDescent="0.3">
      <c r="A876">
        <v>59</v>
      </c>
      <c r="B876">
        <v>2024</v>
      </c>
      <c r="C876" s="2">
        <v>45476</v>
      </c>
      <c r="D876" s="3" t="s">
        <v>11</v>
      </c>
      <c r="E876" s="4" t="s">
        <v>15</v>
      </c>
      <c r="F876" s="4" t="s">
        <v>13</v>
      </c>
      <c r="G876" s="5"/>
      <c r="H876" s="6">
        <v>30</v>
      </c>
      <c r="I876" s="6">
        <v>48</v>
      </c>
      <c r="J876" s="6">
        <v>39</v>
      </c>
      <c r="K876" s="6">
        <v>39</v>
      </c>
      <c r="L876" t="str">
        <f t="shared" si="39"/>
        <v>OK</v>
      </c>
      <c r="M876" t="str">
        <f t="shared" si="40"/>
        <v>OK</v>
      </c>
      <c r="N876" t="str">
        <f t="shared" si="41"/>
        <v>OK</v>
      </c>
    </row>
    <row r="877" spans="1:14" ht="28.8" x14ac:dyDescent="0.3">
      <c r="A877">
        <v>59</v>
      </c>
      <c r="B877">
        <v>2024</v>
      </c>
      <c r="C877" s="2">
        <v>45476</v>
      </c>
      <c r="D877" s="7" t="s">
        <v>11</v>
      </c>
      <c r="E877" s="8" t="s">
        <v>16</v>
      </c>
      <c r="F877" s="8" t="s">
        <v>13</v>
      </c>
      <c r="G877" s="10">
        <v>30</v>
      </c>
      <c r="H877" s="10">
        <v>20</v>
      </c>
      <c r="I877" s="10">
        <v>30</v>
      </c>
      <c r="J877" s="10">
        <v>26</v>
      </c>
      <c r="K877" s="10">
        <v>27</v>
      </c>
      <c r="L877" t="str">
        <f t="shared" si="39"/>
        <v>OK</v>
      </c>
      <c r="M877" t="str">
        <f t="shared" si="40"/>
        <v>OK</v>
      </c>
      <c r="N877" t="str">
        <f t="shared" si="41"/>
        <v>OK</v>
      </c>
    </row>
    <row r="878" spans="1:14" ht="28.8" x14ac:dyDescent="0.3">
      <c r="A878">
        <v>59</v>
      </c>
      <c r="B878">
        <v>2024</v>
      </c>
      <c r="C878" s="2">
        <v>45476</v>
      </c>
      <c r="D878" s="3" t="s">
        <v>11</v>
      </c>
      <c r="E878" s="4" t="s">
        <v>17</v>
      </c>
      <c r="F878" s="4" t="s">
        <v>13</v>
      </c>
      <c r="G878" s="6">
        <v>30</v>
      </c>
      <c r="H878" s="6">
        <v>18</v>
      </c>
      <c r="I878" s="6">
        <v>30</v>
      </c>
      <c r="J878" s="6" t="s">
        <v>271</v>
      </c>
      <c r="K878" s="6">
        <v>25</v>
      </c>
      <c r="L878" t="str">
        <f t="shared" si="39"/>
        <v>OK</v>
      </c>
      <c r="M878" t="str">
        <f t="shared" si="40"/>
        <v>OK</v>
      </c>
      <c r="N878" t="str">
        <f t="shared" si="41"/>
        <v>ERRO</v>
      </c>
    </row>
    <row r="879" spans="1:14" ht="28.8" x14ac:dyDescent="0.3">
      <c r="A879">
        <v>59</v>
      </c>
      <c r="B879">
        <v>2024</v>
      </c>
      <c r="C879" s="2">
        <v>45476</v>
      </c>
      <c r="D879" s="7" t="s">
        <v>11</v>
      </c>
      <c r="E879" s="8" t="s">
        <v>18</v>
      </c>
      <c r="F879" s="8" t="s">
        <v>13</v>
      </c>
      <c r="G879" s="10">
        <v>60</v>
      </c>
      <c r="H879" s="10">
        <v>48</v>
      </c>
      <c r="I879" s="10">
        <v>60</v>
      </c>
      <c r="J879" s="10">
        <v>57</v>
      </c>
      <c r="K879" s="10">
        <v>60</v>
      </c>
      <c r="L879" t="str">
        <f t="shared" si="39"/>
        <v>OK</v>
      </c>
      <c r="M879" t="str">
        <f t="shared" si="40"/>
        <v>OK</v>
      </c>
      <c r="N879" t="str">
        <f t="shared" si="41"/>
        <v>OK</v>
      </c>
    </row>
    <row r="880" spans="1:14" ht="28.8" x14ac:dyDescent="0.3">
      <c r="A880">
        <v>59</v>
      </c>
      <c r="B880">
        <v>2024</v>
      </c>
      <c r="C880" s="2">
        <v>45476</v>
      </c>
      <c r="D880" s="3" t="s">
        <v>11</v>
      </c>
      <c r="E880" s="4" t="s">
        <v>19</v>
      </c>
      <c r="F880" s="4" t="s">
        <v>13</v>
      </c>
      <c r="G880" s="6">
        <v>60</v>
      </c>
      <c r="H880" s="6">
        <v>60</v>
      </c>
      <c r="I880" s="6">
        <v>76</v>
      </c>
      <c r="J880" s="6">
        <v>64</v>
      </c>
      <c r="K880" s="6">
        <v>60</v>
      </c>
      <c r="L880" t="str">
        <f t="shared" si="39"/>
        <v>OK</v>
      </c>
      <c r="M880" t="str">
        <f t="shared" si="40"/>
        <v>OK</v>
      </c>
      <c r="N880" t="str">
        <f t="shared" si="41"/>
        <v>OK</v>
      </c>
    </row>
    <row r="881" spans="1:14" ht="28.8" x14ac:dyDescent="0.3">
      <c r="A881">
        <v>59</v>
      </c>
      <c r="B881">
        <v>2024</v>
      </c>
      <c r="C881" s="2">
        <v>45476</v>
      </c>
      <c r="D881" s="7" t="s">
        <v>11</v>
      </c>
      <c r="E881" s="8" t="s">
        <v>20</v>
      </c>
      <c r="F881" s="8" t="s">
        <v>13</v>
      </c>
      <c r="G881" s="10">
        <v>84</v>
      </c>
      <c r="H881" s="10">
        <v>72</v>
      </c>
      <c r="I881" s="10">
        <v>84</v>
      </c>
      <c r="J881" s="10">
        <v>80</v>
      </c>
      <c r="K881" s="10">
        <v>82</v>
      </c>
      <c r="L881" t="str">
        <f t="shared" si="39"/>
        <v>OK</v>
      </c>
      <c r="M881" t="str">
        <f t="shared" si="40"/>
        <v>OK</v>
      </c>
      <c r="N881" t="str">
        <f t="shared" si="41"/>
        <v>OK</v>
      </c>
    </row>
    <row r="882" spans="1:14" ht="28.8" x14ac:dyDescent="0.3">
      <c r="A882">
        <v>59</v>
      </c>
      <c r="B882">
        <v>2024</v>
      </c>
      <c r="C882" s="2">
        <v>45476</v>
      </c>
      <c r="D882" s="3" t="s">
        <v>11</v>
      </c>
      <c r="E882" s="4" t="s">
        <v>21</v>
      </c>
      <c r="F882" s="4" t="s">
        <v>13</v>
      </c>
      <c r="G882" s="6">
        <v>24</v>
      </c>
      <c r="H882" s="6">
        <v>20</v>
      </c>
      <c r="I882" s="6">
        <v>30</v>
      </c>
      <c r="J882" s="6" t="s">
        <v>271</v>
      </c>
      <c r="K882" s="6">
        <v>24</v>
      </c>
      <c r="L882" t="str">
        <f t="shared" si="39"/>
        <v>OK</v>
      </c>
      <c r="M882" t="str">
        <f t="shared" si="40"/>
        <v>OK</v>
      </c>
      <c r="N882" t="str">
        <f t="shared" si="41"/>
        <v>ERRO</v>
      </c>
    </row>
    <row r="883" spans="1:14" ht="28.8" x14ac:dyDescent="0.3">
      <c r="A883">
        <v>59</v>
      </c>
      <c r="B883">
        <v>2024</v>
      </c>
      <c r="C883" s="2">
        <v>45476</v>
      </c>
      <c r="D883" s="7" t="s">
        <v>11</v>
      </c>
      <c r="E883" s="8" t="s">
        <v>73</v>
      </c>
      <c r="F883" s="8" t="s">
        <v>13</v>
      </c>
      <c r="G883" s="9"/>
      <c r="H883" s="10">
        <v>60</v>
      </c>
      <c r="I883" s="10">
        <v>84</v>
      </c>
      <c r="J883" s="10" t="s">
        <v>272</v>
      </c>
      <c r="K883" s="10">
        <v>71</v>
      </c>
      <c r="L883" t="str">
        <f t="shared" si="39"/>
        <v>OK</v>
      </c>
      <c r="M883" t="str">
        <f t="shared" si="40"/>
        <v>OK</v>
      </c>
      <c r="N883" t="str">
        <f t="shared" si="41"/>
        <v>ERRO</v>
      </c>
    </row>
    <row r="884" spans="1:14" ht="28.8" x14ac:dyDescent="0.3">
      <c r="A884">
        <v>59</v>
      </c>
      <c r="B884">
        <v>2024</v>
      </c>
      <c r="C884" s="2">
        <v>45476</v>
      </c>
      <c r="D884" s="3" t="s">
        <v>11</v>
      </c>
      <c r="E884" s="4" t="s">
        <v>23</v>
      </c>
      <c r="F884" s="4" t="s">
        <v>13</v>
      </c>
      <c r="G884" s="6">
        <v>24</v>
      </c>
      <c r="H884" s="6">
        <v>24</v>
      </c>
      <c r="I884" s="6">
        <v>30</v>
      </c>
      <c r="J884" s="6">
        <v>27</v>
      </c>
      <c r="K884" s="6">
        <v>27</v>
      </c>
      <c r="L884" t="str">
        <f t="shared" si="39"/>
        <v>OK</v>
      </c>
      <c r="M884" t="str">
        <f t="shared" si="40"/>
        <v>OK</v>
      </c>
      <c r="N884" t="str">
        <f t="shared" si="41"/>
        <v>OK</v>
      </c>
    </row>
    <row r="885" spans="1:14" ht="28.8" x14ac:dyDescent="0.3">
      <c r="A885">
        <v>59</v>
      </c>
      <c r="B885">
        <v>2024</v>
      </c>
      <c r="C885" s="2">
        <v>45476</v>
      </c>
      <c r="D885" s="7" t="s">
        <v>11</v>
      </c>
      <c r="E885" s="8" t="s">
        <v>24</v>
      </c>
      <c r="F885" s="8" t="s">
        <v>13</v>
      </c>
      <c r="G885" s="10">
        <v>72</v>
      </c>
      <c r="H885" s="10">
        <v>60</v>
      </c>
      <c r="I885" s="10">
        <v>72</v>
      </c>
      <c r="J885" s="10">
        <v>69</v>
      </c>
      <c r="K885" s="10">
        <v>72</v>
      </c>
      <c r="L885" t="str">
        <f t="shared" si="39"/>
        <v>OK</v>
      </c>
      <c r="M885" t="str">
        <f t="shared" si="40"/>
        <v>OK</v>
      </c>
      <c r="N885" t="str">
        <f t="shared" si="41"/>
        <v>OK</v>
      </c>
    </row>
    <row r="886" spans="1:14" ht="28.8" x14ac:dyDescent="0.3">
      <c r="A886">
        <v>59</v>
      </c>
      <c r="B886">
        <v>2024</v>
      </c>
      <c r="C886" s="2">
        <v>45476</v>
      </c>
      <c r="D886" s="3" t="s">
        <v>11</v>
      </c>
      <c r="E886" s="4" t="s">
        <v>25</v>
      </c>
      <c r="F886" s="4" t="s">
        <v>26</v>
      </c>
      <c r="G886" s="6">
        <v>60</v>
      </c>
      <c r="H886" s="6">
        <v>60</v>
      </c>
      <c r="I886" s="6">
        <v>60</v>
      </c>
      <c r="J886" s="6">
        <v>60</v>
      </c>
      <c r="K886" s="6">
        <v>60</v>
      </c>
      <c r="L886" t="str">
        <f t="shared" si="39"/>
        <v>OK</v>
      </c>
      <c r="M886" t="str">
        <f t="shared" si="40"/>
        <v>OK</v>
      </c>
      <c r="N886" t="str">
        <f t="shared" si="41"/>
        <v>OK</v>
      </c>
    </row>
    <row r="887" spans="1:14" ht="28.8" x14ac:dyDescent="0.3">
      <c r="A887">
        <v>59</v>
      </c>
      <c r="B887">
        <v>2024</v>
      </c>
      <c r="C887" s="2">
        <v>45476</v>
      </c>
      <c r="D887" s="7" t="s">
        <v>11</v>
      </c>
      <c r="E887" s="8" t="s">
        <v>27</v>
      </c>
      <c r="F887" s="8" t="s">
        <v>13</v>
      </c>
      <c r="G887" s="9"/>
      <c r="H887" s="10">
        <v>60</v>
      </c>
      <c r="I887" s="10">
        <v>84</v>
      </c>
      <c r="J887" s="10">
        <v>72</v>
      </c>
      <c r="K887" s="10">
        <v>72</v>
      </c>
      <c r="L887" t="str">
        <f t="shared" si="39"/>
        <v>OK</v>
      </c>
      <c r="M887" t="str">
        <f t="shared" si="40"/>
        <v>OK</v>
      </c>
      <c r="N887" t="str">
        <f t="shared" si="41"/>
        <v>OK</v>
      </c>
    </row>
    <row r="888" spans="1:14" ht="28.8" x14ac:dyDescent="0.3">
      <c r="A888">
        <v>59</v>
      </c>
      <c r="B888">
        <v>2024</v>
      </c>
      <c r="C888" s="2">
        <v>45476</v>
      </c>
      <c r="D888" s="3" t="s">
        <v>11</v>
      </c>
      <c r="E888" s="4" t="s">
        <v>28</v>
      </c>
      <c r="F888" s="4" t="s">
        <v>13</v>
      </c>
      <c r="G888" s="5"/>
      <c r="H888" s="6">
        <v>36</v>
      </c>
      <c r="I888" s="6">
        <v>54</v>
      </c>
      <c r="J888" s="6">
        <v>47</v>
      </c>
      <c r="K888" s="6">
        <v>49</v>
      </c>
      <c r="L888" t="str">
        <f t="shared" si="39"/>
        <v>OK</v>
      </c>
      <c r="M888" t="str">
        <f t="shared" si="40"/>
        <v>OK</v>
      </c>
      <c r="N888" t="str">
        <f t="shared" si="41"/>
        <v>OK</v>
      </c>
    </row>
    <row r="889" spans="1:14" ht="28.8" x14ac:dyDescent="0.3">
      <c r="A889">
        <v>59</v>
      </c>
      <c r="B889">
        <v>2024</v>
      </c>
      <c r="C889" s="2">
        <v>45476</v>
      </c>
      <c r="D889" s="7" t="s">
        <v>11</v>
      </c>
      <c r="E889" s="8" t="s">
        <v>29</v>
      </c>
      <c r="F889" s="8" t="s">
        <v>13</v>
      </c>
      <c r="G889" s="10">
        <v>54</v>
      </c>
      <c r="H889" s="10">
        <v>48</v>
      </c>
      <c r="I889" s="10">
        <v>60</v>
      </c>
      <c r="J889" s="10">
        <v>54</v>
      </c>
      <c r="K889" s="10">
        <v>54</v>
      </c>
      <c r="L889" t="str">
        <f t="shared" si="39"/>
        <v>OK</v>
      </c>
      <c r="M889" t="str">
        <f t="shared" si="40"/>
        <v>OK</v>
      </c>
      <c r="N889" t="str">
        <f t="shared" si="41"/>
        <v>OK</v>
      </c>
    </row>
    <row r="890" spans="1:14" ht="28.8" x14ac:dyDescent="0.3">
      <c r="A890">
        <v>59</v>
      </c>
      <c r="B890">
        <v>2024</v>
      </c>
      <c r="C890" s="2">
        <v>45476</v>
      </c>
      <c r="D890" s="3" t="s">
        <v>30</v>
      </c>
      <c r="E890" s="4" t="s">
        <v>31</v>
      </c>
      <c r="F890" s="4" t="s">
        <v>32</v>
      </c>
      <c r="G890" s="6">
        <v>5</v>
      </c>
      <c r="H890" s="6">
        <v>5</v>
      </c>
      <c r="I890" s="6">
        <v>5</v>
      </c>
      <c r="J890" s="6">
        <v>5</v>
      </c>
      <c r="K890" s="6">
        <v>5</v>
      </c>
      <c r="L890" t="str">
        <f t="shared" si="39"/>
        <v>OK</v>
      </c>
      <c r="M890" t="str">
        <f t="shared" si="40"/>
        <v>OK</v>
      </c>
      <c r="N890" t="str">
        <f t="shared" si="41"/>
        <v>OK</v>
      </c>
    </row>
    <row r="891" spans="1:14" ht="28.8" x14ac:dyDescent="0.3">
      <c r="A891">
        <v>59</v>
      </c>
      <c r="B891">
        <v>2024</v>
      </c>
      <c r="C891" s="2">
        <v>45476</v>
      </c>
      <c r="D891" s="7" t="s">
        <v>30</v>
      </c>
      <c r="E891" s="8" t="s">
        <v>34</v>
      </c>
      <c r="F891" s="8" t="s">
        <v>35</v>
      </c>
      <c r="G891" s="10">
        <v>18</v>
      </c>
      <c r="H891" s="10">
        <v>15</v>
      </c>
      <c r="I891" s="10">
        <v>18</v>
      </c>
      <c r="J891" s="10" t="s">
        <v>273</v>
      </c>
      <c r="K891" s="10">
        <v>18</v>
      </c>
      <c r="L891" t="str">
        <f t="shared" si="39"/>
        <v>OK</v>
      </c>
      <c r="M891" t="str">
        <f t="shared" si="40"/>
        <v>OK</v>
      </c>
      <c r="N891" t="str">
        <f t="shared" si="41"/>
        <v>ERRO</v>
      </c>
    </row>
    <row r="892" spans="1:14" ht="28.8" x14ac:dyDescent="0.3">
      <c r="A892">
        <v>59</v>
      </c>
      <c r="B892">
        <v>2024</v>
      </c>
      <c r="C892" s="2">
        <v>45476</v>
      </c>
      <c r="D892" s="3" t="s">
        <v>30</v>
      </c>
      <c r="E892" s="4" t="s">
        <v>36</v>
      </c>
      <c r="F892" s="4" t="s">
        <v>35</v>
      </c>
      <c r="G892" s="6">
        <v>25</v>
      </c>
      <c r="H892" s="6">
        <v>25</v>
      </c>
      <c r="I892" s="6">
        <v>30</v>
      </c>
      <c r="J892" s="6" t="s">
        <v>151</v>
      </c>
      <c r="K892" s="6">
        <v>25</v>
      </c>
      <c r="L892" t="str">
        <f t="shared" si="39"/>
        <v>OK</v>
      </c>
      <c r="M892" t="str">
        <f t="shared" si="40"/>
        <v>OK</v>
      </c>
      <c r="N892" t="str">
        <f t="shared" si="41"/>
        <v>ERRO</v>
      </c>
    </row>
    <row r="893" spans="1:14" ht="43.2" x14ac:dyDescent="0.3">
      <c r="A893">
        <v>59</v>
      </c>
      <c r="B893">
        <v>2024</v>
      </c>
      <c r="C893" s="2">
        <v>45476</v>
      </c>
      <c r="D893" s="7" t="s">
        <v>38</v>
      </c>
      <c r="E893" s="8" t="s">
        <v>153</v>
      </c>
      <c r="F893" s="8" t="s">
        <v>154</v>
      </c>
      <c r="G893" s="9"/>
      <c r="H893" s="10">
        <v>80</v>
      </c>
      <c r="I893" s="10">
        <v>90</v>
      </c>
      <c r="J893" s="10">
        <v>85</v>
      </c>
      <c r="K893" s="10">
        <v>85</v>
      </c>
      <c r="L893" t="str">
        <f t="shared" si="39"/>
        <v>OK</v>
      </c>
      <c r="M893" t="str">
        <f t="shared" si="40"/>
        <v>OK</v>
      </c>
      <c r="N893" t="str">
        <f t="shared" si="41"/>
        <v>OK</v>
      </c>
    </row>
    <row r="894" spans="1:14" ht="43.2" x14ac:dyDescent="0.3">
      <c r="A894">
        <v>59</v>
      </c>
      <c r="B894">
        <v>2024</v>
      </c>
      <c r="C894" s="2">
        <v>45476</v>
      </c>
      <c r="D894" s="3" t="s">
        <v>38</v>
      </c>
      <c r="E894" s="4" t="s">
        <v>39</v>
      </c>
      <c r="F894" s="4" t="s">
        <v>40</v>
      </c>
      <c r="G894" s="6">
        <v>50</v>
      </c>
      <c r="H894" s="6">
        <v>40</v>
      </c>
      <c r="I894" s="6">
        <v>55</v>
      </c>
      <c r="J894" s="6" t="s">
        <v>137</v>
      </c>
      <c r="K894" s="6">
        <v>50</v>
      </c>
      <c r="L894" t="str">
        <f t="shared" si="39"/>
        <v>OK</v>
      </c>
      <c r="M894" t="str">
        <f t="shared" si="40"/>
        <v>OK</v>
      </c>
      <c r="N894" t="str">
        <f t="shared" si="41"/>
        <v>ERRO</v>
      </c>
    </row>
    <row r="895" spans="1:14" ht="43.2" x14ac:dyDescent="0.3">
      <c r="A895">
        <v>59</v>
      </c>
      <c r="B895">
        <v>2024</v>
      </c>
      <c r="C895" s="2">
        <v>45476</v>
      </c>
      <c r="D895" s="7" t="s">
        <v>38</v>
      </c>
      <c r="E895" s="8" t="s">
        <v>42</v>
      </c>
      <c r="F895" s="8" t="s">
        <v>43</v>
      </c>
      <c r="G895" s="9"/>
      <c r="H895" s="10">
        <v>45</v>
      </c>
      <c r="I895" s="10">
        <v>70</v>
      </c>
      <c r="J895" s="10">
        <v>58</v>
      </c>
      <c r="K895" s="10">
        <v>60</v>
      </c>
      <c r="L895" t="str">
        <f t="shared" si="39"/>
        <v>OK</v>
      </c>
      <c r="M895" t="str">
        <f t="shared" si="40"/>
        <v>OK</v>
      </c>
      <c r="N895" t="str">
        <f t="shared" si="41"/>
        <v>OK</v>
      </c>
    </row>
    <row r="896" spans="1:14" ht="43.2" x14ac:dyDescent="0.3">
      <c r="A896">
        <v>59</v>
      </c>
      <c r="B896">
        <v>2024</v>
      </c>
      <c r="C896" s="2">
        <v>45476</v>
      </c>
      <c r="D896" s="3" t="s">
        <v>38</v>
      </c>
      <c r="E896" s="4" t="s">
        <v>44</v>
      </c>
      <c r="F896" s="4" t="s">
        <v>45</v>
      </c>
      <c r="G896" s="6">
        <v>40</v>
      </c>
      <c r="H896" s="6">
        <v>40</v>
      </c>
      <c r="I896" s="6">
        <v>48</v>
      </c>
      <c r="J896" s="6">
        <v>42</v>
      </c>
      <c r="K896" s="6">
        <v>40</v>
      </c>
      <c r="L896" t="str">
        <f t="shared" si="39"/>
        <v>OK</v>
      </c>
      <c r="M896" t="str">
        <f t="shared" si="40"/>
        <v>OK</v>
      </c>
      <c r="N896" t="str">
        <f t="shared" si="41"/>
        <v>OK</v>
      </c>
    </row>
    <row r="897" spans="1:14" ht="43.2" x14ac:dyDescent="0.3">
      <c r="A897">
        <v>59</v>
      </c>
      <c r="B897">
        <v>2024</v>
      </c>
      <c r="C897" s="2">
        <v>45476</v>
      </c>
      <c r="D897" s="7" t="s">
        <v>38</v>
      </c>
      <c r="E897" s="8" t="s">
        <v>48</v>
      </c>
      <c r="F897" s="8" t="s">
        <v>45</v>
      </c>
      <c r="G897" s="9"/>
      <c r="H897" s="10">
        <v>100</v>
      </c>
      <c r="I897" s="10">
        <v>100</v>
      </c>
      <c r="J897" s="10">
        <v>100</v>
      </c>
      <c r="K897" s="10">
        <v>100</v>
      </c>
      <c r="L897" t="str">
        <f t="shared" si="39"/>
        <v>OK</v>
      </c>
      <c r="M897" t="str">
        <f t="shared" si="40"/>
        <v>OK</v>
      </c>
      <c r="N897" t="str">
        <f t="shared" si="41"/>
        <v>OK</v>
      </c>
    </row>
    <row r="898" spans="1:14" ht="43.2" x14ac:dyDescent="0.3">
      <c r="A898">
        <v>59</v>
      </c>
      <c r="B898">
        <v>2024</v>
      </c>
      <c r="C898" s="2">
        <v>45476</v>
      </c>
      <c r="D898" s="3" t="s">
        <v>38</v>
      </c>
      <c r="E898" s="4" t="s">
        <v>49</v>
      </c>
      <c r="F898" s="4" t="s">
        <v>50</v>
      </c>
      <c r="G898" s="5"/>
      <c r="H898" s="6">
        <v>75</v>
      </c>
      <c r="I898" s="6">
        <v>100</v>
      </c>
      <c r="J898" s="6">
        <v>86</v>
      </c>
      <c r="K898" s="6">
        <v>85</v>
      </c>
      <c r="L898" t="str">
        <f t="shared" si="39"/>
        <v>OK</v>
      </c>
      <c r="M898" t="str">
        <f t="shared" si="40"/>
        <v>OK</v>
      </c>
      <c r="N898" t="str">
        <f t="shared" si="41"/>
        <v>OK</v>
      </c>
    </row>
    <row r="899" spans="1:14" ht="43.2" x14ac:dyDescent="0.3">
      <c r="A899">
        <v>59</v>
      </c>
      <c r="B899">
        <v>2024</v>
      </c>
      <c r="C899" s="2">
        <v>45476</v>
      </c>
      <c r="D899" s="7" t="s">
        <v>38</v>
      </c>
      <c r="E899" s="8" t="s">
        <v>52</v>
      </c>
      <c r="F899" s="8" t="s">
        <v>43</v>
      </c>
      <c r="G899" s="10">
        <v>65</v>
      </c>
      <c r="H899" s="10">
        <v>65</v>
      </c>
      <c r="I899" s="10">
        <v>80</v>
      </c>
      <c r="J899" s="10" t="s">
        <v>274</v>
      </c>
      <c r="K899" s="10">
        <v>70</v>
      </c>
      <c r="L899" t="str">
        <f t="shared" ref="L899:L962" si="42">IF(H899&gt;I899,"ERRO","OK")</f>
        <v>OK</v>
      </c>
      <c r="M899" t="str">
        <f t="shared" ref="M899:M962" si="43">IF(H899&gt;J899,"ERRO","OK")</f>
        <v>OK</v>
      </c>
      <c r="N899" t="str">
        <f t="shared" ref="N899:N962" si="44">IF(I899&lt;J899,"ERRO","OK")</f>
        <v>ERRO</v>
      </c>
    </row>
    <row r="900" spans="1:14" ht="43.2" x14ac:dyDescent="0.3">
      <c r="A900">
        <v>59</v>
      </c>
      <c r="B900">
        <v>2024</v>
      </c>
      <c r="C900" s="2">
        <v>45476</v>
      </c>
      <c r="D900" s="3" t="s">
        <v>38</v>
      </c>
      <c r="E900" s="4" t="s">
        <v>53</v>
      </c>
      <c r="F900" s="4" t="s">
        <v>43</v>
      </c>
      <c r="G900" s="5"/>
      <c r="H900" s="6">
        <v>50</v>
      </c>
      <c r="I900" s="6">
        <v>70</v>
      </c>
      <c r="J900" s="6" t="s">
        <v>225</v>
      </c>
      <c r="K900" s="6" t="s">
        <v>80</v>
      </c>
      <c r="L900" t="str">
        <f t="shared" si="42"/>
        <v>OK</v>
      </c>
      <c r="M900" t="str">
        <f t="shared" si="43"/>
        <v>OK</v>
      </c>
      <c r="N900" t="str">
        <f t="shared" si="44"/>
        <v>ERRO</v>
      </c>
    </row>
    <row r="901" spans="1:14" ht="43.2" x14ac:dyDescent="0.3">
      <c r="A901">
        <v>59</v>
      </c>
      <c r="B901">
        <v>2024</v>
      </c>
      <c r="C901" s="2">
        <v>45476</v>
      </c>
      <c r="D901" s="7" t="s">
        <v>38</v>
      </c>
      <c r="E901" s="8" t="s">
        <v>54</v>
      </c>
      <c r="F901" s="8" t="s">
        <v>40</v>
      </c>
      <c r="G901" s="10">
        <v>100</v>
      </c>
      <c r="H901" s="10">
        <v>80</v>
      </c>
      <c r="I901" s="10">
        <v>100</v>
      </c>
      <c r="J901" s="10" t="s">
        <v>196</v>
      </c>
      <c r="K901" s="10">
        <v>100</v>
      </c>
      <c r="L901" t="str">
        <f t="shared" si="42"/>
        <v>OK</v>
      </c>
      <c r="M901" t="str">
        <f t="shared" si="43"/>
        <v>OK</v>
      </c>
      <c r="N901" t="str">
        <f t="shared" si="44"/>
        <v>ERRO</v>
      </c>
    </row>
    <row r="902" spans="1:14" ht="43.2" x14ac:dyDescent="0.3">
      <c r="A902">
        <v>59</v>
      </c>
      <c r="B902">
        <v>2024</v>
      </c>
      <c r="C902" s="2">
        <v>45476</v>
      </c>
      <c r="D902" s="3" t="s">
        <v>38</v>
      </c>
      <c r="E902" s="4" t="s">
        <v>56</v>
      </c>
      <c r="F902" s="4" t="s">
        <v>43</v>
      </c>
      <c r="G902" s="5"/>
      <c r="H902" s="6">
        <v>50</v>
      </c>
      <c r="I902" s="6">
        <v>53</v>
      </c>
      <c r="J902" s="6" t="s">
        <v>275</v>
      </c>
      <c r="K902" s="6" t="s">
        <v>275</v>
      </c>
      <c r="L902" t="str">
        <f t="shared" si="42"/>
        <v>OK</v>
      </c>
      <c r="M902" t="str">
        <f t="shared" si="43"/>
        <v>OK</v>
      </c>
      <c r="N902" t="str">
        <f t="shared" si="44"/>
        <v>ERRO</v>
      </c>
    </row>
    <row r="903" spans="1:14" ht="43.2" x14ac:dyDescent="0.3">
      <c r="A903">
        <v>59</v>
      </c>
      <c r="B903">
        <v>2024</v>
      </c>
      <c r="C903" s="2">
        <v>45476</v>
      </c>
      <c r="D903" s="7" t="s">
        <v>38</v>
      </c>
      <c r="E903" s="8" t="s">
        <v>57</v>
      </c>
      <c r="F903" s="8" t="s">
        <v>40</v>
      </c>
      <c r="G903" s="9"/>
      <c r="H903" s="10">
        <v>50</v>
      </c>
      <c r="I903" s="10">
        <v>65</v>
      </c>
      <c r="J903" s="10" t="s">
        <v>258</v>
      </c>
      <c r="K903" s="10">
        <v>60</v>
      </c>
      <c r="L903" t="str">
        <f t="shared" si="42"/>
        <v>OK</v>
      </c>
      <c r="M903" t="str">
        <f t="shared" si="43"/>
        <v>OK</v>
      </c>
      <c r="N903" t="str">
        <f t="shared" si="44"/>
        <v>ERRO</v>
      </c>
    </row>
    <row r="904" spans="1:14" ht="43.2" x14ac:dyDescent="0.3">
      <c r="A904">
        <v>59</v>
      </c>
      <c r="B904">
        <v>2024</v>
      </c>
      <c r="C904" s="2">
        <v>45476</v>
      </c>
      <c r="D904" s="3" t="s">
        <v>38</v>
      </c>
      <c r="E904" s="4" t="s">
        <v>58</v>
      </c>
      <c r="F904" s="4" t="s">
        <v>40</v>
      </c>
      <c r="G904" s="6">
        <v>60</v>
      </c>
      <c r="H904" s="6">
        <v>60</v>
      </c>
      <c r="I904" s="6">
        <v>70</v>
      </c>
      <c r="J904" s="6">
        <v>63</v>
      </c>
      <c r="K904" s="6">
        <v>60</v>
      </c>
      <c r="L904" t="str">
        <f t="shared" si="42"/>
        <v>OK</v>
      </c>
      <c r="M904" t="str">
        <f t="shared" si="43"/>
        <v>OK</v>
      </c>
      <c r="N904" t="str">
        <f t="shared" si="44"/>
        <v>OK</v>
      </c>
    </row>
    <row r="905" spans="1:14" ht="43.2" x14ac:dyDescent="0.3">
      <c r="A905">
        <v>59</v>
      </c>
      <c r="B905">
        <v>2024</v>
      </c>
      <c r="C905" s="2">
        <v>45476</v>
      </c>
      <c r="D905" s="7" t="s">
        <v>38</v>
      </c>
      <c r="E905" s="8" t="s">
        <v>59</v>
      </c>
      <c r="F905" s="8" t="s">
        <v>45</v>
      </c>
      <c r="G905" s="10">
        <v>50</v>
      </c>
      <c r="H905" s="10">
        <v>40</v>
      </c>
      <c r="I905" s="10">
        <v>55</v>
      </c>
      <c r="J905" s="10">
        <v>50</v>
      </c>
      <c r="K905" s="10">
        <v>50</v>
      </c>
      <c r="L905" t="str">
        <f t="shared" si="42"/>
        <v>OK</v>
      </c>
      <c r="M905" t="str">
        <f t="shared" si="43"/>
        <v>OK</v>
      </c>
      <c r="N905" t="str">
        <f t="shared" si="44"/>
        <v>OK</v>
      </c>
    </row>
    <row r="906" spans="1:14" ht="43.2" x14ac:dyDescent="0.3">
      <c r="A906">
        <v>59</v>
      </c>
      <c r="B906">
        <v>2024</v>
      </c>
      <c r="C906" s="2">
        <v>45476</v>
      </c>
      <c r="D906" s="3" t="s">
        <v>38</v>
      </c>
      <c r="E906" s="4" t="s">
        <v>60</v>
      </c>
      <c r="F906" s="4" t="s">
        <v>61</v>
      </c>
      <c r="G906" s="6">
        <v>100</v>
      </c>
      <c r="H906" s="6">
        <v>90</v>
      </c>
      <c r="I906" s="6">
        <v>120</v>
      </c>
      <c r="J906" s="6" t="s">
        <v>183</v>
      </c>
      <c r="K906" s="6">
        <v>100</v>
      </c>
      <c r="L906" t="str">
        <f t="shared" si="42"/>
        <v>OK</v>
      </c>
      <c r="M906" t="str">
        <f t="shared" si="43"/>
        <v>OK</v>
      </c>
      <c r="N906" t="str">
        <f t="shared" si="44"/>
        <v>ERRO</v>
      </c>
    </row>
    <row r="907" spans="1:14" ht="43.2" x14ac:dyDescent="0.3">
      <c r="A907">
        <v>59</v>
      </c>
      <c r="B907">
        <v>2024</v>
      </c>
      <c r="C907" s="2">
        <v>45476</v>
      </c>
      <c r="D907" s="7" t="s">
        <v>38</v>
      </c>
      <c r="E907" s="8" t="s">
        <v>63</v>
      </c>
      <c r="F907" s="8" t="s">
        <v>40</v>
      </c>
      <c r="G907" s="9"/>
      <c r="H907" s="10">
        <v>65</v>
      </c>
      <c r="I907" s="10">
        <v>100</v>
      </c>
      <c r="J907" s="10">
        <v>78</v>
      </c>
      <c r="K907" s="10">
        <v>75</v>
      </c>
      <c r="L907" t="str">
        <f t="shared" si="42"/>
        <v>OK</v>
      </c>
      <c r="M907" t="str">
        <f t="shared" si="43"/>
        <v>OK</v>
      </c>
      <c r="N907" t="str">
        <f t="shared" si="44"/>
        <v>OK</v>
      </c>
    </row>
    <row r="908" spans="1:14" ht="43.2" x14ac:dyDescent="0.3">
      <c r="A908">
        <v>59</v>
      </c>
      <c r="B908">
        <v>2024</v>
      </c>
      <c r="C908" s="2">
        <v>45476</v>
      </c>
      <c r="D908" s="3" t="s">
        <v>38</v>
      </c>
      <c r="E908" s="4" t="s">
        <v>64</v>
      </c>
      <c r="F908" s="4" t="s">
        <v>40</v>
      </c>
      <c r="G908" s="6">
        <v>100</v>
      </c>
      <c r="H908" s="6">
        <v>100</v>
      </c>
      <c r="I908" s="6">
        <v>120</v>
      </c>
      <c r="J908" s="6" t="s">
        <v>263</v>
      </c>
      <c r="K908" s="6">
        <v>100</v>
      </c>
      <c r="L908" t="str">
        <f t="shared" si="42"/>
        <v>OK</v>
      </c>
      <c r="M908" t="str">
        <f t="shared" si="43"/>
        <v>OK</v>
      </c>
      <c r="N908" t="str">
        <f t="shared" si="44"/>
        <v>ERRO</v>
      </c>
    </row>
    <row r="909" spans="1:14" x14ac:dyDescent="0.3">
      <c r="A909">
        <v>59</v>
      </c>
      <c r="B909">
        <v>2024</v>
      </c>
      <c r="C909" s="2">
        <v>45476</v>
      </c>
      <c r="D909" s="7" t="s">
        <v>65</v>
      </c>
      <c r="E909" s="8" t="s">
        <v>66</v>
      </c>
      <c r="F909" s="8" t="s">
        <v>45</v>
      </c>
      <c r="G909" s="9"/>
      <c r="H909" s="9"/>
      <c r="I909" s="9"/>
      <c r="J909" s="9"/>
      <c r="K909" s="9"/>
      <c r="L909" t="str">
        <f t="shared" si="42"/>
        <v>OK</v>
      </c>
      <c r="M909" t="str">
        <f t="shared" si="43"/>
        <v>OK</v>
      </c>
      <c r="N909" t="str">
        <f t="shared" si="44"/>
        <v>OK</v>
      </c>
    </row>
    <row r="910" spans="1:14" x14ac:dyDescent="0.3">
      <c r="A910">
        <v>59</v>
      </c>
      <c r="B910">
        <v>2024</v>
      </c>
      <c r="C910" s="2">
        <v>45476</v>
      </c>
      <c r="D910" s="3" t="s">
        <v>65</v>
      </c>
      <c r="E910" s="4" t="s">
        <v>67</v>
      </c>
      <c r="F910" s="4" t="s">
        <v>45</v>
      </c>
      <c r="G910" s="5"/>
      <c r="H910" s="5"/>
      <c r="I910" s="5"/>
      <c r="J910" s="5"/>
      <c r="K910" s="5"/>
      <c r="L910" t="str">
        <f t="shared" si="42"/>
        <v>OK</v>
      </c>
      <c r="M910" t="str">
        <f t="shared" si="43"/>
        <v>OK</v>
      </c>
      <c r="N910" t="str">
        <f t="shared" si="44"/>
        <v>OK</v>
      </c>
    </row>
    <row r="911" spans="1:14" x14ac:dyDescent="0.3">
      <c r="A911">
        <v>59</v>
      </c>
      <c r="B911">
        <v>2024</v>
      </c>
      <c r="C911" s="2">
        <v>45476</v>
      </c>
      <c r="D911" s="7" t="s">
        <v>65</v>
      </c>
      <c r="E911" s="8" t="s">
        <v>68</v>
      </c>
      <c r="F911" s="8" t="s">
        <v>45</v>
      </c>
      <c r="G911" s="9"/>
      <c r="H911" s="9"/>
      <c r="I911" s="9"/>
      <c r="J911" s="9"/>
      <c r="K911" s="9"/>
      <c r="L911" t="str">
        <f t="shared" si="42"/>
        <v>OK</v>
      </c>
      <c r="M911" t="str">
        <f t="shared" si="43"/>
        <v>OK</v>
      </c>
      <c r="N911" t="str">
        <f t="shared" si="44"/>
        <v>OK</v>
      </c>
    </row>
    <row r="912" spans="1:14" x14ac:dyDescent="0.3">
      <c r="A912">
        <v>59</v>
      </c>
      <c r="B912">
        <v>2024</v>
      </c>
      <c r="C912" s="2">
        <v>45476</v>
      </c>
      <c r="D912" s="3" t="s">
        <v>65</v>
      </c>
      <c r="E912" s="4" t="s">
        <v>69</v>
      </c>
      <c r="F912" s="4" t="s">
        <v>45</v>
      </c>
      <c r="G912" s="5"/>
      <c r="H912" s="6">
        <v>50</v>
      </c>
      <c r="I912" s="6">
        <v>50</v>
      </c>
      <c r="J912" s="6">
        <v>50</v>
      </c>
      <c r="K912" s="6">
        <v>50</v>
      </c>
      <c r="L912" t="str">
        <f t="shared" si="42"/>
        <v>OK</v>
      </c>
      <c r="M912" t="str">
        <f t="shared" si="43"/>
        <v>OK</v>
      </c>
      <c r="N912" t="str">
        <f t="shared" si="44"/>
        <v>OK</v>
      </c>
    </row>
    <row r="913" spans="1:14" x14ac:dyDescent="0.3">
      <c r="A913">
        <v>59</v>
      </c>
      <c r="B913">
        <v>2024</v>
      </c>
      <c r="C913" s="2">
        <v>45476</v>
      </c>
      <c r="D913" s="7" t="s">
        <v>65</v>
      </c>
      <c r="E913" s="8" t="s">
        <v>70</v>
      </c>
      <c r="F913" s="8" t="s">
        <v>71</v>
      </c>
      <c r="G913" s="9"/>
      <c r="H913" s="10">
        <v>65</v>
      </c>
      <c r="I913" s="10">
        <v>65</v>
      </c>
      <c r="J913" s="10">
        <v>65</v>
      </c>
      <c r="K913" s="10">
        <v>65</v>
      </c>
      <c r="L913" t="str">
        <f t="shared" si="42"/>
        <v>OK</v>
      </c>
      <c r="M913" t="str">
        <f t="shared" si="43"/>
        <v>OK</v>
      </c>
      <c r="N913" t="str">
        <f t="shared" si="44"/>
        <v>OK</v>
      </c>
    </row>
    <row r="914" spans="1:14" ht="28.8" x14ac:dyDescent="0.3">
      <c r="A914">
        <v>60</v>
      </c>
      <c r="B914">
        <v>2024</v>
      </c>
      <c r="C914" s="2">
        <v>45483</v>
      </c>
      <c r="D914" s="3" t="s">
        <v>11</v>
      </c>
      <c r="E914" s="4" t="s">
        <v>12</v>
      </c>
      <c r="F914" s="4" t="s">
        <v>13</v>
      </c>
      <c r="G914" s="6">
        <v>48</v>
      </c>
      <c r="H914" s="6">
        <v>48</v>
      </c>
      <c r="I914" s="6">
        <v>60</v>
      </c>
      <c r="J914" s="6">
        <v>54</v>
      </c>
      <c r="K914" s="6">
        <v>54</v>
      </c>
      <c r="L914" t="str">
        <f t="shared" si="42"/>
        <v>OK</v>
      </c>
      <c r="M914" t="str">
        <f t="shared" si="43"/>
        <v>OK</v>
      </c>
      <c r="N914" t="str">
        <f t="shared" si="44"/>
        <v>OK</v>
      </c>
    </row>
    <row r="915" spans="1:14" ht="28.8" x14ac:dyDescent="0.3">
      <c r="A915">
        <v>60</v>
      </c>
      <c r="B915">
        <v>2024</v>
      </c>
      <c r="C915" s="2">
        <v>45483</v>
      </c>
      <c r="D915" s="7" t="s">
        <v>11</v>
      </c>
      <c r="E915" s="8" t="s">
        <v>14</v>
      </c>
      <c r="F915" s="8" t="s">
        <v>13</v>
      </c>
      <c r="G915" s="10">
        <v>72</v>
      </c>
      <c r="H915" s="10">
        <v>72</v>
      </c>
      <c r="I915" s="10">
        <v>84</v>
      </c>
      <c r="J915" s="10">
        <v>78</v>
      </c>
      <c r="K915" s="10">
        <v>78</v>
      </c>
      <c r="L915" t="str">
        <f t="shared" si="42"/>
        <v>OK</v>
      </c>
      <c r="M915" t="str">
        <f t="shared" si="43"/>
        <v>OK</v>
      </c>
      <c r="N915" t="str">
        <f t="shared" si="44"/>
        <v>OK</v>
      </c>
    </row>
    <row r="916" spans="1:14" ht="28.8" x14ac:dyDescent="0.3">
      <c r="A916">
        <v>60</v>
      </c>
      <c r="B916">
        <v>2024</v>
      </c>
      <c r="C916" s="2">
        <v>45483</v>
      </c>
      <c r="D916" s="3" t="s">
        <v>11</v>
      </c>
      <c r="E916" s="4" t="s">
        <v>15</v>
      </c>
      <c r="F916" s="4" t="s">
        <v>13</v>
      </c>
      <c r="G916" s="6">
        <v>36</v>
      </c>
      <c r="H916" s="6">
        <v>36</v>
      </c>
      <c r="I916" s="6">
        <v>48</v>
      </c>
      <c r="J916" s="6">
        <v>40</v>
      </c>
      <c r="K916" s="6">
        <v>38</v>
      </c>
      <c r="L916" t="str">
        <f t="shared" si="42"/>
        <v>OK</v>
      </c>
      <c r="M916" t="str">
        <f t="shared" si="43"/>
        <v>OK</v>
      </c>
      <c r="N916" t="str">
        <f t="shared" si="44"/>
        <v>OK</v>
      </c>
    </row>
    <row r="917" spans="1:14" ht="28.8" x14ac:dyDescent="0.3">
      <c r="A917">
        <v>60</v>
      </c>
      <c r="B917">
        <v>2024</v>
      </c>
      <c r="C917" s="2">
        <v>45483</v>
      </c>
      <c r="D917" s="7" t="s">
        <v>11</v>
      </c>
      <c r="E917" s="8" t="s">
        <v>16</v>
      </c>
      <c r="F917" s="8" t="s">
        <v>13</v>
      </c>
      <c r="G917" s="10">
        <v>24</v>
      </c>
      <c r="H917" s="10">
        <v>20</v>
      </c>
      <c r="I917" s="10">
        <v>24</v>
      </c>
      <c r="J917" s="10">
        <v>23</v>
      </c>
      <c r="K917" s="10">
        <v>24</v>
      </c>
      <c r="L917" t="str">
        <f t="shared" si="42"/>
        <v>OK</v>
      </c>
      <c r="M917" t="str">
        <f t="shared" si="43"/>
        <v>OK</v>
      </c>
      <c r="N917" t="str">
        <f t="shared" si="44"/>
        <v>OK</v>
      </c>
    </row>
    <row r="918" spans="1:14" ht="28.8" x14ac:dyDescent="0.3">
      <c r="A918">
        <v>60</v>
      </c>
      <c r="B918">
        <v>2024</v>
      </c>
      <c r="C918" s="2">
        <v>45483</v>
      </c>
      <c r="D918" s="3" t="s">
        <v>11</v>
      </c>
      <c r="E918" s="4" t="s">
        <v>17</v>
      </c>
      <c r="F918" s="4" t="s">
        <v>13</v>
      </c>
      <c r="G918" s="6">
        <v>24</v>
      </c>
      <c r="H918" s="6">
        <v>20</v>
      </c>
      <c r="I918" s="6">
        <v>24</v>
      </c>
      <c r="J918" s="6">
        <v>23</v>
      </c>
      <c r="K918" s="6">
        <v>24</v>
      </c>
      <c r="L918" t="str">
        <f t="shared" si="42"/>
        <v>OK</v>
      </c>
      <c r="M918" t="str">
        <f t="shared" si="43"/>
        <v>OK</v>
      </c>
      <c r="N918" t="str">
        <f t="shared" si="44"/>
        <v>OK</v>
      </c>
    </row>
    <row r="919" spans="1:14" ht="28.8" x14ac:dyDescent="0.3">
      <c r="A919">
        <v>60</v>
      </c>
      <c r="B919">
        <v>2024</v>
      </c>
      <c r="C919" s="2">
        <v>45483</v>
      </c>
      <c r="D919" s="7" t="s">
        <v>11</v>
      </c>
      <c r="E919" s="8" t="s">
        <v>18</v>
      </c>
      <c r="F919" s="8" t="s">
        <v>13</v>
      </c>
      <c r="G919" s="10">
        <v>60</v>
      </c>
      <c r="H919" s="10">
        <v>60</v>
      </c>
      <c r="I919" s="10">
        <v>60</v>
      </c>
      <c r="J919" s="10">
        <v>60</v>
      </c>
      <c r="K919" s="10">
        <v>60</v>
      </c>
      <c r="L919" t="str">
        <f t="shared" si="42"/>
        <v>OK</v>
      </c>
      <c r="M919" t="str">
        <f t="shared" si="43"/>
        <v>OK</v>
      </c>
      <c r="N919" t="str">
        <f t="shared" si="44"/>
        <v>OK</v>
      </c>
    </row>
    <row r="920" spans="1:14" ht="28.8" x14ac:dyDescent="0.3">
      <c r="A920">
        <v>60</v>
      </c>
      <c r="B920">
        <v>2024</v>
      </c>
      <c r="C920" s="2">
        <v>45483</v>
      </c>
      <c r="D920" s="3" t="s">
        <v>11</v>
      </c>
      <c r="E920" s="4" t="s">
        <v>19</v>
      </c>
      <c r="F920" s="4" t="s">
        <v>13</v>
      </c>
      <c r="G920" s="6">
        <v>60</v>
      </c>
      <c r="H920" s="6">
        <v>54</v>
      </c>
      <c r="I920" s="6">
        <v>60</v>
      </c>
      <c r="J920" s="6" t="s">
        <v>246</v>
      </c>
      <c r="K920" s="6">
        <v>60</v>
      </c>
      <c r="L920" t="str">
        <f t="shared" si="42"/>
        <v>OK</v>
      </c>
      <c r="M920" t="str">
        <f t="shared" si="43"/>
        <v>OK</v>
      </c>
      <c r="N920" t="str">
        <f t="shared" si="44"/>
        <v>ERRO</v>
      </c>
    </row>
    <row r="921" spans="1:14" ht="28.8" x14ac:dyDescent="0.3">
      <c r="A921">
        <v>60</v>
      </c>
      <c r="B921">
        <v>2024</v>
      </c>
      <c r="C921" s="2">
        <v>45483</v>
      </c>
      <c r="D921" s="7" t="s">
        <v>11</v>
      </c>
      <c r="E921" s="8" t="s">
        <v>20</v>
      </c>
      <c r="F921" s="8" t="s">
        <v>13</v>
      </c>
      <c r="G921" s="10">
        <v>84</v>
      </c>
      <c r="H921" s="10">
        <v>72</v>
      </c>
      <c r="I921" s="10">
        <v>96</v>
      </c>
      <c r="J921" s="10">
        <v>84</v>
      </c>
      <c r="K921" s="10">
        <v>84</v>
      </c>
      <c r="L921" t="str">
        <f t="shared" si="42"/>
        <v>OK</v>
      </c>
      <c r="M921" t="str">
        <f t="shared" si="43"/>
        <v>OK</v>
      </c>
      <c r="N921" t="str">
        <f t="shared" si="44"/>
        <v>OK</v>
      </c>
    </row>
    <row r="922" spans="1:14" ht="28.8" x14ac:dyDescent="0.3">
      <c r="A922">
        <v>60</v>
      </c>
      <c r="B922">
        <v>2024</v>
      </c>
      <c r="C922" s="2">
        <v>45483</v>
      </c>
      <c r="D922" s="3" t="s">
        <v>11</v>
      </c>
      <c r="E922" s="4" t="s">
        <v>21</v>
      </c>
      <c r="F922" s="4" t="s">
        <v>13</v>
      </c>
      <c r="G922" s="6">
        <v>24</v>
      </c>
      <c r="H922" s="6">
        <v>24</v>
      </c>
      <c r="I922" s="6">
        <v>30</v>
      </c>
      <c r="J922" s="6" t="s">
        <v>276</v>
      </c>
      <c r="K922" s="6">
        <v>24</v>
      </c>
      <c r="L922" t="str">
        <f t="shared" si="42"/>
        <v>OK</v>
      </c>
      <c r="M922" t="str">
        <f t="shared" si="43"/>
        <v>OK</v>
      </c>
      <c r="N922" t="str">
        <f t="shared" si="44"/>
        <v>ERRO</v>
      </c>
    </row>
    <row r="923" spans="1:14" ht="28.8" x14ac:dyDescent="0.3">
      <c r="A923">
        <v>60</v>
      </c>
      <c r="B923">
        <v>2024</v>
      </c>
      <c r="C923" s="2">
        <v>45483</v>
      </c>
      <c r="D923" s="7" t="s">
        <v>11</v>
      </c>
      <c r="E923" s="8" t="s">
        <v>73</v>
      </c>
      <c r="F923" s="8" t="s">
        <v>13</v>
      </c>
      <c r="G923" s="10">
        <v>60</v>
      </c>
      <c r="H923" s="10">
        <v>60</v>
      </c>
      <c r="I923" s="10">
        <v>72</v>
      </c>
      <c r="J923" s="10">
        <v>63</v>
      </c>
      <c r="K923" s="10">
        <v>60</v>
      </c>
      <c r="L923" t="str">
        <f t="shared" si="42"/>
        <v>OK</v>
      </c>
      <c r="M923" t="str">
        <f t="shared" si="43"/>
        <v>OK</v>
      </c>
      <c r="N923" t="str">
        <f t="shared" si="44"/>
        <v>OK</v>
      </c>
    </row>
    <row r="924" spans="1:14" ht="28.8" x14ac:dyDescent="0.3">
      <c r="A924">
        <v>60</v>
      </c>
      <c r="B924">
        <v>2024</v>
      </c>
      <c r="C924" s="2">
        <v>45483</v>
      </c>
      <c r="D924" s="3" t="s">
        <v>11</v>
      </c>
      <c r="E924" s="4" t="s">
        <v>23</v>
      </c>
      <c r="F924" s="4" t="s">
        <v>13</v>
      </c>
      <c r="G924" s="6">
        <v>24</v>
      </c>
      <c r="H924" s="6">
        <v>20</v>
      </c>
      <c r="I924" s="6">
        <v>24</v>
      </c>
      <c r="J924" s="6">
        <v>23</v>
      </c>
      <c r="K924" s="6">
        <v>24</v>
      </c>
      <c r="L924" t="str">
        <f t="shared" si="42"/>
        <v>OK</v>
      </c>
      <c r="M924" t="str">
        <f t="shared" si="43"/>
        <v>OK</v>
      </c>
      <c r="N924" t="str">
        <f t="shared" si="44"/>
        <v>OK</v>
      </c>
    </row>
    <row r="925" spans="1:14" ht="28.8" x14ac:dyDescent="0.3">
      <c r="A925">
        <v>60</v>
      </c>
      <c r="B925">
        <v>2024</v>
      </c>
      <c r="C925" s="2">
        <v>45483</v>
      </c>
      <c r="D925" s="7" t="s">
        <v>11</v>
      </c>
      <c r="E925" s="8" t="s">
        <v>24</v>
      </c>
      <c r="F925" s="8" t="s">
        <v>13</v>
      </c>
      <c r="G925" s="10">
        <v>60</v>
      </c>
      <c r="H925" s="10">
        <v>60</v>
      </c>
      <c r="I925" s="10">
        <v>78</v>
      </c>
      <c r="J925" s="10" t="s">
        <v>178</v>
      </c>
      <c r="K925" s="10">
        <v>60</v>
      </c>
      <c r="L925" t="str">
        <f t="shared" si="42"/>
        <v>OK</v>
      </c>
      <c r="M925" t="str">
        <f t="shared" si="43"/>
        <v>OK</v>
      </c>
      <c r="N925" t="str">
        <f t="shared" si="44"/>
        <v>ERRO</v>
      </c>
    </row>
    <row r="926" spans="1:14" ht="28.8" x14ac:dyDescent="0.3">
      <c r="A926">
        <v>60</v>
      </c>
      <c r="B926">
        <v>2024</v>
      </c>
      <c r="C926" s="2">
        <v>45483</v>
      </c>
      <c r="D926" s="3" t="s">
        <v>11</v>
      </c>
      <c r="E926" s="4" t="s">
        <v>25</v>
      </c>
      <c r="F926" s="4" t="s">
        <v>26</v>
      </c>
      <c r="G926" s="6">
        <v>60</v>
      </c>
      <c r="H926" s="6">
        <v>60</v>
      </c>
      <c r="I926" s="6">
        <v>60</v>
      </c>
      <c r="J926" s="6">
        <v>60</v>
      </c>
      <c r="K926" s="6">
        <v>60</v>
      </c>
      <c r="L926" t="str">
        <f t="shared" si="42"/>
        <v>OK</v>
      </c>
      <c r="M926" t="str">
        <f t="shared" si="43"/>
        <v>OK</v>
      </c>
      <c r="N926" t="str">
        <f t="shared" si="44"/>
        <v>OK</v>
      </c>
    </row>
    <row r="927" spans="1:14" ht="28.8" x14ac:dyDescent="0.3">
      <c r="A927">
        <v>60</v>
      </c>
      <c r="B927">
        <v>2024</v>
      </c>
      <c r="C927" s="2">
        <v>45483</v>
      </c>
      <c r="D927" s="7" t="s">
        <v>11</v>
      </c>
      <c r="E927" s="8" t="s">
        <v>27</v>
      </c>
      <c r="F927" s="8" t="s">
        <v>13</v>
      </c>
      <c r="G927" s="9"/>
      <c r="H927" s="10">
        <v>50</v>
      </c>
      <c r="I927" s="10">
        <v>84</v>
      </c>
      <c r="J927" s="10" t="s">
        <v>277</v>
      </c>
      <c r="K927" s="10">
        <v>66</v>
      </c>
      <c r="L927" t="str">
        <f t="shared" si="42"/>
        <v>OK</v>
      </c>
      <c r="M927" t="str">
        <f t="shared" si="43"/>
        <v>OK</v>
      </c>
      <c r="N927" t="str">
        <f t="shared" si="44"/>
        <v>ERRO</v>
      </c>
    </row>
    <row r="928" spans="1:14" ht="28.8" x14ac:dyDescent="0.3">
      <c r="A928">
        <v>60</v>
      </c>
      <c r="B928">
        <v>2024</v>
      </c>
      <c r="C928" s="2">
        <v>45483</v>
      </c>
      <c r="D928" s="3" t="s">
        <v>11</v>
      </c>
      <c r="E928" s="4" t="s">
        <v>28</v>
      </c>
      <c r="F928" s="4" t="s">
        <v>13</v>
      </c>
      <c r="G928" s="6">
        <v>45</v>
      </c>
      <c r="H928" s="6">
        <v>40</v>
      </c>
      <c r="I928" s="6">
        <v>48</v>
      </c>
      <c r="J928" s="6" t="s">
        <v>247</v>
      </c>
      <c r="K928" s="6">
        <v>45</v>
      </c>
      <c r="L928" t="str">
        <f t="shared" si="42"/>
        <v>OK</v>
      </c>
      <c r="M928" t="str">
        <f t="shared" si="43"/>
        <v>OK</v>
      </c>
      <c r="N928" t="str">
        <f t="shared" si="44"/>
        <v>ERRO</v>
      </c>
    </row>
    <row r="929" spans="1:14" ht="28.8" x14ac:dyDescent="0.3">
      <c r="A929">
        <v>60</v>
      </c>
      <c r="B929">
        <v>2024</v>
      </c>
      <c r="C929" s="2">
        <v>45483</v>
      </c>
      <c r="D929" s="7" t="s">
        <v>11</v>
      </c>
      <c r="E929" s="8" t="s">
        <v>29</v>
      </c>
      <c r="F929" s="8" t="s">
        <v>13</v>
      </c>
      <c r="G929" s="10">
        <v>48</v>
      </c>
      <c r="H929" s="10">
        <v>48</v>
      </c>
      <c r="I929" s="10">
        <v>54</v>
      </c>
      <c r="J929" s="10" t="s">
        <v>173</v>
      </c>
      <c r="K929" s="10">
        <v>48</v>
      </c>
      <c r="L929" t="str">
        <f t="shared" si="42"/>
        <v>OK</v>
      </c>
      <c r="M929" t="str">
        <f t="shared" si="43"/>
        <v>OK</v>
      </c>
      <c r="N929" t="str">
        <f t="shared" si="44"/>
        <v>ERRO</v>
      </c>
    </row>
    <row r="930" spans="1:14" ht="28.8" x14ac:dyDescent="0.3">
      <c r="A930">
        <v>60</v>
      </c>
      <c r="B930">
        <v>2024</v>
      </c>
      <c r="C930" s="2">
        <v>45483</v>
      </c>
      <c r="D930" s="3" t="s">
        <v>30</v>
      </c>
      <c r="E930" s="4" t="s">
        <v>31</v>
      </c>
      <c r="F930" s="4" t="s">
        <v>32</v>
      </c>
      <c r="G930" s="6">
        <v>5</v>
      </c>
      <c r="H930" s="6">
        <v>5</v>
      </c>
      <c r="I930" s="6">
        <v>5</v>
      </c>
      <c r="J930" s="6">
        <v>5</v>
      </c>
      <c r="K930" s="6">
        <v>5</v>
      </c>
      <c r="L930" t="str">
        <f t="shared" si="42"/>
        <v>OK</v>
      </c>
      <c r="M930" t="str">
        <f t="shared" si="43"/>
        <v>OK</v>
      </c>
      <c r="N930" t="str">
        <f t="shared" si="44"/>
        <v>OK</v>
      </c>
    </row>
    <row r="931" spans="1:14" ht="28.8" x14ac:dyDescent="0.3">
      <c r="A931">
        <v>60</v>
      </c>
      <c r="B931">
        <v>2024</v>
      </c>
      <c r="C931" s="2">
        <v>45483</v>
      </c>
      <c r="D931" s="7" t="s">
        <v>30</v>
      </c>
      <c r="E931" s="8" t="s">
        <v>34</v>
      </c>
      <c r="F931" s="8" t="s">
        <v>35</v>
      </c>
      <c r="G931" s="10">
        <v>15</v>
      </c>
      <c r="H931" s="10">
        <v>10</v>
      </c>
      <c r="I931" s="10">
        <v>15</v>
      </c>
      <c r="J931" s="10">
        <v>13</v>
      </c>
      <c r="K931" s="10" t="s">
        <v>278</v>
      </c>
      <c r="L931" t="str">
        <f t="shared" si="42"/>
        <v>OK</v>
      </c>
      <c r="M931" t="str">
        <f t="shared" si="43"/>
        <v>OK</v>
      </c>
      <c r="N931" t="str">
        <f t="shared" si="44"/>
        <v>OK</v>
      </c>
    </row>
    <row r="932" spans="1:14" ht="28.8" x14ac:dyDescent="0.3">
      <c r="A932">
        <v>60</v>
      </c>
      <c r="B932">
        <v>2024</v>
      </c>
      <c r="C932" s="2">
        <v>45483</v>
      </c>
      <c r="D932" s="3" t="s">
        <v>30</v>
      </c>
      <c r="E932" s="4" t="s">
        <v>36</v>
      </c>
      <c r="F932" s="4" t="s">
        <v>35</v>
      </c>
      <c r="G932" s="6">
        <v>25</v>
      </c>
      <c r="H932" s="6">
        <v>20</v>
      </c>
      <c r="I932" s="6">
        <v>30</v>
      </c>
      <c r="J932" s="6">
        <v>25</v>
      </c>
      <c r="K932" s="6">
        <v>25</v>
      </c>
      <c r="L932" t="str">
        <f t="shared" si="42"/>
        <v>OK</v>
      </c>
      <c r="M932" t="str">
        <f t="shared" si="43"/>
        <v>OK</v>
      </c>
      <c r="N932" t="str">
        <f t="shared" si="44"/>
        <v>OK</v>
      </c>
    </row>
    <row r="933" spans="1:14" ht="43.2" x14ac:dyDescent="0.3">
      <c r="A933">
        <v>60</v>
      </c>
      <c r="B933">
        <v>2024</v>
      </c>
      <c r="C933" s="2">
        <v>45483</v>
      </c>
      <c r="D933" s="7" t="s">
        <v>38</v>
      </c>
      <c r="E933" s="8" t="s">
        <v>153</v>
      </c>
      <c r="F933" s="8" t="s">
        <v>154</v>
      </c>
      <c r="G933" s="9"/>
      <c r="H933" s="10">
        <v>65</v>
      </c>
      <c r="I933" s="10">
        <v>80</v>
      </c>
      <c r="J933" s="10" t="s">
        <v>279</v>
      </c>
      <c r="K933" s="10">
        <v>70</v>
      </c>
      <c r="L933" t="str">
        <f t="shared" si="42"/>
        <v>OK</v>
      </c>
      <c r="M933" t="str">
        <f t="shared" si="43"/>
        <v>OK</v>
      </c>
      <c r="N933" t="str">
        <f t="shared" si="44"/>
        <v>ERRO</v>
      </c>
    </row>
    <row r="934" spans="1:14" ht="43.2" x14ac:dyDescent="0.3">
      <c r="A934">
        <v>60</v>
      </c>
      <c r="B934">
        <v>2024</v>
      </c>
      <c r="C934" s="2">
        <v>45483</v>
      </c>
      <c r="D934" s="3" t="s">
        <v>38</v>
      </c>
      <c r="E934" s="4" t="s">
        <v>39</v>
      </c>
      <c r="F934" s="4" t="s">
        <v>40</v>
      </c>
      <c r="G934" s="6">
        <v>60</v>
      </c>
      <c r="H934" s="6">
        <v>45</v>
      </c>
      <c r="I934" s="6">
        <v>70</v>
      </c>
      <c r="J934" s="6">
        <v>59</v>
      </c>
      <c r="K934" s="6">
        <v>60</v>
      </c>
      <c r="L934" t="str">
        <f t="shared" si="42"/>
        <v>OK</v>
      </c>
      <c r="M934" t="str">
        <f t="shared" si="43"/>
        <v>OK</v>
      </c>
      <c r="N934" t="str">
        <f t="shared" si="44"/>
        <v>OK</v>
      </c>
    </row>
    <row r="935" spans="1:14" ht="43.2" x14ac:dyDescent="0.3">
      <c r="A935">
        <v>60</v>
      </c>
      <c r="B935">
        <v>2024</v>
      </c>
      <c r="C935" s="2">
        <v>45483</v>
      </c>
      <c r="D935" s="7" t="s">
        <v>38</v>
      </c>
      <c r="E935" s="8" t="s">
        <v>42</v>
      </c>
      <c r="F935" s="8" t="s">
        <v>43</v>
      </c>
      <c r="G935" s="10">
        <v>70</v>
      </c>
      <c r="H935" s="10">
        <v>45</v>
      </c>
      <c r="I935" s="10">
        <v>70</v>
      </c>
      <c r="J935" s="10">
        <v>64</v>
      </c>
      <c r="K935" s="10">
        <v>70</v>
      </c>
      <c r="L935" t="str">
        <f t="shared" si="42"/>
        <v>OK</v>
      </c>
      <c r="M935" t="str">
        <f t="shared" si="43"/>
        <v>OK</v>
      </c>
      <c r="N935" t="str">
        <f t="shared" si="44"/>
        <v>OK</v>
      </c>
    </row>
    <row r="936" spans="1:14" ht="43.2" x14ac:dyDescent="0.3">
      <c r="A936">
        <v>60</v>
      </c>
      <c r="B936">
        <v>2024</v>
      </c>
      <c r="C936" s="2">
        <v>45483</v>
      </c>
      <c r="D936" s="3" t="s">
        <v>38</v>
      </c>
      <c r="E936" s="4" t="s">
        <v>44</v>
      </c>
      <c r="F936" s="4" t="s">
        <v>45</v>
      </c>
      <c r="G936" s="6">
        <v>50</v>
      </c>
      <c r="H936" s="6">
        <v>30</v>
      </c>
      <c r="I936" s="6">
        <v>50</v>
      </c>
      <c r="J936" s="6">
        <v>45</v>
      </c>
      <c r="K936" s="6">
        <v>50</v>
      </c>
      <c r="L936" t="str">
        <f t="shared" si="42"/>
        <v>OK</v>
      </c>
      <c r="M936" t="str">
        <f t="shared" si="43"/>
        <v>OK</v>
      </c>
      <c r="N936" t="str">
        <f t="shared" si="44"/>
        <v>OK</v>
      </c>
    </row>
    <row r="937" spans="1:14" ht="43.2" x14ac:dyDescent="0.3">
      <c r="A937">
        <v>60</v>
      </c>
      <c r="B937">
        <v>2024</v>
      </c>
      <c r="C937" s="2">
        <v>45483</v>
      </c>
      <c r="D937" s="7" t="s">
        <v>38</v>
      </c>
      <c r="E937" s="8" t="s">
        <v>48</v>
      </c>
      <c r="F937" s="8" t="s">
        <v>45</v>
      </c>
      <c r="G937" s="9"/>
      <c r="H937" s="10">
        <v>40</v>
      </c>
      <c r="I937" s="10">
        <v>110</v>
      </c>
      <c r="J937" s="10">
        <v>85</v>
      </c>
      <c r="K937" s="10">
        <v>95</v>
      </c>
      <c r="L937" t="str">
        <f t="shared" si="42"/>
        <v>OK</v>
      </c>
      <c r="M937" t="str">
        <f t="shared" si="43"/>
        <v>OK</v>
      </c>
      <c r="N937" t="str">
        <f t="shared" si="44"/>
        <v>OK</v>
      </c>
    </row>
    <row r="938" spans="1:14" ht="43.2" x14ac:dyDescent="0.3">
      <c r="A938">
        <v>60</v>
      </c>
      <c r="B938">
        <v>2024</v>
      </c>
      <c r="C938" s="2">
        <v>45483</v>
      </c>
      <c r="D938" s="3" t="s">
        <v>38</v>
      </c>
      <c r="E938" s="4" t="s">
        <v>49</v>
      </c>
      <c r="F938" s="4" t="s">
        <v>50</v>
      </c>
      <c r="G938" s="6">
        <v>70</v>
      </c>
      <c r="H938" s="6">
        <v>70</v>
      </c>
      <c r="I938" s="6">
        <v>90</v>
      </c>
      <c r="J938" s="6">
        <v>79</v>
      </c>
      <c r="K938" s="6">
        <v>80</v>
      </c>
      <c r="L938" t="str">
        <f t="shared" si="42"/>
        <v>OK</v>
      </c>
      <c r="M938" t="str">
        <f t="shared" si="43"/>
        <v>OK</v>
      </c>
      <c r="N938" t="str">
        <f t="shared" si="44"/>
        <v>OK</v>
      </c>
    </row>
    <row r="939" spans="1:14" ht="43.2" x14ac:dyDescent="0.3">
      <c r="A939">
        <v>60</v>
      </c>
      <c r="B939">
        <v>2024</v>
      </c>
      <c r="C939" s="2">
        <v>45483</v>
      </c>
      <c r="D939" s="7" t="s">
        <v>38</v>
      </c>
      <c r="E939" s="8" t="s">
        <v>52</v>
      </c>
      <c r="F939" s="8" t="s">
        <v>43</v>
      </c>
      <c r="G939" s="10">
        <v>60</v>
      </c>
      <c r="H939" s="10">
        <v>40</v>
      </c>
      <c r="I939" s="10">
        <v>80</v>
      </c>
      <c r="J939" s="10" t="s">
        <v>241</v>
      </c>
      <c r="K939" s="10" t="s">
        <v>80</v>
      </c>
      <c r="L939" t="str">
        <f t="shared" si="42"/>
        <v>OK</v>
      </c>
      <c r="M939" t="str">
        <f t="shared" si="43"/>
        <v>OK</v>
      </c>
      <c r="N939" t="str">
        <f t="shared" si="44"/>
        <v>ERRO</v>
      </c>
    </row>
    <row r="940" spans="1:14" ht="43.2" x14ac:dyDescent="0.3">
      <c r="A940">
        <v>60</v>
      </c>
      <c r="B940">
        <v>2024</v>
      </c>
      <c r="C940" s="2">
        <v>45483</v>
      </c>
      <c r="D940" s="3" t="s">
        <v>38</v>
      </c>
      <c r="E940" s="4" t="s">
        <v>53</v>
      </c>
      <c r="F940" s="4" t="s">
        <v>43</v>
      </c>
      <c r="G940" s="6">
        <v>65</v>
      </c>
      <c r="H940" s="6">
        <v>45</v>
      </c>
      <c r="I940" s="6">
        <v>65</v>
      </c>
      <c r="J940" s="6">
        <v>57</v>
      </c>
      <c r="K940" s="6">
        <v>60</v>
      </c>
      <c r="L940" t="str">
        <f t="shared" si="42"/>
        <v>OK</v>
      </c>
      <c r="M940" t="str">
        <f t="shared" si="43"/>
        <v>OK</v>
      </c>
      <c r="N940" t="str">
        <f t="shared" si="44"/>
        <v>OK</v>
      </c>
    </row>
    <row r="941" spans="1:14" ht="43.2" x14ac:dyDescent="0.3">
      <c r="A941">
        <v>60</v>
      </c>
      <c r="B941">
        <v>2024</v>
      </c>
      <c r="C941" s="2">
        <v>45483</v>
      </c>
      <c r="D941" s="7" t="s">
        <v>38</v>
      </c>
      <c r="E941" s="8" t="s">
        <v>54</v>
      </c>
      <c r="F941" s="8" t="s">
        <v>40</v>
      </c>
      <c r="G941" s="10">
        <v>90</v>
      </c>
      <c r="H941" s="10">
        <v>60</v>
      </c>
      <c r="I941" s="10">
        <v>100</v>
      </c>
      <c r="J941" s="10" t="s">
        <v>270</v>
      </c>
      <c r="K941" s="10">
        <v>85</v>
      </c>
      <c r="L941" t="str">
        <f t="shared" si="42"/>
        <v>OK</v>
      </c>
      <c r="M941" t="str">
        <f t="shared" si="43"/>
        <v>OK</v>
      </c>
      <c r="N941" t="str">
        <f t="shared" si="44"/>
        <v>ERRO</v>
      </c>
    </row>
    <row r="942" spans="1:14" ht="43.2" x14ac:dyDescent="0.3">
      <c r="A942">
        <v>60</v>
      </c>
      <c r="B942">
        <v>2024</v>
      </c>
      <c r="C942" s="2">
        <v>45483</v>
      </c>
      <c r="D942" s="3" t="s">
        <v>38</v>
      </c>
      <c r="E942" s="4" t="s">
        <v>56</v>
      </c>
      <c r="F942" s="4" t="s">
        <v>43</v>
      </c>
      <c r="G942" s="6">
        <v>50</v>
      </c>
      <c r="H942" s="6">
        <v>50</v>
      </c>
      <c r="I942" s="6">
        <v>60</v>
      </c>
      <c r="J942" s="6" t="s">
        <v>92</v>
      </c>
      <c r="K942" s="6" t="s">
        <v>78</v>
      </c>
      <c r="L942" t="str">
        <f t="shared" si="42"/>
        <v>OK</v>
      </c>
      <c r="M942" t="str">
        <f t="shared" si="43"/>
        <v>OK</v>
      </c>
      <c r="N942" t="str">
        <f t="shared" si="44"/>
        <v>ERRO</v>
      </c>
    </row>
    <row r="943" spans="1:14" ht="43.2" x14ac:dyDescent="0.3">
      <c r="A943">
        <v>60</v>
      </c>
      <c r="B943">
        <v>2024</v>
      </c>
      <c r="C943" s="2">
        <v>45483</v>
      </c>
      <c r="D943" s="7" t="s">
        <v>38</v>
      </c>
      <c r="E943" s="8" t="s">
        <v>57</v>
      </c>
      <c r="F943" s="8" t="s">
        <v>40</v>
      </c>
      <c r="G943" s="10">
        <v>60</v>
      </c>
      <c r="H943" s="10">
        <v>40</v>
      </c>
      <c r="I943" s="10">
        <v>60</v>
      </c>
      <c r="J943" s="10" t="s">
        <v>78</v>
      </c>
      <c r="K943" s="10">
        <v>55</v>
      </c>
      <c r="L943" t="str">
        <f t="shared" si="42"/>
        <v>OK</v>
      </c>
      <c r="M943" t="str">
        <f t="shared" si="43"/>
        <v>OK</v>
      </c>
      <c r="N943" t="str">
        <f t="shared" si="44"/>
        <v>ERRO</v>
      </c>
    </row>
    <row r="944" spans="1:14" ht="43.2" x14ac:dyDescent="0.3">
      <c r="A944">
        <v>60</v>
      </c>
      <c r="B944">
        <v>2024</v>
      </c>
      <c r="C944" s="2">
        <v>45483</v>
      </c>
      <c r="D944" s="3" t="s">
        <v>38</v>
      </c>
      <c r="E944" s="4" t="s">
        <v>58</v>
      </c>
      <c r="F944" s="4" t="s">
        <v>40</v>
      </c>
      <c r="G944" s="6">
        <v>80</v>
      </c>
      <c r="H944" s="6">
        <v>70</v>
      </c>
      <c r="I944" s="6">
        <v>80</v>
      </c>
      <c r="J944" s="6">
        <v>77</v>
      </c>
      <c r="K944" s="6">
        <v>80</v>
      </c>
      <c r="L944" t="str">
        <f t="shared" si="42"/>
        <v>OK</v>
      </c>
      <c r="M944" t="str">
        <f t="shared" si="43"/>
        <v>OK</v>
      </c>
      <c r="N944" t="str">
        <f t="shared" si="44"/>
        <v>OK</v>
      </c>
    </row>
    <row r="945" spans="1:14" ht="43.2" x14ac:dyDescent="0.3">
      <c r="A945">
        <v>60</v>
      </c>
      <c r="B945">
        <v>2024</v>
      </c>
      <c r="C945" s="2">
        <v>45483</v>
      </c>
      <c r="D945" s="7" t="s">
        <v>38</v>
      </c>
      <c r="E945" s="8" t="s">
        <v>59</v>
      </c>
      <c r="F945" s="8" t="s">
        <v>45</v>
      </c>
      <c r="G945" s="10">
        <v>50</v>
      </c>
      <c r="H945" s="10">
        <v>50</v>
      </c>
      <c r="I945" s="10">
        <v>60</v>
      </c>
      <c r="J945" s="10">
        <v>53</v>
      </c>
      <c r="K945" s="10">
        <v>50</v>
      </c>
      <c r="L945" t="str">
        <f t="shared" si="42"/>
        <v>OK</v>
      </c>
      <c r="M945" t="str">
        <f t="shared" si="43"/>
        <v>OK</v>
      </c>
      <c r="N945" t="str">
        <f t="shared" si="44"/>
        <v>OK</v>
      </c>
    </row>
    <row r="946" spans="1:14" ht="43.2" x14ac:dyDescent="0.3">
      <c r="A946">
        <v>60</v>
      </c>
      <c r="B946">
        <v>2024</v>
      </c>
      <c r="C946" s="2">
        <v>45483</v>
      </c>
      <c r="D946" s="3" t="s">
        <v>38</v>
      </c>
      <c r="E946" s="4" t="s">
        <v>60</v>
      </c>
      <c r="F946" s="4" t="s">
        <v>61</v>
      </c>
      <c r="G946" s="6">
        <v>100</v>
      </c>
      <c r="H946" s="6">
        <v>90</v>
      </c>
      <c r="I946" s="6">
        <v>120</v>
      </c>
      <c r="J946" s="6" t="s">
        <v>183</v>
      </c>
      <c r="K946" s="6">
        <v>100</v>
      </c>
      <c r="L946" t="str">
        <f t="shared" si="42"/>
        <v>OK</v>
      </c>
      <c r="M946" t="str">
        <f t="shared" si="43"/>
        <v>OK</v>
      </c>
      <c r="N946" t="str">
        <f t="shared" si="44"/>
        <v>ERRO</v>
      </c>
    </row>
    <row r="947" spans="1:14" ht="43.2" x14ac:dyDescent="0.3">
      <c r="A947">
        <v>60</v>
      </c>
      <c r="B947">
        <v>2024</v>
      </c>
      <c r="C947" s="2">
        <v>45483</v>
      </c>
      <c r="D947" s="7" t="s">
        <v>38</v>
      </c>
      <c r="E947" s="8" t="s">
        <v>63</v>
      </c>
      <c r="F947" s="8" t="s">
        <v>40</v>
      </c>
      <c r="G947" s="9"/>
      <c r="H947" s="10">
        <v>30</v>
      </c>
      <c r="I947" s="10">
        <v>90</v>
      </c>
      <c r="J947" s="10" t="s">
        <v>84</v>
      </c>
      <c r="K947" s="10" t="s">
        <v>200</v>
      </c>
      <c r="L947" t="str">
        <f t="shared" si="42"/>
        <v>OK</v>
      </c>
      <c r="M947" t="str">
        <f t="shared" si="43"/>
        <v>OK</v>
      </c>
      <c r="N947" t="str">
        <f t="shared" si="44"/>
        <v>ERRO</v>
      </c>
    </row>
    <row r="948" spans="1:14" ht="43.2" x14ac:dyDescent="0.3">
      <c r="A948">
        <v>60</v>
      </c>
      <c r="B948">
        <v>2024</v>
      </c>
      <c r="C948" s="2">
        <v>45483</v>
      </c>
      <c r="D948" s="3" t="s">
        <v>38</v>
      </c>
      <c r="E948" s="4" t="s">
        <v>64</v>
      </c>
      <c r="F948" s="4" t="s">
        <v>40</v>
      </c>
      <c r="G948" s="6">
        <v>120</v>
      </c>
      <c r="H948" s="6">
        <v>120</v>
      </c>
      <c r="I948" s="6">
        <v>150</v>
      </c>
      <c r="J948" s="6">
        <v>130</v>
      </c>
      <c r="K948" s="6">
        <v>125</v>
      </c>
      <c r="L948" t="str">
        <f t="shared" si="42"/>
        <v>OK</v>
      </c>
      <c r="M948" t="str">
        <f t="shared" si="43"/>
        <v>OK</v>
      </c>
      <c r="N948" t="str">
        <f t="shared" si="44"/>
        <v>OK</v>
      </c>
    </row>
    <row r="949" spans="1:14" x14ac:dyDescent="0.3">
      <c r="A949">
        <v>60</v>
      </c>
      <c r="B949">
        <v>2024</v>
      </c>
      <c r="C949" s="2">
        <v>45483</v>
      </c>
      <c r="D949" s="7" t="s">
        <v>65</v>
      </c>
      <c r="E949" s="8" t="s">
        <v>66</v>
      </c>
      <c r="F949" s="8" t="s">
        <v>45</v>
      </c>
      <c r="G949" s="9"/>
      <c r="H949" s="9"/>
      <c r="I949" s="9"/>
      <c r="J949" s="9"/>
      <c r="K949" s="9"/>
      <c r="L949" t="str">
        <f t="shared" si="42"/>
        <v>OK</v>
      </c>
      <c r="M949" t="str">
        <f t="shared" si="43"/>
        <v>OK</v>
      </c>
      <c r="N949" t="str">
        <f t="shared" si="44"/>
        <v>OK</v>
      </c>
    </row>
    <row r="950" spans="1:14" x14ac:dyDescent="0.3">
      <c r="A950">
        <v>60</v>
      </c>
      <c r="B950">
        <v>2024</v>
      </c>
      <c r="C950" s="2">
        <v>45483</v>
      </c>
      <c r="D950" s="3" t="s">
        <v>65</v>
      </c>
      <c r="E950" s="4" t="s">
        <v>67</v>
      </c>
      <c r="F950" s="4" t="s">
        <v>45</v>
      </c>
      <c r="G950" s="5"/>
      <c r="H950" s="5"/>
      <c r="I950" s="5"/>
      <c r="J950" s="5"/>
      <c r="K950" s="5"/>
      <c r="L950" t="str">
        <f t="shared" si="42"/>
        <v>OK</v>
      </c>
      <c r="M950" t="str">
        <f t="shared" si="43"/>
        <v>OK</v>
      </c>
      <c r="N950" t="str">
        <f t="shared" si="44"/>
        <v>OK</v>
      </c>
    </row>
    <row r="951" spans="1:14" x14ac:dyDescent="0.3">
      <c r="A951">
        <v>60</v>
      </c>
      <c r="B951">
        <v>2024</v>
      </c>
      <c r="C951" s="2">
        <v>45483</v>
      </c>
      <c r="D951" s="7" t="s">
        <v>65</v>
      </c>
      <c r="E951" s="8" t="s">
        <v>68</v>
      </c>
      <c r="F951" s="8" t="s">
        <v>45</v>
      </c>
      <c r="G951" s="9"/>
      <c r="H951" s="9"/>
      <c r="I951" s="9"/>
      <c r="J951" s="9"/>
      <c r="K951" s="9"/>
      <c r="L951" t="str">
        <f t="shared" si="42"/>
        <v>OK</v>
      </c>
      <c r="M951" t="str">
        <f t="shared" si="43"/>
        <v>OK</v>
      </c>
      <c r="N951" t="str">
        <f t="shared" si="44"/>
        <v>OK</v>
      </c>
    </row>
    <row r="952" spans="1:14" x14ac:dyDescent="0.3">
      <c r="A952">
        <v>60</v>
      </c>
      <c r="B952">
        <v>2024</v>
      </c>
      <c r="C952" s="2">
        <v>45483</v>
      </c>
      <c r="D952" s="3" t="s">
        <v>65</v>
      </c>
      <c r="E952" s="4" t="s">
        <v>69</v>
      </c>
      <c r="F952" s="4" t="s">
        <v>45</v>
      </c>
      <c r="G952" s="6">
        <v>48</v>
      </c>
      <c r="H952" s="6">
        <v>48</v>
      </c>
      <c r="I952" s="6">
        <v>48</v>
      </c>
      <c r="J952" s="6">
        <v>48</v>
      </c>
      <c r="K952" s="6">
        <v>48</v>
      </c>
      <c r="L952" t="str">
        <f t="shared" si="42"/>
        <v>OK</v>
      </c>
      <c r="M952" t="str">
        <f t="shared" si="43"/>
        <v>OK</v>
      </c>
      <c r="N952" t="str">
        <f t="shared" si="44"/>
        <v>OK</v>
      </c>
    </row>
    <row r="953" spans="1:14" x14ac:dyDescent="0.3">
      <c r="A953">
        <v>60</v>
      </c>
      <c r="B953">
        <v>2024</v>
      </c>
      <c r="C953" s="2">
        <v>45483</v>
      </c>
      <c r="D953" s="7" t="s">
        <v>65</v>
      </c>
      <c r="E953" s="8" t="s">
        <v>70</v>
      </c>
      <c r="F953" s="8" t="s">
        <v>71</v>
      </c>
      <c r="G953" s="10">
        <v>70</v>
      </c>
      <c r="H953" s="10">
        <v>65</v>
      </c>
      <c r="I953" s="10">
        <v>70</v>
      </c>
      <c r="J953" s="10" t="s">
        <v>62</v>
      </c>
      <c r="K953" s="10">
        <v>70</v>
      </c>
      <c r="L953" t="str">
        <f t="shared" si="42"/>
        <v>OK</v>
      </c>
      <c r="M953" t="str">
        <f t="shared" si="43"/>
        <v>OK</v>
      </c>
      <c r="N953" t="str">
        <f t="shared" si="44"/>
        <v>ERRO</v>
      </c>
    </row>
    <row r="954" spans="1:14" ht="28.8" x14ac:dyDescent="0.3">
      <c r="A954">
        <v>62</v>
      </c>
      <c r="B954">
        <v>2024</v>
      </c>
      <c r="C954" s="2">
        <v>45497</v>
      </c>
      <c r="D954" s="3" t="s">
        <v>11</v>
      </c>
      <c r="E954" s="4" t="s">
        <v>12</v>
      </c>
      <c r="F954" s="4" t="s">
        <v>13</v>
      </c>
      <c r="G954" s="6">
        <v>60</v>
      </c>
      <c r="H954" s="6">
        <v>48</v>
      </c>
      <c r="I954" s="6">
        <v>60</v>
      </c>
      <c r="J954" s="6">
        <v>54</v>
      </c>
      <c r="K954" s="6">
        <v>54</v>
      </c>
      <c r="L954" t="str">
        <f t="shared" si="42"/>
        <v>OK</v>
      </c>
      <c r="M954" t="str">
        <f t="shared" si="43"/>
        <v>OK</v>
      </c>
      <c r="N954" t="str">
        <f t="shared" si="44"/>
        <v>OK</v>
      </c>
    </row>
    <row r="955" spans="1:14" ht="28.8" x14ac:dyDescent="0.3">
      <c r="A955">
        <v>62</v>
      </c>
      <c r="B955">
        <v>2024</v>
      </c>
      <c r="C955" s="2">
        <v>45497</v>
      </c>
      <c r="D955" s="7" t="s">
        <v>11</v>
      </c>
      <c r="E955" s="8" t="s">
        <v>14</v>
      </c>
      <c r="F955" s="8" t="s">
        <v>13</v>
      </c>
      <c r="G955" s="10">
        <v>84</v>
      </c>
      <c r="H955" s="10">
        <v>60</v>
      </c>
      <c r="I955" s="10">
        <v>84</v>
      </c>
      <c r="J955" s="10" t="s">
        <v>280</v>
      </c>
      <c r="K955" s="10">
        <v>72</v>
      </c>
      <c r="L955" t="str">
        <f t="shared" si="42"/>
        <v>OK</v>
      </c>
      <c r="M955" t="str">
        <f t="shared" si="43"/>
        <v>OK</v>
      </c>
      <c r="N955" t="str">
        <f t="shared" si="44"/>
        <v>ERRO</v>
      </c>
    </row>
    <row r="956" spans="1:14" ht="28.8" x14ac:dyDescent="0.3">
      <c r="A956">
        <v>62</v>
      </c>
      <c r="B956">
        <v>2024</v>
      </c>
      <c r="C956" s="2">
        <v>45497</v>
      </c>
      <c r="D956" s="3" t="s">
        <v>11</v>
      </c>
      <c r="E956" s="4" t="s">
        <v>15</v>
      </c>
      <c r="F956" s="4" t="s">
        <v>13</v>
      </c>
      <c r="G956" s="6">
        <v>36</v>
      </c>
      <c r="H956" s="6">
        <v>30</v>
      </c>
      <c r="I956" s="6">
        <v>48</v>
      </c>
      <c r="J956" s="6">
        <v>36</v>
      </c>
      <c r="K956" s="6">
        <v>36</v>
      </c>
      <c r="L956" t="str">
        <f t="shared" si="42"/>
        <v>OK</v>
      </c>
      <c r="M956" t="str">
        <f t="shared" si="43"/>
        <v>OK</v>
      </c>
      <c r="N956" t="str">
        <f t="shared" si="44"/>
        <v>OK</v>
      </c>
    </row>
    <row r="957" spans="1:14" ht="28.8" x14ac:dyDescent="0.3">
      <c r="A957">
        <v>62</v>
      </c>
      <c r="B957">
        <v>2024</v>
      </c>
      <c r="C957" s="2">
        <v>45497</v>
      </c>
      <c r="D957" s="7" t="s">
        <v>11</v>
      </c>
      <c r="E957" s="8" t="s">
        <v>16</v>
      </c>
      <c r="F957" s="8" t="s">
        <v>13</v>
      </c>
      <c r="G957" s="10">
        <v>24</v>
      </c>
      <c r="H957" s="10">
        <v>18</v>
      </c>
      <c r="I957" s="10">
        <v>30</v>
      </c>
      <c r="J957" s="10" t="s">
        <v>281</v>
      </c>
      <c r="K957" s="10">
        <v>24</v>
      </c>
      <c r="L957" t="str">
        <f t="shared" si="42"/>
        <v>OK</v>
      </c>
      <c r="M957" t="str">
        <f t="shared" si="43"/>
        <v>OK</v>
      </c>
      <c r="N957" t="str">
        <f t="shared" si="44"/>
        <v>ERRO</v>
      </c>
    </row>
    <row r="958" spans="1:14" ht="28.8" x14ac:dyDescent="0.3">
      <c r="A958">
        <v>62</v>
      </c>
      <c r="B958">
        <v>2024</v>
      </c>
      <c r="C958" s="2">
        <v>45497</v>
      </c>
      <c r="D958" s="3" t="s">
        <v>11</v>
      </c>
      <c r="E958" s="4" t="s">
        <v>17</v>
      </c>
      <c r="F958" s="4" t="s">
        <v>13</v>
      </c>
      <c r="G958" s="6">
        <v>30</v>
      </c>
      <c r="H958" s="6">
        <v>18</v>
      </c>
      <c r="I958" s="6">
        <v>30</v>
      </c>
      <c r="J958" s="6" t="s">
        <v>282</v>
      </c>
      <c r="K958" s="6">
        <v>24</v>
      </c>
      <c r="L958" t="str">
        <f t="shared" si="42"/>
        <v>OK</v>
      </c>
      <c r="M958" t="str">
        <f t="shared" si="43"/>
        <v>OK</v>
      </c>
      <c r="N958" t="str">
        <f t="shared" si="44"/>
        <v>ERRO</v>
      </c>
    </row>
    <row r="959" spans="1:14" ht="28.8" x14ac:dyDescent="0.3">
      <c r="A959">
        <v>62</v>
      </c>
      <c r="B959">
        <v>2024</v>
      </c>
      <c r="C959" s="2">
        <v>45497</v>
      </c>
      <c r="D959" s="7" t="s">
        <v>11</v>
      </c>
      <c r="E959" s="8" t="s">
        <v>18</v>
      </c>
      <c r="F959" s="8" t="s">
        <v>13</v>
      </c>
      <c r="G959" s="10">
        <v>60</v>
      </c>
      <c r="H959" s="10">
        <v>60</v>
      </c>
      <c r="I959" s="10">
        <v>60</v>
      </c>
      <c r="J959" s="10">
        <v>60</v>
      </c>
      <c r="K959" s="10">
        <v>60</v>
      </c>
      <c r="L959" t="str">
        <f t="shared" si="42"/>
        <v>OK</v>
      </c>
      <c r="M959" t="str">
        <f t="shared" si="43"/>
        <v>OK</v>
      </c>
      <c r="N959" t="str">
        <f t="shared" si="44"/>
        <v>OK</v>
      </c>
    </row>
    <row r="960" spans="1:14" ht="28.8" x14ac:dyDescent="0.3">
      <c r="A960">
        <v>62</v>
      </c>
      <c r="B960">
        <v>2024</v>
      </c>
      <c r="C960" s="2">
        <v>45497</v>
      </c>
      <c r="D960" s="3" t="s">
        <v>11</v>
      </c>
      <c r="E960" s="4" t="s">
        <v>19</v>
      </c>
      <c r="F960" s="4" t="s">
        <v>13</v>
      </c>
      <c r="G960" s="6">
        <v>60</v>
      </c>
      <c r="H960" s="6">
        <v>60</v>
      </c>
      <c r="I960" s="6">
        <v>72</v>
      </c>
      <c r="J960" s="6" t="s">
        <v>283</v>
      </c>
      <c r="K960" s="6">
        <v>60</v>
      </c>
      <c r="L960" t="str">
        <f t="shared" si="42"/>
        <v>OK</v>
      </c>
      <c r="M960" t="str">
        <f t="shared" si="43"/>
        <v>OK</v>
      </c>
      <c r="N960" t="str">
        <f t="shared" si="44"/>
        <v>ERRO</v>
      </c>
    </row>
    <row r="961" spans="1:14" ht="28.8" x14ac:dyDescent="0.3">
      <c r="A961">
        <v>62</v>
      </c>
      <c r="B961">
        <v>2024</v>
      </c>
      <c r="C961" s="2">
        <v>45497</v>
      </c>
      <c r="D961" s="7" t="s">
        <v>11</v>
      </c>
      <c r="E961" s="8" t="s">
        <v>20</v>
      </c>
      <c r="F961" s="8" t="s">
        <v>13</v>
      </c>
      <c r="G961" s="10">
        <v>84</v>
      </c>
      <c r="H961" s="10">
        <v>72</v>
      </c>
      <c r="I961" s="10">
        <v>96</v>
      </c>
      <c r="J961" s="10">
        <v>84</v>
      </c>
      <c r="K961" s="10">
        <v>84</v>
      </c>
      <c r="L961" t="str">
        <f t="shared" si="42"/>
        <v>OK</v>
      </c>
      <c r="M961" t="str">
        <f t="shared" si="43"/>
        <v>OK</v>
      </c>
      <c r="N961" t="str">
        <f t="shared" si="44"/>
        <v>OK</v>
      </c>
    </row>
    <row r="962" spans="1:14" ht="28.8" x14ac:dyDescent="0.3">
      <c r="A962">
        <v>62</v>
      </c>
      <c r="B962">
        <v>2024</v>
      </c>
      <c r="C962" s="2">
        <v>45497</v>
      </c>
      <c r="D962" s="3" t="s">
        <v>11</v>
      </c>
      <c r="E962" s="4" t="s">
        <v>21</v>
      </c>
      <c r="F962" s="4" t="s">
        <v>13</v>
      </c>
      <c r="G962" s="6">
        <v>24</v>
      </c>
      <c r="H962" s="6">
        <v>18</v>
      </c>
      <c r="I962" s="6">
        <v>30</v>
      </c>
      <c r="J962" s="6" t="s">
        <v>281</v>
      </c>
      <c r="K962" s="6">
        <v>24</v>
      </c>
      <c r="L962" t="str">
        <f t="shared" si="42"/>
        <v>OK</v>
      </c>
      <c r="M962" t="str">
        <f t="shared" si="43"/>
        <v>OK</v>
      </c>
      <c r="N962" t="str">
        <f t="shared" si="44"/>
        <v>ERRO</v>
      </c>
    </row>
    <row r="963" spans="1:14" ht="28.8" x14ac:dyDescent="0.3">
      <c r="A963">
        <v>62</v>
      </c>
      <c r="B963">
        <v>2024</v>
      </c>
      <c r="C963" s="2">
        <v>45497</v>
      </c>
      <c r="D963" s="7" t="s">
        <v>11</v>
      </c>
      <c r="E963" s="8" t="s">
        <v>73</v>
      </c>
      <c r="F963" s="8" t="s">
        <v>13</v>
      </c>
      <c r="G963" s="10">
        <v>72</v>
      </c>
      <c r="H963" s="10">
        <v>72</v>
      </c>
      <c r="I963" s="10">
        <v>84</v>
      </c>
      <c r="J963" s="10">
        <v>75</v>
      </c>
      <c r="K963" s="10">
        <v>72</v>
      </c>
      <c r="L963" t="str">
        <f t="shared" ref="L963:L1026" si="45">IF(H963&gt;I963,"ERRO","OK")</f>
        <v>OK</v>
      </c>
      <c r="M963" t="str">
        <f t="shared" ref="M963:M1026" si="46">IF(H963&gt;J963,"ERRO","OK")</f>
        <v>OK</v>
      </c>
      <c r="N963" t="str">
        <f t="shared" ref="N963:N1026" si="47">IF(I963&lt;J963,"ERRO","OK")</f>
        <v>OK</v>
      </c>
    </row>
    <row r="964" spans="1:14" ht="28.8" x14ac:dyDescent="0.3">
      <c r="A964">
        <v>62</v>
      </c>
      <c r="B964">
        <v>2024</v>
      </c>
      <c r="C964" s="2">
        <v>45497</v>
      </c>
      <c r="D964" s="3" t="s">
        <v>11</v>
      </c>
      <c r="E964" s="4" t="s">
        <v>23</v>
      </c>
      <c r="F964" s="4" t="s">
        <v>13</v>
      </c>
      <c r="G964" s="6">
        <v>30</v>
      </c>
      <c r="H964" s="6">
        <v>18</v>
      </c>
      <c r="I964" s="6">
        <v>30</v>
      </c>
      <c r="J964" s="6" t="s">
        <v>282</v>
      </c>
      <c r="K964" s="6">
        <v>24</v>
      </c>
      <c r="L964" t="str">
        <f t="shared" si="45"/>
        <v>OK</v>
      </c>
      <c r="M964" t="str">
        <f t="shared" si="46"/>
        <v>OK</v>
      </c>
      <c r="N964" t="str">
        <f t="shared" si="47"/>
        <v>ERRO</v>
      </c>
    </row>
    <row r="965" spans="1:14" ht="28.8" x14ac:dyDescent="0.3">
      <c r="A965">
        <v>62</v>
      </c>
      <c r="B965">
        <v>2024</v>
      </c>
      <c r="C965" s="2">
        <v>45497</v>
      </c>
      <c r="D965" s="7" t="s">
        <v>11</v>
      </c>
      <c r="E965" s="8" t="s">
        <v>24</v>
      </c>
      <c r="F965" s="8" t="s">
        <v>13</v>
      </c>
      <c r="G965" s="10">
        <v>60</v>
      </c>
      <c r="H965" s="10">
        <v>60</v>
      </c>
      <c r="I965" s="10">
        <v>60</v>
      </c>
      <c r="J965" s="10">
        <v>60</v>
      </c>
      <c r="K965" s="10">
        <v>60</v>
      </c>
      <c r="L965" t="str">
        <f t="shared" si="45"/>
        <v>OK</v>
      </c>
      <c r="M965" t="str">
        <f t="shared" si="46"/>
        <v>OK</v>
      </c>
      <c r="N965" t="str">
        <f t="shared" si="47"/>
        <v>OK</v>
      </c>
    </row>
    <row r="966" spans="1:14" ht="28.8" x14ac:dyDescent="0.3">
      <c r="A966">
        <v>62</v>
      </c>
      <c r="B966">
        <v>2024</v>
      </c>
      <c r="C966" s="2">
        <v>45497</v>
      </c>
      <c r="D966" s="3" t="s">
        <v>11</v>
      </c>
      <c r="E966" s="4" t="s">
        <v>25</v>
      </c>
      <c r="F966" s="4" t="s">
        <v>26</v>
      </c>
      <c r="G966" s="6">
        <v>60</v>
      </c>
      <c r="H966" s="6">
        <v>48</v>
      </c>
      <c r="I966" s="6">
        <v>60</v>
      </c>
      <c r="J966" s="6">
        <v>54</v>
      </c>
      <c r="K966" s="6">
        <v>54</v>
      </c>
      <c r="L966" t="str">
        <f t="shared" si="45"/>
        <v>OK</v>
      </c>
      <c r="M966" t="str">
        <f t="shared" si="46"/>
        <v>OK</v>
      </c>
      <c r="N966" t="str">
        <f t="shared" si="47"/>
        <v>OK</v>
      </c>
    </row>
    <row r="967" spans="1:14" ht="28.8" x14ac:dyDescent="0.3">
      <c r="A967">
        <v>62</v>
      </c>
      <c r="B967">
        <v>2024</v>
      </c>
      <c r="C967" s="2">
        <v>45497</v>
      </c>
      <c r="D967" s="7" t="s">
        <v>11</v>
      </c>
      <c r="E967" s="8" t="s">
        <v>27</v>
      </c>
      <c r="F967" s="8" t="s">
        <v>13</v>
      </c>
      <c r="G967" s="10">
        <v>60</v>
      </c>
      <c r="H967" s="10">
        <v>60</v>
      </c>
      <c r="I967" s="10">
        <v>96</v>
      </c>
      <c r="J967" s="10">
        <v>75</v>
      </c>
      <c r="K967" s="10">
        <v>72</v>
      </c>
      <c r="L967" t="str">
        <f t="shared" si="45"/>
        <v>OK</v>
      </c>
      <c r="M967" t="str">
        <f t="shared" si="46"/>
        <v>OK</v>
      </c>
      <c r="N967" t="str">
        <f t="shared" si="47"/>
        <v>OK</v>
      </c>
    </row>
    <row r="968" spans="1:14" ht="28.8" x14ac:dyDescent="0.3">
      <c r="A968">
        <v>62</v>
      </c>
      <c r="B968">
        <v>2024</v>
      </c>
      <c r="C968" s="2">
        <v>45497</v>
      </c>
      <c r="D968" s="3" t="s">
        <v>11</v>
      </c>
      <c r="E968" s="4" t="s">
        <v>28</v>
      </c>
      <c r="F968" s="4" t="s">
        <v>13</v>
      </c>
      <c r="G968" s="6">
        <v>48</v>
      </c>
      <c r="H968" s="6">
        <v>25</v>
      </c>
      <c r="I968" s="6">
        <v>60</v>
      </c>
      <c r="J968" s="6" t="s">
        <v>284</v>
      </c>
      <c r="K968" s="6">
        <v>48</v>
      </c>
      <c r="L968" t="str">
        <f t="shared" si="45"/>
        <v>OK</v>
      </c>
      <c r="M968" t="str">
        <f t="shared" si="46"/>
        <v>OK</v>
      </c>
      <c r="N968" t="str">
        <f t="shared" si="47"/>
        <v>ERRO</v>
      </c>
    </row>
    <row r="969" spans="1:14" ht="28.8" x14ac:dyDescent="0.3">
      <c r="A969">
        <v>62</v>
      </c>
      <c r="B969">
        <v>2024</v>
      </c>
      <c r="C969" s="2">
        <v>45497</v>
      </c>
      <c r="D969" s="7" t="s">
        <v>11</v>
      </c>
      <c r="E969" s="8" t="s">
        <v>29</v>
      </c>
      <c r="F969" s="8" t="s">
        <v>13</v>
      </c>
      <c r="G969" s="10">
        <v>54</v>
      </c>
      <c r="H969" s="10">
        <v>48</v>
      </c>
      <c r="I969" s="10">
        <v>54</v>
      </c>
      <c r="J969" s="10">
        <v>51</v>
      </c>
      <c r="K969" s="10">
        <v>51</v>
      </c>
      <c r="L969" t="str">
        <f t="shared" si="45"/>
        <v>OK</v>
      </c>
      <c r="M969" t="str">
        <f t="shared" si="46"/>
        <v>OK</v>
      </c>
      <c r="N969" t="str">
        <f t="shared" si="47"/>
        <v>OK</v>
      </c>
    </row>
    <row r="970" spans="1:14" ht="28.8" x14ac:dyDescent="0.3">
      <c r="A970">
        <v>62</v>
      </c>
      <c r="B970">
        <v>2024</v>
      </c>
      <c r="C970" s="2">
        <v>45497</v>
      </c>
      <c r="D970" s="3" t="s">
        <v>30</v>
      </c>
      <c r="E970" s="4" t="s">
        <v>31</v>
      </c>
      <c r="F970" s="4" t="s">
        <v>32</v>
      </c>
      <c r="G970" s="6">
        <v>5</v>
      </c>
      <c r="H970" s="6">
        <v>5</v>
      </c>
      <c r="I970" s="6">
        <v>5</v>
      </c>
      <c r="J970" s="6">
        <v>5</v>
      </c>
      <c r="K970" s="6">
        <v>5</v>
      </c>
      <c r="L970" t="str">
        <f t="shared" si="45"/>
        <v>OK</v>
      </c>
      <c r="M970" t="str">
        <f t="shared" si="46"/>
        <v>OK</v>
      </c>
      <c r="N970" t="str">
        <f t="shared" si="47"/>
        <v>OK</v>
      </c>
    </row>
    <row r="971" spans="1:14" ht="28.8" x14ac:dyDescent="0.3">
      <c r="A971">
        <v>62</v>
      </c>
      <c r="B971">
        <v>2024</v>
      </c>
      <c r="C971" s="2">
        <v>45497</v>
      </c>
      <c r="D971" s="7" t="s">
        <v>30</v>
      </c>
      <c r="E971" s="8" t="s">
        <v>34</v>
      </c>
      <c r="F971" s="8" t="s">
        <v>35</v>
      </c>
      <c r="G971" s="10">
        <v>15</v>
      </c>
      <c r="H971" s="10">
        <v>10</v>
      </c>
      <c r="I971" s="10">
        <v>15</v>
      </c>
      <c r="J971" s="10" t="s">
        <v>285</v>
      </c>
      <c r="K971" s="10">
        <v>12</v>
      </c>
      <c r="L971" t="str">
        <f t="shared" si="45"/>
        <v>OK</v>
      </c>
      <c r="M971" t="str">
        <f t="shared" si="46"/>
        <v>OK</v>
      </c>
      <c r="N971" t="str">
        <f t="shared" si="47"/>
        <v>ERRO</v>
      </c>
    </row>
    <row r="972" spans="1:14" ht="28.8" x14ac:dyDescent="0.3">
      <c r="A972">
        <v>62</v>
      </c>
      <c r="B972">
        <v>2024</v>
      </c>
      <c r="C972" s="2">
        <v>45497</v>
      </c>
      <c r="D972" s="3" t="s">
        <v>30</v>
      </c>
      <c r="E972" s="4" t="s">
        <v>36</v>
      </c>
      <c r="F972" s="4" t="s">
        <v>35</v>
      </c>
      <c r="G972" s="6">
        <v>20</v>
      </c>
      <c r="H972" s="6">
        <v>20</v>
      </c>
      <c r="I972" s="6">
        <v>35</v>
      </c>
      <c r="J972" s="6">
        <v>26</v>
      </c>
      <c r="K972" s="6">
        <v>25</v>
      </c>
      <c r="L972" t="str">
        <f t="shared" si="45"/>
        <v>OK</v>
      </c>
      <c r="M972" t="str">
        <f t="shared" si="46"/>
        <v>OK</v>
      </c>
      <c r="N972" t="str">
        <f t="shared" si="47"/>
        <v>OK</v>
      </c>
    </row>
    <row r="973" spans="1:14" ht="43.2" x14ac:dyDescent="0.3">
      <c r="A973">
        <v>62</v>
      </c>
      <c r="B973">
        <v>2024</v>
      </c>
      <c r="C973" s="2">
        <v>45497</v>
      </c>
      <c r="D973" s="7" t="s">
        <v>38</v>
      </c>
      <c r="E973" s="8" t="s">
        <v>153</v>
      </c>
      <c r="F973" s="8" t="s">
        <v>154</v>
      </c>
      <c r="G973" s="9"/>
      <c r="H973" s="10">
        <v>85</v>
      </c>
      <c r="I973" s="10">
        <v>85</v>
      </c>
      <c r="J973" s="10">
        <v>85</v>
      </c>
      <c r="K973" s="10">
        <v>85</v>
      </c>
      <c r="L973" t="str">
        <f t="shared" si="45"/>
        <v>OK</v>
      </c>
      <c r="M973" t="str">
        <f t="shared" si="46"/>
        <v>OK</v>
      </c>
      <c r="N973" t="str">
        <f t="shared" si="47"/>
        <v>OK</v>
      </c>
    </row>
    <row r="974" spans="1:14" ht="43.2" x14ac:dyDescent="0.3">
      <c r="A974">
        <v>62</v>
      </c>
      <c r="B974">
        <v>2024</v>
      </c>
      <c r="C974" s="2">
        <v>45497</v>
      </c>
      <c r="D974" s="3" t="s">
        <v>38</v>
      </c>
      <c r="E974" s="4" t="s">
        <v>39</v>
      </c>
      <c r="F974" s="4" t="s">
        <v>40</v>
      </c>
      <c r="G974" s="6">
        <v>60</v>
      </c>
      <c r="H974" s="6">
        <v>50</v>
      </c>
      <c r="I974" s="6">
        <v>60</v>
      </c>
      <c r="J974" s="6" t="s">
        <v>235</v>
      </c>
      <c r="K974" s="6" t="s">
        <v>41</v>
      </c>
      <c r="L974" t="str">
        <f t="shared" si="45"/>
        <v>OK</v>
      </c>
      <c r="M974" t="str">
        <f t="shared" si="46"/>
        <v>OK</v>
      </c>
      <c r="N974" t="str">
        <f t="shared" si="47"/>
        <v>ERRO</v>
      </c>
    </row>
    <row r="975" spans="1:14" ht="43.2" x14ac:dyDescent="0.3">
      <c r="A975">
        <v>62</v>
      </c>
      <c r="B975">
        <v>2024</v>
      </c>
      <c r="C975" s="2">
        <v>45497</v>
      </c>
      <c r="D975" s="7" t="s">
        <v>38</v>
      </c>
      <c r="E975" s="8" t="s">
        <v>42</v>
      </c>
      <c r="F975" s="8" t="s">
        <v>43</v>
      </c>
      <c r="G975" s="10">
        <v>70</v>
      </c>
      <c r="H975" s="10">
        <v>45</v>
      </c>
      <c r="I975" s="10">
        <v>70</v>
      </c>
      <c r="J975" s="10" t="s">
        <v>286</v>
      </c>
      <c r="K975" s="10">
        <v>70</v>
      </c>
      <c r="L975" t="str">
        <f t="shared" si="45"/>
        <v>OK</v>
      </c>
      <c r="M975" t="str">
        <f t="shared" si="46"/>
        <v>OK</v>
      </c>
      <c r="N975" t="str">
        <f t="shared" si="47"/>
        <v>ERRO</v>
      </c>
    </row>
    <row r="976" spans="1:14" ht="43.2" x14ac:dyDescent="0.3">
      <c r="A976">
        <v>62</v>
      </c>
      <c r="B976">
        <v>2024</v>
      </c>
      <c r="C976" s="2">
        <v>45497</v>
      </c>
      <c r="D976" s="3" t="s">
        <v>38</v>
      </c>
      <c r="E976" s="4" t="s">
        <v>44</v>
      </c>
      <c r="F976" s="4" t="s">
        <v>45</v>
      </c>
      <c r="G976" s="6">
        <v>45</v>
      </c>
      <c r="H976" s="6">
        <v>40</v>
      </c>
      <c r="I976" s="6">
        <v>50</v>
      </c>
      <c r="J976" s="6">
        <v>46</v>
      </c>
      <c r="K976" s="6">
        <v>45</v>
      </c>
      <c r="L976" t="str">
        <f t="shared" si="45"/>
        <v>OK</v>
      </c>
      <c r="M976" t="str">
        <f t="shared" si="46"/>
        <v>OK</v>
      </c>
      <c r="N976" t="str">
        <f t="shared" si="47"/>
        <v>OK</v>
      </c>
    </row>
    <row r="977" spans="1:14" ht="43.2" x14ac:dyDescent="0.3">
      <c r="A977">
        <v>62</v>
      </c>
      <c r="B977">
        <v>2024</v>
      </c>
      <c r="C977" s="2">
        <v>45497</v>
      </c>
      <c r="D977" s="7" t="s">
        <v>38</v>
      </c>
      <c r="E977" s="8" t="s">
        <v>48</v>
      </c>
      <c r="F977" s="8" t="s">
        <v>45</v>
      </c>
      <c r="G977" s="9"/>
      <c r="H977" s="10">
        <v>90</v>
      </c>
      <c r="I977" s="10">
        <v>90</v>
      </c>
      <c r="J977" s="10">
        <v>90</v>
      </c>
      <c r="K977" s="10">
        <v>90</v>
      </c>
      <c r="L977" t="str">
        <f t="shared" si="45"/>
        <v>OK</v>
      </c>
      <c r="M977" t="str">
        <f t="shared" si="46"/>
        <v>OK</v>
      </c>
      <c r="N977" t="str">
        <f t="shared" si="47"/>
        <v>OK</v>
      </c>
    </row>
    <row r="978" spans="1:14" ht="43.2" x14ac:dyDescent="0.3">
      <c r="A978">
        <v>62</v>
      </c>
      <c r="B978">
        <v>2024</v>
      </c>
      <c r="C978" s="2">
        <v>45497</v>
      </c>
      <c r="D978" s="3" t="s">
        <v>38</v>
      </c>
      <c r="E978" s="4" t="s">
        <v>49</v>
      </c>
      <c r="F978" s="4" t="s">
        <v>50</v>
      </c>
      <c r="G978" s="6">
        <v>65</v>
      </c>
      <c r="H978" s="6">
        <v>60</v>
      </c>
      <c r="I978" s="6">
        <v>65</v>
      </c>
      <c r="J978" s="6" t="s">
        <v>80</v>
      </c>
      <c r="K978" s="6" t="s">
        <v>80</v>
      </c>
      <c r="L978" t="str">
        <f t="shared" si="45"/>
        <v>OK</v>
      </c>
      <c r="M978" t="str">
        <f t="shared" si="46"/>
        <v>OK</v>
      </c>
      <c r="N978" t="str">
        <f t="shared" si="47"/>
        <v>ERRO</v>
      </c>
    </row>
    <row r="979" spans="1:14" ht="43.2" x14ac:dyDescent="0.3">
      <c r="A979">
        <v>62</v>
      </c>
      <c r="B979">
        <v>2024</v>
      </c>
      <c r="C979" s="2">
        <v>45497</v>
      </c>
      <c r="D979" s="7" t="s">
        <v>38</v>
      </c>
      <c r="E979" s="8" t="s">
        <v>52</v>
      </c>
      <c r="F979" s="8" t="s">
        <v>43</v>
      </c>
      <c r="G979" s="9"/>
      <c r="H979" s="10">
        <v>40</v>
      </c>
      <c r="I979" s="10">
        <v>65</v>
      </c>
      <c r="J979" s="10" t="s">
        <v>78</v>
      </c>
      <c r="K979" s="10" t="s">
        <v>78</v>
      </c>
      <c r="L979" t="str">
        <f t="shared" si="45"/>
        <v>OK</v>
      </c>
      <c r="M979" t="str">
        <f t="shared" si="46"/>
        <v>OK</v>
      </c>
      <c r="N979" t="str">
        <f t="shared" si="47"/>
        <v>ERRO</v>
      </c>
    </row>
    <row r="980" spans="1:14" ht="43.2" x14ac:dyDescent="0.3">
      <c r="A980">
        <v>62</v>
      </c>
      <c r="B980">
        <v>2024</v>
      </c>
      <c r="C980" s="2">
        <v>45497</v>
      </c>
      <c r="D980" s="3" t="s">
        <v>38</v>
      </c>
      <c r="E980" s="4" t="s">
        <v>53</v>
      </c>
      <c r="F980" s="4" t="s">
        <v>43</v>
      </c>
      <c r="G980" s="6">
        <v>40</v>
      </c>
      <c r="H980" s="6">
        <v>40</v>
      </c>
      <c r="I980" s="6">
        <v>60</v>
      </c>
      <c r="J980" s="6">
        <v>46</v>
      </c>
      <c r="K980" s="6">
        <v>40</v>
      </c>
      <c r="L980" t="str">
        <f t="shared" si="45"/>
        <v>OK</v>
      </c>
      <c r="M980" t="str">
        <f t="shared" si="46"/>
        <v>OK</v>
      </c>
      <c r="N980" t="str">
        <f t="shared" si="47"/>
        <v>OK</v>
      </c>
    </row>
    <row r="981" spans="1:14" ht="43.2" x14ac:dyDescent="0.3">
      <c r="A981">
        <v>62</v>
      </c>
      <c r="B981">
        <v>2024</v>
      </c>
      <c r="C981" s="2">
        <v>45497</v>
      </c>
      <c r="D981" s="7" t="s">
        <v>38</v>
      </c>
      <c r="E981" s="8" t="s">
        <v>54</v>
      </c>
      <c r="F981" s="8" t="s">
        <v>40</v>
      </c>
      <c r="G981" s="9"/>
      <c r="H981" s="10">
        <v>85</v>
      </c>
      <c r="I981" s="10">
        <v>100</v>
      </c>
      <c r="J981" s="10" t="s">
        <v>230</v>
      </c>
      <c r="K981" s="10">
        <v>90</v>
      </c>
      <c r="L981" t="str">
        <f t="shared" si="45"/>
        <v>OK</v>
      </c>
      <c r="M981" t="str">
        <f t="shared" si="46"/>
        <v>OK</v>
      </c>
      <c r="N981" t="str">
        <f t="shared" si="47"/>
        <v>ERRO</v>
      </c>
    </row>
    <row r="982" spans="1:14" ht="43.2" x14ac:dyDescent="0.3">
      <c r="A982">
        <v>62</v>
      </c>
      <c r="B982">
        <v>2024</v>
      </c>
      <c r="C982" s="2">
        <v>45497</v>
      </c>
      <c r="D982" s="3" t="s">
        <v>38</v>
      </c>
      <c r="E982" s="4" t="s">
        <v>56</v>
      </c>
      <c r="F982" s="4" t="s">
        <v>43</v>
      </c>
      <c r="G982" s="5"/>
      <c r="H982" s="6">
        <v>45</v>
      </c>
      <c r="I982" s="6">
        <v>60</v>
      </c>
      <c r="J982" s="6" t="s">
        <v>78</v>
      </c>
      <c r="K982" s="6" t="s">
        <v>78</v>
      </c>
      <c r="L982" t="str">
        <f t="shared" si="45"/>
        <v>OK</v>
      </c>
      <c r="M982" t="str">
        <f t="shared" si="46"/>
        <v>OK</v>
      </c>
      <c r="N982" t="str">
        <f t="shared" si="47"/>
        <v>ERRO</v>
      </c>
    </row>
    <row r="983" spans="1:14" ht="43.2" x14ac:dyDescent="0.3">
      <c r="A983">
        <v>62</v>
      </c>
      <c r="B983">
        <v>2024</v>
      </c>
      <c r="C983" s="2">
        <v>45497</v>
      </c>
      <c r="D983" s="7" t="s">
        <v>38</v>
      </c>
      <c r="E983" s="8" t="s">
        <v>57</v>
      </c>
      <c r="F983" s="8" t="s">
        <v>40</v>
      </c>
      <c r="G983" s="10">
        <v>50</v>
      </c>
      <c r="H983" s="10">
        <v>50</v>
      </c>
      <c r="I983" s="10">
        <v>60</v>
      </c>
      <c r="J983" s="10" t="s">
        <v>242</v>
      </c>
      <c r="K983" s="10">
        <v>50</v>
      </c>
      <c r="L983" t="str">
        <f t="shared" si="45"/>
        <v>OK</v>
      </c>
      <c r="M983" t="str">
        <f t="shared" si="46"/>
        <v>OK</v>
      </c>
      <c r="N983" t="str">
        <f t="shared" si="47"/>
        <v>ERRO</v>
      </c>
    </row>
    <row r="984" spans="1:14" ht="43.2" x14ac:dyDescent="0.3">
      <c r="A984">
        <v>62</v>
      </c>
      <c r="B984">
        <v>2024</v>
      </c>
      <c r="C984" s="2">
        <v>45497</v>
      </c>
      <c r="D984" s="3" t="s">
        <v>38</v>
      </c>
      <c r="E984" s="4" t="s">
        <v>58</v>
      </c>
      <c r="F984" s="4" t="s">
        <v>40</v>
      </c>
      <c r="G984" s="6">
        <v>80</v>
      </c>
      <c r="H984" s="6">
        <v>70</v>
      </c>
      <c r="I984" s="6">
        <v>80</v>
      </c>
      <c r="J984" s="6">
        <v>75</v>
      </c>
      <c r="K984" s="6">
        <v>75</v>
      </c>
      <c r="L984" t="str">
        <f t="shared" si="45"/>
        <v>OK</v>
      </c>
      <c r="M984" t="str">
        <f t="shared" si="46"/>
        <v>OK</v>
      </c>
      <c r="N984" t="str">
        <f t="shared" si="47"/>
        <v>OK</v>
      </c>
    </row>
    <row r="985" spans="1:14" ht="43.2" x14ac:dyDescent="0.3">
      <c r="A985">
        <v>62</v>
      </c>
      <c r="B985">
        <v>2024</v>
      </c>
      <c r="C985" s="2">
        <v>45497</v>
      </c>
      <c r="D985" s="7" t="s">
        <v>38</v>
      </c>
      <c r="E985" s="8" t="s">
        <v>59</v>
      </c>
      <c r="F985" s="8" t="s">
        <v>45</v>
      </c>
      <c r="G985" s="9"/>
      <c r="H985" s="10">
        <v>40</v>
      </c>
      <c r="I985" s="10">
        <v>60</v>
      </c>
      <c r="J985" s="10" t="s">
        <v>254</v>
      </c>
      <c r="K985" s="10" t="s">
        <v>78</v>
      </c>
      <c r="L985" t="str">
        <f t="shared" si="45"/>
        <v>OK</v>
      </c>
      <c r="M985" t="str">
        <f t="shared" si="46"/>
        <v>OK</v>
      </c>
      <c r="N985" t="str">
        <f t="shared" si="47"/>
        <v>ERRO</v>
      </c>
    </row>
    <row r="986" spans="1:14" ht="43.2" x14ac:dyDescent="0.3">
      <c r="A986">
        <v>62</v>
      </c>
      <c r="B986">
        <v>2024</v>
      </c>
      <c r="C986" s="2">
        <v>45497</v>
      </c>
      <c r="D986" s="3" t="s">
        <v>38</v>
      </c>
      <c r="E986" s="4" t="s">
        <v>60</v>
      </c>
      <c r="F986" s="4" t="s">
        <v>61</v>
      </c>
      <c r="G986" s="5"/>
      <c r="H986" s="6">
        <v>130</v>
      </c>
      <c r="I986" s="6">
        <v>150</v>
      </c>
      <c r="J986" s="6">
        <v>140</v>
      </c>
      <c r="K986" s="6">
        <v>140</v>
      </c>
      <c r="L986" t="str">
        <f t="shared" si="45"/>
        <v>OK</v>
      </c>
      <c r="M986" t="str">
        <f t="shared" si="46"/>
        <v>OK</v>
      </c>
      <c r="N986" t="str">
        <f t="shared" si="47"/>
        <v>OK</v>
      </c>
    </row>
    <row r="987" spans="1:14" ht="43.2" x14ac:dyDescent="0.3">
      <c r="A987">
        <v>62</v>
      </c>
      <c r="B987">
        <v>2024</v>
      </c>
      <c r="C987" s="2">
        <v>45497</v>
      </c>
      <c r="D987" s="7" t="s">
        <v>38</v>
      </c>
      <c r="E987" s="8" t="s">
        <v>63</v>
      </c>
      <c r="F987" s="8" t="s">
        <v>40</v>
      </c>
      <c r="G987" s="10">
        <v>70</v>
      </c>
      <c r="H987" s="10">
        <v>70</v>
      </c>
      <c r="I987" s="10">
        <v>100</v>
      </c>
      <c r="J987" s="10">
        <v>84</v>
      </c>
      <c r="K987" s="10">
        <v>90</v>
      </c>
      <c r="L987" t="str">
        <f t="shared" si="45"/>
        <v>OK</v>
      </c>
      <c r="M987" t="str">
        <f t="shared" si="46"/>
        <v>OK</v>
      </c>
      <c r="N987" t="str">
        <f t="shared" si="47"/>
        <v>OK</v>
      </c>
    </row>
    <row r="988" spans="1:14" ht="43.2" x14ac:dyDescent="0.3">
      <c r="A988">
        <v>62</v>
      </c>
      <c r="B988">
        <v>2024</v>
      </c>
      <c r="C988" s="2">
        <v>45497</v>
      </c>
      <c r="D988" s="3" t="s">
        <v>38</v>
      </c>
      <c r="E988" s="4" t="s">
        <v>64</v>
      </c>
      <c r="F988" s="4" t="s">
        <v>40</v>
      </c>
      <c r="G988" s="6">
        <v>140</v>
      </c>
      <c r="H988" s="6">
        <v>120</v>
      </c>
      <c r="I988" s="6">
        <v>140</v>
      </c>
      <c r="J988" s="6" t="s">
        <v>287</v>
      </c>
      <c r="K988" s="6">
        <v>140</v>
      </c>
      <c r="L988" t="str">
        <f t="shared" si="45"/>
        <v>OK</v>
      </c>
      <c r="M988" t="str">
        <f t="shared" si="46"/>
        <v>OK</v>
      </c>
      <c r="N988" t="str">
        <f t="shared" si="47"/>
        <v>ERRO</v>
      </c>
    </row>
    <row r="989" spans="1:14" x14ac:dyDescent="0.3">
      <c r="A989">
        <v>62</v>
      </c>
      <c r="B989">
        <v>2024</v>
      </c>
      <c r="C989" s="2">
        <v>45497</v>
      </c>
      <c r="D989" s="7" t="s">
        <v>65</v>
      </c>
      <c r="E989" s="8" t="s">
        <v>66</v>
      </c>
      <c r="F989" s="8" t="s">
        <v>45</v>
      </c>
      <c r="G989" s="9"/>
      <c r="H989" s="9"/>
      <c r="I989" s="9"/>
      <c r="J989" s="9"/>
      <c r="K989" s="9"/>
      <c r="L989" t="str">
        <f t="shared" si="45"/>
        <v>OK</v>
      </c>
      <c r="M989" t="str">
        <f t="shared" si="46"/>
        <v>OK</v>
      </c>
      <c r="N989" t="str">
        <f t="shared" si="47"/>
        <v>OK</v>
      </c>
    </row>
    <row r="990" spans="1:14" x14ac:dyDescent="0.3">
      <c r="A990">
        <v>62</v>
      </c>
      <c r="B990">
        <v>2024</v>
      </c>
      <c r="C990" s="2">
        <v>45497</v>
      </c>
      <c r="D990" s="3" t="s">
        <v>65</v>
      </c>
      <c r="E990" s="4" t="s">
        <v>67</v>
      </c>
      <c r="F990" s="4" t="s">
        <v>45</v>
      </c>
      <c r="G990" s="5"/>
      <c r="H990" s="5"/>
      <c r="I990" s="5"/>
      <c r="J990" s="5"/>
      <c r="K990" s="5"/>
      <c r="L990" t="str">
        <f t="shared" si="45"/>
        <v>OK</v>
      </c>
      <c r="M990" t="str">
        <f t="shared" si="46"/>
        <v>OK</v>
      </c>
      <c r="N990" t="str">
        <f t="shared" si="47"/>
        <v>OK</v>
      </c>
    </row>
    <row r="991" spans="1:14" x14ac:dyDescent="0.3">
      <c r="A991">
        <v>62</v>
      </c>
      <c r="B991">
        <v>2024</v>
      </c>
      <c r="C991" s="2">
        <v>45497</v>
      </c>
      <c r="D991" s="7" t="s">
        <v>65</v>
      </c>
      <c r="E991" s="8" t="s">
        <v>68</v>
      </c>
      <c r="F991" s="8" t="s">
        <v>45</v>
      </c>
      <c r="G991" s="9"/>
      <c r="H991" s="9"/>
      <c r="I991" s="9"/>
      <c r="J991" s="9"/>
      <c r="K991" s="9"/>
      <c r="L991" t="str">
        <f t="shared" si="45"/>
        <v>OK</v>
      </c>
      <c r="M991" t="str">
        <f t="shared" si="46"/>
        <v>OK</v>
      </c>
      <c r="N991" t="str">
        <f t="shared" si="47"/>
        <v>OK</v>
      </c>
    </row>
    <row r="992" spans="1:14" x14ac:dyDescent="0.3">
      <c r="A992">
        <v>62</v>
      </c>
      <c r="B992">
        <v>2024</v>
      </c>
      <c r="C992" s="2">
        <v>45497</v>
      </c>
      <c r="D992" s="3" t="s">
        <v>65</v>
      </c>
      <c r="E992" s="4" t="s">
        <v>69</v>
      </c>
      <c r="F992" s="4" t="s">
        <v>45</v>
      </c>
      <c r="G992" s="5"/>
      <c r="H992" s="6">
        <v>60</v>
      </c>
      <c r="I992" s="6">
        <v>60</v>
      </c>
      <c r="J992" s="6">
        <v>60</v>
      </c>
      <c r="K992" s="6">
        <v>60</v>
      </c>
      <c r="L992" t="str">
        <f t="shared" si="45"/>
        <v>OK</v>
      </c>
      <c r="M992" t="str">
        <f t="shared" si="46"/>
        <v>OK</v>
      </c>
      <c r="N992" t="str">
        <f t="shared" si="47"/>
        <v>OK</v>
      </c>
    </row>
    <row r="993" spans="1:15" ht="15" thickBot="1" x14ac:dyDescent="0.35">
      <c r="A993">
        <v>62</v>
      </c>
      <c r="B993">
        <v>2024</v>
      </c>
      <c r="C993" s="2">
        <v>45497</v>
      </c>
      <c r="D993" s="7" t="s">
        <v>65</v>
      </c>
      <c r="E993" s="8" t="s">
        <v>70</v>
      </c>
      <c r="F993" s="8" t="s">
        <v>71</v>
      </c>
      <c r="G993" s="9"/>
      <c r="H993" s="10">
        <v>80</v>
      </c>
      <c r="I993" s="10">
        <v>80</v>
      </c>
      <c r="J993" s="10">
        <v>80</v>
      </c>
      <c r="K993" s="10">
        <v>80</v>
      </c>
      <c r="L993" t="str">
        <f t="shared" si="45"/>
        <v>OK</v>
      </c>
      <c r="M993" t="str">
        <f t="shared" si="46"/>
        <v>OK</v>
      </c>
      <c r="N993" t="str">
        <f t="shared" si="47"/>
        <v>OK</v>
      </c>
    </row>
    <row r="994" spans="1:15" ht="27.6" thickBot="1" x14ac:dyDescent="0.35">
      <c r="A994" s="24">
        <v>63</v>
      </c>
      <c r="B994" s="24">
        <v>2024</v>
      </c>
      <c r="C994" s="25">
        <v>45505</v>
      </c>
      <c r="D994" s="26" t="s">
        <v>11</v>
      </c>
      <c r="E994" s="26" t="s">
        <v>12</v>
      </c>
      <c r="F994" s="26" t="s">
        <v>13</v>
      </c>
      <c r="G994" s="27">
        <v>60</v>
      </c>
      <c r="H994" s="27">
        <v>48</v>
      </c>
      <c r="I994" s="27">
        <v>48</v>
      </c>
      <c r="J994" s="27">
        <v>60</v>
      </c>
      <c r="K994" s="27">
        <v>52.8</v>
      </c>
      <c r="L994" t="str">
        <f t="shared" si="45"/>
        <v>OK</v>
      </c>
      <c r="M994" t="str">
        <f t="shared" si="46"/>
        <v>OK</v>
      </c>
      <c r="N994" t="str">
        <f t="shared" si="47"/>
        <v>ERRO</v>
      </c>
    </row>
    <row r="995" spans="1:15" ht="27.6" thickBot="1" x14ac:dyDescent="0.35">
      <c r="A995" s="24">
        <v>63</v>
      </c>
      <c r="B995" s="24">
        <v>2024</v>
      </c>
      <c r="C995" s="25">
        <v>45505</v>
      </c>
      <c r="D995" s="26" t="s">
        <v>11</v>
      </c>
      <c r="E995" s="26" t="s">
        <v>14</v>
      </c>
      <c r="F995" s="26" t="s">
        <v>13</v>
      </c>
      <c r="G995" s="27">
        <v>84</v>
      </c>
      <c r="H995" s="27">
        <v>72</v>
      </c>
      <c r="I995" s="27">
        <v>72</v>
      </c>
      <c r="J995" s="27">
        <v>84</v>
      </c>
      <c r="K995" s="27">
        <v>78</v>
      </c>
      <c r="L995" t="str">
        <f t="shared" si="45"/>
        <v>OK</v>
      </c>
      <c r="M995" t="str">
        <f t="shared" si="46"/>
        <v>OK</v>
      </c>
      <c r="N995" t="str">
        <f t="shared" si="47"/>
        <v>ERRO</v>
      </c>
    </row>
    <row r="996" spans="1:15" ht="27.6" thickBot="1" x14ac:dyDescent="0.35">
      <c r="A996" s="24">
        <v>63</v>
      </c>
      <c r="B996" s="24">
        <v>2024</v>
      </c>
      <c r="C996" s="25">
        <v>45505</v>
      </c>
      <c r="D996" s="26" t="s">
        <v>11</v>
      </c>
      <c r="E996" s="26" t="s">
        <v>15</v>
      </c>
      <c r="F996" s="26" t="s">
        <v>13</v>
      </c>
      <c r="G996" s="27">
        <v>36</v>
      </c>
      <c r="H996" s="27">
        <v>36</v>
      </c>
      <c r="I996" s="27">
        <v>30</v>
      </c>
      <c r="J996" s="27">
        <v>42</v>
      </c>
      <c r="K996" s="27">
        <v>35.799999999999997</v>
      </c>
      <c r="L996" t="str">
        <f t="shared" si="45"/>
        <v>ERRO</v>
      </c>
      <c r="M996" t="str">
        <f t="shared" si="46"/>
        <v>OK</v>
      </c>
      <c r="N996" t="str">
        <f t="shared" si="47"/>
        <v>ERRO</v>
      </c>
      <c r="O996" t="s">
        <v>741</v>
      </c>
    </row>
    <row r="997" spans="1:15" ht="27.6" thickBot="1" x14ac:dyDescent="0.35">
      <c r="A997" s="24">
        <v>63</v>
      </c>
      <c r="B997" s="24">
        <v>2024</v>
      </c>
      <c r="C997" s="25">
        <v>45505</v>
      </c>
      <c r="D997" s="26" t="s">
        <v>11</v>
      </c>
      <c r="E997" s="26" t="s">
        <v>16</v>
      </c>
      <c r="F997" s="26" t="s">
        <v>13</v>
      </c>
      <c r="G997" s="27">
        <v>24</v>
      </c>
      <c r="H997" s="27">
        <v>18</v>
      </c>
      <c r="I997" s="27">
        <v>18</v>
      </c>
      <c r="J997" s="27">
        <v>24</v>
      </c>
      <c r="K997" s="27">
        <v>20.8</v>
      </c>
      <c r="L997" t="str">
        <f t="shared" si="45"/>
        <v>OK</v>
      </c>
      <c r="M997" t="str">
        <f t="shared" si="46"/>
        <v>OK</v>
      </c>
      <c r="N997" t="str">
        <f t="shared" si="47"/>
        <v>ERRO</v>
      </c>
    </row>
    <row r="998" spans="1:15" ht="27.6" thickBot="1" x14ac:dyDescent="0.35">
      <c r="A998" s="24">
        <v>63</v>
      </c>
      <c r="B998" s="24">
        <v>2024</v>
      </c>
      <c r="C998" s="25">
        <v>45505</v>
      </c>
      <c r="D998" s="26" t="s">
        <v>11</v>
      </c>
      <c r="E998" s="26" t="s">
        <v>17</v>
      </c>
      <c r="F998" s="26" t="s">
        <v>13</v>
      </c>
      <c r="G998" s="27">
        <v>30</v>
      </c>
      <c r="H998" s="27">
        <v>24</v>
      </c>
      <c r="I998" s="27">
        <v>18</v>
      </c>
      <c r="J998" s="27">
        <v>24</v>
      </c>
      <c r="K998" s="27">
        <v>21.5</v>
      </c>
      <c r="L998" t="str">
        <f t="shared" si="45"/>
        <v>ERRO</v>
      </c>
      <c r="M998" t="str">
        <f t="shared" si="46"/>
        <v>OK</v>
      </c>
      <c r="N998" t="str">
        <f t="shared" si="47"/>
        <v>ERRO</v>
      </c>
    </row>
    <row r="999" spans="1:15" ht="27.6" thickBot="1" x14ac:dyDescent="0.35">
      <c r="A999" s="24">
        <v>63</v>
      </c>
      <c r="B999" s="24">
        <v>2024</v>
      </c>
      <c r="C999" s="25">
        <v>45505</v>
      </c>
      <c r="D999" s="26" t="s">
        <v>11</v>
      </c>
      <c r="E999" s="26" t="s">
        <v>18</v>
      </c>
      <c r="F999" s="26" t="s">
        <v>13</v>
      </c>
      <c r="G999" s="27">
        <v>60</v>
      </c>
      <c r="H999" s="27">
        <v>60</v>
      </c>
      <c r="I999" s="27">
        <v>60</v>
      </c>
      <c r="J999" s="27">
        <v>60</v>
      </c>
      <c r="K999" s="27">
        <v>60</v>
      </c>
      <c r="L999" t="str">
        <f t="shared" si="45"/>
        <v>OK</v>
      </c>
      <c r="M999" t="str">
        <f t="shared" si="46"/>
        <v>OK</v>
      </c>
      <c r="N999" t="str">
        <f t="shared" si="47"/>
        <v>OK</v>
      </c>
    </row>
    <row r="1000" spans="1:15" ht="27.6" thickBot="1" x14ac:dyDescent="0.35">
      <c r="A1000" s="24">
        <v>63</v>
      </c>
      <c r="B1000" s="24">
        <v>2024</v>
      </c>
      <c r="C1000" s="25">
        <v>45505</v>
      </c>
      <c r="D1000" s="26" t="s">
        <v>11</v>
      </c>
      <c r="E1000" s="26" t="s">
        <v>19</v>
      </c>
      <c r="F1000" s="26" t="s">
        <v>13</v>
      </c>
      <c r="G1000" s="27">
        <v>60</v>
      </c>
      <c r="H1000" s="27">
        <v>48</v>
      </c>
      <c r="I1000" s="27">
        <v>48</v>
      </c>
      <c r="J1000" s="27">
        <v>60</v>
      </c>
      <c r="K1000" s="27">
        <v>54</v>
      </c>
      <c r="L1000" t="str">
        <f t="shared" si="45"/>
        <v>OK</v>
      </c>
      <c r="M1000" t="str">
        <f t="shared" si="46"/>
        <v>OK</v>
      </c>
      <c r="N1000" t="str">
        <f t="shared" si="47"/>
        <v>ERRO</v>
      </c>
    </row>
    <row r="1001" spans="1:15" ht="27.6" thickBot="1" x14ac:dyDescent="0.35">
      <c r="A1001" s="24">
        <v>63</v>
      </c>
      <c r="B1001" s="24">
        <v>2024</v>
      </c>
      <c r="C1001" s="25">
        <v>45505</v>
      </c>
      <c r="D1001" s="26" t="s">
        <v>11</v>
      </c>
      <c r="E1001" s="26" t="s">
        <v>20</v>
      </c>
      <c r="F1001" s="26" t="s">
        <v>13</v>
      </c>
      <c r="G1001" s="27">
        <v>84</v>
      </c>
      <c r="H1001" s="27">
        <v>60</v>
      </c>
      <c r="I1001" s="27">
        <v>60</v>
      </c>
      <c r="J1001" s="27">
        <v>84</v>
      </c>
      <c r="K1001" s="27">
        <v>72</v>
      </c>
      <c r="L1001" t="str">
        <f t="shared" si="45"/>
        <v>OK</v>
      </c>
      <c r="M1001" t="str">
        <f t="shared" si="46"/>
        <v>OK</v>
      </c>
      <c r="N1001" t="str">
        <f t="shared" si="47"/>
        <v>ERRO</v>
      </c>
    </row>
    <row r="1002" spans="1:15" ht="27.6" thickBot="1" x14ac:dyDescent="0.35">
      <c r="A1002" s="24">
        <v>63</v>
      </c>
      <c r="B1002" s="24">
        <v>2024</v>
      </c>
      <c r="C1002" s="25">
        <v>45505</v>
      </c>
      <c r="D1002" s="26" t="s">
        <v>11</v>
      </c>
      <c r="E1002" s="26" t="s">
        <v>21</v>
      </c>
      <c r="F1002" s="26" t="s">
        <v>13</v>
      </c>
      <c r="G1002" s="27">
        <v>24</v>
      </c>
      <c r="H1002" s="27">
        <v>18</v>
      </c>
      <c r="I1002" s="27">
        <v>18</v>
      </c>
      <c r="J1002" s="27">
        <v>25</v>
      </c>
      <c r="K1002" s="27">
        <v>21.8</v>
      </c>
      <c r="L1002" t="str">
        <f t="shared" si="45"/>
        <v>OK</v>
      </c>
      <c r="M1002" t="str">
        <f t="shared" si="46"/>
        <v>OK</v>
      </c>
      <c r="N1002" t="str">
        <f t="shared" si="47"/>
        <v>ERRO</v>
      </c>
    </row>
    <row r="1003" spans="1:15" ht="27.6" thickBot="1" x14ac:dyDescent="0.35">
      <c r="A1003" s="24">
        <v>63</v>
      </c>
      <c r="B1003" s="24">
        <v>2024</v>
      </c>
      <c r="C1003" s="25">
        <v>45505</v>
      </c>
      <c r="D1003" s="26" t="s">
        <v>11</v>
      </c>
      <c r="E1003" s="26" t="s">
        <v>73</v>
      </c>
      <c r="F1003" s="26" t="s">
        <v>13</v>
      </c>
      <c r="G1003" s="27">
        <v>72</v>
      </c>
      <c r="H1003" s="27">
        <v>60</v>
      </c>
      <c r="I1003" s="27">
        <v>60</v>
      </c>
      <c r="J1003" s="27">
        <v>84</v>
      </c>
      <c r="K1003" s="27">
        <v>72</v>
      </c>
      <c r="L1003" t="str">
        <f t="shared" si="45"/>
        <v>OK</v>
      </c>
      <c r="M1003" t="str">
        <f t="shared" si="46"/>
        <v>OK</v>
      </c>
      <c r="N1003" t="str">
        <f t="shared" si="47"/>
        <v>ERRO</v>
      </c>
    </row>
    <row r="1004" spans="1:15" ht="27.6" thickBot="1" x14ac:dyDescent="0.35">
      <c r="A1004" s="24">
        <v>63</v>
      </c>
      <c r="B1004" s="24">
        <v>2024</v>
      </c>
      <c r="C1004" s="25">
        <v>45505</v>
      </c>
      <c r="D1004" s="26" t="s">
        <v>11</v>
      </c>
      <c r="E1004" s="26" t="s">
        <v>23</v>
      </c>
      <c r="F1004" s="26" t="s">
        <v>13</v>
      </c>
      <c r="G1004" s="27">
        <v>30</v>
      </c>
      <c r="H1004" s="27">
        <v>24</v>
      </c>
      <c r="I1004" s="27">
        <v>18</v>
      </c>
      <c r="J1004" s="27">
        <v>24</v>
      </c>
      <c r="K1004" s="27">
        <v>22</v>
      </c>
      <c r="L1004" t="str">
        <f t="shared" si="45"/>
        <v>ERRO</v>
      </c>
      <c r="M1004" t="str">
        <f t="shared" si="46"/>
        <v>OK</v>
      </c>
      <c r="N1004" t="str">
        <f t="shared" si="47"/>
        <v>ERRO</v>
      </c>
    </row>
    <row r="1005" spans="1:15" ht="27.6" thickBot="1" x14ac:dyDescent="0.35">
      <c r="A1005" s="24">
        <v>63</v>
      </c>
      <c r="B1005" s="24">
        <v>2024</v>
      </c>
      <c r="C1005" s="25">
        <v>45505</v>
      </c>
      <c r="D1005" s="26" t="s">
        <v>11</v>
      </c>
      <c r="E1005" s="26" t="s">
        <v>24</v>
      </c>
      <c r="F1005" s="26" t="s">
        <v>13</v>
      </c>
      <c r="G1005" s="27">
        <v>60</v>
      </c>
      <c r="H1005" s="27">
        <v>60</v>
      </c>
      <c r="I1005" s="27">
        <v>60</v>
      </c>
      <c r="J1005" s="27">
        <v>72</v>
      </c>
      <c r="K1005" s="27">
        <v>66</v>
      </c>
      <c r="L1005" t="str">
        <f t="shared" si="45"/>
        <v>OK</v>
      </c>
      <c r="M1005" t="str">
        <f t="shared" si="46"/>
        <v>OK</v>
      </c>
      <c r="N1005" t="str">
        <f t="shared" si="47"/>
        <v>ERRO</v>
      </c>
    </row>
    <row r="1006" spans="1:15" ht="27.6" thickBot="1" x14ac:dyDescent="0.35">
      <c r="A1006" s="24">
        <v>63</v>
      </c>
      <c r="B1006" s="24">
        <v>2024</v>
      </c>
      <c r="C1006" s="25">
        <v>45505</v>
      </c>
      <c r="D1006" s="26" t="s">
        <v>11</v>
      </c>
      <c r="E1006" s="26" t="s">
        <v>25</v>
      </c>
      <c r="F1006" s="26" t="s">
        <v>26</v>
      </c>
      <c r="G1006" s="27">
        <v>60</v>
      </c>
      <c r="H1006" s="27">
        <v>60</v>
      </c>
      <c r="I1006" s="27">
        <v>48</v>
      </c>
      <c r="J1006" s="27">
        <v>60</v>
      </c>
      <c r="K1006" s="27">
        <v>55.2</v>
      </c>
      <c r="L1006" t="str">
        <f t="shared" si="45"/>
        <v>ERRO</v>
      </c>
      <c r="M1006" t="str">
        <f t="shared" si="46"/>
        <v>OK</v>
      </c>
      <c r="N1006" t="str">
        <f t="shared" si="47"/>
        <v>ERRO</v>
      </c>
    </row>
    <row r="1007" spans="1:15" ht="27.6" thickBot="1" x14ac:dyDescent="0.35">
      <c r="A1007" s="24">
        <v>63</v>
      </c>
      <c r="B1007" s="24">
        <v>2024</v>
      </c>
      <c r="C1007" s="25">
        <v>45505</v>
      </c>
      <c r="D1007" s="26" t="s">
        <v>11</v>
      </c>
      <c r="E1007" s="26" t="s">
        <v>27</v>
      </c>
      <c r="F1007" s="26" t="s">
        <v>13</v>
      </c>
      <c r="G1007" s="27">
        <v>60</v>
      </c>
      <c r="H1007" s="27">
        <v>48</v>
      </c>
      <c r="I1007" s="27">
        <v>48</v>
      </c>
      <c r="J1007" s="27">
        <v>78</v>
      </c>
      <c r="K1007" s="27">
        <v>59</v>
      </c>
      <c r="L1007" t="str">
        <f t="shared" si="45"/>
        <v>OK</v>
      </c>
      <c r="M1007" t="str">
        <f t="shared" si="46"/>
        <v>OK</v>
      </c>
      <c r="N1007" t="str">
        <f t="shared" si="47"/>
        <v>ERRO</v>
      </c>
    </row>
    <row r="1008" spans="1:15" ht="27.6" thickBot="1" x14ac:dyDescent="0.35">
      <c r="A1008" s="24">
        <v>63</v>
      </c>
      <c r="B1008" s="24">
        <v>2024</v>
      </c>
      <c r="C1008" s="25">
        <v>45505</v>
      </c>
      <c r="D1008" s="26" t="s">
        <v>11</v>
      </c>
      <c r="E1008" s="26" t="s">
        <v>28</v>
      </c>
      <c r="F1008" s="26" t="s">
        <v>13</v>
      </c>
      <c r="G1008" s="27">
        <v>48</v>
      </c>
      <c r="H1008" s="27">
        <v>48</v>
      </c>
      <c r="I1008" s="27">
        <v>36</v>
      </c>
      <c r="J1008" s="27">
        <v>48</v>
      </c>
      <c r="K1008" s="27">
        <v>41.6</v>
      </c>
      <c r="L1008" t="str">
        <f t="shared" si="45"/>
        <v>ERRO</v>
      </c>
      <c r="M1008" t="str">
        <f t="shared" si="46"/>
        <v>OK</v>
      </c>
      <c r="N1008" t="str">
        <f t="shared" si="47"/>
        <v>ERRO</v>
      </c>
    </row>
    <row r="1009" spans="1:14" ht="27.6" thickBot="1" x14ac:dyDescent="0.35">
      <c r="A1009" s="24">
        <v>63</v>
      </c>
      <c r="B1009" s="24">
        <v>2024</v>
      </c>
      <c r="C1009" s="25">
        <v>45505</v>
      </c>
      <c r="D1009" s="26" t="s">
        <v>11</v>
      </c>
      <c r="E1009" s="26" t="s">
        <v>29</v>
      </c>
      <c r="F1009" s="26" t="s">
        <v>13</v>
      </c>
      <c r="G1009" s="27">
        <v>54</v>
      </c>
      <c r="H1009" s="26"/>
      <c r="I1009" s="27">
        <v>48</v>
      </c>
      <c r="J1009" s="27">
        <v>54</v>
      </c>
      <c r="K1009" s="27">
        <v>50.4</v>
      </c>
      <c r="L1009" t="str">
        <f t="shared" si="45"/>
        <v>OK</v>
      </c>
      <c r="M1009" t="str">
        <f t="shared" si="46"/>
        <v>OK</v>
      </c>
      <c r="N1009" t="str">
        <f t="shared" si="47"/>
        <v>ERRO</v>
      </c>
    </row>
    <row r="1010" spans="1:14" ht="27.6" thickBot="1" x14ac:dyDescent="0.35">
      <c r="A1010" s="24">
        <v>63</v>
      </c>
      <c r="B1010" s="24">
        <v>2024</v>
      </c>
      <c r="C1010" s="25">
        <v>45505</v>
      </c>
      <c r="D1010" s="26" t="s">
        <v>30</v>
      </c>
      <c r="E1010" s="26" t="s">
        <v>31</v>
      </c>
      <c r="F1010" s="26" t="s">
        <v>32</v>
      </c>
      <c r="G1010" s="27">
        <v>5</v>
      </c>
      <c r="H1010" s="27">
        <v>4</v>
      </c>
      <c r="I1010" s="27">
        <v>5</v>
      </c>
      <c r="J1010" s="27">
        <v>4.8</v>
      </c>
      <c r="K1010" s="27">
        <v>5</v>
      </c>
      <c r="L1010" t="str">
        <f t="shared" si="45"/>
        <v>OK</v>
      </c>
      <c r="M1010" t="str">
        <f t="shared" si="46"/>
        <v>OK</v>
      </c>
      <c r="N1010" t="str">
        <f t="shared" si="47"/>
        <v>OK</v>
      </c>
    </row>
    <row r="1011" spans="1:14" ht="27.6" thickBot="1" x14ac:dyDescent="0.35">
      <c r="A1011" s="24">
        <v>63</v>
      </c>
      <c r="B1011" s="24">
        <v>2024</v>
      </c>
      <c r="C1011" s="25">
        <v>45505</v>
      </c>
      <c r="D1011" s="26" t="s">
        <v>30</v>
      </c>
      <c r="E1011" s="26" t="s">
        <v>34</v>
      </c>
      <c r="F1011" s="26" t="s">
        <v>35</v>
      </c>
      <c r="G1011" s="27">
        <v>12</v>
      </c>
      <c r="H1011" s="27">
        <v>10</v>
      </c>
      <c r="I1011" s="27">
        <v>12</v>
      </c>
      <c r="J1011" s="27">
        <v>11.2</v>
      </c>
      <c r="K1011" s="27">
        <v>12</v>
      </c>
      <c r="L1011" t="str">
        <f t="shared" si="45"/>
        <v>OK</v>
      </c>
      <c r="M1011" t="str">
        <f t="shared" si="46"/>
        <v>OK</v>
      </c>
      <c r="N1011" t="str">
        <f t="shared" si="47"/>
        <v>OK</v>
      </c>
    </row>
    <row r="1012" spans="1:14" ht="27.6" thickBot="1" x14ac:dyDescent="0.35">
      <c r="A1012" s="24">
        <v>63</v>
      </c>
      <c r="B1012" s="24">
        <v>2024</v>
      </c>
      <c r="C1012" s="25">
        <v>45505</v>
      </c>
      <c r="D1012" s="26" t="s">
        <v>30</v>
      </c>
      <c r="E1012" s="26" t="s">
        <v>36</v>
      </c>
      <c r="F1012" s="26" t="s">
        <v>35</v>
      </c>
      <c r="G1012" s="27">
        <v>20</v>
      </c>
      <c r="H1012" s="27">
        <v>20</v>
      </c>
      <c r="I1012" s="27">
        <v>30</v>
      </c>
      <c r="J1012" s="27">
        <v>24</v>
      </c>
      <c r="K1012" s="27">
        <v>20</v>
      </c>
      <c r="L1012" t="str">
        <f t="shared" si="45"/>
        <v>OK</v>
      </c>
      <c r="M1012" t="str">
        <f t="shared" si="46"/>
        <v>OK</v>
      </c>
      <c r="N1012" t="str">
        <f t="shared" si="47"/>
        <v>OK</v>
      </c>
    </row>
    <row r="1013" spans="1:14" ht="15" thickBot="1" x14ac:dyDescent="0.35">
      <c r="A1013" s="24">
        <v>63</v>
      </c>
      <c r="B1013" s="24">
        <v>2024</v>
      </c>
      <c r="C1013" s="25">
        <v>45505</v>
      </c>
      <c r="D1013" s="26" t="s">
        <v>739</v>
      </c>
      <c r="E1013" s="26" t="s">
        <v>153</v>
      </c>
      <c r="F1013" s="26" t="s">
        <v>154</v>
      </c>
      <c r="G1013" s="26"/>
      <c r="H1013" s="27">
        <v>80</v>
      </c>
      <c r="I1013" s="27">
        <v>80</v>
      </c>
      <c r="J1013" s="27">
        <v>80</v>
      </c>
      <c r="K1013" s="27">
        <v>80</v>
      </c>
      <c r="L1013" t="str">
        <f t="shared" si="45"/>
        <v>OK</v>
      </c>
      <c r="M1013" t="str">
        <f t="shared" si="46"/>
        <v>OK</v>
      </c>
      <c r="N1013" t="str">
        <f t="shared" si="47"/>
        <v>OK</v>
      </c>
    </row>
    <row r="1014" spans="1:14" ht="15" thickBot="1" x14ac:dyDescent="0.35">
      <c r="A1014" s="24">
        <v>63</v>
      </c>
      <c r="B1014" s="24">
        <v>2024</v>
      </c>
      <c r="C1014" s="25">
        <v>45505</v>
      </c>
      <c r="D1014" s="26" t="s">
        <v>739</v>
      </c>
      <c r="E1014" s="26" t="s">
        <v>39</v>
      </c>
      <c r="F1014" s="26" t="s">
        <v>40</v>
      </c>
      <c r="G1014" s="27">
        <v>60</v>
      </c>
      <c r="H1014" s="27">
        <v>40</v>
      </c>
      <c r="I1014" s="27">
        <v>75</v>
      </c>
      <c r="J1014" s="27" t="s">
        <v>258</v>
      </c>
      <c r="K1014" s="27">
        <v>60</v>
      </c>
      <c r="L1014" t="str">
        <f t="shared" si="45"/>
        <v>OK</v>
      </c>
      <c r="M1014" t="str">
        <f t="shared" si="46"/>
        <v>OK</v>
      </c>
      <c r="N1014" t="str">
        <f t="shared" si="47"/>
        <v>ERRO</v>
      </c>
    </row>
    <row r="1015" spans="1:14" ht="15" thickBot="1" x14ac:dyDescent="0.35">
      <c r="A1015" s="24">
        <v>63</v>
      </c>
      <c r="B1015" s="24">
        <v>2024</v>
      </c>
      <c r="C1015" s="25">
        <v>45505</v>
      </c>
      <c r="D1015" s="26" t="s">
        <v>739</v>
      </c>
      <c r="E1015" s="26" t="s">
        <v>42</v>
      </c>
      <c r="F1015" s="26" t="s">
        <v>43</v>
      </c>
      <c r="G1015" s="27">
        <v>70</v>
      </c>
      <c r="H1015" s="27">
        <v>45</v>
      </c>
      <c r="I1015" s="27">
        <v>75</v>
      </c>
      <c r="J1015" s="27" t="s">
        <v>131</v>
      </c>
      <c r="K1015" s="27">
        <v>65</v>
      </c>
      <c r="L1015" t="str">
        <f t="shared" si="45"/>
        <v>OK</v>
      </c>
      <c r="M1015" t="str">
        <f t="shared" si="46"/>
        <v>OK</v>
      </c>
      <c r="N1015" t="str">
        <f t="shared" si="47"/>
        <v>ERRO</v>
      </c>
    </row>
    <row r="1016" spans="1:14" ht="15" thickBot="1" x14ac:dyDescent="0.35">
      <c r="A1016" s="24">
        <v>63</v>
      </c>
      <c r="B1016" s="24">
        <v>2024</v>
      </c>
      <c r="C1016" s="25">
        <v>45505</v>
      </c>
      <c r="D1016" s="26" t="s">
        <v>739</v>
      </c>
      <c r="E1016" s="26" t="s">
        <v>44</v>
      </c>
      <c r="F1016" s="26" t="s">
        <v>45</v>
      </c>
      <c r="G1016" s="27">
        <v>40</v>
      </c>
      <c r="H1016" s="27">
        <v>40</v>
      </c>
      <c r="I1016" s="27">
        <v>50</v>
      </c>
      <c r="J1016" s="27" t="s">
        <v>233</v>
      </c>
      <c r="K1016" s="27" t="s">
        <v>47</v>
      </c>
      <c r="L1016" t="str">
        <f t="shared" si="45"/>
        <v>OK</v>
      </c>
      <c r="M1016" t="str">
        <f t="shared" si="46"/>
        <v>OK</v>
      </c>
      <c r="N1016" t="str">
        <f t="shared" si="47"/>
        <v>ERRO</v>
      </c>
    </row>
    <row r="1017" spans="1:14" ht="15" thickBot="1" x14ac:dyDescent="0.35">
      <c r="A1017" s="24">
        <v>63</v>
      </c>
      <c r="B1017" s="24">
        <v>2024</v>
      </c>
      <c r="C1017" s="25">
        <v>45505</v>
      </c>
      <c r="D1017" s="26" t="s">
        <v>739</v>
      </c>
      <c r="E1017" s="26" t="s">
        <v>48</v>
      </c>
      <c r="F1017" s="26" t="s">
        <v>45</v>
      </c>
      <c r="G1017" s="26"/>
      <c r="H1017" s="27">
        <v>90</v>
      </c>
      <c r="I1017" s="27">
        <v>105</v>
      </c>
      <c r="J1017" s="27" t="s">
        <v>156</v>
      </c>
      <c r="K1017" s="27" t="s">
        <v>156</v>
      </c>
      <c r="L1017" t="str">
        <f t="shared" si="45"/>
        <v>OK</v>
      </c>
      <c r="M1017" t="str">
        <f t="shared" si="46"/>
        <v>OK</v>
      </c>
      <c r="N1017" t="str">
        <f t="shared" si="47"/>
        <v>ERRO</v>
      </c>
    </row>
    <row r="1018" spans="1:14" ht="15" thickBot="1" x14ac:dyDescent="0.35">
      <c r="A1018" s="24">
        <v>63</v>
      </c>
      <c r="B1018" s="24">
        <v>2024</v>
      </c>
      <c r="C1018" s="25">
        <v>45505</v>
      </c>
      <c r="D1018" s="26" t="s">
        <v>739</v>
      </c>
      <c r="E1018" s="26" t="s">
        <v>49</v>
      </c>
      <c r="F1018" s="26" t="s">
        <v>50</v>
      </c>
      <c r="G1018" s="27">
        <v>55</v>
      </c>
      <c r="H1018" s="27">
        <v>55</v>
      </c>
      <c r="I1018" s="27">
        <v>60</v>
      </c>
      <c r="J1018" s="27" t="s">
        <v>55</v>
      </c>
      <c r="K1018" s="27">
        <v>55</v>
      </c>
      <c r="L1018" t="str">
        <f t="shared" si="45"/>
        <v>OK</v>
      </c>
      <c r="M1018" t="str">
        <f t="shared" si="46"/>
        <v>OK</v>
      </c>
      <c r="N1018" t="str">
        <f t="shared" si="47"/>
        <v>ERRO</v>
      </c>
    </row>
    <row r="1019" spans="1:14" ht="15" thickBot="1" x14ac:dyDescent="0.35">
      <c r="A1019" s="24">
        <v>63</v>
      </c>
      <c r="B1019" s="24">
        <v>2024</v>
      </c>
      <c r="C1019" s="25">
        <v>45505</v>
      </c>
      <c r="D1019" s="26" t="s">
        <v>739</v>
      </c>
      <c r="E1019" s="26" t="s">
        <v>52</v>
      </c>
      <c r="F1019" s="26" t="s">
        <v>43</v>
      </c>
      <c r="G1019" s="27">
        <v>60</v>
      </c>
      <c r="H1019" s="27">
        <v>45</v>
      </c>
      <c r="I1019" s="27">
        <v>60</v>
      </c>
      <c r="J1019" s="27" t="s">
        <v>242</v>
      </c>
      <c r="K1019" s="27">
        <v>55</v>
      </c>
      <c r="L1019" t="str">
        <f t="shared" si="45"/>
        <v>OK</v>
      </c>
      <c r="M1019" t="str">
        <f t="shared" si="46"/>
        <v>OK</v>
      </c>
      <c r="N1019" t="str">
        <f t="shared" si="47"/>
        <v>ERRO</v>
      </c>
    </row>
    <row r="1020" spans="1:14" ht="15" thickBot="1" x14ac:dyDescent="0.35">
      <c r="A1020" s="24">
        <v>63</v>
      </c>
      <c r="B1020" s="24">
        <v>2024</v>
      </c>
      <c r="C1020" s="25">
        <v>45505</v>
      </c>
      <c r="D1020" s="26" t="s">
        <v>739</v>
      </c>
      <c r="E1020" s="26" t="s">
        <v>53</v>
      </c>
      <c r="F1020" s="26" t="s">
        <v>43</v>
      </c>
      <c r="G1020" s="27">
        <v>60</v>
      </c>
      <c r="H1020" s="27">
        <v>45</v>
      </c>
      <c r="I1020" s="27">
        <v>65</v>
      </c>
      <c r="J1020" s="27" t="s">
        <v>258</v>
      </c>
      <c r="K1020" s="27">
        <v>60</v>
      </c>
      <c r="L1020" t="str">
        <f t="shared" si="45"/>
        <v>OK</v>
      </c>
      <c r="M1020" t="str">
        <f t="shared" si="46"/>
        <v>OK</v>
      </c>
      <c r="N1020" t="str">
        <f t="shared" si="47"/>
        <v>ERRO</v>
      </c>
    </row>
    <row r="1021" spans="1:14" ht="15" thickBot="1" x14ac:dyDescent="0.35">
      <c r="A1021" s="24">
        <v>63</v>
      </c>
      <c r="B1021" s="24">
        <v>2024</v>
      </c>
      <c r="C1021" s="25">
        <v>45505</v>
      </c>
      <c r="D1021" s="26" t="s">
        <v>739</v>
      </c>
      <c r="E1021" s="26" t="s">
        <v>54</v>
      </c>
      <c r="F1021" s="26" t="s">
        <v>40</v>
      </c>
      <c r="G1021" s="27">
        <v>90</v>
      </c>
      <c r="H1021" s="27">
        <v>60</v>
      </c>
      <c r="I1021" s="27">
        <v>100</v>
      </c>
      <c r="J1021" s="27">
        <v>86</v>
      </c>
      <c r="K1021" s="27">
        <v>90</v>
      </c>
      <c r="L1021" t="str">
        <f t="shared" si="45"/>
        <v>OK</v>
      </c>
      <c r="M1021" t="str">
        <f t="shared" si="46"/>
        <v>OK</v>
      </c>
      <c r="N1021" t="str">
        <f t="shared" si="47"/>
        <v>OK</v>
      </c>
    </row>
    <row r="1022" spans="1:14" ht="15" thickBot="1" x14ac:dyDescent="0.35">
      <c r="A1022" s="24">
        <v>63</v>
      </c>
      <c r="B1022" s="24">
        <v>2024</v>
      </c>
      <c r="C1022" s="25">
        <v>45505</v>
      </c>
      <c r="D1022" s="26" t="s">
        <v>739</v>
      </c>
      <c r="E1022" s="26" t="s">
        <v>56</v>
      </c>
      <c r="F1022" s="26" t="s">
        <v>43</v>
      </c>
      <c r="G1022" s="27">
        <v>60</v>
      </c>
      <c r="H1022" s="27">
        <v>60</v>
      </c>
      <c r="I1022" s="27">
        <v>60</v>
      </c>
      <c r="J1022" s="27">
        <v>60</v>
      </c>
      <c r="K1022" s="27">
        <v>60</v>
      </c>
      <c r="L1022" t="str">
        <f t="shared" si="45"/>
        <v>OK</v>
      </c>
      <c r="M1022" t="str">
        <f t="shared" si="46"/>
        <v>OK</v>
      </c>
      <c r="N1022" t="str">
        <f t="shared" si="47"/>
        <v>OK</v>
      </c>
    </row>
    <row r="1023" spans="1:14" ht="15" thickBot="1" x14ac:dyDescent="0.35">
      <c r="A1023" s="24">
        <v>63</v>
      </c>
      <c r="B1023" s="24">
        <v>2024</v>
      </c>
      <c r="C1023" s="25">
        <v>45505</v>
      </c>
      <c r="D1023" s="26" t="s">
        <v>739</v>
      </c>
      <c r="E1023" s="26" t="s">
        <v>57</v>
      </c>
      <c r="F1023" s="26" t="s">
        <v>40</v>
      </c>
      <c r="G1023" s="27">
        <v>65</v>
      </c>
      <c r="H1023" s="27">
        <v>50</v>
      </c>
      <c r="I1023" s="27">
        <v>65</v>
      </c>
      <c r="J1023" s="27">
        <v>60</v>
      </c>
      <c r="K1023" s="27" t="s">
        <v>80</v>
      </c>
      <c r="L1023" t="str">
        <f t="shared" si="45"/>
        <v>OK</v>
      </c>
      <c r="M1023" t="str">
        <f t="shared" si="46"/>
        <v>OK</v>
      </c>
      <c r="N1023" t="str">
        <f t="shared" si="47"/>
        <v>OK</v>
      </c>
    </row>
    <row r="1024" spans="1:14" ht="15" thickBot="1" x14ac:dyDescent="0.35">
      <c r="A1024" s="24">
        <v>63</v>
      </c>
      <c r="B1024" s="24">
        <v>2024</v>
      </c>
      <c r="C1024" s="25">
        <v>45505</v>
      </c>
      <c r="D1024" s="26" t="s">
        <v>739</v>
      </c>
      <c r="E1024" s="26" t="s">
        <v>58</v>
      </c>
      <c r="F1024" s="26" t="s">
        <v>40</v>
      </c>
      <c r="G1024" s="27">
        <v>90</v>
      </c>
      <c r="H1024" s="27">
        <v>50</v>
      </c>
      <c r="I1024" s="27">
        <v>90</v>
      </c>
      <c r="J1024" s="27" t="s">
        <v>158</v>
      </c>
      <c r="K1024" s="27">
        <v>80</v>
      </c>
      <c r="L1024" t="str">
        <f t="shared" si="45"/>
        <v>OK</v>
      </c>
      <c r="M1024" t="str">
        <f t="shared" si="46"/>
        <v>OK</v>
      </c>
      <c r="N1024" t="str">
        <f t="shared" si="47"/>
        <v>ERRO</v>
      </c>
    </row>
    <row r="1025" spans="1:14" ht="15" thickBot="1" x14ac:dyDescent="0.35">
      <c r="A1025" s="24">
        <v>63</v>
      </c>
      <c r="B1025" s="24">
        <v>2024</v>
      </c>
      <c r="C1025" s="25">
        <v>45505</v>
      </c>
      <c r="D1025" s="26" t="s">
        <v>739</v>
      </c>
      <c r="E1025" s="26" t="s">
        <v>59</v>
      </c>
      <c r="F1025" s="26" t="s">
        <v>45</v>
      </c>
      <c r="G1025" s="27">
        <v>50</v>
      </c>
      <c r="H1025" s="27">
        <v>40</v>
      </c>
      <c r="I1025" s="27">
        <v>80</v>
      </c>
      <c r="J1025" s="27">
        <v>55</v>
      </c>
      <c r="K1025" s="27">
        <v>50</v>
      </c>
      <c r="L1025" t="str">
        <f t="shared" si="45"/>
        <v>OK</v>
      </c>
      <c r="M1025" t="str">
        <f t="shared" si="46"/>
        <v>OK</v>
      </c>
      <c r="N1025" t="str">
        <f t="shared" si="47"/>
        <v>OK</v>
      </c>
    </row>
    <row r="1026" spans="1:14" ht="15" thickBot="1" x14ac:dyDescent="0.35">
      <c r="A1026" s="24">
        <v>63</v>
      </c>
      <c r="B1026" s="24">
        <v>2024</v>
      </c>
      <c r="C1026" s="25">
        <v>45505</v>
      </c>
      <c r="D1026" s="26" t="s">
        <v>739</v>
      </c>
      <c r="E1026" s="26" t="s">
        <v>60</v>
      </c>
      <c r="F1026" s="26" t="s">
        <v>61</v>
      </c>
      <c r="G1026" s="27">
        <v>120</v>
      </c>
      <c r="H1026" s="27">
        <v>100</v>
      </c>
      <c r="I1026" s="27">
        <v>150</v>
      </c>
      <c r="J1026" s="27">
        <v>125</v>
      </c>
      <c r="K1026" s="27">
        <v>125</v>
      </c>
      <c r="L1026" t="str">
        <f t="shared" si="45"/>
        <v>OK</v>
      </c>
      <c r="M1026" t="str">
        <f t="shared" si="46"/>
        <v>OK</v>
      </c>
      <c r="N1026" t="str">
        <f t="shared" si="47"/>
        <v>OK</v>
      </c>
    </row>
    <row r="1027" spans="1:14" ht="15" thickBot="1" x14ac:dyDescent="0.35">
      <c r="A1027" s="24">
        <v>63</v>
      </c>
      <c r="B1027" s="24">
        <v>2024</v>
      </c>
      <c r="C1027" s="25">
        <v>45505</v>
      </c>
      <c r="D1027" s="26" t="s">
        <v>739</v>
      </c>
      <c r="E1027" s="26" t="s">
        <v>63</v>
      </c>
      <c r="F1027" s="26" t="s">
        <v>40</v>
      </c>
      <c r="G1027" s="27">
        <v>80</v>
      </c>
      <c r="H1027" s="27">
        <v>50</v>
      </c>
      <c r="I1027" s="27">
        <v>90</v>
      </c>
      <c r="J1027" s="27" t="s">
        <v>132</v>
      </c>
      <c r="K1027" s="27">
        <v>75</v>
      </c>
      <c r="L1027" t="str">
        <f t="shared" ref="L1027:L1090" si="48">IF(H1027&gt;I1027,"ERRO","OK")</f>
        <v>OK</v>
      </c>
      <c r="M1027" t="str">
        <f t="shared" ref="M1027:M1090" si="49">IF(H1027&gt;J1027,"ERRO","OK")</f>
        <v>OK</v>
      </c>
      <c r="N1027" t="str">
        <f t="shared" ref="N1027:N1090" si="50">IF(I1027&lt;J1027,"ERRO","OK")</f>
        <v>ERRO</v>
      </c>
    </row>
    <row r="1028" spans="1:14" ht="15" thickBot="1" x14ac:dyDescent="0.35">
      <c r="A1028" s="24">
        <v>63</v>
      </c>
      <c r="B1028" s="24">
        <v>2024</v>
      </c>
      <c r="C1028" s="25">
        <v>45505</v>
      </c>
      <c r="D1028" s="26" t="s">
        <v>739</v>
      </c>
      <c r="E1028" s="26" t="s">
        <v>64</v>
      </c>
      <c r="F1028" s="26" t="s">
        <v>40</v>
      </c>
      <c r="G1028" s="26"/>
      <c r="H1028" s="27">
        <v>85</v>
      </c>
      <c r="I1028" s="27">
        <v>190</v>
      </c>
      <c r="J1028" s="27" t="s">
        <v>292</v>
      </c>
      <c r="K1028" s="27">
        <v>150</v>
      </c>
      <c r="L1028" t="str">
        <f t="shared" si="48"/>
        <v>OK</v>
      </c>
      <c r="M1028" t="str">
        <f t="shared" si="49"/>
        <v>OK</v>
      </c>
      <c r="N1028" t="str">
        <f t="shared" si="50"/>
        <v>ERRO</v>
      </c>
    </row>
    <row r="1029" spans="1:14" ht="15" thickBot="1" x14ac:dyDescent="0.35">
      <c r="A1029" s="24">
        <v>63</v>
      </c>
      <c r="B1029" s="24">
        <v>2024</v>
      </c>
      <c r="C1029" s="25">
        <v>45505</v>
      </c>
      <c r="D1029" s="26" t="s">
        <v>65</v>
      </c>
      <c r="E1029" s="26" t="s">
        <v>66</v>
      </c>
      <c r="F1029" s="26" t="s">
        <v>45</v>
      </c>
      <c r="G1029" s="26"/>
      <c r="H1029" s="26"/>
      <c r="I1029" s="26"/>
      <c r="J1029" s="26"/>
      <c r="K1029" s="26"/>
      <c r="L1029" t="str">
        <f t="shared" si="48"/>
        <v>OK</v>
      </c>
      <c r="M1029" t="str">
        <f t="shared" si="49"/>
        <v>OK</v>
      </c>
      <c r="N1029" t="str">
        <f t="shared" si="50"/>
        <v>OK</v>
      </c>
    </row>
    <row r="1030" spans="1:14" ht="15" thickBot="1" x14ac:dyDescent="0.35">
      <c r="A1030" s="24">
        <v>63</v>
      </c>
      <c r="B1030" s="24">
        <v>2024</v>
      </c>
      <c r="C1030" s="25">
        <v>45505</v>
      </c>
      <c r="D1030" s="26" t="s">
        <v>65</v>
      </c>
      <c r="E1030" s="26" t="s">
        <v>67</v>
      </c>
      <c r="F1030" s="26" t="s">
        <v>45</v>
      </c>
      <c r="G1030" s="26"/>
      <c r="H1030" s="26"/>
      <c r="I1030" s="26"/>
      <c r="J1030" s="26"/>
      <c r="K1030" s="26"/>
      <c r="L1030" t="str">
        <f t="shared" si="48"/>
        <v>OK</v>
      </c>
      <c r="M1030" t="str">
        <f t="shared" si="49"/>
        <v>OK</v>
      </c>
      <c r="N1030" t="str">
        <f t="shared" si="50"/>
        <v>OK</v>
      </c>
    </row>
    <row r="1031" spans="1:14" ht="15" thickBot="1" x14ac:dyDescent="0.35">
      <c r="A1031" s="24">
        <v>63</v>
      </c>
      <c r="B1031" s="24">
        <v>2024</v>
      </c>
      <c r="C1031" s="25">
        <v>45505</v>
      </c>
      <c r="D1031" s="26" t="s">
        <v>65</v>
      </c>
      <c r="E1031" s="26" t="s">
        <v>68</v>
      </c>
      <c r="F1031" s="26" t="s">
        <v>45</v>
      </c>
      <c r="G1031" s="26"/>
      <c r="H1031" s="26"/>
      <c r="I1031" s="26"/>
      <c r="J1031" s="26"/>
      <c r="K1031" s="26"/>
      <c r="L1031" t="str">
        <f t="shared" si="48"/>
        <v>OK</v>
      </c>
      <c r="M1031" t="str">
        <f t="shared" si="49"/>
        <v>OK</v>
      </c>
      <c r="N1031" t="str">
        <f t="shared" si="50"/>
        <v>OK</v>
      </c>
    </row>
    <row r="1032" spans="1:14" ht="15" thickBot="1" x14ac:dyDescent="0.35">
      <c r="A1032" s="24">
        <v>63</v>
      </c>
      <c r="B1032" s="24">
        <v>2024</v>
      </c>
      <c r="C1032" s="25">
        <v>45505</v>
      </c>
      <c r="D1032" s="26" t="s">
        <v>65</v>
      </c>
      <c r="E1032" s="26" t="s">
        <v>69</v>
      </c>
      <c r="F1032" s="26" t="s">
        <v>45</v>
      </c>
      <c r="G1032" s="27">
        <v>65</v>
      </c>
      <c r="H1032" s="27">
        <v>65</v>
      </c>
      <c r="I1032" s="27">
        <v>65</v>
      </c>
      <c r="J1032" s="27">
        <v>65</v>
      </c>
      <c r="K1032" s="27">
        <v>65</v>
      </c>
      <c r="L1032" t="str">
        <f t="shared" si="48"/>
        <v>OK</v>
      </c>
      <c r="M1032" t="str">
        <f t="shared" si="49"/>
        <v>OK</v>
      </c>
      <c r="N1032" t="str">
        <f t="shared" si="50"/>
        <v>OK</v>
      </c>
    </row>
    <row r="1033" spans="1:14" ht="15" thickBot="1" x14ac:dyDescent="0.35">
      <c r="A1033" s="24">
        <v>63</v>
      </c>
      <c r="B1033" s="24">
        <v>2024</v>
      </c>
      <c r="C1033" s="25">
        <v>45505</v>
      </c>
      <c r="D1033" s="26" t="s">
        <v>65</v>
      </c>
      <c r="E1033" s="26" t="s">
        <v>70</v>
      </c>
      <c r="F1033" s="26" t="s">
        <v>71</v>
      </c>
      <c r="G1033" s="27">
        <v>50</v>
      </c>
      <c r="H1033" s="27">
        <v>50</v>
      </c>
      <c r="I1033" s="27">
        <v>50</v>
      </c>
      <c r="J1033" s="27">
        <v>50</v>
      </c>
      <c r="K1033" s="27">
        <v>50</v>
      </c>
      <c r="L1033" t="str">
        <f t="shared" si="48"/>
        <v>OK</v>
      </c>
      <c r="M1033" t="str">
        <f t="shared" si="49"/>
        <v>OK</v>
      </c>
      <c r="N1033" t="str">
        <f t="shared" si="50"/>
        <v>OK</v>
      </c>
    </row>
    <row r="1034" spans="1:14" ht="28.8" x14ac:dyDescent="0.3">
      <c r="A1034">
        <v>64</v>
      </c>
      <c r="B1034">
        <v>2024</v>
      </c>
      <c r="C1034" s="2">
        <v>45513</v>
      </c>
      <c r="D1034" s="3" t="s">
        <v>11</v>
      </c>
      <c r="E1034" s="4" t="s">
        <v>12</v>
      </c>
      <c r="F1034" s="4" t="s">
        <v>13</v>
      </c>
      <c r="G1034" s="5"/>
      <c r="H1034" s="6">
        <v>48</v>
      </c>
      <c r="I1034" s="6">
        <v>60</v>
      </c>
      <c r="J1034" s="6">
        <v>54</v>
      </c>
      <c r="K1034" s="6">
        <v>54</v>
      </c>
      <c r="L1034" t="str">
        <f t="shared" si="48"/>
        <v>OK</v>
      </c>
      <c r="M1034" t="str">
        <f t="shared" si="49"/>
        <v>OK</v>
      </c>
      <c r="N1034" t="str">
        <f t="shared" si="50"/>
        <v>OK</v>
      </c>
    </row>
    <row r="1035" spans="1:14" ht="28.8" x14ac:dyDescent="0.3">
      <c r="A1035">
        <v>64</v>
      </c>
      <c r="B1035">
        <v>2024</v>
      </c>
      <c r="C1035" s="2">
        <v>45513</v>
      </c>
      <c r="D1035" s="7" t="s">
        <v>11</v>
      </c>
      <c r="E1035" s="8" t="s">
        <v>14</v>
      </c>
      <c r="F1035" s="8" t="s">
        <v>13</v>
      </c>
      <c r="G1035" s="9"/>
      <c r="H1035" s="10">
        <v>60</v>
      </c>
      <c r="I1035" s="10">
        <v>84</v>
      </c>
      <c r="J1035" s="10">
        <v>72</v>
      </c>
      <c r="K1035" s="10">
        <v>72</v>
      </c>
      <c r="L1035" t="str">
        <f t="shared" si="48"/>
        <v>OK</v>
      </c>
      <c r="M1035" t="str">
        <f t="shared" si="49"/>
        <v>OK</v>
      </c>
      <c r="N1035" t="str">
        <f t="shared" si="50"/>
        <v>OK</v>
      </c>
    </row>
    <row r="1036" spans="1:14" ht="28.8" x14ac:dyDescent="0.3">
      <c r="A1036">
        <v>64</v>
      </c>
      <c r="B1036">
        <v>2024</v>
      </c>
      <c r="C1036" s="2">
        <v>45513</v>
      </c>
      <c r="D1036" s="3" t="s">
        <v>11</v>
      </c>
      <c r="E1036" s="4" t="s">
        <v>15</v>
      </c>
      <c r="F1036" s="4" t="s">
        <v>13</v>
      </c>
      <c r="G1036" s="5"/>
      <c r="H1036" s="6">
        <v>30</v>
      </c>
      <c r="I1036" s="6">
        <v>36</v>
      </c>
      <c r="J1036" s="6" t="s">
        <v>208</v>
      </c>
      <c r="K1036" s="6">
        <v>35</v>
      </c>
      <c r="L1036" t="str">
        <f t="shared" si="48"/>
        <v>OK</v>
      </c>
      <c r="M1036" t="str">
        <f t="shared" si="49"/>
        <v>OK</v>
      </c>
      <c r="N1036" t="str">
        <f t="shared" si="50"/>
        <v>ERRO</v>
      </c>
    </row>
    <row r="1037" spans="1:14" ht="28.8" x14ac:dyDescent="0.3">
      <c r="A1037">
        <v>64</v>
      </c>
      <c r="B1037">
        <v>2024</v>
      </c>
      <c r="C1037" s="2">
        <v>45513</v>
      </c>
      <c r="D1037" s="7" t="s">
        <v>11</v>
      </c>
      <c r="E1037" s="8" t="s">
        <v>16</v>
      </c>
      <c r="F1037" s="8" t="s">
        <v>13</v>
      </c>
      <c r="G1037" s="10">
        <v>18</v>
      </c>
      <c r="H1037" s="10">
        <v>15</v>
      </c>
      <c r="I1037" s="10">
        <v>18</v>
      </c>
      <c r="J1037" s="10">
        <v>17</v>
      </c>
      <c r="K1037" s="10">
        <v>18</v>
      </c>
      <c r="L1037" t="str">
        <f t="shared" si="48"/>
        <v>OK</v>
      </c>
      <c r="M1037" t="str">
        <f t="shared" si="49"/>
        <v>OK</v>
      </c>
      <c r="N1037" t="str">
        <f t="shared" si="50"/>
        <v>OK</v>
      </c>
    </row>
    <row r="1038" spans="1:14" ht="28.8" x14ac:dyDescent="0.3">
      <c r="A1038">
        <v>64</v>
      </c>
      <c r="B1038">
        <v>2024</v>
      </c>
      <c r="C1038" s="2">
        <v>45513</v>
      </c>
      <c r="D1038" s="3" t="s">
        <v>11</v>
      </c>
      <c r="E1038" s="4" t="s">
        <v>17</v>
      </c>
      <c r="F1038" s="4" t="s">
        <v>13</v>
      </c>
      <c r="G1038" s="5"/>
      <c r="H1038" s="6">
        <v>15</v>
      </c>
      <c r="I1038" s="6">
        <v>60</v>
      </c>
      <c r="J1038" s="6" t="s">
        <v>86</v>
      </c>
      <c r="K1038" s="6" t="s">
        <v>86</v>
      </c>
      <c r="L1038" t="str">
        <f t="shared" si="48"/>
        <v>OK</v>
      </c>
      <c r="M1038" t="str">
        <f t="shared" si="49"/>
        <v>OK</v>
      </c>
      <c r="N1038" t="str">
        <f t="shared" si="50"/>
        <v>ERRO</v>
      </c>
    </row>
    <row r="1039" spans="1:14" ht="28.8" x14ac:dyDescent="0.3">
      <c r="A1039">
        <v>64</v>
      </c>
      <c r="B1039">
        <v>2024</v>
      </c>
      <c r="C1039" s="2">
        <v>45513</v>
      </c>
      <c r="D1039" s="7" t="s">
        <v>11</v>
      </c>
      <c r="E1039" s="8" t="s">
        <v>18</v>
      </c>
      <c r="F1039" s="8" t="s">
        <v>13</v>
      </c>
      <c r="G1039" s="10">
        <v>60</v>
      </c>
      <c r="H1039" s="10">
        <v>60</v>
      </c>
      <c r="I1039" s="10">
        <v>60</v>
      </c>
      <c r="J1039" s="10">
        <v>60</v>
      </c>
      <c r="K1039" s="10">
        <v>60</v>
      </c>
      <c r="L1039" t="str">
        <f t="shared" si="48"/>
        <v>OK</v>
      </c>
      <c r="M1039" t="str">
        <f t="shared" si="49"/>
        <v>OK</v>
      </c>
      <c r="N1039" t="str">
        <f t="shared" si="50"/>
        <v>OK</v>
      </c>
    </row>
    <row r="1040" spans="1:14" ht="28.8" x14ac:dyDescent="0.3">
      <c r="A1040">
        <v>64</v>
      </c>
      <c r="B1040">
        <v>2024</v>
      </c>
      <c r="C1040" s="2">
        <v>45513</v>
      </c>
      <c r="D1040" s="3" t="s">
        <v>11</v>
      </c>
      <c r="E1040" s="4" t="s">
        <v>19</v>
      </c>
      <c r="F1040" s="4" t="s">
        <v>13</v>
      </c>
      <c r="G1040" s="5"/>
      <c r="H1040" s="6">
        <v>60</v>
      </c>
      <c r="I1040" s="6">
        <v>72</v>
      </c>
      <c r="J1040" s="6">
        <v>66</v>
      </c>
      <c r="K1040" s="6">
        <v>66</v>
      </c>
      <c r="L1040" t="str">
        <f t="shared" si="48"/>
        <v>OK</v>
      </c>
      <c r="M1040" t="str">
        <f t="shared" si="49"/>
        <v>OK</v>
      </c>
      <c r="N1040" t="str">
        <f t="shared" si="50"/>
        <v>OK</v>
      </c>
    </row>
    <row r="1041" spans="1:14" ht="28.8" x14ac:dyDescent="0.3">
      <c r="A1041">
        <v>64</v>
      </c>
      <c r="B1041">
        <v>2024</v>
      </c>
      <c r="C1041" s="2">
        <v>45513</v>
      </c>
      <c r="D1041" s="7" t="s">
        <v>11</v>
      </c>
      <c r="E1041" s="8" t="s">
        <v>20</v>
      </c>
      <c r="F1041" s="8" t="s">
        <v>13</v>
      </c>
      <c r="G1041" s="10">
        <v>72</v>
      </c>
      <c r="H1041" s="10">
        <v>72</v>
      </c>
      <c r="I1041" s="10">
        <v>72</v>
      </c>
      <c r="J1041" s="10">
        <v>72</v>
      </c>
      <c r="K1041" s="10">
        <v>72</v>
      </c>
      <c r="L1041" t="str">
        <f t="shared" si="48"/>
        <v>OK</v>
      </c>
      <c r="M1041" t="str">
        <f t="shared" si="49"/>
        <v>OK</v>
      </c>
      <c r="N1041" t="str">
        <f t="shared" si="50"/>
        <v>OK</v>
      </c>
    </row>
    <row r="1042" spans="1:14" ht="28.8" x14ac:dyDescent="0.3">
      <c r="A1042">
        <v>64</v>
      </c>
      <c r="B1042">
        <v>2024</v>
      </c>
      <c r="C1042" s="2">
        <v>45513</v>
      </c>
      <c r="D1042" s="3" t="s">
        <v>11</v>
      </c>
      <c r="E1042" s="4" t="s">
        <v>21</v>
      </c>
      <c r="F1042" s="4" t="s">
        <v>13</v>
      </c>
      <c r="G1042" s="6">
        <v>18</v>
      </c>
      <c r="H1042" s="6">
        <v>18</v>
      </c>
      <c r="I1042" s="6">
        <v>24</v>
      </c>
      <c r="J1042" s="6">
        <v>20</v>
      </c>
      <c r="K1042" s="6">
        <v>18</v>
      </c>
      <c r="L1042" t="str">
        <f t="shared" si="48"/>
        <v>OK</v>
      </c>
      <c r="M1042" t="str">
        <f t="shared" si="49"/>
        <v>OK</v>
      </c>
      <c r="N1042" t="str">
        <f t="shared" si="50"/>
        <v>OK</v>
      </c>
    </row>
    <row r="1043" spans="1:14" ht="28.8" x14ac:dyDescent="0.3">
      <c r="A1043">
        <v>64</v>
      </c>
      <c r="B1043">
        <v>2024</v>
      </c>
      <c r="C1043" s="2">
        <v>45513</v>
      </c>
      <c r="D1043" s="7" t="s">
        <v>11</v>
      </c>
      <c r="E1043" s="8" t="s">
        <v>73</v>
      </c>
      <c r="F1043" s="8" t="s">
        <v>13</v>
      </c>
      <c r="G1043" s="9"/>
      <c r="H1043" s="10">
        <v>72</v>
      </c>
      <c r="I1043" s="10">
        <v>84</v>
      </c>
      <c r="J1043" s="10">
        <v>78</v>
      </c>
      <c r="K1043" s="10">
        <v>78</v>
      </c>
      <c r="L1043" t="str">
        <f t="shared" si="48"/>
        <v>OK</v>
      </c>
      <c r="M1043" t="str">
        <f t="shared" si="49"/>
        <v>OK</v>
      </c>
      <c r="N1043" t="str">
        <f t="shared" si="50"/>
        <v>OK</v>
      </c>
    </row>
    <row r="1044" spans="1:14" ht="28.8" x14ac:dyDescent="0.3">
      <c r="A1044">
        <v>64</v>
      </c>
      <c r="B1044">
        <v>2024</v>
      </c>
      <c r="C1044" s="2">
        <v>45513</v>
      </c>
      <c r="D1044" s="3" t="s">
        <v>11</v>
      </c>
      <c r="E1044" s="4" t="s">
        <v>23</v>
      </c>
      <c r="F1044" s="4" t="s">
        <v>13</v>
      </c>
      <c r="G1044" s="5"/>
      <c r="H1044" s="6">
        <v>15</v>
      </c>
      <c r="I1044" s="6">
        <v>24</v>
      </c>
      <c r="J1044" s="6">
        <v>19</v>
      </c>
      <c r="K1044" s="6">
        <v>18</v>
      </c>
      <c r="L1044" t="str">
        <f t="shared" si="48"/>
        <v>OK</v>
      </c>
      <c r="M1044" t="str">
        <f t="shared" si="49"/>
        <v>OK</v>
      </c>
      <c r="N1044" t="str">
        <f t="shared" si="50"/>
        <v>OK</v>
      </c>
    </row>
    <row r="1045" spans="1:14" ht="28.8" x14ac:dyDescent="0.3">
      <c r="A1045">
        <v>64</v>
      </c>
      <c r="B1045">
        <v>2024</v>
      </c>
      <c r="C1045" s="2">
        <v>45513</v>
      </c>
      <c r="D1045" s="7" t="s">
        <v>11</v>
      </c>
      <c r="E1045" s="8" t="s">
        <v>24</v>
      </c>
      <c r="F1045" s="8" t="s">
        <v>13</v>
      </c>
      <c r="G1045" s="9"/>
      <c r="H1045" s="10">
        <v>48</v>
      </c>
      <c r="I1045" s="10">
        <v>72</v>
      </c>
      <c r="J1045" s="10">
        <v>60</v>
      </c>
      <c r="K1045" s="10">
        <v>60</v>
      </c>
      <c r="L1045" t="str">
        <f t="shared" si="48"/>
        <v>OK</v>
      </c>
      <c r="M1045" t="str">
        <f t="shared" si="49"/>
        <v>OK</v>
      </c>
      <c r="N1045" t="str">
        <f t="shared" si="50"/>
        <v>OK</v>
      </c>
    </row>
    <row r="1046" spans="1:14" ht="28.8" x14ac:dyDescent="0.3">
      <c r="A1046">
        <v>64</v>
      </c>
      <c r="B1046">
        <v>2024</v>
      </c>
      <c r="C1046" s="2">
        <v>45513</v>
      </c>
      <c r="D1046" s="3" t="s">
        <v>11</v>
      </c>
      <c r="E1046" s="4" t="s">
        <v>25</v>
      </c>
      <c r="F1046" s="4" t="s">
        <v>26</v>
      </c>
      <c r="G1046" s="6">
        <v>60</v>
      </c>
      <c r="H1046" s="6">
        <v>48</v>
      </c>
      <c r="I1046" s="6">
        <v>60</v>
      </c>
      <c r="J1046" s="6">
        <v>56</v>
      </c>
      <c r="K1046" s="6">
        <v>60</v>
      </c>
      <c r="L1046" t="str">
        <f t="shared" si="48"/>
        <v>OK</v>
      </c>
      <c r="M1046" t="str">
        <f t="shared" si="49"/>
        <v>OK</v>
      </c>
      <c r="N1046" t="str">
        <f t="shared" si="50"/>
        <v>OK</v>
      </c>
    </row>
    <row r="1047" spans="1:14" ht="28.8" x14ac:dyDescent="0.3">
      <c r="A1047">
        <v>64</v>
      </c>
      <c r="B1047">
        <v>2024</v>
      </c>
      <c r="C1047" s="2">
        <v>45513</v>
      </c>
      <c r="D1047" s="7" t="s">
        <v>11</v>
      </c>
      <c r="E1047" s="8" t="s">
        <v>27</v>
      </c>
      <c r="F1047" s="8" t="s">
        <v>13</v>
      </c>
      <c r="G1047" s="9"/>
      <c r="H1047" s="10">
        <v>45</v>
      </c>
      <c r="I1047" s="10">
        <v>60</v>
      </c>
      <c r="J1047" s="10" t="s">
        <v>78</v>
      </c>
      <c r="K1047" s="10" t="s">
        <v>78</v>
      </c>
      <c r="L1047" t="str">
        <f t="shared" si="48"/>
        <v>OK</v>
      </c>
      <c r="M1047" t="str">
        <f t="shared" si="49"/>
        <v>OK</v>
      </c>
      <c r="N1047" t="str">
        <f t="shared" si="50"/>
        <v>ERRO</v>
      </c>
    </row>
    <row r="1048" spans="1:14" ht="28.8" x14ac:dyDescent="0.3">
      <c r="A1048">
        <v>64</v>
      </c>
      <c r="B1048">
        <v>2024</v>
      </c>
      <c r="C1048" s="2">
        <v>45513</v>
      </c>
      <c r="D1048" s="3" t="s">
        <v>11</v>
      </c>
      <c r="E1048" s="4" t="s">
        <v>28</v>
      </c>
      <c r="F1048" s="4" t="s">
        <v>13</v>
      </c>
      <c r="G1048" s="5"/>
      <c r="H1048" s="6">
        <v>36</v>
      </c>
      <c r="I1048" s="6">
        <v>40</v>
      </c>
      <c r="J1048" s="6">
        <v>38</v>
      </c>
      <c r="K1048" s="6">
        <v>38</v>
      </c>
      <c r="L1048" t="str">
        <f t="shared" si="48"/>
        <v>OK</v>
      </c>
      <c r="M1048" t="str">
        <f t="shared" si="49"/>
        <v>OK</v>
      </c>
      <c r="N1048" t="str">
        <f t="shared" si="50"/>
        <v>OK</v>
      </c>
    </row>
    <row r="1049" spans="1:14" ht="28.8" x14ac:dyDescent="0.3">
      <c r="A1049">
        <v>64</v>
      </c>
      <c r="B1049">
        <v>2024</v>
      </c>
      <c r="C1049" s="2">
        <v>45513</v>
      </c>
      <c r="D1049" s="7" t="s">
        <v>11</v>
      </c>
      <c r="E1049" s="8" t="s">
        <v>29</v>
      </c>
      <c r="F1049" s="8" t="s">
        <v>13</v>
      </c>
      <c r="G1049" s="9"/>
      <c r="H1049" s="10">
        <v>42</v>
      </c>
      <c r="I1049" s="10">
        <v>54</v>
      </c>
      <c r="J1049" s="10">
        <v>48</v>
      </c>
      <c r="K1049" s="10">
        <v>48</v>
      </c>
      <c r="L1049" t="str">
        <f t="shared" si="48"/>
        <v>OK</v>
      </c>
      <c r="M1049" t="str">
        <f t="shared" si="49"/>
        <v>OK</v>
      </c>
      <c r="N1049" t="str">
        <f t="shared" si="50"/>
        <v>OK</v>
      </c>
    </row>
    <row r="1050" spans="1:14" ht="28.8" x14ac:dyDescent="0.3">
      <c r="A1050">
        <v>64</v>
      </c>
      <c r="B1050">
        <v>2024</v>
      </c>
      <c r="C1050" s="2">
        <v>45513</v>
      </c>
      <c r="D1050" s="3" t="s">
        <v>30</v>
      </c>
      <c r="E1050" s="4" t="s">
        <v>31</v>
      </c>
      <c r="F1050" s="4" t="s">
        <v>32</v>
      </c>
      <c r="G1050" s="6">
        <v>5</v>
      </c>
      <c r="H1050" s="6">
        <v>5</v>
      </c>
      <c r="I1050" s="6">
        <v>5</v>
      </c>
      <c r="J1050" s="6">
        <v>5</v>
      </c>
      <c r="K1050" s="6">
        <v>5</v>
      </c>
      <c r="L1050" t="str">
        <f t="shared" si="48"/>
        <v>OK</v>
      </c>
      <c r="M1050" t="str">
        <f t="shared" si="49"/>
        <v>OK</v>
      </c>
      <c r="N1050" t="str">
        <f t="shared" si="50"/>
        <v>OK</v>
      </c>
    </row>
    <row r="1051" spans="1:14" ht="28.8" x14ac:dyDescent="0.3">
      <c r="A1051">
        <v>64</v>
      </c>
      <c r="B1051">
        <v>2024</v>
      </c>
      <c r="C1051" s="2">
        <v>45513</v>
      </c>
      <c r="D1051" s="7" t="s">
        <v>30</v>
      </c>
      <c r="E1051" s="8" t="s">
        <v>34</v>
      </c>
      <c r="F1051" s="8" t="s">
        <v>35</v>
      </c>
      <c r="G1051" s="10">
        <v>12</v>
      </c>
      <c r="H1051" s="10">
        <v>10</v>
      </c>
      <c r="I1051" s="10">
        <v>12</v>
      </c>
      <c r="J1051" s="10" t="s">
        <v>293</v>
      </c>
      <c r="K1051" s="10">
        <v>12</v>
      </c>
      <c r="L1051" t="str">
        <f t="shared" si="48"/>
        <v>OK</v>
      </c>
      <c r="M1051" t="str">
        <f t="shared" si="49"/>
        <v>OK</v>
      </c>
      <c r="N1051" t="str">
        <f t="shared" si="50"/>
        <v>ERRO</v>
      </c>
    </row>
    <row r="1052" spans="1:14" ht="28.8" x14ac:dyDescent="0.3">
      <c r="A1052">
        <v>64</v>
      </c>
      <c r="B1052">
        <v>2024</v>
      </c>
      <c r="C1052" s="2">
        <v>45513</v>
      </c>
      <c r="D1052" s="3" t="s">
        <v>30</v>
      </c>
      <c r="E1052" s="4" t="s">
        <v>36</v>
      </c>
      <c r="F1052" s="4" t="s">
        <v>35</v>
      </c>
      <c r="G1052" s="5"/>
      <c r="H1052" s="6">
        <v>15</v>
      </c>
      <c r="I1052" s="6">
        <v>30</v>
      </c>
      <c r="J1052" s="6" t="s">
        <v>294</v>
      </c>
      <c r="K1052" s="6">
        <v>20</v>
      </c>
      <c r="L1052" t="str">
        <f t="shared" si="48"/>
        <v>OK</v>
      </c>
      <c r="M1052" t="str">
        <f t="shared" si="49"/>
        <v>OK</v>
      </c>
      <c r="N1052" t="str">
        <f t="shared" si="50"/>
        <v>ERRO</v>
      </c>
    </row>
    <row r="1053" spans="1:14" ht="43.2" x14ac:dyDescent="0.3">
      <c r="A1053">
        <v>64</v>
      </c>
      <c r="B1053">
        <v>2024</v>
      </c>
      <c r="C1053" s="2">
        <v>45513</v>
      </c>
      <c r="D1053" s="7" t="s">
        <v>38</v>
      </c>
      <c r="E1053" s="8" t="s">
        <v>153</v>
      </c>
      <c r="F1053" s="8" t="s">
        <v>154</v>
      </c>
      <c r="G1053" s="9"/>
      <c r="H1053" s="10">
        <v>75</v>
      </c>
      <c r="I1053" s="10">
        <v>80</v>
      </c>
      <c r="J1053" s="10" t="s">
        <v>134</v>
      </c>
      <c r="K1053" s="10" t="s">
        <v>134</v>
      </c>
      <c r="L1053" t="str">
        <f t="shared" si="48"/>
        <v>OK</v>
      </c>
      <c r="M1053" t="str">
        <f t="shared" si="49"/>
        <v>OK</v>
      </c>
      <c r="N1053" t="str">
        <f t="shared" si="50"/>
        <v>ERRO</v>
      </c>
    </row>
    <row r="1054" spans="1:14" ht="43.2" x14ac:dyDescent="0.3">
      <c r="A1054">
        <v>64</v>
      </c>
      <c r="B1054">
        <v>2024</v>
      </c>
      <c r="C1054" s="2">
        <v>45513</v>
      </c>
      <c r="D1054" s="3" t="s">
        <v>38</v>
      </c>
      <c r="E1054" s="4" t="s">
        <v>39</v>
      </c>
      <c r="F1054" s="4" t="s">
        <v>40</v>
      </c>
      <c r="G1054" s="6">
        <v>50</v>
      </c>
      <c r="H1054" s="6">
        <v>40</v>
      </c>
      <c r="I1054" s="6">
        <v>60</v>
      </c>
      <c r="J1054" s="6">
        <v>51</v>
      </c>
      <c r="K1054" s="6">
        <v>50</v>
      </c>
      <c r="L1054" t="str">
        <f t="shared" si="48"/>
        <v>OK</v>
      </c>
      <c r="M1054" t="str">
        <f t="shared" si="49"/>
        <v>OK</v>
      </c>
      <c r="N1054" t="str">
        <f t="shared" si="50"/>
        <v>OK</v>
      </c>
    </row>
    <row r="1055" spans="1:14" ht="43.2" x14ac:dyDescent="0.3">
      <c r="A1055">
        <v>64</v>
      </c>
      <c r="B1055">
        <v>2024</v>
      </c>
      <c r="C1055" s="2">
        <v>45513</v>
      </c>
      <c r="D1055" s="7" t="s">
        <v>38</v>
      </c>
      <c r="E1055" s="8" t="s">
        <v>42</v>
      </c>
      <c r="F1055" s="8" t="s">
        <v>43</v>
      </c>
      <c r="G1055" s="10">
        <v>70</v>
      </c>
      <c r="H1055" s="10">
        <v>40</v>
      </c>
      <c r="I1055" s="10">
        <v>70</v>
      </c>
      <c r="J1055" s="10">
        <v>55</v>
      </c>
      <c r="K1055" s="10">
        <v>50</v>
      </c>
      <c r="L1055" t="str">
        <f t="shared" si="48"/>
        <v>OK</v>
      </c>
      <c r="M1055" t="str">
        <f t="shared" si="49"/>
        <v>OK</v>
      </c>
      <c r="N1055" t="str">
        <f t="shared" si="50"/>
        <v>OK</v>
      </c>
    </row>
    <row r="1056" spans="1:14" ht="43.2" x14ac:dyDescent="0.3">
      <c r="A1056">
        <v>64</v>
      </c>
      <c r="B1056">
        <v>2024</v>
      </c>
      <c r="C1056" s="2">
        <v>45513</v>
      </c>
      <c r="D1056" s="3" t="s">
        <v>38</v>
      </c>
      <c r="E1056" s="4" t="s">
        <v>44</v>
      </c>
      <c r="F1056" s="4" t="s">
        <v>45</v>
      </c>
      <c r="G1056" s="6">
        <v>50</v>
      </c>
      <c r="H1056" s="6">
        <v>35</v>
      </c>
      <c r="I1056" s="6">
        <v>50</v>
      </c>
      <c r="J1056" s="6">
        <v>44</v>
      </c>
      <c r="K1056" s="6">
        <v>45</v>
      </c>
      <c r="L1056" t="str">
        <f t="shared" si="48"/>
        <v>OK</v>
      </c>
      <c r="M1056" t="str">
        <f t="shared" si="49"/>
        <v>OK</v>
      </c>
      <c r="N1056" t="str">
        <f t="shared" si="50"/>
        <v>OK</v>
      </c>
    </row>
    <row r="1057" spans="1:14" ht="43.2" x14ac:dyDescent="0.3">
      <c r="A1057">
        <v>64</v>
      </c>
      <c r="B1057">
        <v>2024</v>
      </c>
      <c r="C1057" s="2">
        <v>45513</v>
      </c>
      <c r="D1057" s="7" t="s">
        <v>38</v>
      </c>
      <c r="E1057" s="8" t="s">
        <v>48</v>
      </c>
      <c r="F1057" s="8" t="s">
        <v>45</v>
      </c>
      <c r="G1057" s="9"/>
      <c r="H1057" s="10">
        <v>90</v>
      </c>
      <c r="I1057" s="10">
        <v>100</v>
      </c>
      <c r="J1057" s="10">
        <v>95</v>
      </c>
      <c r="K1057" s="10">
        <v>95</v>
      </c>
      <c r="L1057" t="str">
        <f t="shared" si="48"/>
        <v>OK</v>
      </c>
      <c r="M1057" t="str">
        <f t="shared" si="49"/>
        <v>OK</v>
      </c>
      <c r="N1057" t="str">
        <f t="shared" si="50"/>
        <v>OK</v>
      </c>
    </row>
    <row r="1058" spans="1:14" ht="43.2" x14ac:dyDescent="0.3">
      <c r="A1058">
        <v>64</v>
      </c>
      <c r="B1058">
        <v>2024</v>
      </c>
      <c r="C1058" s="2">
        <v>45513</v>
      </c>
      <c r="D1058" s="3" t="s">
        <v>38</v>
      </c>
      <c r="E1058" s="4" t="s">
        <v>49</v>
      </c>
      <c r="F1058" s="4" t="s">
        <v>50</v>
      </c>
      <c r="G1058" s="6">
        <v>60</v>
      </c>
      <c r="H1058" s="6">
        <v>57</v>
      </c>
      <c r="I1058" s="6">
        <v>60</v>
      </c>
      <c r="J1058" s="6" t="s">
        <v>295</v>
      </c>
      <c r="K1058" s="6">
        <v>60</v>
      </c>
      <c r="L1058" t="str">
        <f t="shared" si="48"/>
        <v>OK</v>
      </c>
      <c r="M1058" t="str">
        <f t="shared" si="49"/>
        <v>OK</v>
      </c>
      <c r="N1058" t="str">
        <f t="shared" si="50"/>
        <v>ERRO</v>
      </c>
    </row>
    <row r="1059" spans="1:14" ht="43.2" x14ac:dyDescent="0.3">
      <c r="A1059">
        <v>64</v>
      </c>
      <c r="B1059">
        <v>2024</v>
      </c>
      <c r="C1059" s="2">
        <v>45513</v>
      </c>
      <c r="D1059" s="7" t="s">
        <v>38</v>
      </c>
      <c r="E1059" s="8" t="s">
        <v>52</v>
      </c>
      <c r="F1059" s="8" t="s">
        <v>43</v>
      </c>
      <c r="G1059" s="10">
        <v>60</v>
      </c>
      <c r="H1059" s="10">
        <v>40</v>
      </c>
      <c r="I1059" s="10">
        <v>60</v>
      </c>
      <c r="J1059" s="10">
        <v>55</v>
      </c>
      <c r="K1059" s="10">
        <v>60</v>
      </c>
      <c r="L1059" t="str">
        <f t="shared" si="48"/>
        <v>OK</v>
      </c>
      <c r="M1059" t="str">
        <f t="shared" si="49"/>
        <v>OK</v>
      </c>
      <c r="N1059" t="str">
        <f t="shared" si="50"/>
        <v>OK</v>
      </c>
    </row>
    <row r="1060" spans="1:14" ht="43.2" x14ac:dyDescent="0.3">
      <c r="A1060">
        <v>64</v>
      </c>
      <c r="B1060">
        <v>2024</v>
      </c>
      <c r="C1060" s="2">
        <v>45513</v>
      </c>
      <c r="D1060" s="3" t="s">
        <v>38</v>
      </c>
      <c r="E1060" s="4" t="s">
        <v>53</v>
      </c>
      <c r="F1060" s="4" t="s">
        <v>43</v>
      </c>
      <c r="G1060" s="6">
        <v>45</v>
      </c>
      <c r="H1060" s="6">
        <v>45</v>
      </c>
      <c r="I1060" s="6">
        <v>75</v>
      </c>
      <c r="J1060" s="6">
        <v>57</v>
      </c>
      <c r="K1060" s="6">
        <v>60</v>
      </c>
      <c r="L1060" t="str">
        <f t="shared" si="48"/>
        <v>OK</v>
      </c>
      <c r="M1060" t="str">
        <f t="shared" si="49"/>
        <v>OK</v>
      </c>
      <c r="N1060" t="str">
        <f t="shared" si="50"/>
        <v>OK</v>
      </c>
    </row>
    <row r="1061" spans="1:14" ht="43.2" x14ac:dyDescent="0.3">
      <c r="A1061">
        <v>64</v>
      </c>
      <c r="B1061">
        <v>2024</v>
      </c>
      <c r="C1061" s="2">
        <v>45513</v>
      </c>
      <c r="D1061" s="7" t="s">
        <v>38</v>
      </c>
      <c r="E1061" s="8" t="s">
        <v>54</v>
      </c>
      <c r="F1061" s="8" t="s">
        <v>40</v>
      </c>
      <c r="G1061" s="9"/>
      <c r="H1061" s="10">
        <v>70</v>
      </c>
      <c r="I1061" s="10">
        <v>100</v>
      </c>
      <c r="J1061" s="10">
        <v>85</v>
      </c>
      <c r="K1061" s="10">
        <v>85</v>
      </c>
      <c r="L1061" t="str">
        <f t="shared" si="48"/>
        <v>OK</v>
      </c>
      <c r="M1061" t="str">
        <f t="shared" si="49"/>
        <v>OK</v>
      </c>
      <c r="N1061" t="str">
        <f t="shared" si="50"/>
        <v>OK</v>
      </c>
    </row>
    <row r="1062" spans="1:14" ht="43.2" x14ac:dyDescent="0.3">
      <c r="A1062">
        <v>64</v>
      </c>
      <c r="B1062">
        <v>2024</v>
      </c>
      <c r="C1062" s="2">
        <v>45513</v>
      </c>
      <c r="D1062" s="3" t="s">
        <v>38</v>
      </c>
      <c r="E1062" s="4" t="s">
        <v>56</v>
      </c>
      <c r="F1062" s="4" t="s">
        <v>43</v>
      </c>
      <c r="G1062" s="5"/>
      <c r="H1062" s="6">
        <v>60</v>
      </c>
      <c r="I1062" s="6">
        <v>65</v>
      </c>
      <c r="J1062" s="6" t="s">
        <v>80</v>
      </c>
      <c r="K1062" s="6" t="s">
        <v>80</v>
      </c>
      <c r="L1062" t="str">
        <f t="shared" si="48"/>
        <v>OK</v>
      </c>
      <c r="M1062" t="str">
        <f t="shared" si="49"/>
        <v>OK</v>
      </c>
      <c r="N1062" t="str">
        <f t="shared" si="50"/>
        <v>ERRO</v>
      </c>
    </row>
    <row r="1063" spans="1:14" ht="43.2" x14ac:dyDescent="0.3">
      <c r="A1063">
        <v>64</v>
      </c>
      <c r="B1063">
        <v>2024</v>
      </c>
      <c r="C1063" s="2">
        <v>45513</v>
      </c>
      <c r="D1063" s="7" t="s">
        <v>38</v>
      </c>
      <c r="E1063" s="8" t="s">
        <v>57</v>
      </c>
      <c r="F1063" s="8" t="s">
        <v>40</v>
      </c>
      <c r="G1063" s="10">
        <v>50</v>
      </c>
      <c r="H1063" s="10">
        <v>50</v>
      </c>
      <c r="I1063" s="10">
        <v>60</v>
      </c>
      <c r="J1063" s="10" t="s">
        <v>92</v>
      </c>
      <c r="K1063" s="10" t="s">
        <v>78</v>
      </c>
      <c r="L1063" t="str">
        <f t="shared" si="48"/>
        <v>OK</v>
      </c>
      <c r="M1063" t="str">
        <f t="shared" si="49"/>
        <v>OK</v>
      </c>
      <c r="N1063" t="str">
        <f t="shared" si="50"/>
        <v>ERRO</v>
      </c>
    </row>
    <row r="1064" spans="1:14" ht="43.2" x14ac:dyDescent="0.3">
      <c r="A1064">
        <v>64</v>
      </c>
      <c r="B1064">
        <v>2024</v>
      </c>
      <c r="C1064" s="2">
        <v>45513</v>
      </c>
      <c r="D1064" s="3" t="s">
        <v>38</v>
      </c>
      <c r="E1064" s="4" t="s">
        <v>58</v>
      </c>
      <c r="F1064" s="4" t="s">
        <v>40</v>
      </c>
      <c r="G1064" s="6">
        <v>80</v>
      </c>
      <c r="H1064" s="6">
        <v>70</v>
      </c>
      <c r="I1064" s="6">
        <v>80</v>
      </c>
      <c r="J1064" s="6">
        <v>77</v>
      </c>
      <c r="K1064" s="6">
        <v>80</v>
      </c>
      <c r="L1064" t="str">
        <f t="shared" si="48"/>
        <v>OK</v>
      </c>
      <c r="M1064" t="str">
        <f t="shared" si="49"/>
        <v>OK</v>
      </c>
      <c r="N1064" t="str">
        <f t="shared" si="50"/>
        <v>OK</v>
      </c>
    </row>
    <row r="1065" spans="1:14" ht="43.2" x14ac:dyDescent="0.3">
      <c r="A1065">
        <v>64</v>
      </c>
      <c r="B1065">
        <v>2024</v>
      </c>
      <c r="C1065" s="2">
        <v>45513</v>
      </c>
      <c r="D1065" s="7" t="s">
        <v>38</v>
      </c>
      <c r="E1065" s="8" t="s">
        <v>59</v>
      </c>
      <c r="F1065" s="8" t="s">
        <v>45</v>
      </c>
      <c r="G1065" s="10">
        <v>50</v>
      </c>
      <c r="H1065" s="10">
        <v>45</v>
      </c>
      <c r="I1065" s="10">
        <v>70</v>
      </c>
      <c r="J1065" s="10">
        <v>54</v>
      </c>
      <c r="K1065" s="10">
        <v>50</v>
      </c>
      <c r="L1065" t="str">
        <f t="shared" si="48"/>
        <v>OK</v>
      </c>
      <c r="M1065" t="str">
        <f t="shared" si="49"/>
        <v>OK</v>
      </c>
      <c r="N1065" t="str">
        <f t="shared" si="50"/>
        <v>OK</v>
      </c>
    </row>
    <row r="1066" spans="1:14" ht="43.2" x14ac:dyDescent="0.3">
      <c r="A1066">
        <v>64</v>
      </c>
      <c r="B1066">
        <v>2024</v>
      </c>
      <c r="C1066" s="2">
        <v>45513</v>
      </c>
      <c r="D1066" s="3" t="s">
        <v>38</v>
      </c>
      <c r="E1066" s="4" t="s">
        <v>60</v>
      </c>
      <c r="F1066" s="4" t="s">
        <v>61</v>
      </c>
      <c r="G1066" s="6">
        <v>110</v>
      </c>
      <c r="H1066" s="6">
        <v>100</v>
      </c>
      <c r="I1066" s="6">
        <v>155</v>
      </c>
      <c r="J1066" s="6" t="s">
        <v>296</v>
      </c>
      <c r="K1066" s="6">
        <v>110</v>
      </c>
      <c r="L1066" t="str">
        <f t="shared" si="48"/>
        <v>OK</v>
      </c>
      <c r="M1066" t="str">
        <f t="shared" si="49"/>
        <v>OK</v>
      </c>
      <c r="N1066" t="str">
        <f t="shared" si="50"/>
        <v>ERRO</v>
      </c>
    </row>
    <row r="1067" spans="1:14" ht="43.2" x14ac:dyDescent="0.3">
      <c r="A1067">
        <v>64</v>
      </c>
      <c r="B1067">
        <v>2024</v>
      </c>
      <c r="C1067" s="2">
        <v>45513</v>
      </c>
      <c r="D1067" s="7" t="s">
        <v>38</v>
      </c>
      <c r="E1067" s="8" t="s">
        <v>63</v>
      </c>
      <c r="F1067" s="8" t="s">
        <v>40</v>
      </c>
      <c r="G1067" s="10">
        <v>60</v>
      </c>
      <c r="H1067" s="10">
        <v>60</v>
      </c>
      <c r="I1067" s="10">
        <v>80</v>
      </c>
      <c r="J1067" s="10">
        <v>66</v>
      </c>
      <c r="K1067" s="10">
        <v>60</v>
      </c>
      <c r="L1067" t="str">
        <f t="shared" si="48"/>
        <v>OK</v>
      </c>
      <c r="M1067" t="str">
        <f t="shared" si="49"/>
        <v>OK</v>
      </c>
      <c r="N1067" t="str">
        <f t="shared" si="50"/>
        <v>OK</v>
      </c>
    </row>
    <row r="1068" spans="1:14" ht="43.2" x14ac:dyDescent="0.3">
      <c r="A1068">
        <v>64</v>
      </c>
      <c r="B1068">
        <v>2024</v>
      </c>
      <c r="C1068" s="2">
        <v>45513</v>
      </c>
      <c r="D1068" s="3" t="s">
        <v>38</v>
      </c>
      <c r="E1068" s="4" t="s">
        <v>64</v>
      </c>
      <c r="F1068" s="4" t="s">
        <v>40</v>
      </c>
      <c r="G1068" s="5"/>
      <c r="H1068" s="6">
        <v>150</v>
      </c>
      <c r="I1068" s="6">
        <v>160</v>
      </c>
      <c r="J1068" s="6">
        <v>155</v>
      </c>
      <c r="K1068" s="6">
        <v>155</v>
      </c>
      <c r="L1068" t="str">
        <f t="shared" si="48"/>
        <v>OK</v>
      </c>
      <c r="M1068" t="str">
        <f t="shared" si="49"/>
        <v>OK</v>
      </c>
      <c r="N1068" t="str">
        <f t="shared" si="50"/>
        <v>OK</v>
      </c>
    </row>
    <row r="1069" spans="1:14" x14ac:dyDescent="0.3">
      <c r="A1069">
        <v>64</v>
      </c>
      <c r="B1069">
        <v>2024</v>
      </c>
      <c r="C1069" s="2">
        <v>45513</v>
      </c>
      <c r="D1069" s="7" t="s">
        <v>65</v>
      </c>
      <c r="E1069" s="8" t="s">
        <v>66</v>
      </c>
      <c r="F1069" s="8" t="s">
        <v>45</v>
      </c>
      <c r="G1069" s="9"/>
      <c r="H1069" s="9"/>
      <c r="I1069" s="9"/>
      <c r="J1069" s="9"/>
      <c r="K1069" s="9"/>
      <c r="L1069" t="str">
        <f t="shared" si="48"/>
        <v>OK</v>
      </c>
      <c r="M1069" t="str">
        <f t="shared" si="49"/>
        <v>OK</v>
      </c>
      <c r="N1069" t="str">
        <f t="shared" si="50"/>
        <v>OK</v>
      </c>
    </row>
    <row r="1070" spans="1:14" x14ac:dyDescent="0.3">
      <c r="A1070">
        <v>64</v>
      </c>
      <c r="B1070">
        <v>2024</v>
      </c>
      <c r="C1070" s="2">
        <v>45513</v>
      </c>
      <c r="D1070" s="3" t="s">
        <v>65</v>
      </c>
      <c r="E1070" s="4" t="s">
        <v>67</v>
      </c>
      <c r="F1070" s="4" t="s">
        <v>45</v>
      </c>
      <c r="G1070" s="5"/>
      <c r="H1070" s="5"/>
      <c r="I1070" s="5"/>
      <c r="J1070" s="5"/>
      <c r="K1070" s="5"/>
      <c r="L1070" t="str">
        <f t="shared" si="48"/>
        <v>OK</v>
      </c>
      <c r="M1070" t="str">
        <f t="shared" si="49"/>
        <v>OK</v>
      </c>
      <c r="N1070" t="str">
        <f t="shared" si="50"/>
        <v>OK</v>
      </c>
    </row>
    <row r="1071" spans="1:14" x14ac:dyDescent="0.3">
      <c r="A1071">
        <v>64</v>
      </c>
      <c r="B1071">
        <v>2024</v>
      </c>
      <c r="C1071" s="2">
        <v>45513</v>
      </c>
      <c r="D1071" s="7" t="s">
        <v>65</v>
      </c>
      <c r="E1071" s="8" t="s">
        <v>68</v>
      </c>
      <c r="F1071" s="8" t="s">
        <v>45</v>
      </c>
      <c r="G1071" s="9"/>
      <c r="H1071" s="9"/>
      <c r="I1071" s="9"/>
      <c r="J1071" s="9"/>
      <c r="K1071" s="9"/>
      <c r="L1071" t="str">
        <f t="shared" si="48"/>
        <v>OK</v>
      </c>
      <c r="M1071" t="str">
        <f t="shared" si="49"/>
        <v>OK</v>
      </c>
      <c r="N1071" t="str">
        <f t="shared" si="50"/>
        <v>OK</v>
      </c>
    </row>
    <row r="1072" spans="1:14" x14ac:dyDescent="0.3">
      <c r="A1072">
        <v>64</v>
      </c>
      <c r="B1072">
        <v>2024</v>
      </c>
      <c r="C1072" s="2">
        <v>45513</v>
      </c>
      <c r="D1072" s="3" t="s">
        <v>65</v>
      </c>
      <c r="E1072" s="4" t="s">
        <v>69</v>
      </c>
      <c r="F1072" s="4" t="s">
        <v>45</v>
      </c>
      <c r="G1072" s="5"/>
      <c r="H1072" s="6">
        <v>60</v>
      </c>
      <c r="I1072" s="6">
        <v>60</v>
      </c>
      <c r="J1072" s="6">
        <v>60</v>
      </c>
      <c r="K1072" s="6">
        <v>60</v>
      </c>
      <c r="L1072" t="str">
        <f t="shared" si="48"/>
        <v>OK</v>
      </c>
      <c r="M1072" t="str">
        <f t="shared" si="49"/>
        <v>OK</v>
      </c>
      <c r="N1072" t="str">
        <f t="shared" si="50"/>
        <v>OK</v>
      </c>
    </row>
    <row r="1073" spans="1:14" x14ac:dyDescent="0.3">
      <c r="A1073">
        <v>64</v>
      </c>
      <c r="B1073">
        <v>2024</v>
      </c>
      <c r="C1073" s="2">
        <v>45513</v>
      </c>
      <c r="D1073" s="7" t="s">
        <v>65</v>
      </c>
      <c r="E1073" s="8" t="s">
        <v>70</v>
      </c>
      <c r="F1073" s="8" t="s">
        <v>71</v>
      </c>
      <c r="G1073" s="9"/>
      <c r="H1073" s="9"/>
      <c r="I1073" s="9"/>
      <c r="J1073" s="9"/>
      <c r="K1073" s="9"/>
      <c r="L1073" t="str">
        <f t="shared" si="48"/>
        <v>OK</v>
      </c>
      <c r="M1073" t="str">
        <f t="shared" si="49"/>
        <v>OK</v>
      </c>
      <c r="N1073" t="str">
        <f t="shared" si="50"/>
        <v>OK</v>
      </c>
    </row>
    <row r="1074" spans="1:14" ht="28.8" x14ac:dyDescent="0.3">
      <c r="A1074">
        <v>65</v>
      </c>
      <c r="B1074">
        <v>2024</v>
      </c>
      <c r="C1074" s="2">
        <v>45520</v>
      </c>
      <c r="D1074" s="3" t="s">
        <v>11</v>
      </c>
      <c r="E1074" s="4" t="s">
        <v>12</v>
      </c>
      <c r="F1074" s="4" t="s">
        <v>13</v>
      </c>
      <c r="G1074" s="6">
        <v>48</v>
      </c>
      <c r="H1074" s="6">
        <v>48</v>
      </c>
      <c r="I1074" s="6">
        <v>80</v>
      </c>
      <c r="J1074" s="6">
        <v>56</v>
      </c>
      <c r="K1074" s="6">
        <v>48</v>
      </c>
      <c r="L1074" t="str">
        <f t="shared" si="48"/>
        <v>OK</v>
      </c>
      <c r="M1074" t="str">
        <f t="shared" si="49"/>
        <v>OK</v>
      </c>
      <c r="N1074" t="str">
        <f t="shared" si="50"/>
        <v>OK</v>
      </c>
    </row>
    <row r="1075" spans="1:14" ht="28.8" x14ac:dyDescent="0.3">
      <c r="A1075">
        <v>65</v>
      </c>
      <c r="B1075">
        <v>2024</v>
      </c>
      <c r="C1075" s="2">
        <v>45520</v>
      </c>
      <c r="D1075" s="7" t="s">
        <v>11</v>
      </c>
      <c r="E1075" s="8" t="s">
        <v>14</v>
      </c>
      <c r="F1075" s="8" t="s">
        <v>13</v>
      </c>
      <c r="G1075" s="10">
        <v>72</v>
      </c>
      <c r="H1075" s="10">
        <v>72</v>
      </c>
      <c r="I1075" s="10">
        <v>84</v>
      </c>
      <c r="J1075" s="10">
        <v>77</v>
      </c>
      <c r="K1075" s="10">
        <v>76</v>
      </c>
      <c r="L1075" t="str">
        <f t="shared" si="48"/>
        <v>OK</v>
      </c>
      <c r="M1075" t="str">
        <f t="shared" si="49"/>
        <v>OK</v>
      </c>
      <c r="N1075" t="str">
        <f t="shared" si="50"/>
        <v>OK</v>
      </c>
    </row>
    <row r="1076" spans="1:14" ht="28.8" x14ac:dyDescent="0.3">
      <c r="A1076">
        <v>65</v>
      </c>
      <c r="B1076">
        <v>2024</v>
      </c>
      <c r="C1076" s="2">
        <v>45520</v>
      </c>
      <c r="D1076" s="3" t="s">
        <v>11</v>
      </c>
      <c r="E1076" s="4" t="s">
        <v>15</v>
      </c>
      <c r="F1076" s="4" t="s">
        <v>13</v>
      </c>
      <c r="G1076" s="6">
        <v>36</v>
      </c>
      <c r="H1076" s="6">
        <v>30</v>
      </c>
      <c r="I1076" s="6">
        <v>142</v>
      </c>
      <c r="J1076" s="6" t="s">
        <v>297</v>
      </c>
      <c r="K1076" s="6">
        <v>36</v>
      </c>
      <c r="L1076" t="str">
        <f t="shared" si="48"/>
        <v>OK</v>
      </c>
      <c r="M1076" t="str">
        <f t="shared" si="49"/>
        <v>OK</v>
      </c>
      <c r="N1076" t="str">
        <f t="shared" si="50"/>
        <v>ERRO</v>
      </c>
    </row>
    <row r="1077" spans="1:14" ht="28.8" x14ac:dyDescent="0.3">
      <c r="A1077">
        <v>65</v>
      </c>
      <c r="B1077">
        <v>2024</v>
      </c>
      <c r="C1077" s="2">
        <v>45520</v>
      </c>
      <c r="D1077" s="7" t="s">
        <v>11</v>
      </c>
      <c r="E1077" s="8" t="s">
        <v>16</v>
      </c>
      <c r="F1077" s="8" t="s">
        <v>13</v>
      </c>
      <c r="G1077" s="10">
        <v>24</v>
      </c>
      <c r="H1077" s="10">
        <v>18</v>
      </c>
      <c r="I1077" s="10">
        <v>36</v>
      </c>
      <c r="J1077" s="10" t="s">
        <v>282</v>
      </c>
      <c r="K1077" s="10">
        <v>24</v>
      </c>
      <c r="L1077" t="str">
        <f t="shared" si="48"/>
        <v>OK</v>
      </c>
      <c r="M1077" t="str">
        <f t="shared" si="49"/>
        <v>OK</v>
      </c>
      <c r="N1077" t="str">
        <f t="shared" si="50"/>
        <v>ERRO</v>
      </c>
    </row>
    <row r="1078" spans="1:14" ht="28.8" x14ac:dyDescent="0.3">
      <c r="A1078">
        <v>65</v>
      </c>
      <c r="B1078">
        <v>2024</v>
      </c>
      <c r="C1078" s="2">
        <v>45520</v>
      </c>
      <c r="D1078" s="3" t="s">
        <v>11</v>
      </c>
      <c r="E1078" s="4" t="s">
        <v>17</v>
      </c>
      <c r="F1078" s="4" t="s">
        <v>13</v>
      </c>
      <c r="G1078" s="6">
        <v>24</v>
      </c>
      <c r="H1078" s="6">
        <v>18</v>
      </c>
      <c r="I1078" s="6">
        <v>24</v>
      </c>
      <c r="J1078" s="6" t="s">
        <v>281</v>
      </c>
      <c r="K1078" s="6">
        <v>24</v>
      </c>
      <c r="L1078" t="str">
        <f t="shared" si="48"/>
        <v>OK</v>
      </c>
      <c r="M1078" t="str">
        <f t="shared" si="49"/>
        <v>OK</v>
      </c>
      <c r="N1078" t="str">
        <f t="shared" si="50"/>
        <v>ERRO</v>
      </c>
    </row>
    <row r="1079" spans="1:14" ht="28.8" x14ac:dyDescent="0.3">
      <c r="A1079">
        <v>65</v>
      </c>
      <c r="B1079">
        <v>2024</v>
      </c>
      <c r="C1079" s="2">
        <v>45520</v>
      </c>
      <c r="D1079" s="7" t="s">
        <v>11</v>
      </c>
      <c r="E1079" s="8" t="s">
        <v>18</v>
      </c>
      <c r="F1079" s="8" t="s">
        <v>13</v>
      </c>
      <c r="G1079" s="10">
        <v>60</v>
      </c>
      <c r="H1079" s="10">
        <v>60</v>
      </c>
      <c r="I1079" s="10">
        <v>60</v>
      </c>
      <c r="J1079" s="10">
        <v>60</v>
      </c>
      <c r="K1079" s="10">
        <v>60</v>
      </c>
      <c r="L1079" t="str">
        <f t="shared" si="48"/>
        <v>OK</v>
      </c>
      <c r="M1079" t="str">
        <f t="shared" si="49"/>
        <v>OK</v>
      </c>
      <c r="N1079" t="str">
        <f t="shared" si="50"/>
        <v>OK</v>
      </c>
    </row>
    <row r="1080" spans="1:14" ht="28.8" x14ac:dyDescent="0.3">
      <c r="A1080">
        <v>65</v>
      </c>
      <c r="B1080">
        <v>2024</v>
      </c>
      <c r="C1080" s="2">
        <v>45520</v>
      </c>
      <c r="D1080" s="3" t="s">
        <v>11</v>
      </c>
      <c r="E1080" s="4" t="s">
        <v>19</v>
      </c>
      <c r="F1080" s="4" t="s">
        <v>13</v>
      </c>
      <c r="G1080" s="6">
        <v>72</v>
      </c>
      <c r="H1080" s="6">
        <v>60</v>
      </c>
      <c r="I1080" s="6">
        <v>84</v>
      </c>
      <c r="J1080" s="6">
        <v>72</v>
      </c>
      <c r="K1080" s="6">
        <v>72</v>
      </c>
      <c r="L1080" t="str">
        <f t="shared" si="48"/>
        <v>OK</v>
      </c>
      <c r="M1080" t="str">
        <f t="shared" si="49"/>
        <v>OK</v>
      </c>
      <c r="N1080" t="str">
        <f t="shared" si="50"/>
        <v>OK</v>
      </c>
    </row>
    <row r="1081" spans="1:14" ht="28.8" x14ac:dyDescent="0.3">
      <c r="A1081">
        <v>65</v>
      </c>
      <c r="B1081">
        <v>2024</v>
      </c>
      <c r="C1081" s="2">
        <v>45520</v>
      </c>
      <c r="D1081" s="7" t="s">
        <v>11</v>
      </c>
      <c r="E1081" s="8" t="s">
        <v>20</v>
      </c>
      <c r="F1081" s="8" t="s">
        <v>13</v>
      </c>
      <c r="G1081" s="10">
        <v>84</v>
      </c>
      <c r="H1081" s="10">
        <v>60</v>
      </c>
      <c r="I1081" s="10">
        <v>84</v>
      </c>
      <c r="J1081" s="10" t="s">
        <v>280</v>
      </c>
      <c r="K1081" s="10">
        <v>72</v>
      </c>
      <c r="L1081" t="str">
        <f t="shared" si="48"/>
        <v>OK</v>
      </c>
      <c r="M1081" t="str">
        <f t="shared" si="49"/>
        <v>OK</v>
      </c>
      <c r="N1081" t="str">
        <f t="shared" si="50"/>
        <v>ERRO</v>
      </c>
    </row>
    <row r="1082" spans="1:14" ht="28.8" x14ac:dyDescent="0.3">
      <c r="A1082">
        <v>65</v>
      </c>
      <c r="B1082">
        <v>2024</v>
      </c>
      <c r="C1082" s="2">
        <v>45520</v>
      </c>
      <c r="D1082" s="3" t="s">
        <v>11</v>
      </c>
      <c r="E1082" s="4" t="s">
        <v>21</v>
      </c>
      <c r="F1082" s="4" t="s">
        <v>13</v>
      </c>
      <c r="G1082" s="6">
        <v>24</v>
      </c>
      <c r="H1082" s="6">
        <v>18</v>
      </c>
      <c r="I1082" s="6">
        <v>25</v>
      </c>
      <c r="J1082" s="6" t="s">
        <v>288</v>
      </c>
      <c r="K1082" s="6">
        <v>24</v>
      </c>
      <c r="L1082" t="str">
        <f t="shared" si="48"/>
        <v>OK</v>
      </c>
      <c r="M1082" t="str">
        <f t="shared" si="49"/>
        <v>OK</v>
      </c>
      <c r="N1082" t="str">
        <f t="shared" si="50"/>
        <v>ERRO</v>
      </c>
    </row>
    <row r="1083" spans="1:14" ht="28.8" x14ac:dyDescent="0.3">
      <c r="A1083">
        <v>65</v>
      </c>
      <c r="B1083">
        <v>2024</v>
      </c>
      <c r="C1083" s="2">
        <v>45520</v>
      </c>
      <c r="D1083" s="7" t="s">
        <v>11</v>
      </c>
      <c r="E1083" s="8" t="s">
        <v>73</v>
      </c>
      <c r="F1083" s="8" t="s">
        <v>13</v>
      </c>
      <c r="G1083" s="10">
        <v>72</v>
      </c>
      <c r="H1083" s="10">
        <v>72</v>
      </c>
      <c r="I1083" s="10">
        <v>84</v>
      </c>
      <c r="J1083" s="10">
        <v>75</v>
      </c>
      <c r="K1083" s="10">
        <v>72</v>
      </c>
      <c r="L1083" t="str">
        <f t="shared" si="48"/>
        <v>OK</v>
      </c>
      <c r="M1083" t="str">
        <f t="shared" si="49"/>
        <v>OK</v>
      </c>
      <c r="N1083" t="str">
        <f t="shared" si="50"/>
        <v>OK</v>
      </c>
    </row>
    <row r="1084" spans="1:14" ht="28.8" x14ac:dyDescent="0.3">
      <c r="A1084">
        <v>65</v>
      </c>
      <c r="B1084">
        <v>2024</v>
      </c>
      <c r="C1084" s="2">
        <v>45520</v>
      </c>
      <c r="D1084" s="3" t="s">
        <v>11</v>
      </c>
      <c r="E1084" s="4" t="s">
        <v>23</v>
      </c>
      <c r="F1084" s="4" t="s">
        <v>13</v>
      </c>
      <c r="G1084" s="6">
        <v>24</v>
      </c>
      <c r="H1084" s="6">
        <v>18</v>
      </c>
      <c r="I1084" s="6">
        <v>24</v>
      </c>
      <c r="J1084" s="6" t="s">
        <v>281</v>
      </c>
      <c r="K1084" s="6">
        <v>24</v>
      </c>
      <c r="L1084" t="str">
        <f t="shared" si="48"/>
        <v>OK</v>
      </c>
      <c r="M1084" t="str">
        <f t="shared" si="49"/>
        <v>OK</v>
      </c>
      <c r="N1084" t="str">
        <f t="shared" si="50"/>
        <v>ERRO</v>
      </c>
    </row>
    <row r="1085" spans="1:14" ht="28.8" x14ac:dyDescent="0.3">
      <c r="A1085">
        <v>65</v>
      </c>
      <c r="B1085">
        <v>2024</v>
      </c>
      <c r="C1085" s="2">
        <v>45520</v>
      </c>
      <c r="D1085" s="7" t="s">
        <v>11</v>
      </c>
      <c r="E1085" s="8" t="s">
        <v>24</v>
      </c>
      <c r="F1085" s="8" t="s">
        <v>13</v>
      </c>
      <c r="G1085" s="10">
        <v>60</v>
      </c>
      <c r="H1085" s="10">
        <v>60</v>
      </c>
      <c r="I1085" s="10">
        <v>72</v>
      </c>
      <c r="J1085" s="10">
        <v>63</v>
      </c>
      <c r="K1085" s="10">
        <v>60</v>
      </c>
      <c r="L1085" t="str">
        <f t="shared" si="48"/>
        <v>OK</v>
      </c>
      <c r="M1085" t="str">
        <f t="shared" si="49"/>
        <v>OK</v>
      </c>
      <c r="N1085" t="str">
        <f t="shared" si="50"/>
        <v>OK</v>
      </c>
    </row>
    <row r="1086" spans="1:14" ht="28.8" x14ac:dyDescent="0.3">
      <c r="A1086">
        <v>65</v>
      </c>
      <c r="B1086">
        <v>2024</v>
      </c>
      <c r="C1086" s="2">
        <v>45520</v>
      </c>
      <c r="D1086" s="3" t="s">
        <v>11</v>
      </c>
      <c r="E1086" s="4" t="s">
        <v>25</v>
      </c>
      <c r="F1086" s="4" t="s">
        <v>26</v>
      </c>
      <c r="G1086" s="6">
        <v>60</v>
      </c>
      <c r="H1086" s="6">
        <v>48</v>
      </c>
      <c r="I1086" s="6">
        <v>60</v>
      </c>
      <c r="J1086" s="6" t="s">
        <v>289</v>
      </c>
      <c r="K1086" s="6">
        <v>60</v>
      </c>
      <c r="L1086" t="str">
        <f t="shared" si="48"/>
        <v>OK</v>
      </c>
      <c r="M1086" t="str">
        <f t="shared" si="49"/>
        <v>OK</v>
      </c>
      <c r="N1086" t="str">
        <f t="shared" si="50"/>
        <v>ERRO</v>
      </c>
    </row>
    <row r="1087" spans="1:14" ht="28.8" x14ac:dyDescent="0.3">
      <c r="A1087">
        <v>65</v>
      </c>
      <c r="B1087">
        <v>2024</v>
      </c>
      <c r="C1087" s="2">
        <v>45520</v>
      </c>
      <c r="D1087" s="7" t="s">
        <v>11</v>
      </c>
      <c r="E1087" s="8" t="s">
        <v>27</v>
      </c>
      <c r="F1087" s="8" t="s">
        <v>13</v>
      </c>
      <c r="G1087" s="10">
        <v>48</v>
      </c>
      <c r="H1087" s="10">
        <v>45</v>
      </c>
      <c r="I1087" s="10">
        <v>72</v>
      </c>
      <c r="J1087" s="10" t="s">
        <v>298</v>
      </c>
      <c r="K1087" s="10">
        <v>48</v>
      </c>
      <c r="L1087" t="str">
        <f t="shared" si="48"/>
        <v>OK</v>
      </c>
      <c r="M1087" t="str">
        <f t="shared" si="49"/>
        <v>OK</v>
      </c>
      <c r="N1087" t="str">
        <f t="shared" si="50"/>
        <v>ERRO</v>
      </c>
    </row>
    <row r="1088" spans="1:14" ht="28.8" x14ac:dyDescent="0.3">
      <c r="A1088">
        <v>65</v>
      </c>
      <c r="B1088">
        <v>2024</v>
      </c>
      <c r="C1088" s="2">
        <v>45520</v>
      </c>
      <c r="D1088" s="3" t="s">
        <v>11</v>
      </c>
      <c r="E1088" s="4" t="s">
        <v>28</v>
      </c>
      <c r="F1088" s="4" t="s">
        <v>13</v>
      </c>
      <c r="G1088" s="6">
        <v>40</v>
      </c>
      <c r="H1088" s="6">
        <v>36</v>
      </c>
      <c r="I1088" s="6">
        <v>42</v>
      </c>
      <c r="J1088" s="6" t="s">
        <v>299</v>
      </c>
      <c r="K1088" s="6">
        <v>40</v>
      </c>
      <c r="L1088" t="str">
        <f t="shared" si="48"/>
        <v>OK</v>
      </c>
      <c r="M1088" t="str">
        <f t="shared" si="49"/>
        <v>OK</v>
      </c>
      <c r="N1088" t="str">
        <f t="shared" si="50"/>
        <v>ERRO</v>
      </c>
    </row>
    <row r="1089" spans="1:14" ht="28.8" x14ac:dyDescent="0.3">
      <c r="A1089">
        <v>65</v>
      </c>
      <c r="B1089">
        <v>2024</v>
      </c>
      <c r="C1089" s="2">
        <v>45520</v>
      </c>
      <c r="D1089" s="7" t="s">
        <v>11</v>
      </c>
      <c r="E1089" s="8" t="s">
        <v>29</v>
      </c>
      <c r="F1089" s="8" t="s">
        <v>13</v>
      </c>
      <c r="G1089" s="10">
        <v>48</v>
      </c>
      <c r="H1089" s="10">
        <v>48</v>
      </c>
      <c r="I1089" s="10">
        <v>54</v>
      </c>
      <c r="J1089" s="10" t="s">
        <v>300</v>
      </c>
      <c r="K1089" s="10">
        <v>48</v>
      </c>
      <c r="L1089" t="str">
        <f t="shared" si="48"/>
        <v>OK</v>
      </c>
      <c r="M1089" t="str">
        <f t="shared" si="49"/>
        <v>OK</v>
      </c>
      <c r="N1089" t="str">
        <f t="shared" si="50"/>
        <v>ERRO</v>
      </c>
    </row>
    <row r="1090" spans="1:14" ht="28.8" x14ac:dyDescent="0.3">
      <c r="A1090">
        <v>65</v>
      </c>
      <c r="B1090">
        <v>2024</v>
      </c>
      <c r="C1090" s="2">
        <v>45520</v>
      </c>
      <c r="D1090" s="3" t="s">
        <v>11</v>
      </c>
      <c r="E1090" s="4" t="s">
        <v>31</v>
      </c>
      <c r="F1090" s="4" t="s">
        <v>32</v>
      </c>
      <c r="G1090" s="6">
        <v>48</v>
      </c>
      <c r="H1090" s="6">
        <v>48</v>
      </c>
      <c r="I1090" s="6">
        <v>80</v>
      </c>
      <c r="J1090" s="6">
        <v>56</v>
      </c>
      <c r="K1090" s="6">
        <v>48</v>
      </c>
      <c r="L1090" t="str">
        <f t="shared" si="48"/>
        <v>OK</v>
      </c>
      <c r="M1090" t="str">
        <f t="shared" si="49"/>
        <v>OK</v>
      </c>
      <c r="N1090" t="str">
        <f t="shared" si="50"/>
        <v>OK</v>
      </c>
    </row>
    <row r="1091" spans="1:14" ht="28.8" x14ac:dyDescent="0.3">
      <c r="A1091">
        <v>65</v>
      </c>
      <c r="B1091">
        <v>2024</v>
      </c>
      <c r="C1091" s="2">
        <v>45520</v>
      </c>
      <c r="D1091" s="7" t="s">
        <v>11</v>
      </c>
      <c r="E1091" s="8" t="s">
        <v>34</v>
      </c>
      <c r="F1091" s="8" t="s">
        <v>35</v>
      </c>
      <c r="G1091" s="10">
        <v>72</v>
      </c>
      <c r="H1091" s="10">
        <v>72</v>
      </c>
      <c r="I1091" s="10">
        <v>84</v>
      </c>
      <c r="J1091" s="10">
        <v>77</v>
      </c>
      <c r="K1091" s="10">
        <v>76</v>
      </c>
      <c r="L1091" t="str">
        <f t="shared" ref="L1091:L1154" si="51">IF(H1091&gt;I1091,"ERRO","OK")</f>
        <v>OK</v>
      </c>
      <c r="M1091" t="str">
        <f t="shared" ref="M1091:M1154" si="52">IF(H1091&gt;J1091,"ERRO","OK")</f>
        <v>OK</v>
      </c>
      <c r="N1091" t="str">
        <f t="shared" ref="N1091:N1154" si="53">IF(I1091&lt;J1091,"ERRO","OK")</f>
        <v>OK</v>
      </c>
    </row>
    <row r="1092" spans="1:14" ht="28.8" x14ac:dyDescent="0.3">
      <c r="A1092">
        <v>65</v>
      </c>
      <c r="B1092">
        <v>2024</v>
      </c>
      <c r="C1092" s="2">
        <v>45520</v>
      </c>
      <c r="D1092" s="3" t="s">
        <v>11</v>
      </c>
      <c r="E1092" s="4" t="s">
        <v>36</v>
      </c>
      <c r="F1092" s="4" t="s">
        <v>35</v>
      </c>
      <c r="G1092" s="6">
        <v>36</v>
      </c>
      <c r="H1092" s="6">
        <v>30</v>
      </c>
      <c r="I1092" s="6">
        <v>142</v>
      </c>
      <c r="J1092" s="6" t="s">
        <v>297</v>
      </c>
      <c r="K1092" s="6">
        <v>36</v>
      </c>
      <c r="L1092" t="str">
        <f t="shared" si="51"/>
        <v>OK</v>
      </c>
      <c r="M1092" t="str">
        <f t="shared" si="52"/>
        <v>OK</v>
      </c>
      <c r="N1092" t="str">
        <f t="shared" si="53"/>
        <v>ERRO</v>
      </c>
    </row>
    <row r="1093" spans="1:14" ht="43.2" x14ac:dyDescent="0.3">
      <c r="A1093">
        <v>65</v>
      </c>
      <c r="B1093">
        <v>2024</v>
      </c>
      <c r="C1093" s="2">
        <v>45520</v>
      </c>
      <c r="D1093" s="7" t="s">
        <v>38</v>
      </c>
      <c r="E1093" s="8" t="s">
        <v>153</v>
      </c>
      <c r="F1093" s="8" t="s">
        <v>154</v>
      </c>
      <c r="G1093" s="9"/>
      <c r="H1093" s="10">
        <v>70</v>
      </c>
      <c r="I1093" s="10">
        <v>70</v>
      </c>
      <c r="J1093" s="10">
        <v>70</v>
      </c>
      <c r="K1093" s="10">
        <v>70</v>
      </c>
      <c r="L1093" t="str">
        <f t="shared" si="51"/>
        <v>OK</v>
      </c>
      <c r="M1093" t="str">
        <f t="shared" si="52"/>
        <v>OK</v>
      </c>
      <c r="N1093" t="str">
        <f t="shared" si="53"/>
        <v>OK</v>
      </c>
    </row>
    <row r="1094" spans="1:14" ht="43.2" x14ac:dyDescent="0.3">
      <c r="A1094">
        <v>65</v>
      </c>
      <c r="B1094">
        <v>2024</v>
      </c>
      <c r="C1094" s="2">
        <v>45520</v>
      </c>
      <c r="D1094" s="3" t="s">
        <v>38</v>
      </c>
      <c r="E1094" s="4" t="s">
        <v>39</v>
      </c>
      <c r="F1094" s="4" t="s">
        <v>40</v>
      </c>
      <c r="G1094" s="6">
        <v>80</v>
      </c>
      <c r="H1094" s="6">
        <v>70</v>
      </c>
      <c r="I1094" s="6">
        <v>80</v>
      </c>
      <c r="J1094" s="6">
        <v>75</v>
      </c>
      <c r="K1094" s="6">
        <v>75</v>
      </c>
      <c r="L1094" t="str">
        <f t="shared" si="51"/>
        <v>OK</v>
      </c>
      <c r="M1094" t="str">
        <f t="shared" si="52"/>
        <v>OK</v>
      </c>
      <c r="N1094" t="str">
        <f t="shared" si="53"/>
        <v>OK</v>
      </c>
    </row>
    <row r="1095" spans="1:14" ht="43.2" x14ac:dyDescent="0.3">
      <c r="A1095">
        <v>65</v>
      </c>
      <c r="B1095">
        <v>2024</v>
      </c>
      <c r="C1095" s="2">
        <v>45520</v>
      </c>
      <c r="D1095" s="7" t="s">
        <v>38</v>
      </c>
      <c r="E1095" s="8" t="s">
        <v>42</v>
      </c>
      <c r="F1095" s="8" t="s">
        <v>43</v>
      </c>
      <c r="G1095" s="10">
        <v>70</v>
      </c>
      <c r="H1095" s="10">
        <v>30</v>
      </c>
      <c r="I1095" s="10">
        <v>70</v>
      </c>
      <c r="J1095" s="10">
        <v>53</v>
      </c>
      <c r="K1095" s="10">
        <v>50</v>
      </c>
      <c r="L1095" t="str">
        <f t="shared" si="51"/>
        <v>OK</v>
      </c>
      <c r="M1095" t="str">
        <f t="shared" si="52"/>
        <v>OK</v>
      </c>
      <c r="N1095" t="str">
        <f t="shared" si="53"/>
        <v>OK</v>
      </c>
    </row>
    <row r="1096" spans="1:14" ht="43.2" x14ac:dyDescent="0.3">
      <c r="A1096">
        <v>65</v>
      </c>
      <c r="B1096">
        <v>2024</v>
      </c>
      <c r="C1096" s="2">
        <v>45520</v>
      </c>
      <c r="D1096" s="3" t="s">
        <v>38</v>
      </c>
      <c r="E1096" s="4" t="s">
        <v>44</v>
      </c>
      <c r="F1096" s="4" t="s">
        <v>45</v>
      </c>
      <c r="G1096" s="6">
        <v>50</v>
      </c>
      <c r="H1096" s="6">
        <v>45</v>
      </c>
      <c r="I1096" s="6">
        <v>60</v>
      </c>
      <c r="J1096" s="6" t="s">
        <v>254</v>
      </c>
      <c r="K1096" s="6">
        <v>50</v>
      </c>
      <c r="L1096" t="str">
        <f t="shared" si="51"/>
        <v>OK</v>
      </c>
      <c r="M1096" t="str">
        <f t="shared" si="52"/>
        <v>OK</v>
      </c>
      <c r="N1096" t="str">
        <f t="shared" si="53"/>
        <v>ERRO</v>
      </c>
    </row>
    <row r="1097" spans="1:14" ht="43.2" x14ac:dyDescent="0.3">
      <c r="A1097">
        <v>65</v>
      </c>
      <c r="B1097">
        <v>2024</v>
      </c>
      <c r="C1097" s="2">
        <v>45520</v>
      </c>
      <c r="D1097" s="7" t="s">
        <v>38</v>
      </c>
      <c r="E1097" s="8" t="s">
        <v>48</v>
      </c>
      <c r="F1097" s="8" t="s">
        <v>45</v>
      </c>
      <c r="G1097" s="9"/>
      <c r="H1097" s="10">
        <v>90</v>
      </c>
      <c r="I1097" s="10">
        <v>100</v>
      </c>
      <c r="J1097" s="10">
        <v>95</v>
      </c>
      <c r="K1097" s="10">
        <v>95</v>
      </c>
      <c r="L1097" t="str">
        <f t="shared" si="51"/>
        <v>OK</v>
      </c>
      <c r="M1097" t="str">
        <f t="shared" si="52"/>
        <v>OK</v>
      </c>
      <c r="N1097" t="str">
        <f t="shared" si="53"/>
        <v>OK</v>
      </c>
    </row>
    <row r="1098" spans="1:14" ht="43.2" x14ac:dyDescent="0.3">
      <c r="A1098">
        <v>65</v>
      </c>
      <c r="B1098">
        <v>2024</v>
      </c>
      <c r="C1098" s="2">
        <v>45520</v>
      </c>
      <c r="D1098" s="3" t="s">
        <v>38</v>
      </c>
      <c r="E1098" s="4" t="s">
        <v>49</v>
      </c>
      <c r="F1098" s="4" t="s">
        <v>50</v>
      </c>
      <c r="G1098" s="6">
        <v>70</v>
      </c>
      <c r="H1098" s="6">
        <v>60</v>
      </c>
      <c r="I1098" s="6">
        <v>70</v>
      </c>
      <c r="J1098" s="6">
        <v>65</v>
      </c>
      <c r="K1098" s="6">
        <v>65</v>
      </c>
      <c r="L1098" t="str">
        <f t="shared" si="51"/>
        <v>OK</v>
      </c>
      <c r="M1098" t="str">
        <f t="shared" si="52"/>
        <v>OK</v>
      </c>
      <c r="N1098" t="str">
        <f t="shared" si="53"/>
        <v>OK</v>
      </c>
    </row>
    <row r="1099" spans="1:14" ht="43.2" x14ac:dyDescent="0.3">
      <c r="A1099">
        <v>65</v>
      </c>
      <c r="B1099">
        <v>2024</v>
      </c>
      <c r="C1099" s="2">
        <v>45520</v>
      </c>
      <c r="D1099" s="7" t="s">
        <v>38</v>
      </c>
      <c r="E1099" s="8" t="s">
        <v>52</v>
      </c>
      <c r="F1099" s="8" t="s">
        <v>43</v>
      </c>
      <c r="G1099" s="10">
        <v>60</v>
      </c>
      <c r="H1099" s="10">
        <v>45</v>
      </c>
      <c r="I1099" s="10">
        <v>60</v>
      </c>
      <c r="J1099" s="10" t="s">
        <v>92</v>
      </c>
      <c r="K1099" s="10">
        <v>55</v>
      </c>
      <c r="L1099" t="str">
        <f t="shared" si="51"/>
        <v>OK</v>
      </c>
      <c r="M1099" t="str">
        <f t="shared" si="52"/>
        <v>OK</v>
      </c>
      <c r="N1099" t="str">
        <f t="shared" si="53"/>
        <v>ERRO</v>
      </c>
    </row>
    <row r="1100" spans="1:14" ht="43.2" x14ac:dyDescent="0.3">
      <c r="A1100">
        <v>65</v>
      </c>
      <c r="B1100">
        <v>2024</v>
      </c>
      <c r="C1100" s="2">
        <v>45520</v>
      </c>
      <c r="D1100" s="3" t="s">
        <v>38</v>
      </c>
      <c r="E1100" s="4" t="s">
        <v>53</v>
      </c>
      <c r="F1100" s="4" t="s">
        <v>43</v>
      </c>
      <c r="G1100" s="5"/>
      <c r="H1100" s="6">
        <v>50</v>
      </c>
      <c r="I1100" s="6">
        <v>70</v>
      </c>
      <c r="J1100" s="6" t="s">
        <v>225</v>
      </c>
      <c r="K1100" s="6" t="s">
        <v>80</v>
      </c>
      <c r="L1100" t="str">
        <f t="shared" si="51"/>
        <v>OK</v>
      </c>
      <c r="M1100" t="str">
        <f t="shared" si="52"/>
        <v>OK</v>
      </c>
      <c r="N1100" t="str">
        <f t="shared" si="53"/>
        <v>ERRO</v>
      </c>
    </row>
    <row r="1101" spans="1:14" ht="43.2" x14ac:dyDescent="0.3">
      <c r="A1101">
        <v>65</v>
      </c>
      <c r="B1101">
        <v>2024</v>
      </c>
      <c r="C1101" s="2">
        <v>45520</v>
      </c>
      <c r="D1101" s="7" t="s">
        <v>38</v>
      </c>
      <c r="E1101" s="8" t="s">
        <v>54</v>
      </c>
      <c r="F1101" s="8" t="s">
        <v>40</v>
      </c>
      <c r="G1101" s="9"/>
      <c r="H1101" s="10">
        <v>70</v>
      </c>
      <c r="I1101" s="10">
        <v>100</v>
      </c>
      <c r="J1101" s="10" t="s">
        <v>244</v>
      </c>
      <c r="K1101" s="10">
        <v>90</v>
      </c>
      <c r="L1101" t="str">
        <f t="shared" si="51"/>
        <v>OK</v>
      </c>
      <c r="M1101" t="str">
        <f t="shared" si="52"/>
        <v>OK</v>
      </c>
      <c r="N1101" t="str">
        <f t="shared" si="53"/>
        <v>ERRO</v>
      </c>
    </row>
    <row r="1102" spans="1:14" ht="43.2" x14ac:dyDescent="0.3">
      <c r="A1102">
        <v>65</v>
      </c>
      <c r="B1102">
        <v>2024</v>
      </c>
      <c r="C1102" s="2">
        <v>45520</v>
      </c>
      <c r="D1102" s="3" t="s">
        <v>38</v>
      </c>
      <c r="E1102" s="4" t="s">
        <v>56</v>
      </c>
      <c r="F1102" s="4" t="s">
        <v>43</v>
      </c>
      <c r="G1102" s="5"/>
      <c r="H1102" s="6">
        <v>60</v>
      </c>
      <c r="I1102" s="6">
        <v>65</v>
      </c>
      <c r="J1102" s="6" t="s">
        <v>80</v>
      </c>
      <c r="K1102" s="6" t="s">
        <v>80</v>
      </c>
      <c r="L1102" t="str">
        <f t="shared" si="51"/>
        <v>OK</v>
      </c>
      <c r="M1102" t="str">
        <f t="shared" si="52"/>
        <v>OK</v>
      </c>
      <c r="N1102" t="str">
        <f t="shared" si="53"/>
        <v>ERRO</v>
      </c>
    </row>
    <row r="1103" spans="1:14" ht="43.2" x14ac:dyDescent="0.3">
      <c r="A1103">
        <v>65</v>
      </c>
      <c r="B1103">
        <v>2024</v>
      </c>
      <c r="C1103" s="2">
        <v>45520</v>
      </c>
      <c r="D1103" s="7" t="s">
        <v>38</v>
      </c>
      <c r="E1103" s="8" t="s">
        <v>57</v>
      </c>
      <c r="F1103" s="8" t="s">
        <v>40</v>
      </c>
      <c r="G1103" s="9"/>
      <c r="H1103" s="10">
        <v>55</v>
      </c>
      <c r="I1103" s="10">
        <v>80</v>
      </c>
      <c r="J1103" s="10" t="s">
        <v>265</v>
      </c>
      <c r="K1103" s="10">
        <v>65</v>
      </c>
      <c r="L1103" t="str">
        <f t="shared" si="51"/>
        <v>OK</v>
      </c>
      <c r="M1103" t="str">
        <f t="shared" si="52"/>
        <v>OK</v>
      </c>
      <c r="N1103" t="str">
        <f t="shared" si="53"/>
        <v>ERRO</v>
      </c>
    </row>
    <row r="1104" spans="1:14" ht="43.2" x14ac:dyDescent="0.3">
      <c r="A1104">
        <v>65</v>
      </c>
      <c r="B1104">
        <v>2024</v>
      </c>
      <c r="C1104" s="2">
        <v>45520</v>
      </c>
      <c r="D1104" s="3" t="s">
        <v>38</v>
      </c>
      <c r="E1104" s="4" t="s">
        <v>58</v>
      </c>
      <c r="F1104" s="4" t="s">
        <v>40</v>
      </c>
      <c r="G1104" s="6">
        <v>90</v>
      </c>
      <c r="H1104" s="6">
        <v>70</v>
      </c>
      <c r="I1104" s="6">
        <v>100</v>
      </c>
      <c r="J1104" s="6">
        <v>86</v>
      </c>
      <c r="K1104" s="6">
        <v>90</v>
      </c>
      <c r="L1104" t="str">
        <f t="shared" si="51"/>
        <v>OK</v>
      </c>
      <c r="M1104" t="str">
        <f t="shared" si="52"/>
        <v>OK</v>
      </c>
      <c r="N1104" t="str">
        <f t="shared" si="53"/>
        <v>OK</v>
      </c>
    </row>
    <row r="1105" spans="1:14" ht="43.2" x14ac:dyDescent="0.3">
      <c r="A1105">
        <v>65</v>
      </c>
      <c r="B1105">
        <v>2024</v>
      </c>
      <c r="C1105" s="2">
        <v>45520</v>
      </c>
      <c r="D1105" s="7" t="s">
        <v>38</v>
      </c>
      <c r="E1105" s="8" t="s">
        <v>59</v>
      </c>
      <c r="F1105" s="8" t="s">
        <v>45</v>
      </c>
      <c r="G1105" s="10">
        <v>50</v>
      </c>
      <c r="H1105" s="10">
        <v>30</v>
      </c>
      <c r="I1105" s="10">
        <v>50</v>
      </c>
      <c r="J1105" s="10">
        <v>45</v>
      </c>
      <c r="K1105" s="10">
        <v>50</v>
      </c>
      <c r="L1105" t="str">
        <f t="shared" si="51"/>
        <v>OK</v>
      </c>
      <c r="M1105" t="str">
        <f t="shared" si="52"/>
        <v>OK</v>
      </c>
      <c r="N1105" t="str">
        <f t="shared" si="53"/>
        <v>OK</v>
      </c>
    </row>
    <row r="1106" spans="1:14" ht="43.2" x14ac:dyDescent="0.3">
      <c r="A1106">
        <v>65</v>
      </c>
      <c r="B1106">
        <v>2024</v>
      </c>
      <c r="C1106" s="2">
        <v>45520</v>
      </c>
      <c r="D1106" s="3" t="s">
        <v>38</v>
      </c>
      <c r="E1106" s="4" t="s">
        <v>60</v>
      </c>
      <c r="F1106" s="4" t="s">
        <v>61</v>
      </c>
      <c r="G1106" s="5"/>
      <c r="H1106" s="6">
        <v>100</v>
      </c>
      <c r="I1106" s="6">
        <v>200</v>
      </c>
      <c r="J1106" s="6" t="s">
        <v>301</v>
      </c>
      <c r="K1106" s="6">
        <v>165</v>
      </c>
      <c r="L1106" t="str">
        <f t="shared" si="51"/>
        <v>OK</v>
      </c>
      <c r="M1106" t="str">
        <f t="shared" si="52"/>
        <v>OK</v>
      </c>
      <c r="N1106" t="str">
        <f t="shared" si="53"/>
        <v>ERRO</v>
      </c>
    </row>
    <row r="1107" spans="1:14" ht="43.2" x14ac:dyDescent="0.3">
      <c r="A1107">
        <v>65</v>
      </c>
      <c r="B1107">
        <v>2024</v>
      </c>
      <c r="C1107" s="2">
        <v>45520</v>
      </c>
      <c r="D1107" s="7" t="s">
        <v>38</v>
      </c>
      <c r="E1107" s="8" t="s">
        <v>63</v>
      </c>
      <c r="F1107" s="8" t="s">
        <v>40</v>
      </c>
      <c r="G1107" s="10">
        <v>90</v>
      </c>
      <c r="H1107" s="10">
        <v>50</v>
      </c>
      <c r="I1107" s="10">
        <v>90</v>
      </c>
      <c r="J1107" s="10">
        <v>70</v>
      </c>
      <c r="K1107" s="10">
        <v>60</v>
      </c>
      <c r="L1107" t="str">
        <f t="shared" si="51"/>
        <v>OK</v>
      </c>
      <c r="M1107" t="str">
        <f t="shared" si="52"/>
        <v>OK</v>
      </c>
      <c r="N1107" t="str">
        <f t="shared" si="53"/>
        <v>OK</v>
      </c>
    </row>
    <row r="1108" spans="1:14" ht="43.2" x14ac:dyDescent="0.3">
      <c r="A1108">
        <v>65</v>
      </c>
      <c r="B1108">
        <v>2024</v>
      </c>
      <c r="C1108" s="2">
        <v>45520</v>
      </c>
      <c r="D1108" s="3" t="s">
        <v>38</v>
      </c>
      <c r="E1108" s="4" t="s">
        <v>64</v>
      </c>
      <c r="F1108" s="4" t="s">
        <v>40</v>
      </c>
      <c r="G1108" s="6">
        <v>150</v>
      </c>
      <c r="H1108" s="6">
        <v>100</v>
      </c>
      <c r="I1108" s="6">
        <v>200</v>
      </c>
      <c r="J1108" s="6">
        <v>150</v>
      </c>
      <c r="K1108" s="6">
        <v>150</v>
      </c>
      <c r="L1108" t="str">
        <f t="shared" si="51"/>
        <v>OK</v>
      </c>
      <c r="M1108" t="str">
        <f t="shared" si="52"/>
        <v>OK</v>
      </c>
      <c r="N1108" t="str">
        <f t="shared" si="53"/>
        <v>OK</v>
      </c>
    </row>
    <row r="1109" spans="1:14" x14ac:dyDescent="0.3">
      <c r="A1109">
        <v>65</v>
      </c>
      <c r="B1109">
        <v>2024</v>
      </c>
      <c r="C1109" s="2">
        <v>45520</v>
      </c>
      <c r="D1109" s="7" t="s">
        <v>65</v>
      </c>
      <c r="E1109" s="8" t="s">
        <v>66</v>
      </c>
      <c r="F1109" s="8" t="s">
        <v>45</v>
      </c>
      <c r="G1109" s="9"/>
      <c r="H1109" s="9"/>
      <c r="I1109" s="9"/>
      <c r="J1109" s="9"/>
      <c r="K1109" s="9"/>
      <c r="L1109" t="str">
        <f t="shared" si="51"/>
        <v>OK</v>
      </c>
      <c r="M1109" t="str">
        <f t="shared" si="52"/>
        <v>OK</v>
      </c>
      <c r="N1109" t="str">
        <f t="shared" si="53"/>
        <v>OK</v>
      </c>
    </row>
    <row r="1110" spans="1:14" x14ac:dyDescent="0.3">
      <c r="A1110">
        <v>65</v>
      </c>
      <c r="B1110">
        <v>2024</v>
      </c>
      <c r="C1110" s="2">
        <v>45520</v>
      </c>
      <c r="D1110" s="3" t="s">
        <v>65</v>
      </c>
      <c r="E1110" s="4" t="s">
        <v>67</v>
      </c>
      <c r="F1110" s="4" t="s">
        <v>45</v>
      </c>
      <c r="G1110" s="5"/>
      <c r="H1110" s="5"/>
      <c r="I1110" s="5"/>
      <c r="J1110" s="5"/>
      <c r="K1110" s="5"/>
      <c r="L1110" t="str">
        <f t="shared" si="51"/>
        <v>OK</v>
      </c>
      <c r="M1110" t="str">
        <f t="shared" si="52"/>
        <v>OK</v>
      </c>
      <c r="N1110" t="str">
        <f t="shared" si="53"/>
        <v>OK</v>
      </c>
    </row>
    <row r="1111" spans="1:14" x14ac:dyDescent="0.3">
      <c r="A1111">
        <v>65</v>
      </c>
      <c r="B1111">
        <v>2024</v>
      </c>
      <c r="C1111" s="2">
        <v>45520</v>
      </c>
      <c r="D1111" s="7" t="s">
        <v>65</v>
      </c>
      <c r="E1111" s="8" t="s">
        <v>68</v>
      </c>
      <c r="F1111" s="8" t="s">
        <v>45</v>
      </c>
      <c r="G1111" s="9"/>
      <c r="H1111" s="9"/>
      <c r="I1111" s="9"/>
      <c r="J1111" s="9"/>
      <c r="K1111" s="9"/>
      <c r="L1111" t="str">
        <f t="shared" si="51"/>
        <v>OK</v>
      </c>
      <c r="M1111" t="str">
        <f t="shared" si="52"/>
        <v>OK</v>
      </c>
      <c r="N1111" t="str">
        <f t="shared" si="53"/>
        <v>OK</v>
      </c>
    </row>
    <row r="1112" spans="1:14" x14ac:dyDescent="0.3">
      <c r="A1112">
        <v>65</v>
      </c>
      <c r="B1112">
        <v>2024</v>
      </c>
      <c r="C1112" s="2">
        <v>45520</v>
      </c>
      <c r="D1112" s="3" t="s">
        <v>65</v>
      </c>
      <c r="E1112" s="4" t="s">
        <v>69</v>
      </c>
      <c r="F1112" s="4" t="s">
        <v>45</v>
      </c>
      <c r="G1112" s="5"/>
      <c r="H1112" s="6">
        <v>60</v>
      </c>
      <c r="I1112" s="6">
        <v>60</v>
      </c>
      <c r="J1112" s="6">
        <v>60</v>
      </c>
      <c r="K1112" s="6">
        <v>60</v>
      </c>
      <c r="L1112" t="str">
        <f t="shared" si="51"/>
        <v>OK</v>
      </c>
      <c r="M1112" t="str">
        <f t="shared" si="52"/>
        <v>OK</v>
      </c>
      <c r="N1112" t="str">
        <f t="shared" si="53"/>
        <v>OK</v>
      </c>
    </row>
    <row r="1113" spans="1:14" x14ac:dyDescent="0.3">
      <c r="A1113">
        <v>65</v>
      </c>
      <c r="B1113">
        <v>2024</v>
      </c>
      <c r="C1113" s="2">
        <v>45520</v>
      </c>
      <c r="D1113" s="7" t="s">
        <v>65</v>
      </c>
      <c r="E1113" s="8" t="s">
        <v>70</v>
      </c>
      <c r="F1113" s="8" t="s">
        <v>71</v>
      </c>
      <c r="G1113" s="9"/>
      <c r="H1113" s="9"/>
      <c r="I1113" s="9"/>
      <c r="J1113" s="9"/>
      <c r="K1113" s="9"/>
      <c r="L1113" t="str">
        <f t="shared" si="51"/>
        <v>OK</v>
      </c>
      <c r="M1113" t="str">
        <f t="shared" si="52"/>
        <v>OK</v>
      </c>
      <c r="N1113" t="str">
        <f t="shared" si="53"/>
        <v>OK</v>
      </c>
    </row>
    <row r="1114" spans="1:14" ht="28.8" x14ac:dyDescent="0.3">
      <c r="A1114">
        <v>66</v>
      </c>
      <c r="B1114">
        <v>2024</v>
      </c>
      <c r="C1114" s="2">
        <v>45527</v>
      </c>
      <c r="D1114" s="3" t="s">
        <v>11</v>
      </c>
      <c r="E1114" s="4" t="s">
        <v>12</v>
      </c>
      <c r="F1114" s="4" t="s">
        <v>13</v>
      </c>
      <c r="G1114" s="5"/>
      <c r="H1114" s="6">
        <v>36</v>
      </c>
      <c r="I1114" s="6">
        <v>60</v>
      </c>
      <c r="J1114" s="6">
        <v>48</v>
      </c>
      <c r="K1114" s="6">
        <v>48</v>
      </c>
      <c r="L1114" t="str">
        <f t="shared" si="51"/>
        <v>OK</v>
      </c>
      <c r="M1114" t="str">
        <f t="shared" si="52"/>
        <v>OK</v>
      </c>
      <c r="N1114" t="str">
        <f t="shared" si="53"/>
        <v>OK</v>
      </c>
    </row>
    <row r="1115" spans="1:14" ht="28.8" x14ac:dyDescent="0.3">
      <c r="A1115">
        <v>66</v>
      </c>
      <c r="B1115">
        <v>2024</v>
      </c>
      <c r="C1115" s="2">
        <v>45527</v>
      </c>
      <c r="D1115" s="7" t="s">
        <v>11</v>
      </c>
      <c r="E1115" s="8" t="s">
        <v>14</v>
      </c>
      <c r="F1115" s="8" t="s">
        <v>13</v>
      </c>
      <c r="G1115" s="10">
        <v>72</v>
      </c>
      <c r="H1115" s="10">
        <v>72</v>
      </c>
      <c r="I1115" s="10">
        <v>84</v>
      </c>
      <c r="J1115" s="10">
        <v>76</v>
      </c>
      <c r="K1115" s="10">
        <v>72</v>
      </c>
      <c r="L1115" t="str">
        <f t="shared" si="51"/>
        <v>OK</v>
      </c>
      <c r="M1115" t="str">
        <f t="shared" si="52"/>
        <v>OK</v>
      </c>
      <c r="N1115" t="str">
        <f t="shared" si="53"/>
        <v>OK</v>
      </c>
    </row>
    <row r="1116" spans="1:14" ht="28.8" x14ac:dyDescent="0.3">
      <c r="A1116">
        <v>66</v>
      </c>
      <c r="B1116">
        <v>2024</v>
      </c>
      <c r="C1116" s="2">
        <v>45527</v>
      </c>
      <c r="D1116" s="3" t="s">
        <v>11</v>
      </c>
      <c r="E1116" s="4" t="s">
        <v>15</v>
      </c>
      <c r="F1116" s="4" t="s">
        <v>13</v>
      </c>
      <c r="G1116" s="6">
        <v>36</v>
      </c>
      <c r="H1116" s="6">
        <v>30</v>
      </c>
      <c r="I1116" s="6">
        <v>42</v>
      </c>
      <c r="J1116" s="6">
        <v>36</v>
      </c>
      <c r="K1116" s="6">
        <v>36</v>
      </c>
      <c r="L1116" t="str">
        <f t="shared" si="51"/>
        <v>OK</v>
      </c>
      <c r="M1116" t="str">
        <f t="shared" si="52"/>
        <v>OK</v>
      </c>
      <c r="N1116" t="str">
        <f t="shared" si="53"/>
        <v>OK</v>
      </c>
    </row>
    <row r="1117" spans="1:14" ht="28.8" x14ac:dyDescent="0.3">
      <c r="A1117">
        <v>66</v>
      </c>
      <c r="B1117">
        <v>2024</v>
      </c>
      <c r="C1117" s="2">
        <v>45527</v>
      </c>
      <c r="D1117" s="7" t="s">
        <v>11</v>
      </c>
      <c r="E1117" s="8" t="s">
        <v>16</v>
      </c>
      <c r="F1117" s="8" t="s">
        <v>13</v>
      </c>
      <c r="G1117" s="10">
        <v>18</v>
      </c>
      <c r="H1117" s="10">
        <v>18</v>
      </c>
      <c r="I1117" s="10">
        <v>24</v>
      </c>
      <c r="J1117" s="10">
        <v>21</v>
      </c>
      <c r="K1117" s="10">
        <v>21</v>
      </c>
      <c r="L1117" t="str">
        <f t="shared" si="51"/>
        <v>OK</v>
      </c>
      <c r="M1117" t="str">
        <f t="shared" si="52"/>
        <v>OK</v>
      </c>
      <c r="N1117" t="str">
        <f t="shared" si="53"/>
        <v>OK</v>
      </c>
    </row>
    <row r="1118" spans="1:14" ht="28.8" x14ac:dyDescent="0.3">
      <c r="A1118">
        <v>66</v>
      </c>
      <c r="B1118">
        <v>2024</v>
      </c>
      <c r="C1118" s="2">
        <v>45527</v>
      </c>
      <c r="D1118" s="3" t="s">
        <v>11</v>
      </c>
      <c r="E1118" s="4" t="s">
        <v>17</v>
      </c>
      <c r="F1118" s="4" t="s">
        <v>13</v>
      </c>
      <c r="G1118" s="6">
        <v>24</v>
      </c>
      <c r="H1118" s="6">
        <v>18</v>
      </c>
      <c r="I1118" s="6">
        <v>24</v>
      </c>
      <c r="J1118" s="6">
        <v>22</v>
      </c>
      <c r="K1118" s="6">
        <v>24</v>
      </c>
      <c r="L1118" t="str">
        <f t="shared" si="51"/>
        <v>OK</v>
      </c>
      <c r="M1118" t="str">
        <f t="shared" si="52"/>
        <v>OK</v>
      </c>
      <c r="N1118" t="str">
        <f t="shared" si="53"/>
        <v>OK</v>
      </c>
    </row>
    <row r="1119" spans="1:14" ht="28.8" x14ac:dyDescent="0.3">
      <c r="A1119">
        <v>66</v>
      </c>
      <c r="B1119">
        <v>2024</v>
      </c>
      <c r="C1119" s="2">
        <v>45527</v>
      </c>
      <c r="D1119" s="7" t="s">
        <v>11</v>
      </c>
      <c r="E1119" s="8" t="s">
        <v>18</v>
      </c>
      <c r="F1119" s="8" t="s">
        <v>13</v>
      </c>
      <c r="G1119" s="10">
        <v>60</v>
      </c>
      <c r="H1119" s="10">
        <v>60</v>
      </c>
      <c r="I1119" s="10">
        <v>60</v>
      </c>
      <c r="J1119" s="10">
        <v>60</v>
      </c>
      <c r="K1119" s="10">
        <v>60</v>
      </c>
      <c r="L1119" t="str">
        <f t="shared" si="51"/>
        <v>OK</v>
      </c>
      <c r="M1119" t="str">
        <f t="shared" si="52"/>
        <v>OK</v>
      </c>
      <c r="N1119" t="str">
        <f t="shared" si="53"/>
        <v>OK</v>
      </c>
    </row>
    <row r="1120" spans="1:14" ht="28.8" x14ac:dyDescent="0.3">
      <c r="A1120">
        <v>66</v>
      </c>
      <c r="B1120">
        <v>2024</v>
      </c>
      <c r="C1120" s="2">
        <v>45527</v>
      </c>
      <c r="D1120" s="3" t="s">
        <v>11</v>
      </c>
      <c r="E1120" s="4" t="s">
        <v>19</v>
      </c>
      <c r="F1120" s="4" t="s">
        <v>13</v>
      </c>
      <c r="G1120" s="6">
        <v>60</v>
      </c>
      <c r="H1120" s="6">
        <v>48</v>
      </c>
      <c r="I1120" s="6">
        <v>66</v>
      </c>
      <c r="J1120" s="6" t="s">
        <v>246</v>
      </c>
      <c r="K1120" s="6">
        <v>60</v>
      </c>
      <c r="L1120" t="str">
        <f t="shared" si="51"/>
        <v>OK</v>
      </c>
      <c r="M1120" t="str">
        <f t="shared" si="52"/>
        <v>OK</v>
      </c>
      <c r="N1120" t="str">
        <f t="shared" si="53"/>
        <v>ERRO</v>
      </c>
    </row>
    <row r="1121" spans="1:14" ht="28.8" x14ac:dyDescent="0.3">
      <c r="A1121">
        <v>66</v>
      </c>
      <c r="B1121">
        <v>2024</v>
      </c>
      <c r="C1121" s="2">
        <v>45527</v>
      </c>
      <c r="D1121" s="7" t="s">
        <v>11</v>
      </c>
      <c r="E1121" s="8" t="s">
        <v>20</v>
      </c>
      <c r="F1121" s="8" t="s">
        <v>13</v>
      </c>
      <c r="G1121" s="10">
        <v>60</v>
      </c>
      <c r="H1121" s="10">
        <v>60</v>
      </c>
      <c r="I1121" s="10">
        <v>72</v>
      </c>
      <c r="J1121" s="10">
        <v>66</v>
      </c>
      <c r="K1121" s="10">
        <v>66</v>
      </c>
      <c r="L1121" t="str">
        <f t="shared" si="51"/>
        <v>OK</v>
      </c>
      <c r="M1121" t="str">
        <f t="shared" si="52"/>
        <v>OK</v>
      </c>
      <c r="N1121" t="str">
        <f t="shared" si="53"/>
        <v>OK</v>
      </c>
    </row>
    <row r="1122" spans="1:14" ht="28.8" x14ac:dyDescent="0.3">
      <c r="A1122">
        <v>66</v>
      </c>
      <c r="B1122">
        <v>2024</v>
      </c>
      <c r="C1122" s="2">
        <v>45527</v>
      </c>
      <c r="D1122" s="3" t="s">
        <v>11</v>
      </c>
      <c r="E1122" s="4" t="s">
        <v>21</v>
      </c>
      <c r="F1122" s="4" t="s">
        <v>13</v>
      </c>
      <c r="G1122" s="6">
        <v>18</v>
      </c>
      <c r="H1122" s="6">
        <v>18</v>
      </c>
      <c r="I1122" s="6">
        <v>24</v>
      </c>
      <c r="J1122" s="6">
        <v>20</v>
      </c>
      <c r="K1122" s="6">
        <v>19</v>
      </c>
      <c r="L1122" t="str">
        <f t="shared" si="51"/>
        <v>OK</v>
      </c>
      <c r="M1122" t="str">
        <f t="shared" si="52"/>
        <v>OK</v>
      </c>
      <c r="N1122" t="str">
        <f t="shared" si="53"/>
        <v>OK</v>
      </c>
    </row>
    <row r="1123" spans="1:14" ht="28.8" x14ac:dyDescent="0.3">
      <c r="A1123">
        <v>66</v>
      </c>
      <c r="B1123">
        <v>2024</v>
      </c>
      <c r="C1123" s="2">
        <v>45527</v>
      </c>
      <c r="D1123" s="7" t="s">
        <v>11</v>
      </c>
      <c r="E1123" s="8" t="s">
        <v>73</v>
      </c>
      <c r="F1123" s="8" t="s">
        <v>13</v>
      </c>
      <c r="G1123" s="9"/>
      <c r="H1123" s="10">
        <v>48</v>
      </c>
      <c r="I1123" s="10">
        <v>72</v>
      </c>
      <c r="J1123" s="10" t="s">
        <v>55</v>
      </c>
      <c r="K1123" s="10">
        <v>50</v>
      </c>
      <c r="L1123" t="str">
        <f t="shared" si="51"/>
        <v>OK</v>
      </c>
      <c r="M1123" t="str">
        <f t="shared" si="52"/>
        <v>OK</v>
      </c>
      <c r="N1123" t="str">
        <f t="shared" si="53"/>
        <v>ERRO</v>
      </c>
    </row>
    <row r="1124" spans="1:14" ht="28.8" x14ac:dyDescent="0.3">
      <c r="A1124">
        <v>66</v>
      </c>
      <c r="B1124">
        <v>2024</v>
      </c>
      <c r="C1124" s="2">
        <v>45527</v>
      </c>
      <c r="D1124" s="3" t="s">
        <v>11</v>
      </c>
      <c r="E1124" s="4" t="s">
        <v>23</v>
      </c>
      <c r="F1124" s="4" t="s">
        <v>13</v>
      </c>
      <c r="G1124" s="6">
        <v>18</v>
      </c>
      <c r="H1124" s="6">
        <v>18</v>
      </c>
      <c r="I1124" s="6">
        <v>24</v>
      </c>
      <c r="J1124" s="6">
        <v>21</v>
      </c>
      <c r="K1124" s="6">
        <v>21</v>
      </c>
      <c r="L1124" t="str">
        <f t="shared" si="51"/>
        <v>OK</v>
      </c>
      <c r="M1124" t="str">
        <f t="shared" si="52"/>
        <v>OK</v>
      </c>
      <c r="N1124" t="str">
        <f t="shared" si="53"/>
        <v>OK</v>
      </c>
    </row>
    <row r="1125" spans="1:14" ht="28.8" x14ac:dyDescent="0.3">
      <c r="A1125">
        <v>66</v>
      </c>
      <c r="B1125">
        <v>2024</v>
      </c>
      <c r="C1125" s="2">
        <v>45527</v>
      </c>
      <c r="D1125" s="7" t="s">
        <v>11</v>
      </c>
      <c r="E1125" s="8" t="s">
        <v>24</v>
      </c>
      <c r="F1125" s="8" t="s">
        <v>13</v>
      </c>
      <c r="G1125" s="10">
        <v>60</v>
      </c>
      <c r="H1125" s="10">
        <v>48</v>
      </c>
      <c r="I1125" s="10">
        <v>60</v>
      </c>
      <c r="J1125" s="10">
        <v>56</v>
      </c>
      <c r="K1125" s="10">
        <v>60</v>
      </c>
      <c r="L1125" t="str">
        <f t="shared" si="51"/>
        <v>OK</v>
      </c>
      <c r="M1125" t="str">
        <f t="shared" si="52"/>
        <v>OK</v>
      </c>
      <c r="N1125" t="str">
        <f t="shared" si="53"/>
        <v>OK</v>
      </c>
    </row>
    <row r="1126" spans="1:14" ht="28.8" x14ac:dyDescent="0.3">
      <c r="A1126">
        <v>66</v>
      </c>
      <c r="B1126">
        <v>2024</v>
      </c>
      <c r="C1126" s="2">
        <v>45527</v>
      </c>
      <c r="D1126" s="3" t="s">
        <v>11</v>
      </c>
      <c r="E1126" s="4" t="s">
        <v>25</v>
      </c>
      <c r="F1126" s="4" t="s">
        <v>26</v>
      </c>
      <c r="G1126" s="6">
        <v>48</v>
      </c>
      <c r="H1126" s="6">
        <v>48</v>
      </c>
      <c r="I1126" s="6">
        <v>60</v>
      </c>
      <c r="J1126" s="6">
        <v>54</v>
      </c>
      <c r="K1126" s="6">
        <v>54</v>
      </c>
      <c r="L1126" t="str">
        <f t="shared" si="51"/>
        <v>OK</v>
      </c>
      <c r="M1126" t="str">
        <f t="shared" si="52"/>
        <v>OK</v>
      </c>
      <c r="N1126" t="str">
        <f t="shared" si="53"/>
        <v>OK</v>
      </c>
    </row>
    <row r="1127" spans="1:14" ht="28.8" x14ac:dyDescent="0.3">
      <c r="A1127">
        <v>66</v>
      </c>
      <c r="B1127">
        <v>2024</v>
      </c>
      <c r="C1127" s="2">
        <v>45527</v>
      </c>
      <c r="D1127" s="7" t="s">
        <v>11</v>
      </c>
      <c r="E1127" s="8" t="s">
        <v>27</v>
      </c>
      <c r="F1127" s="8" t="s">
        <v>13</v>
      </c>
      <c r="G1127" s="10">
        <v>60</v>
      </c>
      <c r="H1127" s="10">
        <v>48</v>
      </c>
      <c r="I1127" s="10">
        <v>60</v>
      </c>
      <c r="J1127" s="10">
        <v>56</v>
      </c>
      <c r="K1127" s="10">
        <v>60</v>
      </c>
      <c r="L1127" t="str">
        <f t="shared" si="51"/>
        <v>OK</v>
      </c>
      <c r="M1127" t="str">
        <f t="shared" si="52"/>
        <v>OK</v>
      </c>
      <c r="N1127" t="str">
        <f t="shared" si="53"/>
        <v>OK</v>
      </c>
    </row>
    <row r="1128" spans="1:14" ht="28.8" x14ac:dyDescent="0.3">
      <c r="A1128">
        <v>66</v>
      </c>
      <c r="B1128">
        <v>2024</v>
      </c>
      <c r="C1128" s="2">
        <v>45527</v>
      </c>
      <c r="D1128" s="3" t="s">
        <v>11</v>
      </c>
      <c r="E1128" s="4" t="s">
        <v>28</v>
      </c>
      <c r="F1128" s="4" t="s">
        <v>13</v>
      </c>
      <c r="G1128" s="6">
        <v>36</v>
      </c>
      <c r="H1128" s="6">
        <v>36</v>
      </c>
      <c r="I1128" s="6">
        <v>45</v>
      </c>
      <c r="J1128" s="6" t="s">
        <v>302</v>
      </c>
      <c r="K1128" s="6">
        <v>38</v>
      </c>
      <c r="L1128" t="str">
        <f t="shared" si="51"/>
        <v>OK</v>
      </c>
      <c r="M1128" t="str">
        <f t="shared" si="52"/>
        <v>OK</v>
      </c>
      <c r="N1128" t="str">
        <f t="shared" si="53"/>
        <v>ERRO</v>
      </c>
    </row>
    <row r="1129" spans="1:14" ht="28.8" x14ac:dyDescent="0.3">
      <c r="A1129">
        <v>66</v>
      </c>
      <c r="B1129">
        <v>2024</v>
      </c>
      <c r="C1129" s="2">
        <v>45527</v>
      </c>
      <c r="D1129" s="7" t="s">
        <v>11</v>
      </c>
      <c r="E1129" s="8" t="s">
        <v>29</v>
      </c>
      <c r="F1129" s="8" t="s">
        <v>13</v>
      </c>
      <c r="G1129" s="10">
        <v>48</v>
      </c>
      <c r="H1129" s="10">
        <v>42</v>
      </c>
      <c r="I1129" s="10">
        <v>48</v>
      </c>
      <c r="J1129" s="10" t="s">
        <v>174</v>
      </c>
      <c r="K1129" s="10">
        <v>48</v>
      </c>
      <c r="L1129" t="str">
        <f t="shared" si="51"/>
        <v>OK</v>
      </c>
      <c r="M1129" t="str">
        <f t="shared" si="52"/>
        <v>OK</v>
      </c>
      <c r="N1129" t="str">
        <f t="shared" si="53"/>
        <v>ERRO</v>
      </c>
    </row>
    <row r="1130" spans="1:14" ht="28.8" x14ac:dyDescent="0.3">
      <c r="A1130">
        <v>66</v>
      </c>
      <c r="B1130">
        <v>2024</v>
      </c>
      <c r="C1130" s="2">
        <v>45527</v>
      </c>
      <c r="D1130" s="3" t="s">
        <v>11</v>
      </c>
      <c r="E1130" s="4" t="s">
        <v>31</v>
      </c>
      <c r="F1130" s="4" t="s">
        <v>32</v>
      </c>
      <c r="G1130" s="6">
        <v>5</v>
      </c>
      <c r="H1130" s="6">
        <v>5</v>
      </c>
      <c r="I1130" s="6" t="s">
        <v>212</v>
      </c>
      <c r="J1130" s="6" t="s">
        <v>303</v>
      </c>
      <c r="K1130" s="6">
        <v>5</v>
      </c>
      <c r="L1130" t="str">
        <f t="shared" si="51"/>
        <v>OK</v>
      </c>
      <c r="M1130" t="str">
        <f t="shared" si="52"/>
        <v>OK</v>
      </c>
      <c r="N1130" t="str">
        <f t="shared" si="53"/>
        <v>OK</v>
      </c>
    </row>
    <row r="1131" spans="1:14" ht="28.8" x14ac:dyDescent="0.3">
      <c r="A1131">
        <v>66</v>
      </c>
      <c r="B1131">
        <v>2024</v>
      </c>
      <c r="C1131" s="2">
        <v>45527</v>
      </c>
      <c r="D1131" s="7" t="s">
        <v>11</v>
      </c>
      <c r="E1131" s="8" t="s">
        <v>34</v>
      </c>
      <c r="F1131" s="8" t="s">
        <v>35</v>
      </c>
      <c r="G1131" s="10">
        <v>12</v>
      </c>
      <c r="H1131" s="10">
        <v>10</v>
      </c>
      <c r="I1131" s="10">
        <v>12</v>
      </c>
      <c r="J1131" s="10">
        <v>11</v>
      </c>
      <c r="K1131" s="10">
        <v>11</v>
      </c>
      <c r="L1131" t="str">
        <f t="shared" si="51"/>
        <v>OK</v>
      </c>
      <c r="M1131" t="str">
        <f t="shared" si="52"/>
        <v>OK</v>
      </c>
      <c r="N1131" t="str">
        <f t="shared" si="53"/>
        <v>OK</v>
      </c>
    </row>
    <row r="1132" spans="1:14" ht="28.8" x14ac:dyDescent="0.3">
      <c r="A1132">
        <v>66</v>
      </c>
      <c r="B1132">
        <v>2024</v>
      </c>
      <c r="C1132" s="2">
        <v>45527</v>
      </c>
      <c r="D1132" s="3" t="s">
        <v>11</v>
      </c>
      <c r="E1132" s="4" t="s">
        <v>36</v>
      </c>
      <c r="F1132" s="4" t="s">
        <v>35</v>
      </c>
      <c r="G1132" s="5"/>
      <c r="H1132" s="6">
        <v>10</v>
      </c>
      <c r="I1132" s="6">
        <v>30</v>
      </c>
      <c r="J1132" s="6" t="s">
        <v>304</v>
      </c>
      <c r="K1132" s="6" t="s">
        <v>305</v>
      </c>
      <c r="L1132" t="str">
        <f t="shared" si="51"/>
        <v>OK</v>
      </c>
      <c r="M1132" t="str">
        <f t="shared" si="52"/>
        <v>OK</v>
      </c>
      <c r="N1132" t="str">
        <f t="shared" si="53"/>
        <v>ERRO</v>
      </c>
    </row>
    <row r="1133" spans="1:14" ht="43.2" x14ac:dyDescent="0.3">
      <c r="A1133">
        <v>66</v>
      </c>
      <c r="B1133">
        <v>2024</v>
      </c>
      <c r="C1133" s="2">
        <v>45527</v>
      </c>
      <c r="D1133" s="7" t="s">
        <v>38</v>
      </c>
      <c r="E1133" s="8" t="s">
        <v>153</v>
      </c>
      <c r="F1133" s="8" t="s">
        <v>154</v>
      </c>
      <c r="G1133" s="9"/>
      <c r="H1133" s="10">
        <v>75</v>
      </c>
      <c r="I1133" s="10">
        <v>75</v>
      </c>
      <c r="J1133" s="10">
        <v>75</v>
      </c>
      <c r="K1133" s="10">
        <v>75</v>
      </c>
      <c r="L1133" t="str">
        <f t="shared" si="51"/>
        <v>OK</v>
      </c>
      <c r="M1133" t="str">
        <f t="shared" si="52"/>
        <v>OK</v>
      </c>
      <c r="N1133" t="str">
        <f t="shared" si="53"/>
        <v>OK</v>
      </c>
    </row>
    <row r="1134" spans="1:14" ht="43.2" x14ac:dyDescent="0.3">
      <c r="A1134">
        <v>66</v>
      </c>
      <c r="B1134">
        <v>2024</v>
      </c>
      <c r="C1134" s="2">
        <v>45527</v>
      </c>
      <c r="D1134" s="3" t="s">
        <v>38</v>
      </c>
      <c r="E1134" s="4" t="s">
        <v>39</v>
      </c>
      <c r="F1134" s="4" t="s">
        <v>40</v>
      </c>
      <c r="G1134" s="6">
        <v>60</v>
      </c>
      <c r="H1134" s="6">
        <v>50</v>
      </c>
      <c r="I1134" s="6">
        <v>60</v>
      </c>
      <c r="J1134" s="6">
        <v>57</v>
      </c>
      <c r="K1134" s="6">
        <v>60</v>
      </c>
      <c r="L1134" t="str">
        <f t="shared" si="51"/>
        <v>OK</v>
      </c>
      <c r="M1134" t="str">
        <f t="shared" si="52"/>
        <v>OK</v>
      </c>
      <c r="N1134" t="str">
        <f t="shared" si="53"/>
        <v>OK</v>
      </c>
    </row>
    <row r="1135" spans="1:14" ht="43.2" x14ac:dyDescent="0.3">
      <c r="A1135">
        <v>66</v>
      </c>
      <c r="B1135">
        <v>2024</v>
      </c>
      <c r="C1135" s="2">
        <v>45527</v>
      </c>
      <c r="D1135" s="7" t="s">
        <v>38</v>
      </c>
      <c r="E1135" s="8" t="s">
        <v>42</v>
      </c>
      <c r="F1135" s="8" t="s">
        <v>43</v>
      </c>
      <c r="G1135" s="10">
        <v>70</v>
      </c>
      <c r="H1135" s="10">
        <v>45</v>
      </c>
      <c r="I1135" s="10">
        <v>70</v>
      </c>
      <c r="J1135" s="10">
        <v>63</v>
      </c>
      <c r="K1135" s="10">
        <v>70</v>
      </c>
      <c r="L1135" t="str">
        <f t="shared" si="51"/>
        <v>OK</v>
      </c>
      <c r="M1135" t="str">
        <f t="shared" si="52"/>
        <v>OK</v>
      </c>
      <c r="N1135" t="str">
        <f t="shared" si="53"/>
        <v>OK</v>
      </c>
    </row>
    <row r="1136" spans="1:14" ht="43.2" x14ac:dyDescent="0.3">
      <c r="A1136">
        <v>66</v>
      </c>
      <c r="B1136">
        <v>2024</v>
      </c>
      <c r="C1136" s="2">
        <v>45527</v>
      </c>
      <c r="D1136" s="3" t="s">
        <v>38</v>
      </c>
      <c r="E1136" s="4" t="s">
        <v>44</v>
      </c>
      <c r="F1136" s="4" t="s">
        <v>45</v>
      </c>
      <c r="G1136" s="6">
        <v>50</v>
      </c>
      <c r="H1136" s="6">
        <v>45</v>
      </c>
      <c r="I1136" s="6">
        <v>60</v>
      </c>
      <c r="J1136" s="6">
        <v>52</v>
      </c>
      <c r="K1136" s="6">
        <v>50</v>
      </c>
      <c r="L1136" t="str">
        <f t="shared" si="51"/>
        <v>OK</v>
      </c>
      <c r="M1136" t="str">
        <f t="shared" si="52"/>
        <v>OK</v>
      </c>
      <c r="N1136" t="str">
        <f t="shared" si="53"/>
        <v>OK</v>
      </c>
    </row>
    <row r="1137" spans="1:14" ht="43.2" x14ac:dyDescent="0.3">
      <c r="A1137">
        <v>66</v>
      </c>
      <c r="B1137">
        <v>2024</v>
      </c>
      <c r="C1137" s="2">
        <v>45527</v>
      </c>
      <c r="D1137" s="7" t="s">
        <v>38</v>
      </c>
      <c r="E1137" s="8" t="s">
        <v>48</v>
      </c>
      <c r="F1137" s="8" t="s">
        <v>45</v>
      </c>
      <c r="G1137" s="9"/>
      <c r="H1137" s="10">
        <v>90</v>
      </c>
      <c r="I1137" s="10">
        <v>90</v>
      </c>
      <c r="J1137" s="10">
        <v>90</v>
      </c>
      <c r="K1137" s="10">
        <v>90</v>
      </c>
      <c r="L1137" t="str">
        <f t="shared" si="51"/>
        <v>OK</v>
      </c>
      <c r="M1137" t="str">
        <f t="shared" si="52"/>
        <v>OK</v>
      </c>
      <c r="N1137" t="str">
        <f t="shared" si="53"/>
        <v>OK</v>
      </c>
    </row>
    <row r="1138" spans="1:14" ht="43.2" x14ac:dyDescent="0.3">
      <c r="A1138">
        <v>66</v>
      </c>
      <c r="B1138">
        <v>2024</v>
      </c>
      <c r="C1138" s="2">
        <v>45527</v>
      </c>
      <c r="D1138" s="3" t="s">
        <v>38</v>
      </c>
      <c r="E1138" s="4" t="s">
        <v>49</v>
      </c>
      <c r="F1138" s="4" t="s">
        <v>50</v>
      </c>
      <c r="G1138" s="6">
        <v>70</v>
      </c>
      <c r="H1138" s="6">
        <v>60</v>
      </c>
      <c r="I1138" s="6">
        <v>70</v>
      </c>
      <c r="J1138" s="6">
        <v>65</v>
      </c>
      <c r="K1138" s="6">
        <v>65</v>
      </c>
      <c r="L1138" t="str">
        <f t="shared" si="51"/>
        <v>OK</v>
      </c>
      <c r="M1138" t="str">
        <f t="shared" si="52"/>
        <v>OK</v>
      </c>
      <c r="N1138" t="str">
        <f t="shared" si="53"/>
        <v>OK</v>
      </c>
    </row>
    <row r="1139" spans="1:14" ht="43.2" x14ac:dyDescent="0.3">
      <c r="A1139">
        <v>66</v>
      </c>
      <c r="B1139">
        <v>2024</v>
      </c>
      <c r="C1139" s="2">
        <v>45527</v>
      </c>
      <c r="D1139" s="7" t="s">
        <v>38</v>
      </c>
      <c r="E1139" s="8" t="s">
        <v>52</v>
      </c>
      <c r="F1139" s="8" t="s">
        <v>43</v>
      </c>
      <c r="G1139" s="10">
        <v>60</v>
      </c>
      <c r="H1139" s="10">
        <v>45</v>
      </c>
      <c r="I1139" s="10">
        <v>65</v>
      </c>
      <c r="J1139" s="10">
        <v>57</v>
      </c>
      <c r="K1139" s="10">
        <v>60</v>
      </c>
      <c r="L1139" t="str">
        <f t="shared" si="51"/>
        <v>OK</v>
      </c>
      <c r="M1139" t="str">
        <f t="shared" si="52"/>
        <v>OK</v>
      </c>
      <c r="N1139" t="str">
        <f t="shared" si="53"/>
        <v>OK</v>
      </c>
    </row>
    <row r="1140" spans="1:14" ht="43.2" x14ac:dyDescent="0.3">
      <c r="A1140">
        <v>66</v>
      </c>
      <c r="B1140">
        <v>2024</v>
      </c>
      <c r="C1140" s="2">
        <v>45527</v>
      </c>
      <c r="D1140" s="3" t="s">
        <v>38</v>
      </c>
      <c r="E1140" s="4" t="s">
        <v>53</v>
      </c>
      <c r="F1140" s="4" t="s">
        <v>43</v>
      </c>
      <c r="G1140" s="6">
        <v>60</v>
      </c>
      <c r="H1140" s="6">
        <v>55</v>
      </c>
      <c r="I1140" s="6">
        <v>80</v>
      </c>
      <c r="J1140" s="6">
        <v>66</v>
      </c>
      <c r="K1140" s="6">
        <v>60</v>
      </c>
      <c r="L1140" t="str">
        <f t="shared" si="51"/>
        <v>OK</v>
      </c>
      <c r="M1140" t="str">
        <f t="shared" si="52"/>
        <v>OK</v>
      </c>
      <c r="N1140" t="str">
        <f t="shared" si="53"/>
        <v>OK</v>
      </c>
    </row>
    <row r="1141" spans="1:14" ht="43.2" x14ac:dyDescent="0.3">
      <c r="A1141">
        <v>66</v>
      </c>
      <c r="B1141">
        <v>2024</v>
      </c>
      <c r="C1141" s="2">
        <v>45527</v>
      </c>
      <c r="D1141" s="7" t="s">
        <v>38</v>
      </c>
      <c r="E1141" s="8" t="s">
        <v>54</v>
      </c>
      <c r="F1141" s="8" t="s">
        <v>40</v>
      </c>
      <c r="G1141" s="10">
        <v>90</v>
      </c>
      <c r="H1141" s="10">
        <v>90</v>
      </c>
      <c r="I1141" s="10">
        <v>100</v>
      </c>
      <c r="J1141" s="10" t="s">
        <v>306</v>
      </c>
      <c r="K1141" s="10" t="s">
        <v>307</v>
      </c>
      <c r="L1141" t="str">
        <f t="shared" si="51"/>
        <v>OK</v>
      </c>
      <c r="M1141" t="str">
        <f t="shared" si="52"/>
        <v>OK</v>
      </c>
      <c r="N1141" t="str">
        <f t="shared" si="53"/>
        <v>ERRO</v>
      </c>
    </row>
    <row r="1142" spans="1:14" ht="43.2" x14ac:dyDescent="0.3">
      <c r="A1142">
        <v>66</v>
      </c>
      <c r="B1142">
        <v>2024</v>
      </c>
      <c r="C1142" s="2">
        <v>45527</v>
      </c>
      <c r="D1142" s="3" t="s">
        <v>38</v>
      </c>
      <c r="E1142" s="4" t="s">
        <v>56</v>
      </c>
      <c r="F1142" s="4" t="s">
        <v>43</v>
      </c>
      <c r="G1142" s="5"/>
      <c r="H1142" s="6">
        <v>50</v>
      </c>
      <c r="I1142" s="6">
        <v>65</v>
      </c>
      <c r="J1142" s="6" t="s">
        <v>41</v>
      </c>
      <c r="K1142" s="6" t="s">
        <v>41</v>
      </c>
      <c r="L1142" t="str">
        <f t="shared" si="51"/>
        <v>OK</v>
      </c>
      <c r="M1142" t="str">
        <f t="shared" si="52"/>
        <v>OK</v>
      </c>
      <c r="N1142" t="str">
        <f t="shared" si="53"/>
        <v>ERRO</v>
      </c>
    </row>
    <row r="1143" spans="1:14" ht="43.2" x14ac:dyDescent="0.3">
      <c r="A1143">
        <v>66</v>
      </c>
      <c r="B1143">
        <v>2024</v>
      </c>
      <c r="C1143" s="2">
        <v>45527</v>
      </c>
      <c r="D1143" s="7" t="s">
        <v>38</v>
      </c>
      <c r="E1143" s="8" t="s">
        <v>57</v>
      </c>
      <c r="F1143" s="8" t="s">
        <v>40</v>
      </c>
      <c r="G1143" s="9"/>
      <c r="H1143" s="10">
        <v>60</v>
      </c>
      <c r="I1143" s="10">
        <v>85</v>
      </c>
      <c r="J1143" s="10" t="s">
        <v>274</v>
      </c>
      <c r="K1143" s="10">
        <v>70</v>
      </c>
      <c r="L1143" t="str">
        <f t="shared" si="51"/>
        <v>OK</v>
      </c>
      <c r="M1143" t="str">
        <f t="shared" si="52"/>
        <v>OK</v>
      </c>
      <c r="N1143" t="str">
        <f t="shared" si="53"/>
        <v>ERRO</v>
      </c>
    </row>
    <row r="1144" spans="1:14" ht="43.2" x14ac:dyDescent="0.3">
      <c r="A1144">
        <v>66</v>
      </c>
      <c r="B1144">
        <v>2024</v>
      </c>
      <c r="C1144" s="2">
        <v>45527</v>
      </c>
      <c r="D1144" s="3" t="s">
        <v>38</v>
      </c>
      <c r="E1144" s="4" t="s">
        <v>58</v>
      </c>
      <c r="F1144" s="4" t="s">
        <v>40</v>
      </c>
      <c r="G1144" s="6">
        <v>90</v>
      </c>
      <c r="H1144" s="6">
        <v>80</v>
      </c>
      <c r="I1144" s="6">
        <v>100</v>
      </c>
      <c r="J1144" s="6">
        <v>90</v>
      </c>
      <c r="K1144" s="6">
        <v>90</v>
      </c>
      <c r="L1144" t="str">
        <f t="shared" si="51"/>
        <v>OK</v>
      </c>
      <c r="M1144" t="str">
        <f t="shared" si="52"/>
        <v>OK</v>
      </c>
      <c r="N1144" t="str">
        <f t="shared" si="53"/>
        <v>OK</v>
      </c>
    </row>
    <row r="1145" spans="1:14" ht="43.2" x14ac:dyDescent="0.3">
      <c r="A1145">
        <v>66</v>
      </c>
      <c r="B1145">
        <v>2024</v>
      </c>
      <c r="C1145" s="2">
        <v>45527</v>
      </c>
      <c r="D1145" s="7" t="s">
        <v>38</v>
      </c>
      <c r="E1145" s="8" t="s">
        <v>59</v>
      </c>
      <c r="F1145" s="8" t="s">
        <v>45</v>
      </c>
      <c r="G1145" s="10">
        <v>55</v>
      </c>
      <c r="H1145" s="10">
        <v>50</v>
      </c>
      <c r="I1145" s="10">
        <v>70</v>
      </c>
      <c r="J1145" s="10">
        <v>56</v>
      </c>
      <c r="K1145" s="10">
        <v>55</v>
      </c>
      <c r="L1145" t="str">
        <f t="shared" si="51"/>
        <v>OK</v>
      </c>
      <c r="M1145" t="str">
        <f t="shared" si="52"/>
        <v>OK</v>
      </c>
      <c r="N1145" t="str">
        <f t="shared" si="53"/>
        <v>OK</v>
      </c>
    </row>
    <row r="1146" spans="1:14" ht="43.2" x14ac:dyDescent="0.3">
      <c r="A1146">
        <v>66</v>
      </c>
      <c r="B1146">
        <v>2024</v>
      </c>
      <c r="C1146" s="2">
        <v>45527</v>
      </c>
      <c r="D1146" s="3" t="s">
        <v>38</v>
      </c>
      <c r="E1146" s="4" t="s">
        <v>60</v>
      </c>
      <c r="F1146" s="4" t="s">
        <v>61</v>
      </c>
      <c r="G1146" s="6">
        <v>130</v>
      </c>
      <c r="H1146" s="6">
        <v>130</v>
      </c>
      <c r="I1146" s="6">
        <v>150</v>
      </c>
      <c r="J1146" s="6" t="s">
        <v>170</v>
      </c>
      <c r="K1146" s="6">
        <v>135</v>
      </c>
      <c r="L1146" t="str">
        <f t="shared" si="51"/>
        <v>OK</v>
      </c>
      <c r="M1146" t="str">
        <f t="shared" si="52"/>
        <v>OK</v>
      </c>
      <c r="N1146" t="str">
        <f t="shared" si="53"/>
        <v>ERRO</v>
      </c>
    </row>
    <row r="1147" spans="1:14" ht="43.2" x14ac:dyDescent="0.3">
      <c r="A1147">
        <v>66</v>
      </c>
      <c r="B1147">
        <v>2024</v>
      </c>
      <c r="C1147" s="2">
        <v>45527</v>
      </c>
      <c r="D1147" s="7" t="s">
        <v>38</v>
      </c>
      <c r="E1147" s="8" t="s">
        <v>63</v>
      </c>
      <c r="F1147" s="8" t="s">
        <v>40</v>
      </c>
      <c r="G1147" s="10">
        <v>60</v>
      </c>
      <c r="H1147" s="10">
        <v>45</v>
      </c>
      <c r="I1147" s="10">
        <v>65</v>
      </c>
      <c r="J1147" s="10">
        <v>58</v>
      </c>
      <c r="K1147" s="10">
        <v>60</v>
      </c>
      <c r="L1147" t="str">
        <f t="shared" si="51"/>
        <v>OK</v>
      </c>
      <c r="M1147" t="str">
        <f t="shared" si="52"/>
        <v>OK</v>
      </c>
      <c r="N1147" t="str">
        <f t="shared" si="53"/>
        <v>OK</v>
      </c>
    </row>
    <row r="1148" spans="1:14" ht="43.2" x14ac:dyDescent="0.3">
      <c r="A1148">
        <v>66</v>
      </c>
      <c r="B1148">
        <v>2024</v>
      </c>
      <c r="C1148" s="2">
        <v>45527</v>
      </c>
      <c r="D1148" s="3" t="s">
        <v>38</v>
      </c>
      <c r="E1148" s="4" t="s">
        <v>64</v>
      </c>
      <c r="F1148" s="4" t="s">
        <v>40</v>
      </c>
      <c r="G1148" s="6">
        <v>150</v>
      </c>
      <c r="H1148" s="6">
        <v>140</v>
      </c>
      <c r="I1148" s="6">
        <v>150</v>
      </c>
      <c r="J1148" s="6" t="s">
        <v>308</v>
      </c>
      <c r="K1148" s="6">
        <v>150</v>
      </c>
      <c r="L1148" t="str">
        <f t="shared" si="51"/>
        <v>OK</v>
      </c>
      <c r="M1148" t="str">
        <f t="shared" si="52"/>
        <v>OK</v>
      </c>
      <c r="N1148" t="str">
        <f t="shared" si="53"/>
        <v>ERRO</v>
      </c>
    </row>
    <row r="1149" spans="1:14" x14ac:dyDescent="0.3">
      <c r="A1149">
        <v>66</v>
      </c>
      <c r="B1149">
        <v>2024</v>
      </c>
      <c r="C1149" s="2">
        <v>45527</v>
      </c>
      <c r="D1149" s="7" t="s">
        <v>65</v>
      </c>
      <c r="E1149" s="8" t="s">
        <v>66</v>
      </c>
      <c r="F1149" s="8" t="s">
        <v>45</v>
      </c>
      <c r="G1149" s="9"/>
      <c r="H1149" s="9"/>
      <c r="I1149" s="9"/>
      <c r="J1149" s="9"/>
      <c r="K1149" s="9"/>
      <c r="L1149" t="str">
        <f t="shared" si="51"/>
        <v>OK</v>
      </c>
      <c r="M1149" t="str">
        <f t="shared" si="52"/>
        <v>OK</v>
      </c>
      <c r="N1149" t="str">
        <f t="shared" si="53"/>
        <v>OK</v>
      </c>
    </row>
    <row r="1150" spans="1:14" x14ac:dyDescent="0.3">
      <c r="A1150">
        <v>66</v>
      </c>
      <c r="B1150">
        <v>2024</v>
      </c>
      <c r="C1150" s="2">
        <v>45527</v>
      </c>
      <c r="D1150" s="3" t="s">
        <v>65</v>
      </c>
      <c r="E1150" s="4" t="s">
        <v>67</v>
      </c>
      <c r="F1150" s="4" t="s">
        <v>45</v>
      </c>
      <c r="G1150" s="5"/>
      <c r="H1150" s="5"/>
      <c r="I1150" s="5"/>
      <c r="J1150" s="5"/>
      <c r="K1150" s="5"/>
      <c r="L1150" t="str">
        <f t="shared" si="51"/>
        <v>OK</v>
      </c>
      <c r="M1150" t="str">
        <f t="shared" si="52"/>
        <v>OK</v>
      </c>
      <c r="N1150" t="str">
        <f t="shared" si="53"/>
        <v>OK</v>
      </c>
    </row>
    <row r="1151" spans="1:14" x14ac:dyDescent="0.3">
      <c r="A1151">
        <v>66</v>
      </c>
      <c r="B1151">
        <v>2024</v>
      </c>
      <c r="C1151" s="2">
        <v>45527</v>
      </c>
      <c r="D1151" s="7" t="s">
        <v>65</v>
      </c>
      <c r="E1151" s="8" t="s">
        <v>68</v>
      </c>
      <c r="F1151" s="8" t="s">
        <v>45</v>
      </c>
      <c r="G1151" s="9"/>
      <c r="H1151" s="9"/>
      <c r="I1151" s="9"/>
      <c r="J1151" s="9"/>
      <c r="K1151" s="9"/>
      <c r="L1151" t="str">
        <f t="shared" si="51"/>
        <v>OK</v>
      </c>
      <c r="M1151" t="str">
        <f t="shared" si="52"/>
        <v>OK</v>
      </c>
      <c r="N1151" t="str">
        <f t="shared" si="53"/>
        <v>OK</v>
      </c>
    </row>
    <row r="1152" spans="1:14" x14ac:dyDescent="0.3">
      <c r="A1152">
        <v>66</v>
      </c>
      <c r="B1152">
        <v>2024</v>
      </c>
      <c r="C1152" s="2">
        <v>45527</v>
      </c>
      <c r="D1152" s="3" t="s">
        <v>65</v>
      </c>
      <c r="E1152" s="4" t="s">
        <v>69</v>
      </c>
      <c r="F1152" s="4" t="s">
        <v>45</v>
      </c>
      <c r="G1152" s="5"/>
      <c r="H1152" s="6">
        <v>60</v>
      </c>
      <c r="I1152" s="6">
        <v>60</v>
      </c>
      <c r="J1152" s="6">
        <v>60</v>
      </c>
      <c r="K1152" s="6">
        <v>60</v>
      </c>
      <c r="L1152" t="str">
        <f t="shared" si="51"/>
        <v>OK</v>
      </c>
      <c r="M1152" t="str">
        <f t="shared" si="52"/>
        <v>OK</v>
      </c>
      <c r="N1152" t="str">
        <f t="shared" si="53"/>
        <v>OK</v>
      </c>
    </row>
    <row r="1153" spans="1:14" x14ac:dyDescent="0.3">
      <c r="A1153">
        <v>66</v>
      </c>
      <c r="B1153">
        <v>2024</v>
      </c>
      <c r="C1153" s="2">
        <v>45527</v>
      </c>
      <c r="D1153" s="7" t="s">
        <v>65</v>
      </c>
      <c r="E1153" s="8" t="s">
        <v>70</v>
      </c>
      <c r="F1153" s="8" t="s">
        <v>71</v>
      </c>
      <c r="G1153" s="9"/>
      <c r="H1153" s="9"/>
      <c r="I1153" s="9"/>
      <c r="J1153" s="9"/>
      <c r="K1153" s="9"/>
      <c r="L1153" t="str">
        <f t="shared" si="51"/>
        <v>OK</v>
      </c>
      <c r="M1153" t="str">
        <f t="shared" si="52"/>
        <v>OK</v>
      </c>
      <c r="N1153" t="str">
        <f t="shared" si="53"/>
        <v>OK</v>
      </c>
    </row>
    <row r="1154" spans="1:14" ht="28.8" x14ac:dyDescent="0.3">
      <c r="A1154">
        <v>67</v>
      </c>
      <c r="B1154">
        <v>2024</v>
      </c>
      <c r="C1154" s="2">
        <v>45534</v>
      </c>
      <c r="D1154" s="3" t="s">
        <v>11</v>
      </c>
      <c r="E1154" s="4" t="s">
        <v>12</v>
      </c>
      <c r="F1154" s="4" t="s">
        <v>13</v>
      </c>
      <c r="G1154" s="6">
        <v>48</v>
      </c>
      <c r="H1154" s="6">
        <v>48</v>
      </c>
      <c r="I1154" s="6">
        <v>48</v>
      </c>
      <c r="J1154" s="6">
        <v>48</v>
      </c>
      <c r="K1154" s="6">
        <v>48</v>
      </c>
      <c r="L1154" t="str">
        <f t="shared" si="51"/>
        <v>OK</v>
      </c>
      <c r="M1154" t="str">
        <f t="shared" si="52"/>
        <v>OK</v>
      </c>
      <c r="N1154" t="str">
        <f t="shared" si="53"/>
        <v>OK</v>
      </c>
    </row>
    <row r="1155" spans="1:14" ht="28.8" x14ac:dyDescent="0.3">
      <c r="A1155">
        <v>67</v>
      </c>
      <c r="B1155">
        <v>2024</v>
      </c>
      <c r="C1155" s="2">
        <v>45534</v>
      </c>
      <c r="D1155" s="7" t="s">
        <v>11</v>
      </c>
      <c r="E1155" s="8" t="s">
        <v>14</v>
      </c>
      <c r="F1155" s="8" t="s">
        <v>13</v>
      </c>
      <c r="G1155" s="9"/>
      <c r="H1155" s="10">
        <v>60</v>
      </c>
      <c r="I1155" s="10">
        <v>84</v>
      </c>
      <c r="J1155" s="10">
        <v>72</v>
      </c>
      <c r="K1155" s="10">
        <v>72</v>
      </c>
      <c r="L1155" t="str">
        <f t="shared" ref="L1155:L1218" si="54">IF(H1155&gt;I1155,"ERRO","OK")</f>
        <v>OK</v>
      </c>
      <c r="M1155" t="str">
        <f t="shared" ref="M1155:M1218" si="55">IF(H1155&gt;J1155,"ERRO","OK")</f>
        <v>OK</v>
      </c>
      <c r="N1155" t="str">
        <f t="shared" ref="N1155:N1218" si="56">IF(I1155&lt;J1155,"ERRO","OK")</f>
        <v>OK</v>
      </c>
    </row>
    <row r="1156" spans="1:14" ht="28.8" x14ac:dyDescent="0.3">
      <c r="A1156">
        <v>67</v>
      </c>
      <c r="B1156">
        <v>2024</v>
      </c>
      <c r="C1156" s="2">
        <v>45534</v>
      </c>
      <c r="D1156" s="3" t="s">
        <v>11</v>
      </c>
      <c r="E1156" s="4" t="s">
        <v>15</v>
      </c>
      <c r="F1156" s="4" t="s">
        <v>13</v>
      </c>
      <c r="G1156" s="6">
        <v>30</v>
      </c>
      <c r="H1156" s="6">
        <v>30</v>
      </c>
      <c r="I1156" s="6">
        <v>42</v>
      </c>
      <c r="J1156" s="6" t="s">
        <v>309</v>
      </c>
      <c r="K1156" s="6">
        <v>33</v>
      </c>
      <c r="L1156" t="str">
        <f t="shared" si="54"/>
        <v>OK</v>
      </c>
      <c r="M1156" t="str">
        <f t="shared" si="55"/>
        <v>OK</v>
      </c>
      <c r="N1156" t="str">
        <f t="shared" si="56"/>
        <v>ERRO</v>
      </c>
    </row>
    <row r="1157" spans="1:14" ht="28.8" x14ac:dyDescent="0.3">
      <c r="A1157">
        <v>67</v>
      </c>
      <c r="B1157">
        <v>2024</v>
      </c>
      <c r="C1157" s="2">
        <v>45534</v>
      </c>
      <c r="D1157" s="7" t="s">
        <v>11</v>
      </c>
      <c r="E1157" s="8" t="s">
        <v>16</v>
      </c>
      <c r="F1157" s="8" t="s">
        <v>13</v>
      </c>
      <c r="G1157" s="10">
        <v>24</v>
      </c>
      <c r="H1157" s="10">
        <v>18</v>
      </c>
      <c r="I1157" s="10">
        <v>24</v>
      </c>
      <c r="J1157" s="10">
        <v>21</v>
      </c>
      <c r="K1157" s="10">
        <v>21</v>
      </c>
      <c r="L1157" t="str">
        <f t="shared" si="54"/>
        <v>OK</v>
      </c>
      <c r="M1157" t="str">
        <f t="shared" si="55"/>
        <v>OK</v>
      </c>
      <c r="N1157" t="str">
        <f t="shared" si="56"/>
        <v>OK</v>
      </c>
    </row>
    <row r="1158" spans="1:14" ht="28.8" x14ac:dyDescent="0.3">
      <c r="A1158">
        <v>67</v>
      </c>
      <c r="B1158">
        <v>2024</v>
      </c>
      <c r="C1158" s="2">
        <v>45534</v>
      </c>
      <c r="D1158" s="3" t="s">
        <v>11</v>
      </c>
      <c r="E1158" s="4" t="s">
        <v>17</v>
      </c>
      <c r="F1158" s="4" t="s">
        <v>13</v>
      </c>
      <c r="G1158" s="6">
        <v>24</v>
      </c>
      <c r="H1158" s="6">
        <v>18</v>
      </c>
      <c r="I1158" s="6">
        <v>24</v>
      </c>
      <c r="J1158" s="6">
        <v>22</v>
      </c>
      <c r="K1158" s="6">
        <v>24</v>
      </c>
      <c r="L1158" t="str">
        <f t="shared" si="54"/>
        <v>OK</v>
      </c>
      <c r="M1158" t="str">
        <f t="shared" si="55"/>
        <v>OK</v>
      </c>
      <c r="N1158" t="str">
        <f t="shared" si="56"/>
        <v>OK</v>
      </c>
    </row>
    <row r="1159" spans="1:14" ht="28.8" x14ac:dyDescent="0.3">
      <c r="A1159">
        <v>67</v>
      </c>
      <c r="B1159">
        <v>2024</v>
      </c>
      <c r="C1159" s="2">
        <v>45534</v>
      </c>
      <c r="D1159" s="7" t="s">
        <v>11</v>
      </c>
      <c r="E1159" s="8" t="s">
        <v>18</v>
      </c>
      <c r="F1159" s="8" t="s">
        <v>13</v>
      </c>
      <c r="G1159" s="10">
        <v>60</v>
      </c>
      <c r="H1159" s="10">
        <v>48</v>
      </c>
      <c r="I1159" s="10">
        <v>60</v>
      </c>
      <c r="J1159" s="10">
        <v>56</v>
      </c>
      <c r="K1159" s="10">
        <v>60</v>
      </c>
      <c r="L1159" t="str">
        <f t="shared" si="54"/>
        <v>OK</v>
      </c>
      <c r="M1159" t="str">
        <f t="shared" si="55"/>
        <v>OK</v>
      </c>
      <c r="N1159" t="str">
        <f t="shared" si="56"/>
        <v>OK</v>
      </c>
    </row>
    <row r="1160" spans="1:14" ht="28.8" x14ac:dyDescent="0.3">
      <c r="A1160">
        <v>67</v>
      </c>
      <c r="B1160">
        <v>2024</v>
      </c>
      <c r="C1160" s="2">
        <v>45534</v>
      </c>
      <c r="D1160" s="3" t="s">
        <v>11</v>
      </c>
      <c r="E1160" s="4" t="s">
        <v>19</v>
      </c>
      <c r="F1160" s="4" t="s">
        <v>13</v>
      </c>
      <c r="G1160" s="6">
        <v>60</v>
      </c>
      <c r="H1160" s="6">
        <v>60</v>
      </c>
      <c r="I1160" s="6">
        <v>60</v>
      </c>
      <c r="J1160" s="6">
        <v>60</v>
      </c>
      <c r="K1160" s="6">
        <v>60</v>
      </c>
      <c r="L1160" t="str">
        <f t="shared" si="54"/>
        <v>OK</v>
      </c>
      <c r="M1160" t="str">
        <f t="shared" si="55"/>
        <v>OK</v>
      </c>
      <c r="N1160" t="str">
        <f t="shared" si="56"/>
        <v>OK</v>
      </c>
    </row>
    <row r="1161" spans="1:14" ht="28.8" x14ac:dyDescent="0.3">
      <c r="A1161">
        <v>67</v>
      </c>
      <c r="B1161">
        <v>2024</v>
      </c>
      <c r="C1161" s="2">
        <v>45534</v>
      </c>
      <c r="D1161" s="7" t="s">
        <v>11</v>
      </c>
      <c r="E1161" s="8" t="s">
        <v>20</v>
      </c>
      <c r="F1161" s="8" t="s">
        <v>13</v>
      </c>
      <c r="G1161" s="10">
        <v>72</v>
      </c>
      <c r="H1161" s="10">
        <v>40</v>
      </c>
      <c r="I1161" s="10">
        <v>72</v>
      </c>
      <c r="J1161" s="10">
        <v>64</v>
      </c>
      <c r="K1161" s="10">
        <v>72</v>
      </c>
      <c r="L1161" t="str">
        <f t="shared" si="54"/>
        <v>OK</v>
      </c>
      <c r="M1161" t="str">
        <f t="shared" si="55"/>
        <v>OK</v>
      </c>
      <c r="N1161" t="str">
        <f t="shared" si="56"/>
        <v>OK</v>
      </c>
    </row>
    <row r="1162" spans="1:14" ht="28.8" x14ac:dyDescent="0.3">
      <c r="A1162">
        <v>67</v>
      </c>
      <c r="B1162">
        <v>2024</v>
      </c>
      <c r="C1162" s="2">
        <v>45534</v>
      </c>
      <c r="D1162" s="3" t="s">
        <v>11</v>
      </c>
      <c r="E1162" s="4" t="s">
        <v>21</v>
      </c>
      <c r="F1162" s="4" t="s">
        <v>13</v>
      </c>
      <c r="G1162" s="6">
        <v>24</v>
      </c>
      <c r="H1162" s="6">
        <v>15</v>
      </c>
      <c r="I1162" s="6">
        <v>24</v>
      </c>
      <c r="J1162" s="6" t="s">
        <v>120</v>
      </c>
      <c r="K1162" s="6">
        <v>21</v>
      </c>
      <c r="L1162" t="str">
        <f t="shared" si="54"/>
        <v>OK</v>
      </c>
      <c r="M1162" t="str">
        <f t="shared" si="55"/>
        <v>OK</v>
      </c>
      <c r="N1162" t="str">
        <f t="shared" si="56"/>
        <v>ERRO</v>
      </c>
    </row>
    <row r="1163" spans="1:14" ht="28.8" x14ac:dyDescent="0.3">
      <c r="A1163">
        <v>67</v>
      </c>
      <c r="B1163">
        <v>2024</v>
      </c>
      <c r="C1163" s="2">
        <v>45534</v>
      </c>
      <c r="D1163" s="7" t="s">
        <v>11</v>
      </c>
      <c r="E1163" s="8" t="s">
        <v>73</v>
      </c>
      <c r="F1163" s="8" t="s">
        <v>13</v>
      </c>
      <c r="G1163" s="10">
        <v>60</v>
      </c>
      <c r="H1163" s="10">
        <v>60</v>
      </c>
      <c r="I1163" s="10">
        <v>72</v>
      </c>
      <c r="J1163" s="10">
        <v>64</v>
      </c>
      <c r="K1163" s="10">
        <v>60</v>
      </c>
      <c r="L1163" t="str">
        <f t="shared" si="54"/>
        <v>OK</v>
      </c>
      <c r="M1163" t="str">
        <f t="shared" si="55"/>
        <v>OK</v>
      </c>
      <c r="N1163" t="str">
        <f t="shared" si="56"/>
        <v>OK</v>
      </c>
    </row>
    <row r="1164" spans="1:14" ht="28.8" x14ac:dyDescent="0.3">
      <c r="A1164">
        <v>67</v>
      </c>
      <c r="B1164">
        <v>2024</v>
      </c>
      <c r="C1164" s="2">
        <v>45534</v>
      </c>
      <c r="D1164" s="3" t="s">
        <v>11</v>
      </c>
      <c r="E1164" s="4" t="s">
        <v>23</v>
      </c>
      <c r="F1164" s="4" t="s">
        <v>13</v>
      </c>
      <c r="G1164" s="6">
        <v>24</v>
      </c>
      <c r="H1164" s="6">
        <v>18</v>
      </c>
      <c r="I1164" s="6">
        <v>24</v>
      </c>
      <c r="J1164" s="6" t="s">
        <v>37</v>
      </c>
      <c r="K1164" s="6">
        <v>24</v>
      </c>
      <c r="L1164" t="str">
        <f t="shared" si="54"/>
        <v>OK</v>
      </c>
      <c r="M1164" t="str">
        <f t="shared" si="55"/>
        <v>OK</v>
      </c>
      <c r="N1164" t="str">
        <f t="shared" si="56"/>
        <v>ERRO</v>
      </c>
    </row>
    <row r="1165" spans="1:14" ht="28.8" x14ac:dyDescent="0.3">
      <c r="A1165">
        <v>67</v>
      </c>
      <c r="B1165">
        <v>2024</v>
      </c>
      <c r="C1165" s="2">
        <v>45534</v>
      </c>
      <c r="D1165" s="7" t="s">
        <v>11</v>
      </c>
      <c r="E1165" s="8" t="s">
        <v>24</v>
      </c>
      <c r="F1165" s="8" t="s">
        <v>13</v>
      </c>
      <c r="G1165" s="10">
        <v>60</v>
      </c>
      <c r="H1165" s="10">
        <v>48</v>
      </c>
      <c r="I1165" s="10">
        <v>60</v>
      </c>
      <c r="J1165" s="10">
        <v>56</v>
      </c>
      <c r="K1165" s="10">
        <v>60</v>
      </c>
      <c r="L1165" t="str">
        <f t="shared" si="54"/>
        <v>OK</v>
      </c>
      <c r="M1165" t="str">
        <f t="shared" si="55"/>
        <v>OK</v>
      </c>
      <c r="N1165" t="str">
        <f t="shared" si="56"/>
        <v>OK</v>
      </c>
    </row>
    <row r="1166" spans="1:14" ht="28.8" x14ac:dyDescent="0.3">
      <c r="A1166">
        <v>67</v>
      </c>
      <c r="B1166">
        <v>2024</v>
      </c>
      <c r="C1166" s="2">
        <v>45534</v>
      </c>
      <c r="D1166" s="3" t="s">
        <v>11</v>
      </c>
      <c r="E1166" s="4" t="s">
        <v>25</v>
      </c>
      <c r="F1166" s="4" t="s">
        <v>26</v>
      </c>
      <c r="G1166" s="6">
        <v>48</v>
      </c>
      <c r="H1166" s="6">
        <v>42</v>
      </c>
      <c r="I1166" s="6">
        <v>48</v>
      </c>
      <c r="J1166" s="6" t="s">
        <v>174</v>
      </c>
      <c r="K1166" s="6">
        <v>48</v>
      </c>
      <c r="L1166" t="str">
        <f t="shared" si="54"/>
        <v>OK</v>
      </c>
      <c r="M1166" t="str">
        <f t="shared" si="55"/>
        <v>OK</v>
      </c>
      <c r="N1166" t="str">
        <f t="shared" si="56"/>
        <v>ERRO</v>
      </c>
    </row>
    <row r="1167" spans="1:14" ht="28.8" x14ac:dyDescent="0.3">
      <c r="A1167">
        <v>67</v>
      </c>
      <c r="B1167">
        <v>2024</v>
      </c>
      <c r="C1167" s="2">
        <v>45534</v>
      </c>
      <c r="D1167" s="7" t="s">
        <v>11</v>
      </c>
      <c r="E1167" s="8" t="s">
        <v>27</v>
      </c>
      <c r="F1167" s="8" t="s">
        <v>13</v>
      </c>
      <c r="G1167" s="10">
        <v>60</v>
      </c>
      <c r="H1167" s="10">
        <v>60</v>
      </c>
      <c r="I1167" s="10">
        <v>60</v>
      </c>
      <c r="J1167" s="10">
        <v>60</v>
      </c>
      <c r="K1167" s="10">
        <v>60</v>
      </c>
      <c r="L1167" t="str">
        <f t="shared" si="54"/>
        <v>OK</v>
      </c>
      <c r="M1167" t="str">
        <f t="shared" si="55"/>
        <v>OK</v>
      </c>
      <c r="N1167" t="str">
        <f t="shared" si="56"/>
        <v>OK</v>
      </c>
    </row>
    <row r="1168" spans="1:14" ht="28.8" x14ac:dyDescent="0.3">
      <c r="A1168">
        <v>67</v>
      </c>
      <c r="B1168">
        <v>2024</v>
      </c>
      <c r="C1168" s="2">
        <v>45534</v>
      </c>
      <c r="D1168" s="3" t="s">
        <v>11</v>
      </c>
      <c r="E1168" s="4" t="s">
        <v>28</v>
      </c>
      <c r="F1168" s="4" t="s">
        <v>13</v>
      </c>
      <c r="G1168" s="6">
        <v>36</v>
      </c>
      <c r="H1168" s="6">
        <v>30</v>
      </c>
      <c r="I1168" s="6">
        <v>36</v>
      </c>
      <c r="J1168" s="6" t="s">
        <v>106</v>
      </c>
      <c r="K1168" s="6" t="s">
        <v>145</v>
      </c>
      <c r="L1168" t="str">
        <f t="shared" si="54"/>
        <v>OK</v>
      </c>
      <c r="M1168" t="str">
        <f t="shared" si="55"/>
        <v>OK</v>
      </c>
      <c r="N1168" t="str">
        <f t="shared" si="56"/>
        <v>ERRO</v>
      </c>
    </row>
    <row r="1169" spans="1:14" ht="28.8" x14ac:dyDescent="0.3">
      <c r="A1169">
        <v>67</v>
      </c>
      <c r="B1169">
        <v>2024</v>
      </c>
      <c r="C1169" s="2">
        <v>45534</v>
      </c>
      <c r="D1169" s="7" t="s">
        <v>11</v>
      </c>
      <c r="E1169" s="8" t="s">
        <v>29</v>
      </c>
      <c r="F1169" s="8" t="s">
        <v>13</v>
      </c>
      <c r="G1169" s="10">
        <v>48</v>
      </c>
      <c r="H1169" s="10">
        <v>48</v>
      </c>
      <c r="I1169" s="10">
        <v>54</v>
      </c>
      <c r="J1169" s="10" t="s">
        <v>173</v>
      </c>
      <c r="K1169" s="10">
        <v>48</v>
      </c>
      <c r="L1169" t="str">
        <f t="shared" si="54"/>
        <v>OK</v>
      </c>
      <c r="M1169" t="str">
        <f t="shared" si="55"/>
        <v>OK</v>
      </c>
      <c r="N1169" t="str">
        <f t="shared" si="56"/>
        <v>ERRO</v>
      </c>
    </row>
    <row r="1170" spans="1:14" ht="28.8" x14ac:dyDescent="0.3">
      <c r="A1170">
        <v>67</v>
      </c>
      <c r="B1170">
        <v>2024</v>
      </c>
      <c r="C1170" s="2">
        <v>45534</v>
      </c>
      <c r="D1170" s="3" t="s">
        <v>11</v>
      </c>
      <c r="E1170" s="4" t="s">
        <v>31</v>
      </c>
      <c r="F1170" s="4" t="s">
        <v>32</v>
      </c>
      <c r="G1170" s="6">
        <v>5</v>
      </c>
      <c r="H1170" s="6">
        <v>5</v>
      </c>
      <c r="I1170" s="6">
        <v>5</v>
      </c>
      <c r="J1170" s="6">
        <v>5</v>
      </c>
      <c r="K1170" s="6">
        <v>5</v>
      </c>
      <c r="L1170" t="str">
        <f t="shared" si="54"/>
        <v>OK</v>
      </c>
      <c r="M1170" t="str">
        <f t="shared" si="55"/>
        <v>OK</v>
      </c>
      <c r="N1170" t="str">
        <f t="shared" si="56"/>
        <v>OK</v>
      </c>
    </row>
    <row r="1171" spans="1:14" ht="28.8" x14ac:dyDescent="0.3">
      <c r="A1171">
        <v>67</v>
      </c>
      <c r="B1171">
        <v>2024</v>
      </c>
      <c r="C1171" s="2">
        <v>45534</v>
      </c>
      <c r="D1171" s="7" t="s">
        <v>11</v>
      </c>
      <c r="E1171" s="8" t="s">
        <v>34</v>
      </c>
      <c r="F1171" s="8" t="s">
        <v>35</v>
      </c>
      <c r="G1171" s="10">
        <v>10</v>
      </c>
      <c r="H1171" s="10">
        <v>10</v>
      </c>
      <c r="I1171" s="10">
        <v>10</v>
      </c>
      <c r="J1171" s="10">
        <v>10</v>
      </c>
      <c r="K1171" s="10">
        <v>10</v>
      </c>
      <c r="L1171" t="str">
        <f t="shared" si="54"/>
        <v>OK</v>
      </c>
      <c r="M1171" t="str">
        <f t="shared" si="55"/>
        <v>OK</v>
      </c>
      <c r="N1171" t="str">
        <f t="shared" si="56"/>
        <v>OK</v>
      </c>
    </row>
    <row r="1172" spans="1:14" ht="28.8" x14ac:dyDescent="0.3">
      <c r="A1172">
        <v>67</v>
      </c>
      <c r="B1172">
        <v>2024</v>
      </c>
      <c r="C1172" s="2">
        <v>45534</v>
      </c>
      <c r="D1172" s="3" t="s">
        <v>11</v>
      </c>
      <c r="E1172" s="4" t="s">
        <v>36</v>
      </c>
      <c r="F1172" s="4" t="s">
        <v>35</v>
      </c>
      <c r="G1172" s="6">
        <v>20</v>
      </c>
      <c r="H1172" s="6">
        <v>20</v>
      </c>
      <c r="I1172" s="6">
        <v>30</v>
      </c>
      <c r="J1172" s="6" t="s">
        <v>310</v>
      </c>
      <c r="K1172" s="6" t="s">
        <v>37</v>
      </c>
      <c r="L1172" t="str">
        <f t="shared" si="54"/>
        <v>OK</v>
      </c>
      <c r="M1172" t="str">
        <f t="shared" si="55"/>
        <v>OK</v>
      </c>
      <c r="N1172" t="str">
        <f t="shared" si="56"/>
        <v>ERRO</v>
      </c>
    </row>
    <row r="1173" spans="1:14" ht="43.2" x14ac:dyDescent="0.3">
      <c r="A1173">
        <v>67</v>
      </c>
      <c r="B1173">
        <v>2024</v>
      </c>
      <c r="C1173" s="2">
        <v>45534</v>
      </c>
      <c r="D1173" s="7" t="s">
        <v>38</v>
      </c>
      <c r="E1173" s="8" t="s">
        <v>153</v>
      </c>
      <c r="F1173" s="8" t="s">
        <v>154</v>
      </c>
      <c r="G1173" s="9"/>
      <c r="H1173" s="10">
        <v>70</v>
      </c>
      <c r="I1173" s="10">
        <v>80</v>
      </c>
      <c r="J1173" s="10">
        <v>75</v>
      </c>
      <c r="K1173" s="10">
        <v>75</v>
      </c>
      <c r="L1173" t="str">
        <f t="shared" si="54"/>
        <v>OK</v>
      </c>
      <c r="M1173" t="str">
        <f t="shared" si="55"/>
        <v>OK</v>
      </c>
      <c r="N1173" t="str">
        <f t="shared" si="56"/>
        <v>OK</v>
      </c>
    </row>
    <row r="1174" spans="1:14" ht="43.2" x14ac:dyDescent="0.3">
      <c r="A1174">
        <v>67</v>
      </c>
      <c r="B1174">
        <v>2024</v>
      </c>
      <c r="C1174" s="2">
        <v>45534</v>
      </c>
      <c r="D1174" s="3" t="s">
        <v>38</v>
      </c>
      <c r="E1174" s="4" t="s">
        <v>39</v>
      </c>
      <c r="F1174" s="4" t="s">
        <v>40</v>
      </c>
      <c r="G1174" s="6">
        <v>60</v>
      </c>
      <c r="H1174" s="6">
        <v>50</v>
      </c>
      <c r="I1174" s="6">
        <v>60</v>
      </c>
      <c r="J1174" s="6" t="s">
        <v>41</v>
      </c>
      <c r="K1174" s="6">
        <v>60</v>
      </c>
      <c r="L1174" t="str">
        <f t="shared" si="54"/>
        <v>OK</v>
      </c>
      <c r="M1174" t="str">
        <f t="shared" si="55"/>
        <v>OK</v>
      </c>
      <c r="N1174" t="str">
        <f t="shared" si="56"/>
        <v>ERRO</v>
      </c>
    </row>
    <row r="1175" spans="1:14" ht="43.2" x14ac:dyDescent="0.3">
      <c r="A1175">
        <v>67</v>
      </c>
      <c r="B1175">
        <v>2024</v>
      </c>
      <c r="C1175" s="2">
        <v>45534</v>
      </c>
      <c r="D1175" s="7" t="s">
        <v>38</v>
      </c>
      <c r="E1175" s="8" t="s">
        <v>42</v>
      </c>
      <c r="F1175" s="8" t="s">
        <v>43</v>
      </c>
      <c r="G1175" s="9"/>
      <c r="H1175" s="10">
        <v>35</v>
      </c>
      <c r="I1175" s="10">
        <v>80</v>
      </c>
      <c r="J1175" s="10">
        <v>56</v>
      </c>
      <c r="K1175" s="10">
        <v>50</v>
      </c>
      <c r="L1175" t="str">
        <f t="shared" si="54"/>
        <v>OK</v>
      </c>
      <c r="M1175" t="str">
        <f t="shared" si="55"/>
        <v>OK</v>
      </c>
      <c r="N1175" t="str">
        <f t="shared" si="56"/>
        <v>OK</v>
      </c>
    </row>
    <row r="1176" spans="1:14" ht="43.2" x14ac:dyDescent="0.3">
      <c r="A1176">
        <v>67</v>
      </c>
      <c r="B1176">
        <v>2024</v>
      </c>
      <c r="C1176" s="2">
        <v>45534</v>
      </c>
      <c r="D1176" s="3" t="s">
        <v>38</v>
      </c>
      <c r="E1176" s="4" t="s">
        <v>44</v>
      </c>
      <c r="F1176" s="4" t="s">
        <v>45</v>
      </c>
      <c r="G1176" s="6">
        <v>45</v>
      </c>
      <c r="H1176" s="6">
        <v>45</v>
      </c>
      <c r="I1176" s="6">
        <v>60</v>
      </c>
      <c r="J1176" s="6">
        <v>50</v>
      </c>
      <c r="K1176" s="6" t="s">
        <v>91</v>
      </c>
      <c r="L1176" t="str">
        <f t="shared" si="54"/>
        <v>OK</v>
      </c>
      <c r="M1176" t="str">
        <f t="shared" si="55"/>
        <v>OK</v>
      </c>
      <c r="N1176" t="str">
        <f t="shared" si="56"/>
        <v>OK</v>
      </c>
    </row>
    <row r="1177" spans="1:14" ht="43.2" x14ac:dyDescent="0.3">
      <c r="A1177">
        <v>67</v>
      </c>
      <c r="B1177">
        <v>2024</v>
      </c>
      <c r="C1177" s="2">
        <v>45534</v>
      </c>
      <c r="D1177" s="7" t="s">
        <v>38</v>
      </c>
      <c r="E1177" s="8" t="s">
        <v>48</v>
      </c>
      <c r="F1177" s="8" t="s">
        <v>45</v>
      </c>
      <c r="G1177" s="9"/>
      <c r="H1177" s="9"/>
      <c r="I1177" s="9"/>
      <c r="J1177" s="9"/>
      <c r="K1177" s="9"/>
      <c r="L1177" t="str">
        <f t="shared" si="54"/>
        <v>OK</v>
      </c>
      <c r="M1177" t="str">
        <f t="shared" si="55"/>
        <v>OK</v>
      </c>
      <c r="N1177" t="str">
        <f t="shared" si="56"/>
        <v>OK</v>
      </c>
    </row>
    <row r="1178" spans="1:14" ht="43.2" x14ac:dyDescent="0.3">
      <c r="A1178">
        <v>67</v>
      </c>
      <c r="B1178">
        <v>2024</v>
      </c>
      <c r="C1178" s="2">
        <v>45534</v>
      </c>
      <c r="D1178" s="3" t="s">
        <v>38</v>
      </c>
      <c r="E1178" s="4" t="s">
        <v>49</v>
      </c>
      <c r="F1178" s="4" t="s">
        <v>50</v>
      </c>
      <c r="G1178" s="6">
        <v>60</v>
      </c>
      <c r="H1178" s="6">
        <v>35</v>
      </c>
      <c r="I1178" s="6">
        <v>70</v>
      </c>
      <c r="J1178" s="6">
        <v>57</v>
      </c>
      <c r="K1178" s="6">
        <v>60</v>
      </c>
      <c r="L1178" t="str">
        <f t="shared" si="54"/>
        <v>OK</v>
      </c>
      <c r="M1178" t="str">
        <f t="shared" si="55"/>
        <v>OK</v>
      </c>
      <c r="N1178" t="str">
        <f t="shared" si="56"/>
        <v>OK</v>
      </c>
    </row>
    <row r="1179" spans="1:14" ht="43.2" x14ac:dyDescent="0.3">
      <c r="A1179">
        <v>67</v>
      </c>
      <c r="B1179">
        <v>2024</v>
      </c>
      <c r="C1179" s="2">
        <v>45534</v>
      </c>
      <c r="D1179" s="7" t="s">
        <v>38</v>
      </c>
      <c r="E1179" s="8" t="s">
        <v>52</v>
      </c>
      <c r="F1179" s="8" t="s">
        <v>43</v>
      </c>
      <c r="G1179" s="10">
        <v>60</v>
      </c>
      <c r="H1179" s="10">
        <v>35</v>
      </c>
      <c r="I1179" s="10">
        <v>60</v>
      </c>
      <c r="J1179" s="10">
        <v>46</v>
      </c>
      <c r="K1179" s="10">
        <v>40</v>
      </c>
      <c r="L1179" t="str">
        <f t="shared" si="54"/>
        <v>OK</v>
      </c>
      <c r="M1179" t="str">
        <f t="shared" si="55"/>
        <v>OK</v>
      </c>
      <c r="N1179" t="str">
        <f t="shared" si="56"/>
        <v>OK</v>
      </c>
    </row>
    <row r="1180" spans="1:14" ht="43.2" x14ac:dyDescent="0.3">
      <c r="A1180">
        <v>67</v>
      </c>
      <c r="B1180">
        <v>2024</v>
      </c>
      <c r="C1180" s="2">
        <v>45534</v>
      </c>
      <c r="D1180" s="3" t="s">
        <v>38</v>
      </c>
      <c r="E1180" s="4" t="s">
        <v>53</v>
      </c>
      <c r="F1180" s="4" t="s">
        <v>43</v>
      </c>
      <c r="G1180" s="5"/>
      <c r="H1180" s="6">
        <v>50</v>
      </c>
      <c r="I1180" s="6">
        <v>80</v>
      </c>
      <c r="J1180" s="6">
        <v>65</v>
      </c>
      <c r="K1180" s="6">
        <v>65</v>
      </c>
      <c r="L1180" t="str">
        <f t="shared" si="54"/>
        <v>OK</v>
      </c>
      <c r="M1180" t="str">
        <f t="shared" si="55"/>
        <v>OK</v>
      </c>
      <c r="N1180" t="str">
        <f t="shared" si="56"/>
        <v>OK</v>
      </c>
    </row>
    <row r="1181" spans="1:14" ht="43.2" x14ac:dyDescent="0.3">
      <c r="A1181">
        <v>67</v>
      </c>
      <c r="B1181">
        <v>2024</v>
      </c>
      <c r="C1181" s="2">
        <v>45534</v>
      </c>
      <c r="D1181" s="7" t="s">
        <v>38</v>
      </c>
      <c r="E1181" s="8" t="s">
        <v>54</v>
      </c>
      <c r="F1181" s="8" t="s">
        <v>40</v>
      </c>
      <c r="G1181" s="9"/>
      <c r="H1181" s="10">
        <v>80</v>
      </c>
      <c r="I1181" s="10">
        <v>110</v>
      </c>
      <c r="J1181" s="10">
        <v>95</v>
      </c>
      <c r="K1181" s="10">
        <v>95</v>
      </c>
      <c r="L1181" t="str">
        <f t="shared" si="54"/>
        <v>OK</v>
      </c>
      <c r="M1181" t="str">
        <f t="shared" si="55"/>
        <v>OK</v>
      </c>
      <c r="N1181" t="str">
        <f t="shared" si="56"/>
        <v>OK</v>
      </c>
    </row>
    <row r="1182" spans="1:14" ht="43.2" x14ac:dyDescent="0.3">
      <c r="A1182">
        <v>67</v>
      </c>
      <c r="B1182">
        <v>2024</v>
      </c>
      <c r="C1182" s="2">
        <v>45534</v>
      </c>
      <c r="D1182" s="3" t="s">
        <v>38</v>
      </c>
      <c r="E1182" s="4" t="s">
        <v>56</v>
      </c>
      <c r="F1182" s="4" t="s">
        <v>43</v>
      </c>
      <c r="G1182" s="5"/>
      <c r="H1182" s="5"/>
      <c r="I1182" s="5"/>
      <c r="J1182" s="5"/>
      <c r="K1182" s="5"/>
      <c r="L1182" t="str">
        <f t="shared" si="54"/>
        <v>OK</v>
      </c>
      <c r="M1182" t="str">
        <f t="shared" si="55"/>
        <v>OK</v>
      </c>
      <c r="N1182" t="str">
        <f t="shared" si="56"/>
        <v>OK</v>
      </c>
    </row>
    <row r="1183" spans="1:14" ht="43.2" x14ac:dyDescent="0.3">
      <c r="A1183">
        <v>67</v>
      </c>
      <c r="B1183">
        <v>2024</v>
      </c>
      <c r="C1183" s="2">
        <v>45534</v>
      </c>
      <c r="D1183" s="7" t="s">
        <v>38</v>
      </c>
      <c r="E1183" s="8" t="s">
        <v>57</v>
      </c>
      <c r="F1183" s="8" t="s">
        <v>40</v>
      </c>
      <c r="G1183" s="9"/>
      <c r="H1183" s="10">
        <v>25</v>
      </c>
      <c r="I1183" s="10">
        <v>80</v>
      </c>
      <c r="J1183" s="10" t="s">
        <v>258</v>
      </c>
      <c r="K1183" s="10">
        <v>70</v>
      </c>
      <c r="L1183" t="str">
        <f t="shared" si="54"/>
        <v>OK</v>
      </c>
      <c r="M1183" t="str">
        <f t="shared" si="55"/>
        <v>OK</v>
      </c>
      <c r="N1183" t="str">
        <f t="shared" si="56"/>
        <v>ERRO</v>
      </c>
    </row>
    <row r="1184" spans="1:14" ht="43.2" x14ac:dyDescent="0.3">
      <c r="A1184">
        <v>67</v>
      </c>
      <c r="B1184">
        <v>2024</v>
      </c>
      <c r="C1184" s="2">
        <v>45534</v>
      </c>
      <c r="D1184" s="3" t="s">
        <v>38</v>
      </c>
      <c r="E1184" s="4" t="s">
        <v>58</v>
      </c>
      <c r="F1184" s="4" t="s">
        <v>40</v>
      </c>
      <c r="G1184" s="5"/>
      <c r="H1184" s="6">
        <v>70</v>
      </c>
      <c r="I1184" s="6">
        <v>120</v>
      </c>
      <c r="J1184" s="6">
        <v>90</v>
      </c>
      <c r="K1184" s="6">
        <v>80</v>
      </c>
      <c r="L1184" t="str">
        <f t="shared" si="54"/>
        <v>OK</v>
      </c>
      <c r="M1184" t="str">
        <f t="shared" si="55"/>
        <v>OK</v>
      </c>
      <c r="N1184" t="str">
        <f t="shared" si="56"/>
        <v>OK</v>
      </c>
    </row>
    <row r="1185" spans="1:14" ht="43.2" x14ac:dyDescent="0.3">
      <c r="A1185">
        <v>67</v>
      </c>
      <c r="B1185">
        <v>2024</v>
      </c>
      <c r="C1185" s="2">
        <v>45534</v>
      </c>
      <c r="D1185" s="7" t="s">
        <v>38</v>
      </c>
      <c r="E1185" s="8" t="s">
        <v>59</v>
      </c>
      <c r="F1185" s="8" t="s">
        <v>45</v>
      </c>
      <c r="G1185" s="10">
        <v>50</v>
      </c>
      <c r="H1185" s="10">
        <v>25</v>
      </c>
      <c r="I1185" s="10">
        <v>60</v>
      </c>
      <c r="J1185" s="10">
        <v>48</v>
      </c>
      <c r="K1185" s="10">
        <v>50</v>
      </c>
      <c r="L1185" t="str">
        <f t="shared" si="54"/>
        <v>OK</v>
      </c>
      <c r="M1185" t="str">
        <f t="shared" si="55"/>
        <v>OK</v>
      </c>
      <c r="N1185" t="str">
        <f t="shared" si="56"/>
        <v>OK</v>
      </c>
    </row>
    <row r="1186" spans="1:14" ht="43.2" x14ac:dyDescent="0.3">
      <c r="A1186">
        <v>67</v>
      </c>
      <c r="B1186">
        <v>2024</v>
      </c>
      <c r="C1186" s="2">
        <v>45534</v>
      </c>
      <c r="D1186" s="3" t="s">
        <v>38</v>
      </c>
      <c r="E1186" s="4" t="s">
        <v>60</v>
      </c>
      <c r="F1186" s="4" t="s">
        <v>61</v>
      </c>
      <c r="G1186" s="5"/>
      <c r="H1186" s="6">
        <v>120</v>
      </c>
      <c r="I1186" s="6">
        <v>140</v>
      </c>
      <c r="J1186" s="6">
        <v>130</v>
      </c>
      <c r="K1186" s="6">
        <v>130</v>
      </c>
      <c r="L1186" t="str">
        <f t="shared" si="54"/>
        <v>OK</v>
      </c>
      <c r="M1186" t="str">
        <f t="shared" si="55"/>
        <v>OK</v>
      </c>
      <c r="N1186" t="str">
        <f t="shared" si="56"/>
        <v>OK</v>
      </c>
    </row>
    <row r="1187" spans="1:14" ht="43.2" x14ac:dyDescent="0.3">
      <c r="A1187">
        <v>67</v>
      </c>
      <c r="B1187">
        <v>2024</v>
      </c>
      <c r="C1187" s="2">
        <v>45534</v>
      </c>
      <c r="D1187" s="7" t="s">
        <v>38</v>
      </c>
      <c r="E1187" s="8" t="s">
        <v>63</v>
      </c>
      <c r="F1187" s="8" t="s">
        <v>40</v>
      </c>
      <c r="G1187" s="10">
        <v>60</v>
      </c>
      <c r="H1187" s="10">
        <v>45</v>
      </c>
      <c r="I1187" s="10">
        <v>60</v>
      </c>
      <c r="J1187" s="10" t="s">
        <v>92</v>
      </c>
      <c r="K1187" s="10">
        <v>55</v>
      </c>
      <c r="L1187" t="str">
        <f t="shared" si="54"/>
        <v>OK</v>
      </c>
      <c r="M1187" t="str">
        <f t="shared" si="55"/>
        <v>OK</v>
      </c>
      <c r="N1187" t="str">
        <f t="shared" si="56"/>
        <v>ERRO</v>
      </c>
    </row>
    <row r="1188" spans="1:14" ht="43.2" x14ac:dyDescent="0.3">
      <c r="A1188">
        <v>67</v>
      </c>
      <c r="B1188">
        <v>2024</v>
      </c>
      <c r="C1188" s="2">
        <v>45534</v>
      </c>
      <c r="D1188" s="3" t="s">
        <v>38</v>
      </c>
      <c r="E1188" s="4" t="s">
        <v>64</v>
      </c>
      <c r="F1188" s="4" t="s">
        <v>40</v>
      </c>
      <c r="G1188" s="5"/>
      <c r="H1188" s="6">
        <v>120</v>
      </c>
      <c r="I1188" s="6">
        <v>120</v>
      </c>
      <c r="J1188" s="6">
        <v>120</v>
      </c>
      <c r="K1188" s="6">
        <v>120</v>
      </c>
      <c r="L1188" t="str">
        <f t="shared" si="54"/>
        <v>OK</v>
      </c>
      <c r="M1188" t="str">
        <f t="shared" si="55"/>
        <v>OK</v>
      </c>
      <c r="N1188" t="str">
        <f t="shared" si="56"/>
        <v>OK</v>
      </c>
    </row>
    <row r="1189" spans="1:14" x14ac:dyDescent="0.3">
      <c r="A1189">
        <v>67</v>
      </c>
      <c r="B1189">
        <v>2024</v>
      </c>
      <c r="C1189" s="2">
        <v>45534</v>
      </c>
      <c r="D1189" s="7" t="s">
        <v>65</v>
      </c>
      <c r="E1189" s="8" t="s">
        <v>66</v>
      </c>
      <c r="F1189" s="8" t="s">
        <v>45</v>
      </c>
      <c r="G1189" s="9"/>
      <c r="H1189" s="9"/>
      <c r="I1189" s="9"/>
      <c r="J1189" s="9"/>
      <c r="K1189" s="9"/>
      <c r="L1189" t="str">
        <f t="shared" si="54"/>
        <v>OK</v>
      </c>
      <c r="M1189" t="str">
        <f t="shared" si="55"/>
        <v>OK</v>
      </c>
      <c r="N1189" t="str">
        <f t="shared" si="56"/>
        <v>OK</v>
      </c>
    </row>
    <row r="1190" spans="1:14" x14ac:dyDescent="0.3">
      <c r="A1190">
        <v>67</v>
      </c>
      <c r="B1190">
        <v>2024</v>
      </c>
      <c r="C1190" s="2">
        <v>45534</v>
      </c>
      <c r="D1190" s="3" t="s">
        <v>65</v>
      </c>
      <c r="E1190" s="4" t="s">
        <v>67</v>
      </c>
      <c r="F1190" s="4" t="s">
        <v>45</v>
      </c>
      <c r="G1190" s="5"/>
      <c r="H1190" s="5"/>
      <c r="I1190" s="5"/>
      <c r="J1190" s="5"/>
      <c r="K1190" s="5"/>
      <c r="L1190" t="str">
        <f t="shared" si="54"/>
        <v>OK</v>
      </c>
      <c r="M1190" t="str">
        <f t="shared" si="55"/>
        <v>OK</v>
      </c>
      <c r="N1190" t="str">
        <f t="shared" si="56"/>
        <v>OK</v>
      </c>
    </row>
    <row r="1191" spans="1:14" x14ac:dyDescent="0.3">
      <c r="A1191">
        <v>67</v>
      </c>
      <c r="B1191">
        <v>2024</v>
      </c>
      <c r="C1191" s="2">
        <v>45534</v>
      </c>
      <c r="D1191" s="7" t="s">
        <v>65</v>
      </c>
      <c r="E1191" s="8" t="s">
        <v>68</v>
      </c>
      <c r="F1191" s="8" t="s">
        <v>45</v>
      </c>
      <c r="G1191" s="9"/>
      <c r="H1191" s="9"/>
      <c r="I1191" s="9"/>
      <c r="J1191" s="9"/>
      <c r="K1191" s="9"/>
      <c r="L1191" t="str">
        <f t="shared" si="54"/>
        <v>OK</v>
      </c>
      <c r="M1191" t="str">
        <f t="shared" si="55"/>
        <v>OK</v>
      </c>
      <c r="N1191" t="str">
        <f t="shared" si="56"/>
        <v>OK</v>
      </c>
    </row>
    <row r="1192" spans="1:14" x14ac:dyDescent="0.3">
      <c r="A1192">
        <v>67</v>
      </c>
      <c r="B1192">
        <v>2024</v>
      </c>
      <c r="C1192" s="2">
        <v>45534</v>
      </c>
      <c r="D1192" s="3" t="s">
        <v>65</v>
      </c>
      <c r="E1192" s="4" t="s">
        <v>69</v>
      </c>
      <c r="F1192" s="4" t="s">
        <v>45</v>
      </c>
      <c r="G1192" s="5"/>
      <c r="H1192" s="6">
        <v>60</v>
      </c>
      <c r="I1192" s="6">
        <v>60</v>
      </c>
      <c r="J1192" s="6">
        <v>60</v>
      </c>
      <c r="K1192" s="6">
        <v>60</v>
      </c>
      <c r="L1192" t="str">
        <f t="shared" si="54"/>
        <v>OK</v>
      </c>
      <c r="M1192" t="str">
        <f t="shared" si="55"/>
        <v>OK</v>
      </c>
      <c r="N1192" t="str">
        <f t="shared" si="56"/>
        <v>OK</v>
      </c>
    </row>
    <row r="1193" spans="1:14" x14ac:dyDescent="0.3">
      <c r="A1193">
        <v>67</v>
      </c>
      <c r="B1193">
        <v>2024</v>
      </c>
      <c r="C1193" s="2">
        <v>45534</v>
      </c>
      <c r="D1193" s="7" t="s">
        <v>65</v>
      </c>
      <c r="E1193" s="8" t="s">
        <v>70</v>
      </c>
      <c r="F1193" s="8" t="s">
        <v>71</v>
      </c>
      <c r="G1193" s="9"/>
      <c r="H1193" s="10">
        <v>80</v>
      </c>
      <c r="I1193" s="10">
        <v>80</v>
      </c>
      <c r="J1193" s="10">
        <v>80</v>
      </c>
      <c r="K1193" s="10">
        <v>80</v>
      </c>
      <c r="L1193" t="str">
        <f t="shared" si="54"/>
        <v>OK</v>
      </c>
      <c r="M1193" t="str">
        <f t="shared" si="55"/>
        <v>OK</v>
      </c>
      <c r="N1193" t="str">
        <f t="shared" si="56"/>
        <v>OK</v>
      </c>
    </row>
    <row r="1194" spans="1:14" ht="28.8" x14ac:dyDescent="0.3">
      <c r="A1194">
        <v>68</v>
      </c>
      <c r="B1194">
        <v>2024</v>
      </c>
      <c r="C1194" s="2">
        <v>45541</v>
      </c>
      <c r="D1194" s="3" t="s">
        <v>11</v>
      </c>
      <c r="E1194" s="4" t="s">
        <v>12</v>
      </c>
      <c r="F1194" s="4" t="s">
        <v>13</v>
      </c>
      <c r="G1194" s="6">
        <v>48</v>
      </c>
      <c r="H1194" s="6">
        <v>48</v>
      </c>
      <c r="I1194" s="6">
        <v>60</v>
      </c>
      <c r="J1194" s="6" t="s">
        <v>290</v>
      </c>
      <c r="K1194" s="6">
        <v>48</v>
      </c>
      <c r="L1194" t="str">
        <f t="shared" si="54"/>
        <v>OK</v>
      </c>
      <c r="M1194" t="str">
        <f t="shared" si="55"/>
        <v>OK</v>
      </c>
      <c r="N1194" t="str">
        <f t="shared" si="56"/>
        <v>ERRO</v>
      </c>
    </row>
    <row r="1195" spans="1:14" ht="28.8" x14ac:dyDescent="0.3">
      <c r="A1195">
        <v>68</v>
      </c>
      <c r="B1195">
        <v>2024</v>
      </c>
      <c r="C1195" s="2">
        <v>45541</v>
      </c>
      <c r="D1195" s="7" t="s">
        <v>11</v>
      </c>
      <c r="E1195" s="8" t="s">
        <v>14</v>
      </c>
      <c r="F1195" s="8" t="s">
        <v>13</v>
      </c>
      <c r="G1195" s="10">
        <v>72</v>
      </c>
      <c r="H1195" s="10">
        <v>72</v>
      </c>
      <c r="I1195" s="10">
        <v>96</v>
      </c>
      <c r="J1195" s="10">
        <v>81</v>
      </c>
      <c r="K1195" s="10">
        <v>78</v>
      </c>
      <c r="L1195" t="str">
        <f t="shared" si="54"/>
        <v>OK</v>
      </c>
      <c r="M1195" t="str">
        <f t="shared" si="55"/>
        <v>OK</v>
      </c>
      <c r="N1195" t="str">
        <f t="shared" si="56"/>
        <v>OK</v>
      </c>
    </row>
    <row r="1196" spans="1:14" ht="28.8" x14ac:dyDescent="0.3">
      <c r="A1196">
        <v>68</v>
      </c>
      <c r="B1196">
        <v>2024</v>
      </c>
      <c r="C1196" s="2">
        <v>45541</v>
      </c>
      <c r="D1196" s="3" t="s">
        <v>11</v>
      </c>
      <c r="E1196" s="4" t="s">
        <v>15</v>
      </c>
      <c r="F1196" s="4" t="s">
        <v>13</v>
      </c>
      <c r="G1196" s="6">
        <v>36</v>
      </c>
      <c r="H1196" s="6">
        <v>25</v>
      </c>
      <c r="I1196" s="6">
        <v>42</v>
      </c>
      <c r="J1196" s="6">
        <v>35</v>
      </c>
      <c r="K1196" s="6">
        <v>36</v>
      </c>
      <c r="L1196" t="str">
        <f t="shared" si="54"/>
        <v>OK</v>
      </c>
      <c r="M1196" t="str">
        <f t="shared" si="55"/>
        <v>OK</v>
      </c>
      <c r="N1196" t="str">
        <f t="shared" si="56"/>
        <v>OK</v>
      </c>
    </row>
    <row r="1197" spans="1:14" ht="28.8" x14ac:dyDescent="0.3">
      <c r="A1197">
        <v>68</v>
      </c>
      <c r="B1197">
        <v>2024</v>
      </c>
      <c r="C1197" s="2">
        <v>45541</v>
      </c>
      <c r="D1197" s="7" t="s">
        <v>11</v>
      </c>
      <c r="E1197" s="8" t="s">
        <v>16</v>
      </c>
      <c r="F1197" s="8" t="s">
        <v>13</v>
      </c>
      <c r="G1197" s="10">
        <v>24</v>
      </c>
      <c r="H1197" s="10">
        <v>18</v>
      </c>
      <c r="I1197" s="10">
        <v>24</v>
      </c>
      <c r="J1197" s="10" t="s">
        <v>118</v>
      </c>
      <c r="K1197" s="10">
        <v>24</v>
      </c>
      <c r="L1197" t="str">
        <f t="shared" si="54"/>
        <v>OK</v>
      </c>
      <c r="M1197" t="str">
        <f t="shared" si="55"/>
        <v>OK</v>
      </c>
      <c r="N1197" t="str">
        <f t="shared" si="56"/>
        <v>ERRO</v>
      </c>
    </row>
    <row r="1198" spans="1:14" ht="28.8" x14ac:dyDescent="0.3">
      <c r="A1198">
        <v>68</v>
      </c>
      <c r="B1198">
        <v>2024</v>
      </c>
      <c r="C1198" s="2">
        <v>45541</v>
      </c>
      <c r="D1198" s="3" t="s">
        <v>11</v>
      </c>
      <c r="E1198" s="4" t="s">
        <v>17</v>
      </c>
      <c r="F1198" s="4" t="s">
        <v>13</v>
      </c>
      <c r="G1198" s="6">
        <v>24</v>
      </c>
      <c r="H1198" s="6">
        <v>18</v>
      </c>
      <c r="I1198" s="6">
        <v>24</v>
      </c>
      <c r="J1198" s="6">
        <v>21</v>
      </c>
      <c r="K1198" s="6">
        <v>21</v>
      </c>
      <c r="L1198" t="str">
        <f t="shared" si="54"/>
        <v>OK</v>
      </c>
      <c r="M1198" t="str">
        <f t="shared" si="55"/>
        <v>OK</v>
      </c>
      <c r="N1198" t="str">
        <f t="shared" si="56"/>
        <v>OK</v>
      </c>
    </row>
    <row r="1199" spans="1:14" ht="28.8" x14ac:dyDescent="0.3">
      <c r="A1199">
        <v>68</v>
      </c>
      <c r="B1199">
        <v>2024</v>
      </c>
      <c r="C1199" s="2">
        <v>45541</v>
      </c>
      <c r="D1199" s="7" t="s">
        <v>11</v>
      </c>
      <c r="E1199" s="8" t="s">
        <v>18</v>
      </c>
      <c r="F1199" s="8" t="s">
        <v>13</v>
      </c>
      <c r="G1199" s="10">
        <v>60</v>
      </c>
      <c r="H1199" s="10">
        <v>48</v>
      </c>
      <c r="I1199" s="10">
        <v>60</v>
      </c>
      <c r="J1199" s="10">
        <v>54</v>
      </c>
      <c r="K1199" s="10">
        <v>54</v>
      </c>
      <c r="L1199" t="str">
        <f t="shared" si="54"/>
        <v>OK</v>
      </c>
      <c r="M1199" t="str">
        <f t="shared" si="55"/>
        <v>OK</v>
      </c>
      <c r="N1199" t="str">
        <f t="shared" si="56"/>
        <v>OK</v>
      </c>
    </row>
    <row r="1200" spans="1:14" ht="28.8" x14ac:dyDescent="0.3">
      <c r="A1200">
        <v>68</v>
      </c>
      <c r="B1200">
        <v>2024</v>
      </c>
      <c r="C1200" s="2">
        <v>45541</v>
      </c>
      <c r="D1200" s="3" t="s">
        <v>11</v>
      </c>
      <c r="E1200" s="4" t="s">
        <v>19</v>
      </c>
      <c r="F1200" s="4" t="s">
        <v>13</v>
      </c>
      <c r="G1200" s="6">
        <v>60</v>
      </c>
      <c r="H1200" s="6">
        <v>48</v>
      </c>
      <c r="I1200" s="6">
        <v>72</v>
      </c>
      <c r="J1200" s="6">
        <v>60</v>
      </c>
      <c r="K1200" s="6">
        <v>60</v>
      </c>
      <c r="L1200" t="str">
        <f t="shared" si="54"/>
        <v>OK</v>
      </c>
      <c r="M1200" t="str">
        <f t="shared" si="55"/>
        <v>OK</v>
      </c>
      <c r="N1200" t="str">
        <f t="shared" si="56"/>
        <v>OK</v>
      </c>
    </row>
    <row r="1201" spans="1:14" ht="28.8" x14ac:dyDescent="0.3">
      <c r="A1201">
        <v>68</v>
      </c>
      <c r="B1201">
        <v>2024</v>
      </c>
      <c r="C1201" s="2">
        <v>45541</v>
      </c>
      <c r="D1201" s="7" t="s">
        <v>11</v>
      </c>
      <c r="E1201" s="8" t="s">
        <v>20</v>
      </c>
      <c r="F1201" s="8" t="s">
        <v>13</v>
      </c>
      <c r="G1201" s="10">
        <v>72</v>
      </c>
      <c r="H1201" s="10">
        <v>60</v>
      </c>
      <c r="I1201" s="10">
        <v>72</v>
      </c>
      <c r="J1201" s="10" t="s">
        <v>311</v>
      </c>
      <c r="K1201" s="10">
        <v>72</v>
      </c>
      <c r="L1201" t="str">
        <f t="shared" si="54"/>
        <v>OK</v>
      </c>
      <c r="M1201" t="str">
        <f t="shared" si="55"/>
        <v>OK</v>
      </c>
      <c r="N1201" t="str">
        <f t="shared" si="56"/>
        <v>ERRO</v>
      </c>
    </row>
    <row r="1202" spans="1:14" ht="28.8" x14ac:dyDescent="0.3">
      <c r="A1202">
        <v>68</v>
      </c>
      <c r="B1202">
        <v>2024</v>
      </c>
      <c r="C1202" s="2">
        <v>45541</v>
      </c>
      <c r="D1202" s="3" t="s">
        <v>11</v>
      </c>
      <c r="E1202" s="4" t="s">
        <v>21</v>
      </c>
      <c r="F1202" s="4" t="s">
        <v>13</v>
      </c>
      <c r="G1202" s="6">
        <v>18</v>
      </c>
      <c r="H1202" s="6">
        <v>18</v>
      </c>
      <c r="I1202" s="6">
        <v>24</v>
      </c>
      <c r="J1202" s="6" t="s">
        <v>312</v>
      </c>
      <c r="K1202" s="6">
        <v>18</v>
      </c>
      <c r="L1202" t="str">
        <f t="shared" si="54"/>
        <v>OK</v>
      </c>
      <c r="M1202" t="str">
        <f t="shared" si="55"/>
        <v>OK</v>
      </c>
      <c r="N1202" t="str">
        <f t="shared" si="56"/>
        <v>ERRO</v>
      </c>
    </row>
    <row r="1203" spans="1:14" ht="28.8" x14ac:dyDescent="0.3">
      <c r="A1203">
        <v>68</v>
      </c>
      <c r="B1203">
        <v>2024</v>
      </c>
      <c r="C1203" s="2">
        <v>45541</v>
      </c>
      <c r="D1203" s="7" t="s">
        <v>11</v>
      </c>
      <c r="E1203" s="8" t="s">
        <v>73</v>
      </c>
      <c r="F1203" s="8" t="s">
        <v>13</v>
      </c>
      <c r="G1203" s="10">
        <v>60</v>
      </c>
      <c r="H1203" s="10">
        <v>60</v>
      </c>
      <c r="I1203" s="10">
        <v>78</v>
      </c>
      <c r="J1203" s="10" t="s">
        <v>178</v>
      </c>
      <c r="K1203" s="10">
        <v>60</v>
      </c>
      <c r="L1203" t="str">
        <f t="shared" si="54"/>
        <v>OK</v>
      </c>
      <c r="M1203" t="str">
        <f t="shared" si="55"/>
        <v>OK</v>
      </c>
      <c r="N1203" t="str">
        <f t="shared" si="56"/>
        <v>ERRO</v>
      </c>
    </row>
    <row r="1204" spans="1:14" ht="28.8" x14ac:dyDescent="0.3">
      <c r="A1204">
        <v>68</v>
      </c>
      <c r="B1204">
        <v>2024</v>
      </c>
      <c r="C1204" s="2">
        <v>45541</v>
      </c>
      <c r="D1204" s="3" t="s">
        <v>11</v>
      </c>
      <c r="E1204" s="4" t="s">
        <v>23</v>
      </c>
      <c r="F1204" s="4" t="s">
        <v>13</v>
      </c>
      <c r="G1204" s="6">
        <v>24</v>
      </c>
      <c r="H1204" s="6">
        <v>18</v>
      </c>
      <c r="I1204" s="6">
        <v>24</v>
      </c>
      <c r="J1204" s="6" t="s">
        <v>281</v>
      </c>
      <c r="K1204" s="6">
        <v>24</v>
      </c>
      <c r="L1204" t="str">
        <f t="shared" si="54"/>
        <v>OK</v>
      </c>
      <c r="M1204" t="str">
        <f t="shared" si="55"/>
        <v>OK</v>
      </c>
      <c r="N1204" t="str">
        <f t="shared" si="56"/>
        <v>ERRO</v>
      </c>
    </row>
    <row r="1205" spans="1:14" ht="28.8" x14ac:dyDescent="0.3">
      <c r="A1205">
        <v>68</v>
      </c>
      <c r="B1205">
        <v>2024</v>
      </c>
      <c r="C1205" s="2">
        <v>45541</v>
      </c>
      <c r="D1205" s="7" t="s">
        <v>11</v>
      </c>
      <c r="E1205" s="8" t="s">
        <v>24</v>
      </c>
      <c r="F1205" s="8" t="s">
        <v>13</v>
      </c>
      <c r="G1205" s="10">
        <v>60</v>
      </c>
      <c r="H1205" s="10">
        <v>48</v>
      </c>
      <c r="I1205" s="10">
        <v>60</v>
      </c>
      <c r="J1205" s="10">
        <v>54</v>
      </c>
      <c r="K1205" s="10">
        <v>54</v>
      </c>
      <c r="L1205" t="str">
        <f t="shared" si="54"/>
        <v>OK</v>
      </c>
      <c r="M1205" t="str">
        <f t="shared" si="55"/>
        <v>OK</v>
      </c>
      <c r="N1205" t="str">
        <f t="shared" si="56"/>
        <v>OK</v>
      </c>
    </row>
    <row r="1206" spans="1:14" ht="28.8" x14ac:dyDescent="0.3">
      <c r="A1206">
        <v>68</v>
      </c>
      <c r="B1206">
        <v>2024</v>
      </c>
      <c r="C1206" s="2">
        <v>45541</v>
      </c>
      <c r="D1206" s="3" t="s">
        <v>11</v>
      </c>
      <c r="E1206" s="4" t="s">
        <v>25</v>
      </c>
      <c r="F1206" s="4" t="s">
        <v>26</v>
      </c>
      <c r="G1206" s="6">
        <v>48</v>
      </c>
      <c r="H1206" s="6">
        <v>42</v>
      </c>
      <c r="I1206" s="6">
        <v>60</v>
      </c>
      <c r="J1206" s="6" t="s">
        <v>300</v>
      </c>
      <c r="K1206" s="6">
        <v>48</v>
      </c>
      <c r="L1206" t="str">
        <f t="shared" si="54"/>
        <v>OK</v>
      </c>
      <c r="M1206" t="str">
        <f t="shared" si="55"/>
        <v>OK</v>
      </c>
      <c r="N1206" t="str">
        <f t="shared" si="56"/>
        <v>ERRO</v>
      </c>
    </row>
    <row r="1207" spans="1:14" ht="28.8" x14ac:dyDescent="0.3">
      <c r="A1207">
        <v>68</v>
      </c>
      <c r="B1207">
        <v>2024</v>
      </c>
      <c r="C1207" s="2">
        <v>45541</v>
      </c>
      <c r="D1207" s="7" t="s">
        <v>11</v>
      </c>
      <c r="E1207" s="8" t="s">
        <v>27</v>
      </c>
      <c r="F1207" s="8" t="s">
        <v>13</v>
      </c>
      <c r="G1207" s="10">
        <v>48</v>
      </c>
      <c r="H1207" s="10">
        <v>48</v>
      </c>
      <c r="I1207" s="10">
        <v>84</v>
      </c>
      <c r="J1207" s="10">
        <v>60</v>
      </c>
      <c r="K1207" s="10">
        <v>54</v>
      </c>
      <c r="L1207" t="str">
        <f t="shared" si="54"/>
        <v>OK</v>
      </c>
      <c r="M1207" t="str">
        <f t="shared" si="55"/>
        <v>OK</v>
      </c>
      <c r="N1207" t="str">
        <f t="shared" si="56"/>
        <v>OK</v>
      </c>
    </row>
    <row r="1208" spans="1:14" ht="28.8" x14ac:dyDescent="0.3">
      <c r="A1208">
        <v>68</v>
      </c>
      <c r="B1208">
        <v>2024</v>
      </c>
      <c r="C1208" s="2">
        <v>45541</v>
      </c>
      <c r="D1208" s="3" t="s">
        <v>11</v>
      </c>
      <c r="E1208" s="4" t="s">
        <v>28</v>
      </c>
      <c r="F1208" s="4" t="s">
        <v>13</v>
      </c>
      <c r="G1208" s="6">
        <v>36</v>
      </c>
      <c r="H1208" s="6">
        <v>20</v>
      </c>
      <c r="I1208" s="6">
        <v>40</v>
      </c>
      <c r="J1208" s="6" t="s">
        <v>313</v>
      </c>
      <c r="K1208" s="6">
        <v>36</v>
      </c>
      <c r="L1208" t="str">
        <f t="shared" si="54"/>
        <v>OK</v>
      </c>
      <c r="M1208" t="str">
        <f t="shared" si="55"/>
        <v>OK</v>
      </c>
      <c r="N1208" t="str">
        <f t="shared" si="56"/>
        <v>ERRO</v>
      </c>
    </row>
    <row r="1209" spans="1:14" ht="28.8" x14ac:dyDescent="0.3">
      <c r="A1209">
        <v>68</v>
      </c>
      <c r="B1209">
        <v>2024</v>
      </c>
      <c r="C1209" s="2">
        <v>45541</v>
      </c>
      <c r="D1209" s="7" t="s">
        <v>11</v>
      </c>
      <c r="E1209" s="8" t="s">
        <v>29</v>
      </c>
      <c r="F1209" s="8" t="s">
        <v>13</v>
      </c>
      <c r="G1209" s="10">
        <v>48</v>
      </c>
      <c r="H1209" s="10">
        <v>48</v>
      </c>
      <c r="I1209" s="10">
        <v>54</v>
      </c>
      <c r="J1209" s="10" t="s">
        <v>300</v>
      </c>
      <c r="K1209" s="10">
        <v>48</v>
      </c>
      <c r="L1209" t="str">
        <f t="shared" si="54"/>
        <v>OK</v>
      </c>
      <c r="M1209" t="str">
        <f t="shared" si="55"/>
        <v>OK</v>
      </c>
      <c r="N1209" t="str">
        <f t="shared" si="56"/>
        <v>ERRO</v>
      </c>
    </row>
    <row r="1210" spans="1:14" ht="28.8" x14ac:dyDescent="0.3">
      <c r="A1210">
        <v>68</v>
      </c>
      <c r="B1210">
        <v>2024</v>
      </c>
      <c r="C1210" s="2">
        <v>45541</v>
      </c>
      <c r="D1210" s="3" t="s">
        <v>11</v>
      </c>
      <c r="E1210" s="4" t="s">
        <v>31</v>
      </c>
      <c r="F1210" s="4" t="s">
        <v>32</v>
      </c>
      <c r="G1210" s="6">
        <v>5</v>
      </c>
      <c r="H1210" s="6">
        <v>5</v>
      </c>
      <c r="I1210" s="6">
        <v>5</v>
      </c>
      <c r="J1210" s="6">
        <v>5</v>
      </c>
      <c r="K1210" s="6">
        <v>5</v>
      </c>
      <c r="L1210" t="str">
        <f t="shared" si="54"/>
        <v>OK</v>
      </c>
      <c r="M1210" t="str">
        <f t="shared" si="55"/>
        <v>OK</v>
      </c>
      <c r="N1210" t="str">
        <f t="shared" si="56"/>
        <v>OK</v>
      </c>
    </row>
    <row r="1211" spans="1:14" ht="28.8" x14ac:dyDescent="0.3">
      <c r="A1211">
        <v>68</v>
      </c>
      <c r="B1211">
        <v>2024</v>
      </c>
      <c r="C1211" s="2">
        <v>45541</v>
      </c>
      <c r="D1211" s="7" t="s">
        <v>11</v>
      </c>
      <c r="E1211" s="8" t="s">
        <v>34</v>
      </c>
      <c r="F1211" s="8" t="s">
        <v>35</v>
      </c>
      <c r="G1211" s="10">
        <v>10</v>
      </c>
      <c r="H1211" s="10">
        <v>10</v>
      </c>
      <c r="I1211" s="10">
        <v>10</v>
      </c>
      <c r="J1211" s="10">
        <v>10</v>
      </c>
      <c r="K1211" s="10">
        <v>10</v>
      </c>
      <c r="L1211" t="str">
        <f t="shared" si="54"/>
        <v>OK</v>
      </c>
      <c r="M1211" t="str">
        <f t="shared" si="55"/>
        <v>OK</v>
      </c>
      <c r="N1211" t="str">
        <f t="shared" si="56"/>
        <v>OK</v>
      </c>
    </row>
    <row r="1212" spans="1:14" ht="28.8" x14ac:dyDescent="0.3">
      <c r="A1212">
        <v>68</v>
      </c>
      <c r="B1212">
        <v>2024</v>
      </c>
      <c r="C1212" s="2">
        <v>45541</v>
      </c>
      <c r="D1212" s="3" t="s">
        <v>11</v>
      </c>
      <c r="E1212" s="4" t="s">
        <v>36</v>
      </c>
      <c r="F1212" s="4" t="s">
        <v>35</v>
      </c>
      <c r="G1212" s="6">
        <v>15</v>
      </c>
      <c r="H1212" s="6">
        <v>15</v>
      </c>
      <c r="I1212" s="6">
        <v>30</v>
      </c>
      <c r="J1212" s="6">
        <v>21</v>
      </c>
      <c r="K1212" s="6">
        <v>20</v>
      </c>
      <c r="L1212" t="str">
        <f t="shared" si="54"/>
        <v>OK</v>
      </c>
      <c r="M1212" t="str">
        <f t="shared" si="55"/>
        <v>OK</v>
      </c>
      <c r="N1212" t="str">
        <f t="shared" si="56"/>
        <v>OK</v>
      </c>
    </row>
    <row r="1213" spans="1:14" ht="43.2" x14ac:dyDescent="0.3">
      <c r="A1213">
        <v>68</v>
      </c>
      <c r="B1213">
        <v>2024</v>
      </c>
      <c r="C1213" s="2">
        <v>45541</v>
      </c>
      <c r="D1213" s="7" t="s">
        <v>38</v>
      </c>
      <c r="E1213" s="8" t="s">
        <v>153</v>
      </c>
      <c r="F1213" s="8" t="s">
        <v>154</v>
      </c>
      <c r="G1213" s="10">
        <v>75</v>
      </c>
      <c r="H1213" s="10">
        <v>75</v>
      </c>
      <c r="I1213" s="10">
        <v>75</v>
      </c>
      <c r="J1213" s="10">
        <v>75</v>
      </c>
      <c r="K1213" s="10">
        <v>75</v>
      </c>
      <c r="L1213" t="str">
        <f t="shared" si="54"/>
        <v>OK</v>
      </c>
      <c r="M1213" t="str">
        <f t="shared" si="55"/>
        <v>OK</v>
      </c>
      <c r="N1213" t="str">
        <f t="shared" si="56"/>
        <v>OK</v>
      </c>
    </row>
    <row r="1214" spans="1:14" ht="43.2" x14ac:dyDescent="0.3">
      <c r="A1214">
        <v>68</v>
      </c>
      <c r="B1214">
        <v>2024</v>
      </c>
      <c r="C1214" s="2">
        <v>45541</v>
      </c>
      <c r="D1214" s="3" t="s">
        <v>38</v>
      </c>
      <c r="E1214" s="4" t="s">
        <v>39</v>
      </c>
      <c r="F1214" s="4" t="s">
        <v>40</v>
      </c>
      <c r="G1214" s="6">
        <v>45</v>
      </c>
      <c r="H1214" s="6">
        <v>30</v>
      </c>
      <c r="I1214" s="6">
        <v>50</v>
      </c>
      <c r="J1214" s="6">
        <v>42</v>
      </c>
      <c r="K1214" s="6">
        <v>45</v>
      </c>
      <c r="L1214" t="str">
        <f t="shared" si="54"/>
        <v>OK</v>
      </c>
      <c r="M1214" t="str">
        <f t="shared" si="55"/>
        <v>OK</v>
      </c>
      <c r="N1214" t="str">
        <f t="shared" si="56"/>
        <v>OK</v>
      </c>
    </row>
    <row r="1215" spans="1:14" ht="43.2" x14ac:dyDescent="0.3">
      <c r="A1215">
        <v>68</v>
      </c>
      <c r="B1215">
        <v>2024</v>
      </c>
      <c r="C1215" s="2">
        <v>45541</v>
      </c>
      <c r="D1215" s="7" t="s">
        <v>38</v>
      </c>
      <c r="E1215" s="8" t="s">
        <v>42</v>
      </c>
      <c r="F1215" s="8" t="s">
        <v>43</v>
      </c>
      <c r="G1215" s="10">
        <v>70</v>
      </c>
      <c r="H1215" s="10">
        <v>45</v>
      </c>
      <c r="I1215" s="10">
        <v>70</v>
      </c>
      <c r="J1215" s="10">
        <v>60</v>
      </c>
      <c r="K1215" s="10">
        <v>65</v>
      </c>
      <c r="L1215" t="str">
        <f t="shared" si="54"/>
        <v>OK</v>
      </c>
      <c r="M1215" t="str">
        <f t="shared" si="55"/>
        <v>OK</v>
      </c>
      <c r="N1215" t="str">
        <f t="shared" si="56"/>
        <v>OK</v>
      </c>
    </row>
    <row r="1216" spans="1:14" ht="43.2" x14ac:dyDescent="0.3">
      <c r="A1216">
        <v>68</v>
      </c>
      <c r="B1216">
        <v>2024</v>
      </c>
      <c r="C1216" s="2">
        <v>45541</v>
      </c>
      <c r="D1216" s="3" t="s">
        <v>38</v>
      </c>
      <c r="E1216" s="4" t="s">
        <v>44</v>
      </c>
      <c r="F1216" s="4" t="s">
        <v>45</v>
      </c>
      <c r="G1216" s="6">
        <v>50</v>
      </c>
      <c r="H1216" s="6">
        <v>40</v>
      </c>
      <c r="I1216" s="6">
        <v>50</v>
      </c>
      <c r="J1216" s="6">
        <v>46</v>
      </c>
      <c r="K1216" s="6">
        <v>50</v>
      </c>
      <c r="L1216" t="str">
        <f t="shared" si="54"/>
        <v>OK</v>
      </c>
      <c r="M1216" t="str">
        <f t="shared" si="55"/>
        <v>OK</v>
      </c>
      <c r="N1216" t="str">
        <f t="shared" si="56"/>
        <v>OK</v>
      </c>
    </row>
    <row r="1217" spans="1:14" ht="43.2" x14ac:dyDescent="0.3">
      <c r="A1217">
        <v>68</v>
      </c>
      <c r="B1217">
        <v>2024</v>
      </c>
      <c r="C1217" s="2">
        <v>45541</v>
      </c>
      <c r="D1217" s="7" t="s">
        <v>38</v>
      </c>
      <c r="E1217" s="8" t="s">
        <v>48</v>
      </c>
      <c r="F1217" s="8" t="s">
        <v>45</v>
      </c>
      <c r="G1217" s="9"/>
      <c r="H1217" s="10">
        <v>90</v>
      </c>
      <c r="I1217" s="10">
        <v>100</v>
      </c>
      <c r="J1217" s="10">
        <v>95</v>
      </c>
      <c r="K1217" s="10">
        <v>95</v>
      </c>
      <c r="L1217" t="str">
        <f t="shared" si="54"/>
        <v>OK</v>
      </c>
      <c r="M1217" t="str">
        <f t="shared" si="55"/>
        <v>OK</v>
      </c>
      <c r="N1217" t="str">
        <f t="shared" si="56"/>
        <v>OK</v>
      </c>
    </row>
    <row r="1218" spans="1:14" ht="43.2" x14ac:dyDescent="0.3">
      <c r="A1218">
        <v>68</v>
      </c>
      <c r="B1218">
        <v>2024</v>
      </c>
      <c r="C1218" s="2">
        <v>45541</v>
      </c>
      <c r="D1218" s="3" t="s">
        <v>38</v>
      </c>
      <c r="E1218" s="4" t="s">
        <v>49</v>
      </c>
      <c r="F1218" s="4" t="s">
        <v>50</v>
      </c>
      <c r="G1218" s="6">
        <v>60</v>
      </c>
      <c r="H1218" s="6">
        <v>60</v>
      </c>
      <c r="I1218" s="6">
        <v>65</v>
      </c>
      <c r="J1218" s="6">
        <v>62</v>
      </c>
      <c r="K1218" s="6">
        <v>60</v>
      </c>
      <c r="L1218" t="str">
        <f t="shared" si="54"/>
        <v>OK</v>
      </c>
      <c r="M1218" t="str">
        <f t="shared" si="55"/>
        <v>OK</v>
      </c>
      <c r="N1218" t="str">
        <f t="shared" si="56"/>
        <v>OK</v>
      </c>
    </row>
    <row r="1219" spans="1:14" ht="43.2" x14ac:dyDescent="0.3">
      <c r="A1219">
        <v>68</v>
      </c>
      <c r="B1219">
        <v>2024</v>
      </c>
      <c r="C1219" s="2">
        <v>45541</v>
      </c>
      <c r="D1219" s="7" t="s">
        <v>38</v>
      </c>
      <c r="E1219" s="8" t="s">
        <v>52</v>
      </c>
      <c r="F1219" s="8" t="s">
        <v>43</v>
      </c>
      <c r="G1219" s="10">
        <v>55</v>
      </c>
      <c r="H1219" s="10">
        <v>35</v>
      </c>
      <c r="I1219" s="10">
        <v>60</v>
      </c>
      <c r="J1219" s="10">
        <v>51</v>
      </c>
      <c r="K1219" s="10">
        <v>55</v>
      </c>
      <c r="L1219" t="str">
        <f t="shared" ref="L1219:L1282" si="57">IF(H1219&gt;I1219,"ERRO","OK")</f>
        <v>OK</v>
      </c>
      <c r="M1219" t="str">
        <f t="shared" ref="M1219:M1282" si="58">IF(H1219&gt;J1219,"ERRO","OK")</f>
        <v>OK</v>
      </c>
      <c r="N1219" t="str">
        <f t="shared" ref="N1219:N1282" si="59">IF(I1219&lt;J1219,"ERRO","OK")</f>
        <v>OK</v>
      </c>
    </row>
    <row r="1220" spans="1:14" ht="43.2" x14ac:dyDescent="0.3">
      <c r="A1220">
        <v>68</v>
      </c>
      <c r="B1220">
        <v>2024</v>
      </c>
      <c r="C1220" s="2">
        <v>45541</v>
      </c>
      <c r="D1220" s="3" t="s">
        <v>38</v>
      </c>
      <c r="E1220" s="4" t="s">
        <v>53</v>
      </c>
      <c r="F1220" s="4" t="s">
        <v>43</v>
      </c>
      <c r="G1220" s="6">
        <v>65</v>
      </c>
      <c r="H1220" s="6">
        <v>50</v>
      </c>
      <c r="I1220" s="6">
        <v>65</v>
      </c>
      <c r="J1220" s="6">
        <v>58</v>
      </c>
      <c r="K1220" s="6">
        <v>60</v>
      </c>
      <c r="L1220" t="str">
        <f t="shared" si="57"/>
        <v>OK</v>
      </c>
      <c r="M1220" t="str">
        <f t="shared" si="58"/>
        <v>OK</v>
      </c>
      <c r="N1220" t="str">
        <f t="shared" si="59"/>
        <v>OK</v>
      </c>
    </row>
    <row r="1221" spans="1:14" ht="43.2" x14ac:dyDescent="0.3">
      <c r="A1221">
        <v>68</v>
      </c>
      <c r="B1221">
        <v>2024</v>
      </c>
      <c r="C1221" s="2">
        <v>45541</v>
      </c>
      <c r="D1221" s="7" t="s">
        <v>38</v>
      </c>
      <c r="E1221" s="8" t="s">
        <v>54</v>
      </c>
      <c r="F1221" s="8" t="s">
        <v>40</v>
      </c>
      <c r="G1221" s="10">
        <v>90</v>
      </c>
      <c r="H1221" s="10">
        <v>70</v>
      </c>
      <c r="I1221" s="10">
        <v>100</v>
      </c>
      <c r="J1221" s="10" t="s">
        <v>239</v>
      </c>
      <c r="K1221" s="10">
        <v>90</v>
      </c>
      <c r="L1221" t="str">
        <f t="shared" si="57"/>
        <v>OK</v>
      </c>
      <c r="M1221" t="str">
        <f t="shared" si="58"/>
        <v>OK</v>
      </c>
      <c r="N1221" t="str">
        <f t="shared" si="59"/>
        <v>ERRO</v>
      </c>
    </row>
    <row r="1222" spans="1:14" ht="43.2" x14ac:dyDescent="0.3">
      <c r="A1222">
        <v>68</v>
      </c>
      <c r="B1222">
        <v>2024</v>
      </c>
      <c r="C1222" s="2">
        <v>45541</v>
      </c>
      <c r="D1222" s="3" t="s">
        <v>38</v>
      </c>
      <c r="E1222" s="4" t="s">
        <v>56</v>
      </c>
      <c r="F1222" s="4" t="s">
        <v>43</v>
      </c>
      <c r="G1222" s="5"/>
      <c r="H1222" s="6">
        <v>60</v>
      </c>
      <c r="I1222" s="6">
        <v>60</v>
      </c>
      <c r="J1222" s="6">
        <v>60</v>
      </c>
      <c r="K1222" s="6">
        <v>60</v>
      </c>
      <c r="L1222" t="str">
        <f t="shared" si="57"/>
        <v>OK</v>
      </c>
      <c r="M1222" t="str">
        <f t="shared" si="58"/>
        <v>OK</v>
      </c>
      <c r="N1222" t="str">
        <f t="shared" si="59"/>
        <v>OK</v>
      </c>
    </row>
    <row r="1223" spans="1:14" ht="43.2" x14ac:dyDescent="0.3">
      <c r="A1223">
        <v>68</v>
      </c>
      <c r="B1223">
        <v>2024</v>
      </c>
      <c r="C1223" s="2">
        <v>45541</v>
      </c>
      <c r="D1223" s="7" t="s">
        <v>38</v>
      </c>
      <c r="E1223" s="8" t="s">
        <v>57</v>
      </c>
      <c r="F1223" s="8" t="s">
        <v>40</v>
      </c>
      <c r="G1223" s="9"/>
      <c r="H1223" s="10">
        <v>70</v>
      </c>
      <c r="I1223" s="10">
        <v>85</v>
      </c>
      <c r="J1223" s="10" t="s">
        <v>134</v>
      </c>
      <c r="K1223" s="10" t="s">
        <v>134</v>
      </c>
      <c r="L1223" t="str">
        <f t="shared" si="57"/>
        <v>OK</v>
      </c>
      <c r="M1223" t="str">
        <f t="shared" si="58"/>
        <v>OK</v>
      </c>
      <c r="N1223" t="str">
        <f t="shared" si="59"/>
        <v>ERRO</v>
      </c>
    </row>
    <row r="1224" spans="1:14" ht="43.2" x14ac:dyDescent="0.3">
      <c r="A1224">
        <v>68</v>
      </c>
      <c r="B1224">
        <v>2024</v>
      </c>
      <c r="C1224" s="2">
        <v>45541</v>
      </c>
      <c r="D1224" s="3" t="s">
        <v>38</v>
      </c>
      <c r="E1224" s="4" t="s">
        <v>58</v>
      </c>
      <c r="F1224" s="4" t="s">
        <v>40</v>
      </c>
      <c r="G1224" s="6">
        <v>120</v>
      </c>
      <c r="H1224" s="6">
        <v>80</v>
      </c>
      <c r="I1224" s="6">
        <v>120</v>
      </c>
      <c r="J1224" s="6">
        <v>103</v>
      </c>
      <c r="K1224" s="6">
        <v>110</v>
      </c>
      <c r="L1224" t="str">
        <f t="shared" si="57"/>
        <v>OK</v>
      </c>
      <c r="M1224" t="str">
        <f t="shared" si="58"/>
        <v>OK</v>
      </c>
      <c r="N1224" t="str">
        <f t="shared" si="59"/>
        <v>OK</v>
      </c>
    </row>
    <row r="1225" spans="1:14" ht="43.2" x14ac:dyDescent="0.3">
      <c r="A1225">
        <v>68</v>
      </c>
      <c r="B1225">
        <v>2024</v>
      </c>
      <c r="C1225" s="2">
        <v>45541</v>
      </c>
      <c r="D1225" s="7" t="s">
        <v>38</v>
      </c>
      <c r="E1225" s="8" t="s">
        <v>59</v>
      </c>
      <c r="F1225" s="8" t="s">
        <v>45</v>
      </c>
      <c r="G1225" s="10">
        <v>50</v>
      </c>
      <c r="H1225" s="10">
        <v>50</v>
      </c>
      <c r="I1225" s="10">
        <v>60</v>
      </c>
      <c r="J1225" s="10">
        <v>53</v>
      </c>
      <c r="K1225" s="10">
        <v>50</v>
      </c>
      <c r="L1225" t="str">
        <f t="shared" si="57"/>
        <v>OK</v>
      </c>
      <c r="M1225" t="str">
        <f t="shared" si="58"/>
        <v>OK</v>
      </c>
      <c r="N1225" t="str">
        <f t="shared" si="59"/>
        <v>OK</v>
      </c>
    </row>
    <row r="1226" spans="1:14" ht="43.2" x14ac:dyDescent="0.3">
      <c r="A1226">
        <v>68</v>
      </c>
      <c r="B1226">
        <v>2024</v>
      </c>
      <c r="C1226" s="2">
        <v>45541</v>
      </c>
      <c r="D1226" s="3" t="s">
        <v>38</v>
      </c>
      <c r="E1226" s="4" t="s">
        <v>60</v>
      </c>
      <c r="F1226" s="4" t="s">
        <v>61</v>
      </c>
      <c r="G1226" s="5"/>
      <c r="H1226" s="6">
        <v>110</v>
      </c>
      <c r="I1226" s="6">
        <v>160</v>
      </c>
      <c r="J1226" s="6">
        <v>137</v>
      </c>
      <c r="K1226" s="6">
        <v>140</v>
      </c>
      <c r="L1226" t="str">
        <f t="shared" si="57"/>
        <v>OK</v>
      </c>
      <c r="M1226" t="str">
        <f t="shared" si="58"/>
        <v>OK</v>
      </c>
      <c r="N1226" t="str">
        <f t="shared" si="59"/>
        <v>OK</v>
      </c>
    </row>
    <row r="1227" spans="1:14" ht="43.2" x14ac:dyDescent="0.3">
      <c r="A1227">
        <v>68</v>
      </c>
      <c r="B1227">
        <v>2024</v>
      </c>
      <c r="C1227" s="2">
        <v>45541</v>
      </c>
      <c r="D1227" s="7" t="s">
        <v>38</v>
      </c>
      <c r="E1227" s="8" t="s">
        <v>63</v>
      </c>
      <c r="F1227" s="8" t="s">
        <v>40</v>
      </c>
      <c r="G1227" s="10">
        <v>60</v>
      </c>
      <c r="H1227" s="10">
        <v>45</v>
      </c>
      <c r="I1227" s="10">
        <v>60</v>
      </c>
      <c r="J1227" s="10">
        <v>53</v>
      </c>
      <c r="K1227" s="10">
        <v>50</v>
      </c>
      <c r="L1227" t="str">
        <f t="shared" si="57"/>
        <v>OK</v>
      </c>
      <c r="M1227" t="str">
        <f t="shared" si="58"/>
        <v>OK</v>
      </c>
      <c r="N1227" t="str">
        <f t="shared" si="59"/>
        <v>OK</v>
      </c>
    </row>
    <row r="1228" spans="1:14" ht="43.2" x14ac:dyDescent="0.3">
      <c r="A1228">
        <v>68</v>
      </c>
      <c r="B1228">
        <v>2024</v>
      </c>
      <c r="C1228" s="2">
        <v>45541</v>
      </c>
      <c r="D1228" s="3" t="s">
        <v>38</v>
      </c>
      <c r="E1228" s="4" t="s">
        <v>64</v>
      </c>
      <c r="F1228" s="4" t="s">
        <v>40</v>
      </c>
      <c r="G1228" s="5"/>
      <c r="H1228" s="6">
        <v>120</v>
      </c>
      <c r="I1228" s="6">
        <v>150</v>
      </c>
      <c r="J1228" s="6">
        <v>135</v>
      </c>
      <c r="K1228" s="6">
        <v>135</v>
      </c>
      <c r="L1228" t="str">
        <f t="shared" si="57"/>
        <v>OK</v>
      </c>
      <c r="M1228" t="str">
        <f t="shared" si="58"/>
        <v>OK</v>
      </c>
      <c r="N1228" t="str">
        <f t="shared" si="59"/>
        <v>OK</v>
      </c>
    </row>
    <row r="1229" spans="1:14" x14ac:dyDescent="0.3">
      <c r="A1229">
        <v>68</v>
      </c>
      <c r="B1229">
        <v>2024</v>
      </c>
      <c r="C1229" s="2">
        <v>45541</v>
      </c>
      <c r="D1229" s="7" t="s">
        <v>65</v>
      </c>
      <c r="E1229" s="8" t="s">
        <v>66</v>
      </c>
      <c r="F1229" s="8" t="s">
        <v>45</v>
      </c>
      <c r="G1229" s="9"/>
      <c r="H1229" s="9"/>
      <c r="I1229" s="9"/>
      <c r="J1229" s="9"/>
      <c r="K1229" s="9"/>
      <c r="L1229" t="str">
        <f t="shared" si="57"/>
        <v>OK</v>
      </c>
      <c r="M1229" t="str">
        <f t="shared" si="58"/>
        <v>OK</v>
      </c>
      <c r="N1229" t="str">
        <f t="shared" si="59"/>
        <v>OK</v>
      </c>
    </row>
    <row r="1230" spans="1:14" x14ac:dyDescent="0.3">
      <c r="A1230">
        <v>68</v>
      </c>
      <c r="B1230">
        <v>2024</v>
      </c>
      <c r="C1230" s="2">
        <v>45541</v>
      </c>
      <c r="D1230" s="3" t="s">
        <v>65</v>
      </c>
      <c r="E1230" s="4" t="s">
        <v>67</v>
      </c>
      <c r="F1230" s="4" t="s">
        <v>45</v>
      </c>
      <c r="G1230" s="5"/>
      <c r="H1230" s="5"/>
      <c r="I1230" s="5"/>
      <c r="J1230" s="5"/>
      <c r="K1230" s="5"/>
      <c r="L1230" t="str">
        <f t="shared" si="57"/>
        <v>OK</v>
      </c>
      <c r="M1230" t="str">
        <f t="shared" si="58"/>
        <v>OK</v>
      </c>
      <c r="N1230" t="str">
        <f t="shared" si="59"/>
        <v>OK</v>
      </c>
    </row>
    <row r="1231" spans="1:14" x14ac:dyDescent="0.3">
      <c r="A1231">
        <v>68</v>
      </c>
      <c r="B1231">
        <v>2024</v>
      </c>
      <c r="C1231" s="2">
        <v>45541</v>
      </c>
      <c r="D1231" s="7" t="s">
        <v>65</v>
      </c>
      <c r="E1231" s="8" t="s">
        <v>68</v>
      </c>
      <c r="F1231" s="8" t="s">
        <v>45</v>
      </c>
      <c r="G1231" s="9"/>
      <c r="H1231" s="9"/>
      <c r="I1231" s="9"/>
      <c r="J1231" s="9"/>
      <c r="K1231" s="9"/>
      <c r="L1231" t="str">
        <f t="shared" si="57"/>
        <v>OK</v>
      </c>
      <c r="M1231" t="str">
        <f t="shared" si="58"/>
        <v>OK</v>
      </c>
      <c r="N1231" t="str">
        <f t="shared" si="59"/>
        <v>OK</v>
      </c>
    </row>
    <row r="1232" spans="1:14" x14ac:dyDescent="0.3">
      <c r="A1232">
        <v>68</v>
      </c>
      <c r="B1232">
        <v>2024</v>
      </c>
      <c r="C1232" s="2">
        <v>45541</v>
      </c>
      <c r="D1232" s="3" t="s">
        <v>65</v>
      </c>
      <c r="E1232" s="4" t="s">
        <v>69</v>
      </c>
      <c r="F1232" s="4" t="s">
        <v>45</v>
      </c>
      <c r="G1232" s="5"/>
      <c r="H1232" s="6">
        <v>60</v>
      </c>
      <c r="I1232" s="6">
        <v>60</v>
      </c>
      <c r="J1232" s="6">
        <v>60</v>
      </c>
      <c r="K1232" s="6">
        <v>60</v>
      </c>
      <c r="L1232" t="str">
        <f t="shared" si="57"/>
        <v>OK</v>
      </c>
      <c r="M1232" t="str">
        <f t="shared" si="58"/>
        <v>OK</v>
      </c>
      <c r="N1232" t="str">
        <f t="shared" si="59"/>
        <v>OK</v>
      </c>
    </row>
    <row r="1233" spans="1:14" x14ac:dyDescent="0.3">
      <c r="A1233">
        <v>68</v>
      </c>
      <c r="B1233">
        <v>2024</v>
      </c>
      <c r="C1233" s="2">
        <v>45541</v>
      </c>
      <c r="D1233" s="7" t="s">
        <v>65</v>
      </c>
      <c r="E1233" s="8" t="s">
        <v>70</v>
      </c>
      <c r="F1233" s="8" t="s">
        <v>71</v>
      </c>
      <c r="G1233" s="9"/>
      <c r="H1233" s="9"/>
      <c r="I1233" s="9"/>
      <c r="J1233" s="9"/>
      <c r="K1233" s="9"/>
      <c r="L1233" t="str">
        <f t="shared" si="57"/>
        <v>OK</v>
      </c>
      <c r="M1233" t="str">
        <f t="shared" si="58"/>
        <v>OK</v>
      </c>
      <c r="N1233" t="str">
        <f t="shared" si="59"/>
        <v>OK</v>
      </c>
    </row>
    <row r="1234" spans="1:14" ht="28.8" x14ac:dyDescent="0.3">
      <c r="A1234">
        <v>69</v>
      </c>
      <c r="B1234">
        <v>2024</v>
      </c>
      <c r="C1234" s="2">
        <v>45548</v>
      </c>
      <c r="D1234" s="3" t="s">
        <v>11</v>
      </c>
      <c r="E1234" s="4" t="s">
        <v>12</v>
      </c>
      <c r="F1234" s="4" t="s">
        <v>13</v>
      </c>
      <c r="G1234" s="6">
        <v>48</v>
      </c>
      <c r="H1234" s="6">
        <v>5</v>
      </c>
      <c r="I1234" s="6">
        <v>48</v>
      </c>
      <c r="J1234" s="6" t="s">
        <v>314</v>
      </c>
      <c r="K1234" s="6">
        <v>36</v>
      </c>
      <c r="L1234" t="str">
        <f t="shared" si="57"/>
        <v>OK</v>
      </c>
      <c r="M1234" t="str">
        <f t="shared" si="58"/>
        <v>OK</v>
      </c>
      <c r="N1234" t="str">
        <f t="shared" si="59"/>
        <v>ERRO</v>
      </c>
    </row>
    <row r="1235" spans="1:14" ht="28.8" x14ac:dyDescent="0.3">
      <c r="A1235">
        <v>69</v>
      </c>
      <c r="B1235">
        <v>2024</v>
      </c>
      <c r="C1235" s="2">
        <v>45548</v>
      </c>
      <c r="D1235" s="7" t="s">
        <v>11</v>
      </c>
      <c r="E1235" s="8" t="s">
        <v>14</v>
      </c>
      <c r="F1235" s="8" t="s">
        <v>13</v>
      </c>
      <c r="G1235" s="10">
        <v>60</v>
      </c>
      <c r="H1235" s="10">
        <v>7</v>
      </c>
      <c r="I1235" s="10">
        <v>72</v>
      </c>
      <c r="J1235" s="10" t="s">
        <v>315</v>
      </c>
      <c r="K1235" s="10">
        <v>60</v>
      </c>
      <c r="L1235" t="str">
        <f t="shared" si="57"/>
        <v>OK</v>
      </c>
      <c r="M1235" t="str">
        <f t="shared" si="58"/>
        <v>OK</v>
      </c>
      <c r="N1235" t="str">
        <f t="shared" si="59"/>
        <v>ERRO</v>
      </c>
    </row>
    <row r="1236" spans="1:14" ht="28.8" x14ac:dyDescent="0.3">
      <c r="A1236">
        <v>69</v>
      </c>
      <c r="B1236">
        <v>2024</v>
      </c>
      <c r="C1236" s="2">
        <v>45548</v>
      </c>
      <c r="D1236" s="3" t="s">
        <v>11</v>
      </c>
      <c r="E1236" s="4" t="s">
        <v>15</v>
      </c>
      <c r="F1236" s="4" t="s">
        <v>13</v>
      </c>
      <c r="G1236" s="6">
        <v>30</v>
      </c>
      <c r="H1236" s="6">
        <v>30</v>
      </c>
      <c r="I1236" s="6">
        <v>36</v>
      </c>
      <c r="J1236" s="6">
        <v>31</v>
      </c>
      <c r="K1236" s="6">
        <v>30</v>
      </c>
      <c r="L1236" t="str">
        <f t="shared" si="57"/>
        <v>OK</v>
      </c>
      <c r="M1236" t="str">
        <f t="shared" si="58"/>
        <v>OK</v>
      </c>
      <c r="N1236" t="str">
        <f t="shared" si="59"/>
        <v>OK</v>
      </c>
    </row>
    <row r="1237" spans="1:14" ht="28.8" x14ac:dyDescent="0.3">
      <c r="A1237">
        <v>69</v>
      </c>
      <c r="B1237">
        <v>2024</v>
      </c>
      <c r="C1237" s="2">
        <v>45548</v>
      </c>
      <c r="D1237" s="7" t="s">
        <v>11</v>
      </c>
      <c r="E1237" s="8" t="s">
        <v>16</v>
      </c>
      <c r="F1237" s="8" t="s">
        <v>13</v>
      </c>
      <c r="G1237" s="10">
        <v>18</v>
      </c>
      <c r="H1237" s="10">
        <v>15</v>
      </c>
      <c r="I1237" s="10">
        <v>24</v>
      </c>
      <c r="J1237" s="10">
        <v>19</v>
      </c>
      <c r="K1237" s="10">
        <v>18</v>
      </c>
      <c r="L1237" t="str">
        <f t="shared" si="57"/>
        <v>OK</v>
      </c>
      <c r="M1237" t="str">
        <f t="shared" si="58"/>
        <v>OK</v>
      </c>
      <c r="N1237" t="str">
        <f t="shared" si="59"/>
        <v>OK</v>
      </c>
    </row>
    <row r="1238" spans="1:14" ht="28.8" x14ac:dyDescent="0.3">
      <c r="A1238">
        <v>69</v>
      </c>
      <c r="B1238">
        <v>2024</v>
      </c>
      <c r="C1238" s="2">
        <v>45548</v>
      </c>
      <c r="D1238" s="3" t="s">
        <v>11</v>
      </c>
      <c r="E1238" s="4" t="s">
        <v>17</v>
      </c>
      <c r="F1238" s="4" t="s">
        <v>13</v>
      </c>
      <c r="G1238" s="6">
        <v>24</v>
      </c>
      <c r="H1238" s="6">
        <v>15</v>
      </c>
      <c r="I1238" s="6">
        <v>24</v>
      </c>
      <c r="J1238" s="6" t="s">
        <v>312</v>
      </c>
      <c r="K1238" s="6">
        <v>24</v>
      </c>
      <c r="L1238" t="str">
        <f t="shared" si="57"/>
        <v>OK</v>
      </c>
      <c r="M1238" t="str">
        <f t="shared" si="58"/>
        <v>OK</v>
      </c>
      <c r="N1238" t="str">
        <f t="shared" si="59"/>
        <v>ERRO</v>
      </c>
    </row>
    <row r="1239" spans="1:14" ht="28.8" x14ac:dyDescent="0.3">
      <c r="A1239">
        <v>69</v>
      </c>
      <c r="B1239">
        <v>2024</v>
      </c>
      <c r="C1239" s="2">
        <v>45548</v>
      </c>
      <c r="D1239" s="7" t="s">
        <v>11</v>
      </c>
      <c r="E1239" s="8" t="s">
        <v>18</v>
      </c>
      <c r="F1239" s="8" t="s">
        <v>13</v>
      </c>
      <c r="G1239" s="10">
        <v>60</v>
      </c>
      <c r="H1239" s="10">
        <v>5</v>
      </c>
      <c r="I1239" s="10">
        <v>60</v>
      </c>
      <c r="J1239" s="10" t="s">
        <v>316</v>
      </c>
      <c r="K1239" s="10">
        <v>60</v>
      </c>
      <c r="L1239" t="str">
        <f t="shared" si="57"/>
        <v>OK</v>
      </c>
      <c r="M1239" t="str">
        <f t="shared" si="58"/>
        <v>OK</v>
      </c>
      <c r="N1239" t="str">
        <f t="shared" si="59"/>
        <v>ERRO</v>
      </c>
    </row>
    <row r="1240" spans="1:14" ht="28.8" x14ac:dyDescent="0.3">
      <c r="A1240">
        <v>69</v>
      </c>
      <c r="B1240">
        <v>2024</v>
      </c>
      <c r="C1240" s="2">
        <v>45548</v>
      </c>
      <c r="D1240" s="3" t="s">
        <v>11</v>
      </c>
      <c r="E1240" s="4" t="s">
        <v>19</v>
      </c>
      <c r="F1240" s="4" t="s">
        <v>13</v>
      </c>
      <c r="G1240" s="5"/>
      <c r="H1240" s="6">
        <v>6</v>
      </c>
      <c r="I1240" s="6">
        <v>60</v>
      </c>
      <c r="J1240" s="6">
        <v>42</v>
      </c>
      <c r="K1240" s="6">
        <v>48</v>
      </c>
      <c r="L1240" t="str">
        <f t="shared" si="57"/>
        <v>OK</v>
      </c>
      <c r="M1240" t="str">
        <f t="shared" si="58"/>
        <v>OK</v>
      </c>
      <c r="N1240" t="str">
        <f t="shared" si="59"/>
        <v>OK</v>
      </c>
    </row>
    <row r="1241" spans="1:14" ht="28.8" x14ac:dyDescent="0.3">
      <c r="A1241">
        <v>69</v>
      </c>
      <c r="B1241">
        <v>2024</v>
      </c>
      <c r="C1241" s="2">
        <v>45548</v>
      </c>
      <c r="D1241" s="7" t="s">
        <v>11</v>
      </c>
      <c r="E1241" s="8" t="s">
        <v>20</v>
      </c>
      <c r="F1241" s="8" t="s">
        <v>13</v>
      </c>
      <c r="G1241" s="10">
        <v>72</v>
      </c>
      <c r="H1241" s="10">
        <v>7</v>
      </c>
      <c r="I1241" s="10">
        <v>96</v>
      </c>
      <c r="J1241" s="10" t="s">
        <v>317</v>
      </c>
      <c r="K1241" s="10">
        <v>66</v>
      </c>
      <c r="L1241" t="str">
        <f t="shared" si="57"/>
        <v>OK</v>
      </c>
      <c r="M1241" t="str">
        <f t="shared" si="58"/>
        <v>OK</v>
      </c>
      <c r="N1241" t="str">
        <f t="shared" si="59"/>
        <v>ERRO</v>
      </c>
    </row>
    <row r="1242" spans="1:14" ht="28.8" x14ac:dyDescent="0.3">
      <c r="A1242">
        <v>69</v>
      </c>
      <c r="B1242">
        <v>2024</v>
      </c>
      <c r="C1242" s="2">
        <v>45548</v>
      </c>
      <c r="D1242" s="3" t="s">
        <v>11</v>
      </c>
      <c r="E1242" s="4" t="s">
        <v>21</v>
      </c>
      <c r="F1242" s="4" t="s">
        <v>13</v>
      </c>
      <c r="G1242" s="6">
        <v>24</v>
      </c>
      <c r="H1242" s="6">
        <v>2</v>
      </c>
      <c r="I1242" s="6">
        <v>24</v>
      </c>
      <c r="J1242" s="6" t="s">
        <v>318</v>
      </c>
      <c r="K1242" s="6">
        <v>21</v>
      </c>
      <c r="L1242" t="str">
        <f t="shared" si="57"/>
        <v>OK</v>
      </c>
      <c r="M1242" t="str">
        <f t="shared" si="58"/>
        <v>OK</v>
      </c>
      <c r="N1242" t="str">
        <f t="shared" si="59"/>
        <v>ERRO</v>
      </c>
    </row>
    <row r="1243" spans="1:14" ht="28.8" x14ac:dyDescent="0.3">
      <c r="A1243">
        <v>69</v>
      </c>
      <c r="B1243">
        <v>2024</v>
      </c>
      <c r="C1243" s="2">
        <v>45548</v>
      </c>
      <c r="D1243" s="7" t="s">
        <v>11</v>
      </c>
      <c r="E1243" s="8" t="s">
        <v>73</v>
      </c>
      <c r="F1243" s="8" t="s">
        <v>13</v>
      </c>
      <c r="G1243" s="10">
        <v>60</v>
      </c>
      <c r="H1243" s="10">
        <v>15</v>
      </c>
      <c r="I1243" s="10">
        <v>60</v>
      </c>
      <c r="J1243" s="10" t="s">
        <v>319</v>
      </c>
      <c r="K1243" s="10">
        <v>48</v>
      </c>
      <c r="L1243" t="str">
        <f t="shared" si="57"/>
        <v>OK</v>
      </c>
      <c r="M1243" t="str">
        <f t="shared" si="58"/>
        <v>OK</v>
      </c>
      <c r="N1243" t="str">
        <f t="shared" si="59"/>
        <v>ERRO</v>
      </c>
    </row>
    <row r="1244" spans="1:14" ht="28.8" x14ac:dyDescent="0.3">
      <c r="A1244">
        <v>69</v>
      </c>
      <c r="B1244">
        <v>2024</v>
      </c>
      <c r="C1244" s="2">
        <v>45548</v>
      </c>
      <c r="D1244" s="3" t="s">
        <v>11</v>
      </c>
      <c r="E1244" s="4" t="s">
        <v>23</v>
      </c>
      <c r="F1244" s="4" t="s">
        <v>13</v>
      </c>
      <c r="G1244" s="6">
        <v>24</v>
      </c>
      <c r="H1244" s="6">
        <v>6</v>
      </c>
      <c r="I1244" s="6">
        <v>60</v>
      </c>
      <c r="J1244" s="6">
        <v>27</v>
      </c>
      <c r="K1244" s="6">
        <v>24</v>
      </c>
      <c r="L1244" t="str">
        <f t="shared" si="57"/>
        <v>OK</v>
      </c>
      <c r="M1244" t="str">
        <f t="shared" si="58"/>
        <v>OK</v>
      </c>
      <c r="N1244" t="str">
        <f t="shared" si="59"/>
        <v>OK</v>
      </c>
    </row>
    <row r="1245" spans="1:14" ht="28.8" x14ac:dyDescent="0.3">
      <c r="A1245">
        <v>69</v>
      </c>
      <c r="B1245">
        <v>2024</v>
      </c>
      <c r="C1245" s="2">
        <v>45548</v>
      </c>
      <c r="D1245" s="7" t="s">
        <v>11</v>
      </c>
      <c r="E1245" s="8" t="s">
        <v>24</v>
      </c>
      <c r="F1245" s="8" t="s">
        <v>13</v>
      </c>
      <c r="G1245" s="10">
        <v>48</v>
      </c>
      <c r="H1245" s="10">
        <v>5</v>
      </c>
      <c r="I1245" s="10">
        <v>60</v>
      </c>
      <c r="J1245" s="10" t="s">
        <v>320</v>
      </c>
      <c r="K1245" s="10">
        <v>48</v>
      </c>
      <c r="L1245" t="str">
        <f t="shared" si="57"/>
        <v>OK</v>
      </c>
      <c r="M1245" t="str">
        <f t="shared" si="58"/>
        <v>OK</v>
      </c>
      <c r="N1245" t="str">
        <f t="shared" si="59"/>
        <v>ERRO</v>
      </c>
    </row>
    <row r="1246" spans="1:14" ht="28.8" x14ac:dyDescent="0.3">
      <c r="A1246">
        <v>69</v>
      </c>
      <c r="B1246">
        <v>2024</v>
      </c>
      <c r="C1246" s="2">
        <v>45548</v>
      </c>
      <c r="D1246" s="3" t="s">
        <v>11</v>
      </c>
      <c r="E1246" s="4" t="s">
        <v>25</v>
      </c>
      <c r="F1246" s="4" t="s">
        <v>26</v>
      </c>
      <c r="G1246" s="6">
        <v>48</v>
      </c>
      <c r="H1246" s="6">
        <v>7</v>
      </c>
      <c r="I1246" s="6">
        <v>60</v>
      </c>
      <c r="J1246" s="6" t="s">
        <v>321</v>
      </c>
      <c r="K1246" s="6">
        <v>48</v>
      </c>
      <c r="L1246" t="str">
        <f t="shared" si="57"/>
        <v>OK</v>
      </c>
      <c r="M1246" t="str">
        <f t="shared" si="58"/>
        <v>OK</v>
      </c>
      <c r="N1246" t="str">
        <f t="shared" si="59"/>
        <v>ERRO</v>
      </c>
    </row>
    <row r="1247" spans="1:14" ht="28.8" x14ac:dyDescent="0.3">
      <c r="A1247">
        <v>69</v>
      </c>
      <c r="B1247">
        <v>2024</v>
      </c>
      <c r="C1247" s="2">
        <v>45548</v>
      </c>
      <c r="D1247" s="7" t="s">
        <v>11</v>
      </c>
      <c r="E1247" s="8" t="s">
        <v>27</v>
      </c>
      <c r="F1247" s="8" t="s">
        <v>13</v>
      </c>
      <c r="G1247" s="10">
        <v>48</v>
      </c>
      <c r="H1247" s="10">
        <v>20</v>
      </c>
      <c r="I1247" s="10">
        <v>60</v>
      </c>
      <c r="J1247" s="10" t="s">
        <v>322</v>
      </c>
      <c r="K1247" s="10">
        <v>48</v>
      </c>
      <c r="L1247" t="str">
        <f t="shared" si="57"/>
        <v>OK</v>
      </c>
      <c r="M1247" t="str">
        <f t="shared" si="58"/>
        <v>OK</v>
      </c>
      <c r="N1247" t="str">
        <f t="shared" si="59"/>
        <v>ERRO</v>
      </c>
    </row>
    <row r="1248" spans="1:14" ht="28.8" x14ac:dyDescent="0.3">
      <c r="A1248">
        <v>69</v>
      </c>
      <c r="B1248">
        <v>2024</v>
      </c>
      <c r="C1248" s="2">
        <v>45548</v>
      </c>
      <c r="D1248" s="3" t="s">
        <v>11</v>
      </c>
      <c r="E1248" s="4" t="s">
        <v>28</v>
      </c>
      <c r="F1248" s="4" t="s">
        <v>13</v>
      </c>
      <c r="G1248" s="6">
        <v>36</v>
      </c>
      <c r="H1248" s="6">
        <v>4</v>
      </c>
      <c r="I1248" s="6">
        <v>50</v>
      </c>
      <c r="J1248" s="6">
        <v>33</v>
      </c>
      <c r="K1248" s="6">
        <v>36</v>
      </c>
      <c r="L1248" t="str">
        <f t="shared" si="57"/>
        <v>OK</v>
      </c>
      <c r="M1248" t="str">
        <f t="shared" si="58"/>
        <v>OK</v>
      </c>
      <c r="N1248" t="str">
        <f t="shared" si="59"/>
        <v>OK</v>
      </c>
    </row>
    <row r="1249" spans="1:14" ht="28.8" x14ac:dyDescent="0.3">
      <c r="A1249">
        <v>69</v>
      </c>
      <c r="B1249">
        <v>2024</v>
      </c>
      <c r="C1249" s="2">
        <v>45548</v>
      </c>
      <c r="D1249" s="7" t="s">
        <v>11</v>
      </c>
      <c r="E1249" s="8" t="s">
        <v>29</v>
      </c>
      <c r="F1249" s="8" t="s">
        <v>13</v>
      </c>
      <c r="G1249" s="10">
        <v>48</v>
      </c>
      <c r="H1249" s="10" t="s">
        <v>97</v>
      </c>
      <c r="I1249" s="10">
        <v>60</v>
      </c>
      <c r="J1249" s="10" t="s">
        <v>323</v>
      </c>
      <c r="K1249" s="10">
        <v>48</v>
      </c>
      <c r="L1249" t="str">
        <f t="shared" si="57"/>
        <v>ERRO</v>
      </c>
      <c r="M1249" t="str">
        <f t="shared" si="58"/>
        <v>OK</v>
      </c>
      <c r="N1249" t="str">
        <f t="shared" si="59"/>
        <v>ERRO</v>
      </c>
    </row>
    <row r="1250" spans="1:14" ht="28.8" x14ac:dyDescent="0.3">
      <c r="A1250">
        <v>69</v>
      </c>
      <c r="B1250">
        <v>2024</v>
      </c>
      <c r="C1250" s="2">
        <v>45548</v>
      </c>
      <c r="D1250" s="3" t="s">
        <v>11</v>
      </c>
      <c r="E1250" s="4" t="s">
        <v>31</v>
      </c>
      <c r="F1250" s="4" t="s">
        <v>32</v>
      </c>
      <c r="G1250" s="6">
        <v>5</v>
      </c>
      <c r="H1250" s="6">
        <v>4</v>
      </c>
      <c r="I1250" s="6">
        <v>5</v>
      </c>
      <c r="J1250" s="6" t="s">
        <v>291</v>
      </c>
      <c r="K1250" s="6">
        <v>5</v>
      </c>
      <c r="L1250" t="str">
        <f t="shared" si="57"/>
        <v>OK</v>
      </c>
      <c r="M1250" t="str">
        <f t="shared" si="58"/>
        <v>OK</v>
      </c>
      <c r="N1250" t="str">
        <f t="shared" si="59"/>
        <v>ERRO</v>
      </c>
    </row>
    <row r="1251" spans="1:14" ht="28.8" x14ac:dyDescent="0.3">
      <c r="A1251">
        <v>69</v>
      </c>
      <c r="B1251">
        <v>2024</v>
      </c>
      <c r="C1251" s="2">
        <v>45548</v>
      </c>
      <c r="D1251" s="7" t="s">
        <v>11</v>
      </c>
      <c r="E1251" s="8" t="s">
        <v>34</v>
      </c>
      <c r="F1251" s="8" t="s">
        <v>35</v>
      </c>
      <c r="G1251" s="10">
        <v>10</v>
      </c>
      <c r="H1251" s="10">
        <v>8</v>
      </c>
      <c r="I1251" s="10">
        <v>12</v>
      </c>
      <c r="J1251" s="10">
        <v>10</v>
      </c>
      <c r="K1251" s="10">
        <v>10</v>
      </c>
      <c r="L1251" t="str">
        <f t="shared" si="57"/>
        <v>OK</v>
      </c>
      <c r="M1251" t="str">
        <f t="shared" si="58"/>
        <v>OK</v>
      </c>
      <c r="N1251" t="str">
        <f t="shared" si="59"/>
        <v>OK</v>
      </c>
    </row>
    <row r="1252" spans="1:14" ht="28.8" x14ac:dyDescent="0.3">
      <c r="A1252">
        <v>69</v>
      </c>
      <c r="B1252">
        <v>2024</v>
      </c>
      <c r="C1252" s="2">
        <v>45548</v>
      </c>
      <c r="D1252" s="3" t="s">
        <v>11</v>
      </c>
      <c r="E1252" s="4" t="s">
        <v>36</v>
      </c>
      <c r="F1252" s="4" t="s">
        <v>35</v>
      </c>
      <c r="G1252" s="6">
        <v>30</v>
      </c>
      <c r="H1252" s="6">
        <v>10</v>
      </c>
      <c r="I1252" s="6">
        <v>30</v>
      </c>
      <c r="J1252" s="6">
        <v>21</v>
      </c>
      <c r="K1252" s="6">
        <v>20</v>
      </c>
      <c r="L1252" t="str">
        <f t="shared" si="57"/>
        <v>OK</v>
      </c>
      <c r="M1252" t="str">
        <f t="shared" si="58"/>
        <v>OK</v>
      </c>
      <c r="N1252" t="str">
        <f t="shared" si="59"/>
        <v>OK</v>
      </c>
    </row>
    <row r="1253" spans="1:14" ht="43.2" x14ac:dyDescent="0.3">
      <c r="A1253">
        <v>69</v>
      </c>
      <c r="B1253">
        <v>2024</v>
      </c>
      <c r="C1253" s="2">
        <v>45548</v>
      </c>
      <c r="D1253" s="7" t="s">
        <v>38</v>
      </c>
      <c r="E1253" s="8" t="s">
        <v>153</v>
      </c>
      <c r="F1253" s="8" t="s">
        <v>154</v>
      </c>
      <c r="G1253" s="10">
        <v>70</v>
      </c>
      <c r="H1253" s="10">
        <v>65</v>
      </c>
      <c r="I1253" s="10">
        <v>70</v>
      </c>
      <c r="J1253" s="10" t="s">
        <v>62</v>
      </c>
      <c r="K1253" s="10">
        <v>70</v>
      </c>
      <c r="L1253" t="str">
        <f t="shared" si="57"/>
        <v>OK</v>
      </c>
      <c r="M1253" t="str">
        <f t="shared" si="58"/>
        <v>OK</v>
      </c>
      <c r="N1253" t="str">
        <f t="shared" si="59"/>
        <v>ERRO</v>
      </c>
    </row>
    <row r="1254" spans="1:14" ht="43.2" x14ac:dyDescent="0.3">
      <c r="A1254">
        <v>69</v>
      </c>
      <c r="B1254">
        <v>2024</v>
      </c>
      <c r="C1254" s="2">
        <v>45548</v>
      </c>
      <c r="D1254" s="3" t="s">
        <v>38</v>
      </c>
      <c r="E1254" s="4" t="s">
        <v>39</v>
      </c>
      <c r="F1254" s="4" t="s">
        <v>40</v>
      </c>
      <c r="G1254" s="6">
        <v>50</v>
      </c>
      <c r="H1254" s="6">
        <v>25</v>
      </c>
      <c r="I1254" s="6">
        <v>50</v>
      </c>
      <c r="J1254" s="6">
        <v>40</v>
      </c>
      <c r="K1254" s="6">
        <v>40</v>
      </c>
      <c r="L1254" t="str">
        <f t="shared" si="57"/>
        <v>OK</v>
      </c>
      <c r="M1254" t="str">
        <f t="shared" si="58"/>
        <v>OK</v>
      </c>
      <c r="N1254" t="str">
        <f t="shared" si="59"/>
        <v>OK</v>
      </c>
    </row>
    <row r="1255" spans="1:14" ht="43.2" x14ac:dyDescent="0.3">
      <c r="A1255">
        <v>69</v>
      </c>
      <c r="B1255">
        <v>2024</v>
      </c>
      <c r="C1255" s="2">
        <v>45548</v>
      </c>
      <c r="D1255" s="7" t="s">
        <v>38</v>
      </c>
      <c r="E1255" s="8" t="s">
        <v>42</v>
      </c>
      <c r="F1255" s="8" t="s">
        <v>43</v>
      </c>
      <c r="G1255" s="10">
        <v>80</v>
      </c>
      <c r="H1255" s="10">
        <v>45</v>
      </c>
      <c r="I1255" s="10">
        <v>80</v>
      </c>
      <c r="J1255" s="10">
        <v>68</v>
      </c>
      <c r="K1255" s="10">
        <v>70</v>
      </c>
      <c r="L1255" t="str">
        <f t="shared" si="57"/>
        <v>OK</v>
      </c>
      <c r="M1255" t="str">
        <f t="shared" si="58"/>
        <v>OK</v>
      </c>
      <c r="N1255" t="str">
        <f t="shared" si="59"/>
        <v>OK</v>
      </c>
    </row>
    <row r="1256" spans="1:14" ht="43.2" x14ac:dyDescent="0.3">
      <c r="A1256">
        <v>69</v>
      </c>
      <c r="B1256">
        <v>2024</v>
      </c>
      <c r="C1256" s="2">
        <v>45548</v>
      </c>
      <c r="D1256" s="3" t="s">
        <v>38</v>
      </c>
      <c r="E1256" s="4" t="s">
        <v>44</v>
      </c>
      <c r="F1256" s="4" t="s">
        <v>45</v>
      </c>
      <c r="G1256" s="6">
        <v>50</v>
      </c>
      <c r="H1256" s="6">
        <v>45</v>
      </c>
      <c r="I1256" s="6">
        <v>60</v>
      </c>
      <c r="J1256" s="6">
        <v>51</v>
      </c>
      <c r="K1256" s="6">
        <v>50</v>
      </c>
      <c r="L1256" t="str">
        <f t="shared" si="57"/>
        <v>OK</v>
      </c>
      <c r="M1256" t="str">
        <f t="shared" si="58"/>
        <v>OK</v>
      </c>
      <c r="N1256" t="str">
        <f t="shared" si="59"/>
        <v>OK</v>
      </c>
    </row>
    <row r="1257" spans="1:14" ht="43.2" x14ac:dyDescent="0.3">
      <c r="A1257">
        <v>69</v>
      </c>
      <c r="B1257">
        <v>2024</v>
      </c>
      <c r="C1257" s="2">
        <v>45548</v>
      </c>
      <c r="D1257" s="7" t="s">
        <v>38</v>
      </c>
      <c r="E1257" s="8" t="s">
        <v>48</v>
      </c>
      <c r="F1257" s="8" t="s">
        <v>45</v>
      </c>
      <c r="G1257" s="10">
        <v>90</v>
      </c>
      <c r="H1257" s="10">
        <v>90</v>
      </c>
      <c r="I1257" s="10">
        <v>100</v>
      </c>
      <c r="J1257" s="10" t="s">
        <v>196</v>
      </c>
      <c r="K1257" s="10">
        <v>90</v>
      </c>
      <c r="L1257" t="str">
        <f t="shared" si="57"/>
        <v>OK</v>
      </c>
      <c r="M1257" t="str">
        <f t="shared" si="58"/>
        <v>OK</v>
      </c>
      <c r="N1257" t="str">
        <f t="shared" si="59"/>
        <v>ERRO</v>
      </c>
    </row>
    <row r="1258" spans="1:14" ht="43.2" x14ac:dyDescent="0.3">
      <c r="A1258">
        <v>69</v>
      </c>
      <c r="B1258">
        <v>2024</v>
      </c>
      <c r="C1258" s="2">
        <v>45548</v>
      </c>
      <c r="D1258" s="3" t="s">
        <v>38</v>
      </c>
      <c r="E1258" s="4" t="s">
        <v>49</v>
      </c>
      <c r="F1258" s="4" t="s">
        <v>50</v>
      </c>
      <c r="G1258" s="6">
        <v>60</v>
      </c>
      <c r="H1258" s="6">
        <v>60</v>
      </c>
      <c r="I1258" s="6">
        <v>80</v>
      </c>
      <c r="J1258" s="6">
        <v>68</v>
      </c>
      <c r="K1258" s="6">
        <v>70</v>
      </c>
      <c r="L1258" t="str">
        <f t="shared" si="57"/>
        <v>OK</v>
      </c>
      <c r="M1258" t="str">
        <f t="shared" si="58"/>
        <v>OK</v>
      </c>
      <c r="N1258" t="str">
        <f t="shared" si="59"/>
        <v>OK</v>
      </c>
    </row>
    <row r="1259" spans="1:14" ht="43.2" x14ac:dyDescent="0.3">
      <c r="A1259">
        <v>69</v>
      </c>
      <c r="B1259">
        <v>2024</v>
      </c>
      <c r="C1259" s="2">
        <v>45548</v>
      </c>
      <c r="D1259" s="7" t="s">
        <v>38</v>
      </c>
      <c r="E1259" s="8" t="s">
        <v>52</v>
      </c>
      <c r="F1259" s="8" t="s">
        <v>43</v>
      </c>
      <c r="G1259" s="10">
        <v>55</v>
      </c>
      <c r="H1259" s="10">
        <v>40</v>
      </c>
      <c r="I1259" s="10">
        <v>55</v>
      </c>
      <c r="J1259" s="10">
        <v>48</v>
      </c>
      <c r="K1259" s="10">
        <v>50</v>
      </c>
      <c r="L1259" t="str">
        <f t="shared" si="57"/>
        <v>OK</v>
      </c>
      <c r="M1259" t="str">
        <f t="shared" si="58"/>
        <v>OK</v>
      </c>
      <c r="N1259" t="str">
        <f t="shared" si="59"/>
        <v>OK</v>
      </c>
    </row>
    <row r="1260" spans="1:14" ht="43.2" x14ac:dyDescent="0.3">
      <c r="A1260">
        <v>69</v>
      </c>
      <c r="B1260">
        <v>2024</v>
      </c>
      <c r="C1260" s="2">
        <v>45548</v>
      </c>
      <c r="D1260" s="3" t="s">
        <v>38</v>
      </c>
      <c r="E1260" s="4" t="s">
        <v>53</v>
      </c>
      <c r="F1260" s="4" t="s">
        <v>43</v>
      </c>
      <c r="G1260" s="6">
        <v>50</v>
      </c>
      <c r="H1260" s="6">
        <v>50</v>
      </c>
      <c r="I1260" s="6">
        <v>80</v>
      </c>
      <c r="J1260" s="6">
        <v>57</v>
      </c>
      <c r="K1260" s="6">
        <v>50</v>
      </c>
      <c r="L1260" t="str">
        <f t="shared" si="57"/>
        <v>OK</v>
      </c>
      <c r="M1260" t="str">
        <f t="shared" si="58"/>
        <v>OK</v>
      </c>
      <c r="N1260" t="str">
        <f t="shared" si="59"/>
        <v>OK</v>
      </c>
    </row>
    <row r="1261" spans="1:14" ht="43.2" x14ac:dyDescent="0.3">
      <c r="A1261">
        <v>69</v>
      </c>
      <c r="B1261">
        <v>2024</v>
      </c>
      <c r="C1261" s="2">
        <v>45548</v>
      </c>
      <c r="D1261" s="7" t="s">
        <v>38</v>
      </c>
      <c r="E1261" s="8" t="s">
        <v>54</v>
      </c>
      <c r="F1261" s="8" t="s">
        <v>40</v>
      </c>
      <c r="G1261" s="10">
        <v>90</v>
      </c>
      <c r="H1261" s="10">
        <v>70</v>
      </c>
      <c r="I1261" s="10">
        <v>100</v>
      </c>
      <c r="J1261" s="10" t="s">
        <v>239</v>
      </c>
      <c r="K1261" s="10">
        <v>90</v>
      </c>
      <c r="L1261" t="str">
        <f t="shared" si="57"/>
        <v>OK</v>
      </c>
      <c r="M1261" t="str">
        <f t="shared" si="58"/>
        <v>OK</v>
      </c>
      <c r="N1261" t="str">
        <f t="shared" si="59"/>
        <v>ERRO</v>
      </c>
    </row>
    <row r="1262" spans="1:14" ht="43.2" x14ac:dyDescent="0.3">
      <c r="A1262">
        <v>69</v>
      </c>
      <c r="B1262">
        <v>2024</v>
      </c>
      <c r="C1262" s="2">
        <v>45548</v>
      </c>
      <c r="D1262" s="3" t="s">
        <v>38</v>
      </c>
      <c r="E1262" s="4" t="s">
        <v>56</v>
      </c>
      <c r="F1262" s="4" t="s">
        <v>43</v>
      </c>
      <c r="G1262" s="5"/>
      <c r="H1262" s="6">
        <v>35</v>
      </c>
      <c r="I1262" s="6">
        <v>50</v>
      </c>
      <c r="J1262" s="6" t="s">
        <v>324</v>
      </c>
      <c r="K1262" s="6">
        <v>40</v>
      </c>
      <c r="L1262" t="str">
        <f t="shared" si="57"/>
        <v>OK</v>
      </c>
      <c r="M1262" t="str">
        <f t="shared" si="58"/>
        <v>OK</v>
      </c>
      <c r="N1262" t="str">
        <f t="shared" si="59"/>
        <v>ERRO</v>
      </c>
    </row>
    <row r="1263" spans="1:14" ht="43.2" x14ac:dyDescent="0.3">
      <c r="A1263">
        <v>69</v>
      </c>
      <c r="B1263">
        <v>2024</v>
      </c>
      <c r="C1263" s="2">
        <v>45548</v>
      </c>
      <c r="D1263" s="7" t="s">
        <v>38</v>
      </c>
      <c r="E1263" s="8" t="s">
        <v>57</v>
      </c>
      <c r="F1263" s="8" t="s">
        <v>40</v>
      </c>
      <c r="G1263" s="9"/>
      <c r="H1263" s="10">
        <v>85</v>
      </c>
      <c r="I1263" s="10">
        <v>100</v>
      </c>
      <c r="J1263" s="10" t="s">
        <v>230</v>
      </c>
      <c r="K1263" s="10">
        <v>90</v>
      </c>
      <c r="L1263" t="str">
        <f t="shared" si="57"/>
        <v>OK</v>
      </c>
      <c r="M1263" t="str">
        <f t="shared" si="58"/>
        <v>OK</v>
      </c>
      <c r="N1263" t="str">
        <f t="shared" si="59"/>
        <v>ERRO</v>
      </c>
    </row>
    <row r="1264" spans="1:14" ht="43.2" x14ac:dyDescent="0.3">
      <c r="A1264">
        <v>69</v>
      </c>
      <c r="B1264">
        <v>2024</v>
      </c>
      <c r="C1264" s="2">
        <v>45548</v>
      </c>
      <c r="D1264" s="3" t="s">
        <v>38</v>
      </c>
      <c r="E1264" s="4" t="s">
        <v>58</v>
      </c>
      <c r="F1264" s="4" t="s">
        <v>40</v>
      </c>
      <c r="G1264" s="6">
        <v>100</v>
      </c>
      <c r="H1264" s="6">
        <v>100</v>
      </c>
      <c r="I1264" s="6">
        <v>135</v>
      </c>
      <c r="J1264" s="6">
        <v>117</v>
      </c>
      <c r="K1264" s="6">
        <v>120</v>
      </c>
      <c r="L1264" t="str">
        <f t="shared" si="57"/>
        <v>OK</v>
      </c>
      <c r="M1264" t="str">
        <f t="shared" si="58"/>
        <v>OK</v>
      </c>
      <c r="N1264" t="str">
        <f t="shared" si="59"/>
        <v>OK</v>
      </c>
    </row>
    <row r="1265" spans="1:14" ht="43.2" x14ac:dyDescent="0.3">
      <c r="A1265">
        <v>69</v>
      </c>
      <c r="B1265">
        <v>2024</v>
      </c>
      <c r="C1265" s="2">
        <v>45548</v>
      </c>
      <c r="D1265" s="7" t="s">
        <v>38</v>
      </c>
      <c r="E1265" s="8" t="s">
        <v>59</v>
      </c>
      <c r="F1265" s="8" t="s">
        <v>45</v>
      </c>
      <c r="G1265" s="10">
        <v>60</v>
      </c>
      <c r="H1265" s="10">
        <v>40</v>
      </c>
      <c r="I1265" s="10">
        <v>60</v>
      </c>
      <c r="J1265" s="10">
        <v>53</v>
      </c>
      <c r="K1265" s="10">
        <v>55</v>
      </c>
      <c r="L1265" t="str">
        <f t="shared" si="57"/>
        <v>OK</v>
      </c>
      <c r="M1265" t="str">
        <f t="shared" si="58"/>
        <v>OK</v>
      </c>
      <c r="N1265" t="str">
        <f t="shared" si="59"/>
        <v>OK</v>
      </c>
    </row>
    <row r="1266" spans="1:14" ht="43.2" x14ac:dyDescent="0.3">
      <c r="A1266">
        <v>69</v>
      </c>
      <c r="B1266">
        <v>2024</v>
      </c>
      <c r="C1266" s="2">
        <v>45548</v>
      </c>
      <c r="D1266" s="3" t="s">
        <v>38</v>
      </c>
      <c r="E1266" s="4" t="s">
        <v>60</v>
      </c>
      <c r="F1266" s="4" t="s">
        <v>61</v>
      </c>
      <c r="G1266" s="6">
        <v>150</v>
      </c>
      <c r="H1266" s="6">
        <v>140</v>
      </c>
      <c r="I1266" s="6">
        <v>150</v>
      </c>
      <c r="J1266" s="6">
        <v>146</v>
      </c>
      <c r="K1266" s="6">
        <v>150</v>
      </c>
      <c r="L1266" t="str">
        <f t="shared" si="57"/>
        <v>OK</v>
      </c>
      <c r="M1266" t="str">
        <f t="shared" si="58"/>
        <v>OK</v>
      </c>
      <c r="N1266" t="str">
        <f t="shared" si="59"/>
        <v>OK</v>
      </c>
    </row>
    <row r="1267" spans="1:14" ht="43.2" x14ac:dyDescent="0.3">
      <c r="A1267">
        <v>69</v>
      </c>
      <c r="B1267">
        <v>2024</v>
      </c>
      <c r="C1267" s="2">
        <v>45548</v>
      </c>
      <c r="D1267" s="7" t="s">
        <v>38</v>
      </c>
      <c r="E1267" s="8" t="s">
        <v>63</v>
      </c>
      <c r="F1267" s="8" t="s">
        <v>40</v>
      </c>
      <c r="G1267" s="10">
        <v>70</v>
      </c>
      <c r="H1267" s="10">
        <v>60</v>
      </c>
      <c r="I1267" s="10">
        <v>80</v>
      </c>
      <c r="J1267" s="10">
        <v>69</v>
      </c>
      <c r="K1267" s="10">
        <v>70</v>
      </c>
      <c r="L1267" t="str">
        <f t="shared" si="57"/>
        <v>OK</v>
      </c>
      <c r="M1267" t="str">
        <f t="shared" si="58"/>
        <v>OK</v>
      </c>
      <c r="N1267" t="str">
        <f t="shared" si="59"/>
        <v>OK</v>
      </c>
    </row>
    <row r="1268" spans="1:14" ht="43.2" x14ac:dyDescent="0.3">
      <c r="A1268">
        <v>69</v>
      </c>
      <c r="B1268">
        <v>2024</v>
      </c>
      <c r="C1268" s="2">
        <v>45548</v>
      </c>
      <c r="D1268" s="3" t="s">
        <v>38</v>
      </c>
      <c r="E1268" s="4" t="s">
        <v>64</v>
      </c>
      <c r="F1268" s="4" t="s">
        <v>40</v>
      </c>
      <c r="G1268" s="6">
        <v>150</v>
      </c>
      <c r="H1268" s="6">
        <v>120</v>
      </c>
      <c r="I1268" s="6">
        <v>150</v>
      </c>
      <c r="J1268" s="6">
        <v>140</v>
      </c>
      <c r="K1268" s="6">
        <v>150</v>
      </c>
      <c r="L1268" t="str">
        <f t="shared" si="57"/>
        <v>OK</v>
      </c>
      <c r="M1268" t="str">
        <f t="shared" si="58"/>
        <v>OK</v>
      </c>
      <c r="N1268" t="str">
        <f t="shared" si="59"/>
        <v>OK</v>
      </c>
    </row>
    <row r="1269" spans="1:14" x14ac:dyDescent="0.3">
      <c r="A1269">
        <v>69</v>
      </c>
      <c r="B1269">
        <v>2024</v>
      </c>
      <c r="C1269" s="2">
        <v>45548</v>
      </c>
      <c r="D1269" s="7" t="s">
        <v>65</v>
      </c>
      <c r="E1269" s="8" t="s">
        <v>66</v>
      </c>
      <c r="F1269" s="8" t="s">
        <v>45</v>
      </c>
      <c r="G1269" s="9"/>
      <c r="H1269" s="9"/>
      <c r="I1269" s="9"/>
      <c r="J1269" s="9"/>
      <c r="K1269" s="9"/>
      <c r="L1269" t="str">
        <f t="shared" si="57"/>
        <v>OK</v>
      </c>
      <c r="M1269" t="str">
        <f t="shared" si="58"/>
        <v>OK</v>
      </c>
      <c r="N1269" t="str">
        <f t="shared" si="59"/>
        <v>OK</v>
      </c>
    </row>
    <row r="1270" spans="1:14" x14ac:dyDescent="0.3">
      <c r="A1270">
        <v>69</v>
      </c>
      <c r="B1270">
        <v>2024</v>
      </c>
      <c r="C1270" s="2">
        <v>45548</v>
      </c>
      <c r="D1270" s="3" t="s">
        <v>65</v>
      </c>
      <c r="E1270" s="4" t="s">
        <v>67</v>
      </c>
      <c r="F1270" s="4" t="s">
        <v>45</v>
      </c>
      <c r="G1270" s="5"/>
      <c r="H1270" s="5"/>
      <c r="I1270" s="5"/>
      <c r="J1270" s="5"/>
      <c r="K1270" s="5"/>
      <c r="L1270" t="str">
        <f t="shared" si="57"/>
        <v>OK</v>
      </c>
      <c r="M1270" t="str">
        <f t="shared" si="58"/>
        <v>OK</v>
      </c>
      <c r="N1270" t="str">
        <f t="shared" si="59"/>
        <v>OK</v>
      </c>
    </row>
    <row r="1271" spans="1:14" x14ac:dyDescent="0.3">
      <c r="A1271">
        <v>69</v>
      </c>
      <c r="B1271">
        <v>2024</v>
      </c>
      <c r="C1271" s="2">
        <v>45548</v>
      </c>
      <c r="D1271" s="7" t="s">
        <v>65</v>
      </c>
      <c r="E1271" s="8" t="s">
        <v>68</v>
      </c>
      <c r="F1271" s="8" t="s">
        <v>45</v>
      </c>
      <c r="G1271" s="9"/>
      <c r="H1271" s="9"/>
      <c r="I1271" s="9"/>
      <c r="J1271" s="9"/>
      <c r="K1271" s="9"/>
      <c r="L1271" t="str">
        <f t="shared" si="57"/>
        <v>OK</v>
      </c>
      <c r="M1271" t="str">
        <f t="shared" si="58"/>
        <v>OK</v>
      </c>
      <c r="N1271" t="str">
        <f t="shared" si="59"/>
        <v>OK</v>
      </c>
    </row>
    <row r="1272" spans="1:14" x14ac:dyDescent="0.3">
      <c r="A1272">
        <v>69</v>
      </c>
      <c r="B1272">
        <v>2024</v>
      </c>
      <c r="C1272" s="2">
        <v>45548</v>
      </c>
      <c r="D1272" s="3" t="s">
        <v>65</v>
      </c>
      <c r="E1272" s="4" t="s">
        <v>69</v>
      </c>
      <c r="F1272" s="4" t="s">
        <v>45</v>
      </c>
      <c r="G1272" s="5"/>
      <c r="H1272" s="6">
        <v>50</v>
      </c>
      <c r="I1272" s="6">
        <v>50</v>
      </c>
      <c r="J1272" s="6">
        <v>50</v>
      </c>
      <c r="K1272" s="6">
        <v>50</v>
      </c>
      <c r="L1272" t="str">
        <f t="shared" si="57"/>
        <v>OK</v>
      </c>
      <c r="M1272" t="str">
        <f t="shared" si="58"/>
        <v>OK</v>
      </c>
      <c r="N1272" t="str">
        <f t="shared" si="59"/>
        <v>OK</v>
      </c>
    </row>
    <row r="1273" spans="1:14" x14ac:dyDescent="0.3">
      <c r="A1273">
        <v>69</v>
      </c>
      <c r="B1273">
        <v>2024</v>
      </c>
      <c r="C1273" s="2">
        <v>45548</v>
      </c>
      <c r="D1273" s="7" t="s">
        <v>65</v>
      </c>
      <c r="E1273" s="8" t="s">
        <v>70</v>
      </c>
      <c r="F1273" s="8" t="s">
        <v>71</v>
      </c>
      <c r="G1273" s="9"/>
      <c r="H1273" s="9"/>
      <c r="I1273" s="9"/>
      <c r="J1273" s="9"/>
      <c r="K1273" s="9"/>
      <c r="L1273" t="str">
        <f t="shared" si="57"/>
        <v>OK</v>
      </c>
      <c r="M1273" t="str">
        <f t="shared" si="58"/>
        <v>OK</v>
      </c>
      <c r="N1273" t="str">
        <f t="shared" si="59"/>
        <v>OK</v>
      </c>
    </row>
    <row r="1274" spans="1:14" ht="28.8" x14ac:dyDescent="0.3">
      <c r="A1274">
        <v>70</v>
      </c>
      <c r="B1274">
        <v>2024</v>
      </c>
      <c r="C1274" s="2">
        <v>45555</v>
      </c>
      <c r="D1274" s="3" t="s">
        <v>11</v>
      </c>
      <c r="E1274" s="4" t="s">
        <v>12</v>
      </c>
      <c r="F1274" s="4" t="s">
        <v>13</v>
      </c>
      <c r="G1274" s="6">
        <v>48</v>
      </c>
      <c r="H1274" s="6">
        <v>48</v>
      </c>
      <c r="I1274" s="6">
        <v>60</v>
      </c>
      <c r="J1274" s="6">
        <v>51</v>
      </c>
      <c r="K1274" s="6">
        <v>48</v>
      </c>
      <c r="L1274" t="str">
        <f t="shared" si="57"/>
        <v>OK</v>
      </c>
      <c r="M1274" t="str">
        <f t="shared" si="58"/>
        <v>OK</v>
      </c>
      <c r="N1274" t="str">
        <f t="shared" si="59"/>
        <v>OK</v>
      </c>
    </row>
    <row r="1275" spans="1:14" ht="28.8" x14ac:dyDescent="0.3">
      <c r="A1275">
        <v>70</v>
      </c>
      <c r="B1275">
        <v>2024</v>
      </c>
      <c r="C1275" s="2">
        <v>45555</v>
      </c>
      <c r="D1275" s="7" t="s">
        <v>11</v>
      </c>
      <c r="E1275" s="8" t="s">
        <v>14</v>
      </c>
      <c r="F1275" s="8" t="s">
        <v>13</v>
      </c>
      <c r="G1275" s="10">
        <v>84</v>
      </c>
      <c r="H1275" s="10">
        <v>60</v>
      </c>
      <c r="I1275" s="10">
        <v>84</v>
      </c>
      <c r="J1275" s="10">
        <v>75</v>
      </c>
      <c r="K1275" s="10">
        <v>78</v>
      </c>
      <c r="L1275" t="str">
        <f t="shared" si="57"/>
        <v>OK</v>
      </c>
      <c r="M1275" t="str">
        <f t="shared" si="58"/>
        <v>OK</v>
      </c>
      <c r="N1275" t="str">
        <f t="shared" si="59"/>
        <v>OK</v>
      </c>
    </row>
    <row r="1276" spans="1:14" ht="28.8" x14ac:dyDescent="0.3">
      <c r="A1276">
        <v>70</v>
      </c>
      <c r="B1276">
        <v>2024</v>
      </c>
      <c r="C1276" s="2">
        <v>45555</v>
      </c>
      <c r="D1276" s="3" t="s">
        <v>11</v>
      </c>
      <c r="E1276" s="4" t="s">
        <v>15</v>
      </c>
      <c r="F1276" s="4" t="s">
        <v>13</v>
      </c>
      <c r="G1276" s="6">
        <v>36</v>
      </c>
      <c r="H1276" s="6">
        <v>36</v>
      </c>
      <c r="I1276" s="6">
        <v>48</v>
      </c>
      <c r="J1276" s="6" t="s">
        <v>325</v>
      </c>
      <c r="K1276" s="6">
        <v>36</v>
      </c>
      <c r="L1276" t="str">
        <f t="shared" si="57"/>
        <v>OK</v>
      </c>
      <c r="M1276" t="str">
        <f t="shared" si="58"/>
        <v>OK</v>
      </c>
      <c r="N1276" t="str">
        <f t="shared" si="59"/>
        <v>ERRO</v>
      </c>
    </row>
    <row r="1277" spans="1:14" ht="28.8" x14ac:dyDescent="0.3">
      <c r="A1277">
        <v>70</v>
      </c>
      <c r="B1277">
        <v>2024</v>
      </c>
      <c r="C1277" s="2">
        <v>45555</v>
      </c>
      <c r="D1277" s="7" t="s">
        <v>11</v>
      </c>
      <c r="E1277" s="8" t="s">
        <v>16</v>
      </c>
      <c r="F1277" s="8" t="s">
        <v>13</v>
      </c>
      <c r="G1277" s="10">
        <v>24</v>
      </c>
      <c r="H1277" s="10">
        <v>15</v>
      </c>
      <c r="I1277" s="10">
        <v>36</v>
      </c>
      <c r="J1277" s="10" t="s">
        <v>326</v>
      </c>
      <c r="K1277" s="10">
        <v>24</v>
      </c>
      <c r="L1277" t="str">
        <f t="shared" si="57"/>
        <v>OK</v>
      </c>
      <c r="M1277" t="str">
        <f t="shared" si="58"/>
        <v>OK</v>
      </c>
      <c r="N1277" t="str">
        <f t="shared" si="59"/>
        <v>ERRO</v>
      </c>
    </row>
    <row r="1278" spans="1:14" ht="28.8" x14ac:dyDescent="0.3">
      <c r="A1278">
        <v>70</v>
      </c>
      <c r="B1278">
        <v>2024</v>
      </c>
      <c r="C1278" s="2">
        <v>45555</v>
      </c>
      <c r="D1278" s="3" t="s">
        <v>11</v>
      </c>
      <c r="E1278" s="4" t="s">
        <v>17</v>
      </c>
      <c r="F1278" s="4" t="s">
        <v>13</v>
      </c>
      <c r="G1278" s="6">
        <v>24</v>
      </c>
      <c r="H1278" s="6">
        <v>15</v>
      </c>
      <c r="I1278" s="6">
        <v>36</v>
      </c>
      <c r="J1278" s="6" t="s">
        <v>119</v>
      </c>
      <c r="K1278" s="6">
        <v>24</v>
      </c>
      <c r="L1278" t="str">
        <f t="shared" si="57"/>
        <v>OK</v>
      </c>
      <c r="M1278" t="str">
        <f t="shared" si="58"/>
        <v>OK</v>
      </c>
      <c r="N1278" t="str">
        <f t="shared" si="59"/>
        <v>ERRO</v>
      </c>
    </row>
    <row r="1279" spans="1:14" ht="28.8" x14ac:dyDescent="0.3">
      <c r="A1279">
        <v>70</v>
      </c>
      <c r="B1279">
        <v>2024</v>
      </c>
      <c r="C1279" s="2">
        <v>45555</v>
      </c>
      <c r="D1279" s="7" t="s">
        <v>11</v>
      </c>
      <c r="E1279" s="8" t="s">
        <v>18</v>
      </c>
      <c r="F1279" s="8" t="s">
        <v>13</v>
      </c>
      <c r="G1279" s="10">
        <v>60</v>
      </c>
      <c r="H1279" s="10">
        <v>60</v>
      </c>
      <c r="I1279" s="10">
        <v>60</v>
      </c>
      <c r="J1279" s="10">
        <v>60</v>
      </c>
      <c r="K1279" s="10">
        <v>60</v>
      </c>
      <c r="L1279" t="str">
        <f t="shared" si="57"/>
        <v>OK</v>
      </c>
      <c r="M1279" t="str">
        <f t="shared" si="58"/>
        <v>OK</v>
      </c>
      <c r="N1279" t="str">
        <f t="shared" si="59"/>
        <v>OK</v>
      </c>
    </row>
    <row r="1280" spans="1:14" ht="28.8" x14ac:dyDescent="0.3">
      <c r="A1280">
        <v>70</v>
      </c>
      <c r="B1280">
        <v>2024</v>
      </c>
      <c r="C1280" s="2">
        <v>45555</v>
      </c>
      <c r="D1280" s="3" t="s">
        <v>11</v>
      </c>
      <c r="E1280" s="4" t="s">
        <v>19</v>
      </c>
      <c r="F1280" s="4" t="s">
        <v>13</v>
      </c>
      <c r="G1280" s="6">
        <v>48</v>
      </c>
      <c r="H1280" s="6">
        <v>48</v>
      </c>
      <c r="I1280" s="6">
        <v>72</v>
      </c>
      <c r="J1280" s="6">
        <v>57</v>
      </c>
      <c r="K1280" s="6">
        <v>54</v>
      </c>
      <c r="L1280" t="str">
        <f t="shared" si="57"/>
        <v>OK</v>
      </c>
      <c r="M1280" t="str">
        <f t="shared" si="58"/>
        <v>OK</v>
      </c>
      <c r="N1280" t="str">
        <f t="shared" si="59"/>
        <v>OK</v>
      </c>
    </row>
    <row r="1281" spans="1:14" ht="28.8" x14ac:dyDescent="0.3">
      <c r="A1281">
        <v>70</v>
      </c>
      <c r="B1281">
        <v>2024</v>
      </c>
      <c r="C1281" s="2">
        <v>45555</v>
      </c>
      <c r="D1281" s="7" t="s">
        <v>11</v>
      </c>
      <c r="E1281" s="8" t="s">
        <v>20</v>
      </c>
      <c r="F1281" s="8" t="s">
        <v>13</v>
      </c>
      <c r="G1281" s="10">
        <v>72</v>
      </c>
      <c r="H1281" s="10">
        <v>60</v>
      </c>
      <c r="I1281" s="10">
        <v>72</v>
      </c>
      <c r="J1281" s="10" t="s">
        <v>327</v>
      </c>
      <c r="K1281" s="10">
        <v>72</v>
      </c>
      <c r="L1281" t="str">
        <f t="shared" si="57"/>
        <v>OK</v>
      </c>
      <c r="M1281" t="str">
        <f t="shared" si="58"/>
        <v>OK</v>
      </c>
      <c r="N1281" t="str">
        <f t="shared" si="59"/>
        <v>ERRO</v>
      </c>
    </row>
    <row r="1282" spans="1:14" ht="28.8" x14ac:dyDescent="0.3">
      <c r="A1282">
        <v>70</v>
      </c>
      <c r="B1282">
        <v>2024</v>
      </c>
      <c r="C1282" s="2">
        <v>45555</v>
      </c>
      <c r="D1282" s="3" t="s">
        <v>11</v>
      </c>
      <c r="E1282" s="4" t="s">
        <v>21</v>
      </c>
      <c r="F1282" s="4" t="s">
        <v>13</v>
      </c>
      <c r="G1282" s="6">
        <v>24</v>
      </c>
      <c r="H1282" s="6">
        <v>18</v>
      </c>
      <c r="I1282" s="6">
        <v>24</v>
      </c>
      <c r="J1282" s="6" t="s">
        <v>118</v>
      </c>
      <c r="K1282" s="6">
        <v>24</v>
      </c>
      <c r="L1282" t="str">
        <f t="shared" si="57"/>
        <v>OK</v>
      </c>
      <c r="M1282" t="str">
        <f t="shared" si="58"/>
        <v>OK</v>
      </c>
      <c r="N1282" t="str">
        <f t="shared" si="59"/>
        <v>ERRO</v>
      </c>
    </row>
    <row r="1283" spans="1:14" ht="28.8" x14ac:dyDescent="0.3">
      <c r="A1283">
        <v>70</v>
      </c>
      <c r="B1283">
        <v>2024</v>
      </c>
      <c r="C1283" s="2">
        <v>45555</v>
      </c>
      <c r="D1283" s="7" t="s">
        <v>11</v>
      </c>
      <c r="E1283" s="8" t="s">
        <v>73</v>
      </c>
      <c r="F1283" s="8" t="s">
        <v>13</v>
      </c>
      <c r="G1283" s="10">
        <v>60</v>
      </c>
      <c r="H1283" s="10">
        <v>60</v>
      </c>
      <c r="I1283" s="10">
        <v>72</v>
      </c>
      <c r="J1283" s="10" t="s">
        <v>328</v>
      </c>
      <c r="K1283" s="10">
        <v>65</v>
      </c>
      <c r="L1283" t="str">
        <f t="shared" ref="L1283:L1346" si="60">IF(H1283&gt;I1283,"ERRO","OK")</f>
        <v>OK</v>
      </c>
      <c r="M1283" t="str">
        <f t="shared" ref="M1283:M1346" si="61">IF(H1283&gt;J1283,"ERRO","OK")</f>
        <v>OK</v>
      </c>
      <c r="N1283" t="str">
        <f t="shared" ref="N1283:N1346" si="62">IF(I1283&lt;J1283,"ERRO","OK")</f>
        <v>ERRO</v>
      </c>
    </row>
    <row r="1284" spans="1:14" ht="28.8" x14ac:dyDescent="0.3">
      <c r="A1284">
        <v>70</v>
      </c>
      <c r="B1284">
        <v>2024</v>
      </c>
      <c r="C1284" s="2">
        <v>45555</v>
      </c>
      <c r="D1284" s="3" t="s">
        <v>11</v>
      </c>
      <c r="E1284" s="4" t="s">
        <v>23</v>
      </c>
      <c r="F1284" s="4" t="s">
        <v>13</v>
      </c>
      <c r="G1284" s="6">
        <v>24</v>
      </c>
      <c r="H1284" s="6">
        <v>15</v>
      </c>
      <c r="I1284" s="6">
        <v>24</v>
      </c>
      <c r="J1284" s="6">
        <v>21</v>
      </c>
      <c r="K1284" s="6">
        <v>24</v>
      </c>
      <c r="L1284" t="str">
        <f t="shared" si="60"/>
        <v>OK</v>
      </c>
      <c r="M1284" t="str">
        <f t="shared" si="61"/>
        <v>OK</v>
      </c>
      <c r="N1284" t="str">
        <f t="shared" si="62"/>
        <v>OK</v>
      </c>
    </row>
    <row r="1285" spans="1:14" ht="28.8" x14ac:dyDescent="0.3">
      <c r="A1285">
        <v>70</v>
      </c>
      <c r="B1285">
        <v>2024</v>
      </c>
      <c r="C1285" s="2">
        <v>45555</v>
      </c>
      <c r="D1285" s="7" t="s">
        <v>11</v>
      </c>
      <c r="E1285" s="8" t="s">
        <v>24</v>
      </c>
      <c r="F1285" s="8" t="s">
        <v>13</v>
      </c>
      <c r="G1285" s="10">
        <v>48</v>
      </c>
      <c r="H1285" s="10">
        <v>48</v>
      </c>
      <c r="I1285" s="10">
        <v>72</v>
      </c>
      <c r="J1285" s="10">
        <v>57</v>
      </c>
      <c r="K1285" s="10">
        <v>54</v>
      </c>
      <c r="L1285" t="str">
        <f t="shared" si="60"/>
        <v>OK</v>
      </c>
      <c r="M1285" t="str">
        <f t="shared" si="61"/>
        <v>OK</v>
      </c>
      <c r="N1285" t="str">
        <f t="shared" si="62"/>
        <v>OK</v>
      </c>
    </row>
    <row r="1286" spans="1:14" ht="28.8" x14ac:dyDescent="0.3">
      <c r="A1286">
        <v>70</v>
      </c>
      <c r="B1286">
        <v>2024</v>
      </c>
      <c r="C1286" s="2">
        <v>45555</v>
      </c>
      <c r="D1286" s="3" t="s">
        <v>11</v>
      </c>
      <c r="E1286" s="4" t="s">
        <v>25</v>
      </c>
      <c r="F1286" s="4" t="s">
        <v>26</v>
      </c>
      <c r="G1286" s="6">
        <v>48</v>
      </c>
      <c r="H1286" s="6">
        <v>36</v>
      </c>
      <c r="I1286" s="6">
        <v>60</v>
      </c>
      <c r="J1286" s="6" t="s">
        <v>290</v>
      </c>
      <c r="K1286" s="6">
        <v>48</v>
      </c>
      <c r="L1286" t="str">
        <f t="shared" si="60"/>
        <v>OK</v>
      </c>
      <c r="M1286" t="str">
        <f t="shared" si="61"/>
        <v>OK</v>
      </c>
      <c r="N1286" t="str">
        <f t="shared" si="62"/>
        <v>ERRO</v>
      </c>
    </row>
    <row r="1287" spans="1:14" ht="28.8" x14ac:dyDescent="0.3">
      <c r="A1287">
        <v>70</v>
      </c>
      <c r="B1287">
        <v>2024</v>
      </c>
      <c r="C1287" s="2">
        <v>45555</v>
      </c>
      <c r="D1287" s="7" t="s">
        <v>11</v>
      </c>
      <c r="E1287" s="8" t="s">
        <v>27</v>
      </c>
      <c r="F1287" s="8" t="s">
        <v>13</v>
      </c>
      <c r="G1287" s="10">
        <v>60</v>
      </c>
      <c r="H1287" s="10">
        <v>48</v>
      </c>
      <c r="I1287" s="10">
        <v>60</v>
      </c>
      <c r="J1287" s="10">
        <v>54</v>
      </c>
      <c r="K1287" s="10">
        <v>54</v>
      </c>
      <c r="L1287" t="str">
        <f t="shared" si="60"/>
        <v>OK</v>
      </c>
      <c r="M1287" t="str">
        <f t="shared" si="61"/>
        <v>OK</v>
      </c>
      <c r="N1287" t="str">
        <f t="shared" si="62"/>
        <v>OK</v>
      </c>
    </row>
    <row r="1288" spans="1:14" ht="28.8" x14ac:dyDescent="0.3">
      <c r="A1288">
        <v>70</v>
      </c>
      <c r="B1288">
        <v>2024</v>
      </c>
      <c r="C1288" s="2">
        <v>45555</v>
      </c>
      <c r="D1288" s="3" t="s">
        <v>11</v>
      </c>
      <c r="E1288" s="4" t="s">
        <v>28</v>
      </c>
      <c r="F1288" s="4" t="s">
        <v>13</v>
      </c>
      <c r="G1288" s="6">
        <v>36</v>
      </c>
      <c r="H1288" s="6">
        <v>20</v>
      </c>
      <c r="I1288" s="6">
        <v>36</v>
      </c>
      <c r="J1288" s="6" t="s">
        <v>329</v>
      </c>
      <c r="K1288" s="6">
        <v>36</v>
      </c>
      <c r="L1288" t="str">
        <f t="shared" si="60"/>
        <v>OK</v>
      </c>
      <c r="M1288" t="str">
        <f t="shared" si="61"/>
        <v>OK</v>
      </c>
      <c r="N1288" t="str">
        <f t="shared" si="62"/>
        <v>ERRO</v>
      </c>
    </row>
    <row r="1289" spans="1:14" ht="28.8" x14ac:dyDescent="0.3">
      <c r="A1289">
        <v>70</v>
      </c>
      <c r="B1289">
        <v>2024</v>
      </c>
      <c r="C1289" s="2">
        <v>45555</v>
      </c>
      <c r="D1289" s="7" t="s">
        <v>11</v>
      </c>
      <c r="E1289" s="8" t="s">
        <v>29</v>
      </c>
      <c r="F1289" s="8" t="s">
        <v>13</v>
      </c>
      <c r="G1289" s="10">
        <v>48</v>
      </c>
      <c r="H1289" s="10">
        <v>48</v>
      </c>
      <c r="I1289" s="10">
        <v>54</v>
      </c>
      <c r="J1289" s="10" t="s">
        <v>300</v>
      </c>
      <c r="K1289" s="10">
        <v>48</v>
      </c>
      <c r="L1289" t="str">
        <f t="shared" si="60"/>
        <v>OK</v>
      </c>
      <c r="M1289" t="str">
        <f t="shared" si="61"/>
        <v>OK</v>
      </c>
      <c r="N1289" t="str">
        <f t="shared" si="62"/>
        <v>ERRO</v>
      </c>
    </row>
    <row r="1290" spans="1:14" ht="28.8" x14ac:dyDescent="0.3">
      <c r="A1290">
        <v>70</v>
      </c>
      <c r="B1290">
        <v>2024</v>
      </c>
      <c r="C1290" s="2">
        <v>45555</v>
      </c>
      <c r="D1290" s="3" t="s">
        <v>11</v>
      </c>
      <c r="E1290" s="4" t="s">
        <v>31</v>
      </c>
      <c r="F1290" s="4" t="s">
        <v>32</v>
      </c>
      <c r="G1290" s="6">
        <v>5</v>
      </c>
      <c r="H1290" s="6">
        <v>5</v>
      </c>
      <c r="I1290" s="6">
        <v>5</v>
      </c>
      <c r="J1290" s="6">
        <v>5</v>
      </c>
      <c r="K1290" s="6">
        <v>5</v>
      </c>
      <c r="L1290" t="str">
        <f t="shared" si="60"/>
        <v>OK</v>
      </c>
      <c r="M1290" t="str">
        <f t="shared" si="61"/>
        <v>OK</v>
      </c>
      <c r="N1290" t="str">
        <f t="shared" si="62"/>
        <v>OK</v>
      </c>
    </row>
    <row r="1291" spans="1:14" ht="28.8" x14ac:dyDescent="0.3">
      <c r="A1291">
        <v>70</v>
      </c>
      <c r="B1291">
        <v>2024</v>
      </c>
      <c r="C1291" s="2">
        <v>45555</v>
      </c>
      <c r="D1291" s="7" t="s">
        <v>11</v>
      </c>
      <c r="E1291" s="8" t="s">
        <v>34</v>
      </c>
      <c r="F1291" s="8" t="s">
        <v>35</v>
      </c>
      <c r="G1291" s="10">
        <v>10</v>
      </c>
      <c r="H1291" s="10">
        <v>10</v>
      </c>
      <c r="I1291" s="10">
        <v>12</v>
      </c>
      <c r="J1291" s="10" t="s">
        <v>330</v>
      </c>
      <c r="K1291" s="10">
        <v>10</v>
      </c>
      <c r="L1291" t="str">
        <f t="shared" si="60"/>
        <v>OK</v>
      </c>
      <c r="M1291" t="str">
        <f t="shared" si="61"/>
        <v>OK</v>
      </c>
      <c r="N1291" t="str">
        <f t="shared" si="62"/>
        <v>ERRO</v>
      </c>
    </row>
    <row r="1292" spans="1:14" ht="28.8" x14ac:dyDescent="0.3">
      <c r="A1292">
        <v>70</v>
      </c>
      <c r="B1292">
        <v>2024</v>
      </c>
      <c r="C1292" s="2">
        <v>45555</v>
      </c>
      <c r="D1292" s="3" t="s">
        <v>11</v>
      </c>
      <c r="E1292" s="4" t="s">
        <v>36</v>
      </c>
      <c r="F1292" s="4" t="s">
        <v>35</v>
      </c>
      <c r="G1292" s="6">
        <v>30</v>
      </c>
      <c r="H1292" s="6">
        <v>15</v>
      </c>
      <c r="I1292" s="6">
        <v>30</v>
      </c>
      <c r="J1292" s="6">
        <v>25</v>
      </c>
      <c r="K1292" s="6">
        <v>30</v>
      </c>
      <c r="L1292" t="str">
        <f t="shared" si="60"/>
        <v>OK</v>
      </c>
      <c r="M1292" t="str">
        <f t="shared" si="61"/>
        <v>OK</v>
      </c>
      <c r="N1292" t="str">
        <f t="shared" si="62"/>
        <v>OK</v>
      </c>
    </row>
    <row r="1293" spans="1:14" ht="43.2" x14ac:dyDescent="0.3">
      <c r="A1293">
        <v>70</v>
      </c>
      <c r="B1293">
        <v>2024</v>
      </c>
      <c r="C1293" s="2">
        <v>45555</v>
      </c>
      <c r="D1293" s="7" t="s">
        <v>38</v>
      </c>
      <c r="E1293" s="8" t="s">
        <v>153</v>
      </c>
      <c r="F1293" s="8" t="s">
        <v>154</v>
      </c>
      <c r="G1293" s="9"/>
      <c r="H1293" s="10">
        <v>70</v>
      </c>
      <c r="I1293" s="10">
        <v>80</v>
      </c>
      <c r="J1293" s="10">
        <v>75</v>
      </c>
      <c r="K1293" s="10">
        <v>75</v>
      </c>
      <c r="L1293" t="str">
        <f t="shared" si="60"/>
        <v>OK</v>
      </c>
      <c r="M1293" t="str">
        <f t="shared" si="61"/>
        <v>OK</v>
      </c>
      <c r="N1293" t="str">
        <f t="shared" si="62"/>
        <v>OK</v>
      </c>
    </row>
    <row r="1294" spans="1:14" ht="43.2" x14ac:dyDescent="0.3">
      <c r="A1294">
        <v>70</v>
      </c>
      <c r="B1294">
        <v>2024</v>
      </c>
      <c r="C1294" s="2">
        <v>45555</v>
      </c>
      <c r="D1294" s="3" t="s">
        <v>38</v>
      </c>
      <c r="E1294" s="4" t="s">
        <v>39</v>
      </c>
      <c r="F1294" s="4" t="s">
        <v>40</v>
      </c>
      <c r="G1294" s="6">
        <v>40</v>
      </c>
      <c r="H1294" s="6">
        <v>40</v>
      </c>
      <c r="I1294" s="6">
        <v>50</v>
      </c>
      <c r="J1294" s="6">
        <v>45</v>
      </c>
      <c r="K1294" s="6">
        <v>45</v>
      </c>
      <c r="L1294" t="str">
        <f t="shared" si="60"/>
        <v>OK</v>
      </c>
      <c r="M1294" t="str">
        <f t="shared" si="61"/>
        <v>OK</v>
      </c>
      <c r="N1294" t="str">
        <f t="shared" si="62"/>
        <v>OK</v>
      </c>
    </row>
    <row r="1295" spans="1:14" ht="43.2" x14ac:dyDescent="0.3">
      <c r="A1295">
        <v>70</v>
      </c>
      <c r="B1295">
        <v>2024</v>
      </c>
      <c r="C1295" s="2">
        <v>45555</v>
      </c>
      <c r="D1295" s="7" t="s">
        <v>38</v>
      </c>
      <c r="E1295" s="8" t="s">
        <v>42</v>
      </c>
      <c r="F1295" s="8" t="s">
        <v>43</v>
      </c>
      <c r="G1295" s="10">
        <v>70</v>
      </c>
      <c r="H1295" s="10">
        <v>45</v>
      </c>
      <c r="I1295" s="10">
        <v>70</v>
      </c>
      <c r="J1295" s="10" t="s">
        <v>258</v>
      </c>
      <c r="K1295" s="10" t="s">
        <v>41</v>
      </c>
      <c r="L1295" t="str">
        <f t="shared" si="60"/>
        <v>OK</v>
      </c>
      <c r="M1295" t="str">
        <f t="shared" si="61"/>
        <v>OK</v>
      </c>
      <c r="N1295" t="str">
        <f t="shared" si="62"/>
        <v>ERRO</v>
      </c>
    </row>
    <row r="1296" spans="1:14" ht="43.2" x14ac:dyDescent="0.3">
      <c r="A1296">
        <v>70</v>
      </c>
      <c r="B1296">
        <v>2024</v>
      </c>
      <c r="C1296" s="2">
        <v>45555</v>
      </c>
      <c r="D1296" s="3" t="s">
        <v>38</v>
      </c>
      <c r="E1296" s="4" t="s">
        <v>44</v>
      </c>
      <c r="F1296" s="4" t="s">
        <v>45</v>
      </c>
      <c r="G1296" s="6">
        <v>50</v>
      </c>
      <c r="H1296" s="6">
        <v>50</v>
      </c>
      <c r="I1296" s="6">
        <v>90</v>
      </c>
      <c r="J1296" s="6">
        <v>59</v>
      </c>
      <c r="K1296" s="6">
        <v>50</v>
      </c>
      <c r="L1296" t="str">
        <f t="shared" si="60"/>
        <v>OK</v>
      </c>
      <c r="M1296" t="str">
        <f t="shared" si="61"/>
        <v>OK</v>
      </c>
      <c r="N1296" t="str">
        <f t="shared" si="62"/>
        <v>OK</v>
      </c>
    </row>
    <row r="1297" spans="1:14" ht="43.2" x14ac:dyDescent="0.3">
      <c r="A1297">
        <v>70</v>
      </c>
      <c r="B1297">
        <v>2024</v>
      </c>
      <c r="C1297" s="2">
        <v>45555</v>
      </c>
      <c r="D1297" s="7" t="s">
        <v>38</v>
      </c>
      <c r="E1297" s="8" t="s">
        <v>48</v>
      </c>
      <c r="F1297" s="8" t="s">
        <v>45</v>
      </c>
      <c r="G1297" s="9"/>
      <c r="H1297" s="10">
        <v>45</v>
      </c>
      <c r="I1297" s="10">
        <v>100</v>
      </c>
      <c r="J1297" s="10" t="s">
        <v>262</v>
      </c>
      <c r="K1297" s="10">
        <v>90</v>
      </c>
      <c r="L1297" t="str">
        <f t="shared" si="60"/>
        <v>OK</v>
      </c>
      <c r="M1297" t="str">
        <f t="shared" si="61"/>
        <v>OK</v>
      </c>
      <c r="N1297" t="str">
        <f t="shared" si="62"/>
        <v>ERRO</v>
      </c>
    </row>
    <row r="1298" spans="1:14" ht="43.2" x14ac:dyDescent="0.3">
      <c r="A1298">
        <v>70</v>
      </c>
      <c r="B1298">
        <v>2024</v>
      </c>
      <c r="C1298" s="2">
        <v>45555</v>
      </c>
      <c r="D1298" s="3" t="s">
        <v>38</v>
      </c>
      <c r="E1298" s="4" t="s">
        <v>49</v>
      </c>
      <c r="F1298" s="4" t="s">
        <v>50</v>
      </c>
      <c r="G1298" s="6">
        <v>60</v>
      </c>
      <c r="H1298" s="6">
        <v>60</v>
      </c>
      <c r="I1298" s="6">
        <v>70</v>
      </c>
      <c r="J1298" s="6" t="s">
        <v>331</v>
      </c>
      <c r="K1298" s="6" t="s">
        <v>80</v>
      </c>
      <c r="L1298" t="str">
        <f t="shared" si="60"/>
        <v>OK</v>
      </c>
      <c r="M1298" t="str">
        <f t="shared" si="61"/>
        <v>OK</v>
      </c>
      <c r="N1298" t="str">
        <f t="shared" si="62"/>
        <v>ERRO</v>
      </c>
    </row>
    <row r="1299" spans="1:14" ht="43.2" x14ac:dyDescent="0.3">
      <c r="A1299">
        <v>70</v>
      </c>
      <c r="B1299">
        <v>2024</v>
      </c>
      <c r="C1299" s="2">
        <v>45555</v>
      </c>
      <c r="D1299" s="7" t="s">
        <v>38</v>
      </c>
      <c r="E1299" s="8" t="s">
        <v>52</v>
      </c>
      <c r="F1299" s="8" t="s">
        <v>43</v>
      </c>
      <c r="G1299" s="10">
        <v>55</v>
      </c>
      <c r="H1299" s="10">
        <v>40</v>
      </c>
      <c r="I1299" s="10">
        <v>60</v>
      </c>
      <c r="J1299" s="10" t="s">
        <v>332</v>
      </c>
      <c r="K1299" s="10" t="s">
        <v>78</v>
      </c>
      <c r="L1299" t="str">
        <f t="shared" si="60"/>
        <v>OK</v>
      </c>
      <c r="M1299" t="str">
        <f t="shared" si="61"/>
        <v>OK</v>
      </c>
      <c r="N1299" t="str">
        <f t="shared" si="62"/>
        <v>ERRO</v>
      </c>
    </row>
    <row r="1300" spans="1:14" ht="43.2" x14ac:dyDescent="0.3">
      <c r="A1300">
        <v>70</v>
      </c>
      <c r="B1300">
        <v>2024</v>
      </c>
      <c r="C1300" s="2">
        <v>45555</v>
      </c>
      <c r="D1300" s="3" t="s">
        <v>38</v>
      </c>
      <c r="E1300" s="4" t="s">
        <v>53</v>
      </c>
      <c r="F1300" s="4" t="s">
        <v>43</v>
      </c>
      <c r="G1300" s="6">
        <v>60</v>
      </c>
      <c r="H1300" s="6">
        <v>50</v>
      </c>
      <c r="I1300" s="6">
        <v>70</v>
      </c>
      <c r="J1300" s="6" t="s">
        <v>80</v>
      </c>
      <c r="K1300" s="6" t="s">
        <v>80</v>
      </c>
      <c r="L1300" t="str">
        <f t="shared" si="60"/>
        <v>OK</v>
      </c>
      <c r="M1300" t="str">
        <f t="shared" si="61"/>
        <v>OK</v>
      </c>
      <c r="N1300" t="str">
        <f t="shared" si="62"/>
        <v>ERRO</v>
      </c>
    </row>
    <row r="1301" spans="1:14" ht="43.2" x14ac:dyDescent="0.3">
      <c r="A1301">
        <v>70</v>
      </c>
      <c r="B1301">
        <v>2024</v>
      </c>
      <c r="C1301" s="2">
        <v>45555</v>
      </c>
      <c r="D1301" s="7" t="s">
        <v>38</v>
      </c>
      <c r="E1301" s="8" t="s">
        <v>54</v>
      </c>
      <c r="F1301" s="8" t="s">
        <v>40</v>
      </c>
      <c r="G1301" s="10">
        <v>100</v>
      </c>
      <c r="H1301" s="10">
        <v>80</v>
      </c>
      <c r="I1301" s="10">
        <v>120</v>
      </c>
      <c r="J1301" s="10">
        <v>98</v>
      </c>
      <c r="K1301" s="10">
        <v>100</v>
      </c>
      <c r="L1301" t="str">
        <f t="shared" si="60"/>
        <v>OK</v>
      </c>
      <c r="M1301" t="str">
        <f t="shared" si="61"/>
        <v>OK</v>
      </c>
      <c r="N1301" t="str">
        <f t="shared" si="62"/>
        <v>OK</v>
      </c>
    </row>
    <row r="1302" spans="1:14" ht="43.2" x14ac:dyDescent="0.3">
      <c r="A1302">
        <v>70</v>
      </c>
      <c r="B1302">
        <v>2024</v>
      </c>
      <c r="C1302" s="2">
        <v>45555</v>
      </c>
      <c r="D1302" s="3" t="s">
        <v>38</v>
      </c>
      <c r="E1302" s="4" t="s">
        <v>56</v>
      </c>
      <c r="F1302" s="4" t="s">
        <v>43</v>
      </c>
      <c r="G1302" s="5"/>
      <c r="H1302" s="6">
        <v>40</v>
      </c>
      <c r="I1302" s="6">
        <v>50</v>
      </c>
      <c r="J1302" s="6">
        <v>45</v>
      </c>
      <c r="K1302" s="6">
        <v>45</v>
      </c>
      <c r="L1302" t="str">
        <f t="shared" si="60"/>
        <v>OK</v>
      </c>
      <c r="M1302" t="str">
        <f t="shared" si="61"/>
        <v>OK</v>
      </c>
      <c r="N1302" t="str">
        <f t="shared" si="62"/>
        <v>OK</v>
      </c>
    </row>
    <row r="1303" spans="1:14" ht="43.2" x14ac:dyDescent="0.3">
      <c r="A1303">
        <v>70</v>
      </c>
      <c r="B1303">
        <v>2024</v>
      </c>
      <c r="C1303" s="2">
        <v>45555</v>
      </c>
      <c r="D1303" s="7" t="s">
        <v>38</v>
      </c>
      <c r="E1303" s="8" t="s">
        <v>57</v>
      </c>
      <c r="F1303" s="8" t="s">
        <v>40</v>
      </c>
      <c r="G1303" s="10">
        <v>100</v>
      </c>
      <c r="H1303" s="10">
        <v>90</v>
      </c>
      <c r="I1303" s="10">
        <v>100</v>
      </c>
      <c r="J1303" s="10" t="s">
        <v>184</v>
      </c>
      <c r="K1303" s="10">
        <v>100</v>
      </c>
      <c r="L1303" t="str">
        <f t="shared" si="60"/>
        <v>OK</v>
      </c>
      <c r="M1303" t="str">
        <f t="shared" si="61"/>
        <v>OK</v>
      </c>
      <c r="N1303" t="str">
        <f t="shared" si="62"/>
        <v>ERRO</v>
      </c>
    </row>
    <row r="1304" spans="1:14" ht="43.2" x14ac:dyDescent="0.3">
      <c r="A1304">
        <v>70</v>
      </c>
      <c r="B1304">
        <v>2024</v>
      </c>
      <c r="C1304" s="2">
        <v>45555</v>
      </c>
      <c r="D1304" s="3" t="s">
        <v>38</v>
      </c>
      <c r="E1304" s="4" t="s">
        <v>58</v>
      </c>
      <c r="F1304" s="4" t="s">
        <v>40</v>
      </c>
      <c r="G1304" s="6">
        <v>140</v>
      </c>
      <c r="H1304" s="6">
        <v>80</v>
      </c>
      <c r="I1304" s="6">
        <v>140</v>
      </c>
      <c r="J1304" s="6" t="s">
        <v>333</v>
      </c>
      <c r="K1304" s="6">
        <v>135</v>
      </c>
      <c r="L1304" t="str">
        <f t="shared" si="60"/>
        <v>OK</v>
      </c>
      <c r="M1304" t="str">
        <f t="shared" si="61"/>
        <v>OK</v>
      </c>
      <c r="N1304" t="str">
        <f t="shared" si="62"/>
        <v>ERRO</v>
      </c>
    </row>
    <row r="1305" spans="1:14" ht="43.2" x14ac:dyDescent="0.3">
      <c r="A1305">
        <v>70</v>
      </c>
      <c r="B1305">
        <v>2024</v>
      </c>
      <c r="C1305" s="2">
        <v>45555</v>
      </c>
      <c r="D1305" s="7" t="s">
        <v>38</v>
      </c>
      <c r="E1305" s="8" t="s">
        <v>59</v>
      </c>
      <c r="F1305" s="8" t="s">
        <v>45</v>
      </c>
      <c r="G1305" s="10">
        <v>50</v>
      </c>
      <c r="H1305" s="10">
        <v>50</v>
      </c>
      <c r="I1305" s="10">
        <v>80</v>
      </c>
      <c r="J1305" s="10" t="s">
        <v>89</v>
      </c>
      <c r="K1305" s="10">
        <v>50</v>
      </c>
      <c r="L1305" t="str">
        <f t="shared" si="60"/>
        <v>OK</v>
      </c>
      <c r="M1305" t="str">
        <f t="shared" si="61"/>
        <v>OK</v>
      </c>
      <c r="N1305" t="str">
        <f t="shared" si="62"/>
        <v>ERRO</v>
      </c>
    </row>
    <row r="1306" spans="1:14" ht="43.2" x14ac:dyDescent="0.3">
      <c r="A1306">
        <v>70</v>
      </c>
      <c r="B1306">
        <v>2024</v>
      </c>
      <c r="C1306" s="2">
        <v>45555</v>
      </c>
      <c r="D1306" s="3" t="s">
        <v>38</v>
      </c>
      <c r="E1306" s="4" t="s">
        <v>60</v>
      </c>
      <c r="F1306" s="4" t="s">
        <v>61</v>
      </c>
      <c r="G1306" s="6">
        <v>140</v>
      </c>
      <c r="H1306" s="6">
        <v>50</v>
      </c>
      <c r="I1306" s="6">
        <v>150</v>
      </c>
      <c r="J1306" s="6" t="s">
        <v>251</v>
      </c>
      <c r="K1306" s="6">
        <v>135</v>
      </c>
      <c r="L1306" t="str">
        <f t="shared" si="60"/>
        <v>OK</v>
      </c>
      <c r="M1306" t="str">
        <f t="shared" si="61"/>
        <v>OK</v>
      </c>
      <c r="N1306" t="str">
        <f t="shared" si="62"/>
        <v>ERRO</v>
      </c>
    </row>
    <row r="1307" spans="1:14" ht="43.2" x14ac:dyDescent="0.3">
      <c r="A1307">
        <v>70</v>
      </c>
      <c r="B1307">
        <v>2024</v>
      </c>
      <c r="C1307" s="2">
        <v>45555</v>
      </c>
      <c r="D1307" s="7" t="s">
        <v>38</v>
      </c>
      <c r="E1307" s="8" t="s">
        <v>63</v>
      </c>
      <c r="F1307" s="8" t="s">
        <v>40</v>
      </c>
      <c r="G1307" s="10">
        <v>70</v>
      </c>
      <c r="H1307" s="10">
        <v>50</v>
      </c>
      <c r="I1307" s="10">
        <v>80</v>
      </c>
      <c r="J1307" s="10">
        <v>65</v>
      </c>
      <c r="K1307" s="10" t="s">
        <v>84</v>
      </c>
      <c r="L1307" t="str">
        <f t="shared" si="60"/>
        <v>OK</v>
      </c>
      <c r="M1307" t="str">
        <f t="shared" si="61"/>
        <v>OK</v>
      </c>
      <c r="N1307" t="str">
        <f t="shared" si="62"/>
        <v>OK</v>
      </c>
    </row>
    <row r="1308" spans="1:14" ht="43.2" x14ac:dyDescent="0.3">
      <c r="A1308">
        <v>70</v>
      </c>
      <c r="B1308">
        <v>2024</v>
      </c>
      <c r="C1308" s="2">
        <v>45555</v>
      </c>
      <c r="D1308" s="3" t="s">
        <v>38</v>
      </c>
      <c r="E1308" s="4" t="s">
        <v>64</v>
      </c>
      <c r="F1308" s="4" t="s">
        <v>40</v>
      </c>
      <c r="G1308" s="6">
        <v>130</v>
      </c>
      <c r="H1308" s="6">
        <v>120</v>
      </c>
      <c r="I1308" s="6">
        <v>150</v>
      </c>
      <c r="J1308" s="6">
        <v>130</v>
      </c>
      <c r="K1308" s="6">
        <v>130</v>
      </c>
      <c r="L1308" t="str">
        <f t="shared" si="60"/>
        <v>OK</v>
      </c>
      <c r="M1308" t="str">
        <f t="shared" si="61"/>
        <v>OK</v>
      </c>
      <c r="N1308" t="str">
        <f t="shared" si="62"/>
        <v>OK</v>
      </c>
    </row>
    <row r="1309" spans="1:14" x14ac:dyDescent="0.3">
      <c r="A1309">
        <v>70</v>
      </c>
      <c r="B1309">
        <v>2024</v>
      </c>
      <c r="C1309" s="2">
        <v>45555</v>
      </c>
      <c r="D1309" s="7" t="s">
        <v>65</v>
      </c>
      <c r="E1309" s="8" t="s">
        <v>66</v>
      </c>
      <c r="F1309" s="8" t="s">
        <v>45</v>
      </c>
      <c r="G1309" s="9"/>
      <c r="H1309" s="9"/>
      <c r="I1309" s="9"/>
      <c r="J1309" s="9"/>
      <c r="K1309" s="9"/>
      <c r="L1309" t="str">
        <f t="shared" si="60"/>
        <v>OK</v>
      </c>
      <c r="M1309" t="str">
        <f t="shared" si="61"/>
        <v>OK</v>
      </c>
      <c r="N1309" t="str">
        <f t="shared" si="62"/>
        <v>OK</v>
      </c>
    </row>
    <row r="1310" spans="1:14" x14ac:dyDescent="0.3">
      <c r="A1310">
        <v>70</v>
      </c>
      <c r="B1310">
        <v>2024</v>
      </c>
      <c r="C1310" s="2">
        <v>45555</v>
      </c>
      <c r="D1310" s="3" t="s">
        <v>65</v>
      </c>
      <c r="E1310" s="4" t="s">
        <v>67</v>
      </c>
      <c r="F1310" s="4" t="s">
        <v>45</v>
      </c>
      <c r="G1310" s="5"/>
      <c r="H1310" s="5"/>
      <c r="I1310" s="5"/>
      <c r="J1310" s="5"/>
      <c r="K1310" s="5"/>
      <c r="L1310" t="str">
        <f t="shared" si="60"/>
        <v>OK</v>
      </c>
      <c r="M1310" t="str">
        <f t="shared" si="61"/>
        <v>OK</v>
      </c>
      <c r="N1310" t="str">
        <f t="shared" si="62"/>
        <v>OK</v>
      </c>
    </row>
    <row r="1311" spans="1:14" x14ac:dyDescent="0.3">
      <c r="A1311">
        <v>70</v>
      </c>
      <c r="B1311">
        <v>2024</v>
      </c>
      <c r="C1311" s="2">
        <v>45555</v>
      </c>
      <c r="D1311" s="7" t="s">
        <v>65</v>
      </c>
      <c r="E1311" s="8" t="s">
        <v>68</v>
      </c>
      <c r="F1311" s="8" t="s">
        <v>45</v>
      </c>
      <c r="G1311" s="9"/>
      <c r="H1311" s="9"/>
      <c r="I1311" s="9"/>
      <c r="J1311" s="9"/>
      <c r="K1311" s="9"/>
      <c r="L1311" t="str">
        <f t="shared" si="60"/>
        <v>OK</v>
      </c>
      <c r="M1311" t="str">
        <f t="shared" si="61"/>
        <v>OK</v>
      </c>
      <c r="N1311" t="str">
        <f t="shared" si="62"/>
        <v>OK</v>
      </c>
    </row>
    <row r="1312" spans="1:14" x14ac:dyDescent="0.3">
      <c r="A1312">
        <v>70</v>
      </c>
      <c r="B1312">
        <v>2024</v>
      </c>
      <c r="C1312" s="2">
        <v>45555</v>
      </c>
      <c r="D1312" s="3" t="s">
        <v>65</v>
      </c>
      <c r="E1312" s="4" t="s">
        <v>69</v>
      </c>
      <c r="F1312" s="4" t="s">
        <v>45</v>
      </c>
      <c r="G1312" s="5"/>
      <c r="H1312" s="6">
        <v>50</v>
      </c>
      <c r="I1312" s="6">
        <v>50</v>
      </c>
      <c r="J1312" s="6">
        <v>50</v>
      </c>
      <c r="K1312" s="6">
        <v>50</v>
      </c>
      <c r="L1312" t="str">
        <f t="shared" si="60"/>
        <v>OK</v>
      </c>
      <c r="M1312" t="str">
        <f t="shared" si="61"/>
        <v>OK</v>
      </c>
      <c r="N1312" t="str">
        <f t="shared" si="62"/>
        <v>OK</v>
      </c>
    </row>
    <row r="1313" spans="1:14" x14ac:dyDescent="0.3">
      <c r="A1313">
        <v>70</v>
      </c>
      <c r="B1313">
        <v>2024</v>
      </c>
      <c r="C1313" s="2">
        <v>45555</v>
      </c>
      <c r="D1313" s="7" t="s">
        <v>65</v>
      </c>
      <c r="E1313" s="8" t="s">
        <v>70</v>
      </c>
      <c r="F1313" s="8" t="s">
        <v>71</v>
      </c>
      <c r="G1313" s="9"/>
      <c r="H1313" s="9"/>
      <c r="I1313" s="9"/>
      <c r="J1313" s="9"/>
      <c r="K1313" s="9"/>
      <c r="L1313" t="str">
        <f t="shared" si="60"/>
        <v>OK</v>
      </c>
      <c r="M1313" t="str">
        <f t="shared" si="61"/>
        <v>OK</v>
      </c>
      <c r="N1313" t="str">
        <f t="shared" si="62"/>
        <v>OK</v>
      </c>
    </row>
    <row r="1314" spans="1:14" ht="28.8" x14ac:dyDescent="0.3">
      <c r="A1314">
        <v>71</v>
      </c>
      <c r="B1314">
        <v>2024</v>
      </c>
      <c r="C1314" s="2">
        <v>45562</v>
      </c>
      <c r="D1314" s="3" t="s">
        <v>11</v>
      </c>
      <c r="E1314" s="4" t="s">
        <v>12</v>
      </c>
      <c r="F1314" s="4" t="s">
        <v>13</v>
      </c>
      <c r="G1314" s="6">
        <v>36</v>
      </c>
      <c r="H1314" s="6">
        <v>30</v>
      </c>
      <c r="I1314" s="6">
        <v>48</v>
      </c>
      <c r="J1314" s="6" t="s">
        <v>334</v>
      </c>
      <c r="K1314" s="6">
        <v>36</v>
      </c>
      <c r="L1314" t="str">
        <f t="shared" si="60"/>
        <v>OK</v>
      </c>
      <c r="M1314" t="str">
        <f t="shared" si="61"/>
        <v>OK</v>
      </c>
      <c r="N1314" t="str">
        <f t="shared" si="62"/>
        <v>ERRO</v>
      </c>
    </row>
    <row r="1315" spans="1:14" ht="28.8" x14ac:dyDescent="0.3">
      <c r="A1315">
        <v>71</v>
      </c>
      <c r="B1315">
        <v>2024</v>
      </c>
      <c r="C1315" s="2">
        <v>45562</v>
      </c>
      <c r="D1315" s="7" t="s">
        <v>11</v>
      </c>
      <c r="E1315" s="8" t="s">
        <v>14</v>
      </c>
      <c r="F1315" s="8" t="s">
        <v>13</v>
      </c>
      <c r="G1315" s="10">
        <v>60</v>
      </c>
      <c r="H1315" s="10">
        <v>60</v>
      </c>
      <c r="I1315" s="10">
        <v>72</v>
      </c>
      <c r="J1315" s="10">
        <v>64</v>
      </c>
      <c r="K1315" s="10">
        <v>60</v>
      </c>
      <c r="L1315" t="str">
        <f t="shared" si="60"/>
        <v>OK</v>
      </c>
      <c r="M1315" t="str">
        <f t="shared" si="61"/>
        <v>OK</v>
      </c>
      <c r="N1315" t="str">
        <f t="shared" si="62"/>
        <v>OK</v>
      </c>
    </row>
    <row r="1316" spans="1:14" ht="28.8" x14ac:dyDescent="0.3">
      <c r="A1316">
        <v>71</v>
      </c>
      <c r="B1316">
        <v>2024</v>
      </c>
      <c r="C1316" s="2">
        <v>45562</v>
      </c>
      <c r="D1316" s="3" t="s">
        <v>11</v>
      </c>
      <c r="E1316" s="4" t="s">
        <v>15</v>
      </c>
      <c r="F1316" s="4" t="s">
        <v>13</v>
      </c>
      <c r="G1316" s="6">
        <v>30</v>
      </c>
      <c r="H1316" s="6">
        <v>25</v>
      </c>
      <c r="I1316" s="6">
        <v>36</v>
      </c>
      <c r="J1316" s="6" t="s">
        <v>335</v>
      </c>
      <c r="K1316" s="6">
        <v>30</v>
      </c>
      <c r="L1316" t="str">
        <f t="shared" si="60"/>
        <v>OK</v>
      </c>
      <c r="M1316" t="str">
        <f t="shared" si="61"/>
        <v>OK</v>
      </c>
      <c r="N1316" t="str">
        <f t="shared" si="62"/>
        <v>ERRO</v>
      </c>
    </row>
    <row r="1317" spans="1:14" ht="28.8" x14ac:dyDescent="0.3">
      <c r="A1317">
        <v>71</v>
      </c>
      <c r="B1317">
        <v>2024</v>
      </c>
      <c r="C1317" s="2">
        <v>45562</v>
      </c>
      <c r="D1317" s="7" t="s">
        <v>11</v>
      </c>
      <c r="E1317" s="8" t="s">
        <v>16</v>
      </c>
      <c r="F1317" s="8" t="s">
        <v>13</v>
      </c>
      <c r="G1317" s="10">
        <v>18</v>
      </c>
      <c r="H1317" s="10">
        <v>18</v>
      </c>
      <c r="I1317" s="10">
        <v>30</v>
      </c>
      <c r="J1317" s="10" t="s">
        <v>37</v>
      </c>
      <c r="K1317" s="10">
        <v>21</v>
      </c>
      <c r="L1317" t="str">
        <f t="shared" si="60"/>
        <v>OK</v>
      </c>
      <c r="M1317" t="str">
        <f t="shared" si="61"/>
        <v>OK</v>
      </c>
      <c r="N1317" t="str">
        <f t="shared" si="62"/>
        <v>ERRO</v>
      </c>
    </row>
    <row r="1318" spans="1:14" ht="28.8" x14ac:dyDescent="0.3">
      <c r="A1318">
        <v>71</v>
      </c>
      <c r="B1318">
        <v>2024</v>
      </c>
      <c r="C1318" s="2">
        <v>45562</v>
      </c>
      <c r="D1318" s="3" t="s">
        <v>11</v>
      </c>
      <c r="E1318" s="4" t="s">
        <v>17</v>
      </c>
      <c r="F1318" s="4" t="s">
        <v>13</v>
      </c>
      <c r="G1318" s="6">
        <v>18</v>
      </c>
      <c r="H1318" s="6">
        <v>18</v>
      </c>
      <c r="I1318" s="6">
        <v>30</v>
      </c>
      <c r="J1318" s="6" t="s">
        <v>37</v>
      </c>
      <c r="K1318" s="6">
        <v>21</v>
      </c>
      <c r="L1318" t="str">
        <f t="shared" si="60"/>
        <v>OK</v>
      </c>
      <c r="M1318" t="str">
        <f t="shared" si="61"/>
        <v>OK</v>
      </c>
      <c r="N1318" t="str">
        <f t="shared" si="62"/>
        <v>ERRO</v>
      </c>
    </row>
    <row r="1319" spans="1:14" ht="28.8" x14ac:dyDescent="0.3">
      <c r="A1319">
        <v>71</v>
      </c>
      <c r="B1319">
        <v>2024</v>
      </c>
      <c r="C1319" s="2">
        <v>45562</v>
      </c>
      <c r="D1319" s="7" t="s">
        <v>11</v>
      </c>
      <c r="E1319" s="8" t="s">
        <v>18</v>
      </c>
      <c r="F1319" s="8" t="s">
        <v>13</v>
      </c>
      <c r="G1319" s="10">
        <v>60</v>
      </c>
      <c r="H1319" s="10">
        <v>48</v>
      </c>
      <c r="I1319" s="10">
        <v>60</v>
      </c>
      <c r="J1319" s="10">
        <v>54</v>
      </c>
      <c r="K1319" s="10">
        <v>54</v>
      </c>
      <c r="L1319" t="str">
        <f t="shared" si="60"/>
        <v>OK</v>
      </c>
      <c r="M1319" t="str">
        <f t="shared" si="61"/>
        <v>OK</v>
      </c>
      <c r="N1319" t="str">
        <f t="shared" si="62"/>
        <v>OK</v>
      </c>
    </row>
    <row r="1320" spans="1:14" ht="28.8" x14ac:dyDescent="0.3">
      <c r="A1320">
        <v>71</v>
      </c>
      <c r="B1320">
        <v>2024</v>
      </c>
      <c r="C1320" s="2">
        <v>45562</v>
      </c>
      <c r="D1320" s="3" t="s">
        <v>11</v>
      </c>
      <c r="E1320" s="4" t="s">
        <v>19</v>
      </c>
      <c r="F1320" s="4" t="s">
        <v>13</v>
      </c>
      <c r="G1320" s="5"/>
      <c r="H1320" s="6">
        <v>48</v>
      </c>
      <c r="I1320" s="6">
        <v>72</v>
      </c>
      <c r="J1320" s="6">
        <v>58</v>
      </c>
      <c r="K1320" s="6">
        <v>54</v>
      </c>
      <c r="L1320" t="str">
        <f t="shared" si="60"/>
        <v>OK</v>
      </c>
      <c r="M1320" t="str">
        <f t="shared" si="61"/>
        <v>OK</v>
      </c>
      <c r="N1320" t="str">
        <f t="shared" si="62"/>
        <v>OK</v>
      </c>
    </row>
    <row r="1321" spans="1:14" ht="28.8" x14ac:dyDescent="0.3">
      <c r="A1321">
        <v>71</v>
      </c>
      <c r="B1321">
        <v>2024</v>
      </c>
      <c r="C1321" s="2">
        <v>45562</v>
      </c>
      <c r="D1321" s="7" t="s">
        <v>11</v>
      </c>
      <c r="E1321" s="8" t="s">
        <v>20</v>
      </c>
      <c r="F1321" s="8" t="s">
        <v>13</v>
      </c>
      <c r="G1321" s="10">
        <v>60</v>
      </c>
      <c r="H1321" s="10">
        <v>60</v>
      </c>
      <c r="I1321" s="10">
        <v>60</v>
      </c>
      <c r="J1321" s="10">
        <v>60</v>
      </c>
      <c r="K1321" s="10">
        <v>60</v>
      </c>
      <c r="L1321" t="str">
        <f t="shared" si="60"/>
        <v>OK</v>
      </c>
      <c r="M1321" t="str">
        <f t="shared" si="61"/>
        <v>OK</v>
      </c>
      <c r="N1321" t="str">
        <f t="shared" si="62"/>
        <v>OK</v>
      </c>
    </row>
    <row r="1322" spans="1:14" ht="28.8" x14ac:dyDescent="0.3">
      <c r="A1322">
        <v>71</v>
      </c>
      <c r="B1322">
        <v>2024</v>
      </c>
      <c r="C1322" s="2">
        <v>45562</v>
      </c>
      <c r="D1322" s="3" t="s">
        <v>11</v>
      </c>
      <c r="E1322" s="4" t="s">
        <v>21</v>
      </c>
      <c r="F1322" s="4" t="s">
        <v>13</v>
      </c>
      <c r="G1322" s="6">
        <v>18</v>
      </c>
      <c r="H1322" s="6">
        <v>18</v>
      </c>
      <c r="I1322" s="6">
        <v>48</v>
      </c>
      <c r="J1322" s="6" t="s">
        <v>336</v>
      </c>
      <c r="K1322" s="6">
        <v>20</v>
      </c>
      <c r="L1322" t="str">
        <f t="shared" si="60"/>
        <v>OK</v>
      </c>
      <c r="M1322" t="str">
        <f t="shared" si="61"/>
        <v>OK</v>
      </c>
      <c r="N1322" t="str">
        <f t="shared" si="62"/>
        <v>ERRO</v>
      </c>
    </row>
    <row r="1323" spans="1:14" ht="28.8" x14ac:dyDescent="0.3">
      <c r="A1323">
        <v>71</v>
      </c>
      <c r="B1323">
        <v>2024</v>
      </c>
      <c r="C1323" s="2">
        <v>45562</v>
      </c>
      <c r="D1323" s="7" t="s">
        <v>11</v>
      </c>
      <c r="E1323" s="8" t="s">
        <v>73</v>
      </c>
      <c r="F1323" s="8" t="s">
        <v>13</v>
      </c>
      <c r="G1323" s="10">
        <v>60</v>
      </c>
      <c r="H1323" s="10">
        <v>60</v>
      </c>
      <c r="I1323" s="10">
        <v>60</v>
      </c>
      <c r="J1323" s="10">
        <v>60</v>
      </c>
      <c r="K1323" s="10">
        <v>60</v>
      </c>
      <c r="L1323" t="str">
        <f t="shared" si="60"/>
        <v>OK</v>
      </c>
      <c r="M1323" t="str">
        <f t="shared" si="61"/>
        <v>OK</v>
      </c>
      <c r="N1323" t="str">
        <f t="shared" si="62"/>
        <v>OK</v>
      </c>
    </row>
    <row r="1324" spans="1:14" ht="28.8" x14ac:dyDescent="0.3">
      <c r="A1324">
        <v>71</v>
      </c>
      <c r="B1324">
        <v>2024</v>
      </c>
      <c r="C1324" s="2">
        <v>45562</v>
      </c>
      <c r="D1324" s="3" t="s">
        <v>11</v>
      </c>
      <c r="E1324" s="4" t="s">
        <v>23</v>
      </c>
      <c r="F1324" s="4" t="s">
        <v>13</v>
      </c>
      <c r="G1324" s="6">
        <v>18</v>
      </c>
      <c r="H1324" s="6">
        <v>18</v>
      </c>
      <c r="I1324" s="6">
        <v>24</v>
      </c>
      <c r="J1324" s="6" t="s">
        <v>337</v>
      </c>
      <c r="K1324" s="6">
        <v>18</v>
      </c>
      <c r="L1324" t="str">
        <f t="shared" si="60"/>
        <v>OK</v>
      </c>
      <c r="M1324" t="str">
        <f t="shared" si="61"/>
        <v>OK</v>
      </c>
      <c r="N1324" t="str">
        <f t="shared" si="62"/>
        <v>ERRO</v>
      </c>
    </row>
    <row r="1325" spans="1:14" ht="28.8" x14ac:dyDescent="0.3">
      <c r="A1325">
        <v>71</v>
      </c>
      <c r="B1325">
        <v>2024</v>
      </c>
      <c r="C1325" s="2">
        <v>45562</v>
      </c>
      <c r="D1325" s="7" t="s">
        <v>11</v>
      </c>
      <c r="E1325" s="8" t="s">
        <v>24</v>
      </c>
      <c r="F1325" s="8" t="s">
        <v>13</v>
      </c>
      <c r="G1325" s="10">
        <v>48</v>
      </c>
      <c r="H1325" s="10">
        <v>48</v>
      </c>
      <c r="I1325" s="10">
        <v>72</v>
      </c>
      <c r="J1325" s="10">
        <v>56</v>
      </c>
      <c r="K1325" s="10">
        <v>48</v>
      </c>
      <c r="L1325" t="str">
        <f t="shared" si="60"/>
        <v>OK</v>
      </c>
      <c r="M1325" t="str">
        <f t="shared" si="61"/>
        <v>OK</v>
      </c>
      <c r="N1325" t="str">
        <f t="shared" si="62"/>
        <v>OK</v>
      </c>
    </row>
    <row r="1326" spans="1:14" ht="28.8" x14ac:dyDescent="0.3">
      <c r="A1326">
        <v>71</v>
      </c>
      <c r="B1326">
        <v>2024</v>
      </c>
      <c r="C1326" s="2">
        <v>45562</v>
      </c>
      <c r="D1326" s="3" t="s">
        <v>11</v>
      </c>
      <c r="E1326" s="4" t="s">
        <v>25</v>
      </c>
      <c r="F1326" s="4" t="s">
        <v>26</v>
      </c>
      <c r="G1326" s="6">
        <v>48</v>
      </c>
      <c r="H1326" s="6">
        <v>48</v>
      </c>
      <c r="I1326" s="6">
        <v>60</v>
      </c>
      <c r="J1326" s="6">
        <v>51</v>
      </c>
      <c r="K1326" s="6">
        <v>48</v>
      </c>
      <c r="L1326" t="str">
        <f t="shared" si="60"/>
        <v>OK</v>
      </c>
      <c r="M1326" t="str">
        <f t="shared" si="61"/>
        <v>OK</v>
      </c>
      <c r="N1326" t="str">
        <f t="shared" si="62"/>
        <v>OK</v>
      </c>
    </row>
    <row r="1327" spans="1:14" ht="28.8" x14ac:dyDescent="0.3">
      <c r="A1327">
        <v>71</v>
      </c>
      <c r="B1327">
        <v>2024</v>
      </c>
      <c r="C1327" s="2">
        <v>45562</v>
      </c>
      <c r="D1327" s="7" t="s">
        <v>11</v>
      </c>
      <c r="E1327" s="8" t="s">
        <v>27</v>
      </c>
      <c r="F1327" s="8" t="s">
        <v>13</v>
      </c>
      <c r="G1327" s="10">
        <v>48</v>
      </c>
      <c r="H1327" s="10">
        <v>48</v>
      </c>
      <c r="I1327" s="10">
        <v>72</v>
      </c>
      <c r="J1327" s="10">
        <v>57</v>
      </c>
      <c r="K1327" s="10">
        <v>54</v>
      </c>
      <c r="L1327" t="str">
        <f t="shared" si="60"/>
        <v>OK</v>
      </c>
      <c r="M1327" t="str">
        <f t="shared" si="61"/>
        <v>OK</v>
      </c>
      <c r="N1327" t="str">
        <f t="shared" si="62"/>
        <v>OK</v>
      </c>
    </row>
    <row r="1328" spans="1:14" ht="28.8" x14ac:dyDescent="0.3">
      <c r="A1328">
        <v>71</v>
      </c>
      <c r="B1328">
        <v>2024</v>
      </c>
      <c r="C1328" s="2">
        <v>45562</v>
      </c>
      <c r="D1328" s="3" t="s">
        <v>11</v>
      </c>
      <c r="E1328" s="4" t="s">
        <v>28</v>
      </c>
      <c r="F1328" s="4" t="s">
        <v>13</v>
      </c>
      <c r="G1328" s="6">
        <v>36</v>
      </c>
      <c r="H1328" s="6">
        <v>24</v>
      </c>
      <c r="I1328" s="6">
        <v>40</v>
      </c>
      <c r="J1328" s="6">
        <v>32</v>
      </c>
      <c r="K1328" s="6">
        <v>36</v>
      </c>
      <c r="L1328" t="str">
        <f t="shared" si="60"/>
        <v>OK</v>
      </c>
      <c r="M1328" t="str">
        <f t="shared" si="61"/>
        <v>OK</v>
      </c>
      <c r="N1328" t="str">
        <f t="shared" si="62"/>
        <v>OK</v>
      </c>
    </row>
    <row r="1329" spans="1:14" ht="28.8" x14ac:dyDescent="0.3">
      <c r="A1329">
        <v>71</v>
      </c>
      <c r="B1329">
        <v>2024</v>
      </c>
      <c r="C1329" s="2">
        <v>45562</v>
      </c>
      <c r="D1329" s="7" t="s">
        <v>11</v>
      </c>
      <c r="E1329" s="8" t="s">
        <v>29</v>
      </c>
      <c r="F1329" s="8" t="s">
        <v>13</v>
      </c>
      <c r="G1329" s="10">
        <v>48</v>
      </c>
      <c r="H1329" s="10">
        <v>42</v>
      </c>
      <c r="I1329" s="10">
        <v>48</v>
      </c>
      <c r="J1329" s="10" t="s">
        <v>174</v>
      </c>
      <c r="K1329" s="10">
        <v>48</v>
      </c>
      <c r="L1329" t="str">
        <f t="shared" si="60"/>
        <v>OK</v>
      </c>
      <c r="M1329" t="str">
        <f t="shared" si="61"/>
        <v>OK</v>
      </c>
      <c r="N1329" t="str">
        <f t="shared" si="62"/>
        <v>ERRO</v>
      </c>
    </row>
    <row r="1330" spans="1:14" ht="28.8" x14ac:dyDescent="0.3">
      <c r="A1330">
        <v>71</v>
      </c>
      <c r="B1330">
        <v>2024</v>
      </c>
      <c r="C1330" s="2">
        <v>45562</v>
      </c>
      <c r="D1330" s="3" t="s">
        <v>11</v>
      </c>
      <c r="E1330" s="4" t="s">
        <v>31</v>
      </c>
      <c r="F1330" s="4" t="s">
        <v>32</v>
      </c>
      <c r="G1330" s="6">
        <v>5</v>
      </c>
      <c r="H1330" s="6">
        <v>4</v>
      </c>
      <c r="I1330" s="6">
        <v>5</v>
      </c>
      <c r="J1330" s="6" t="s">
        <v>338</v>
      </c>
      <c r="K1330" s="6">
        <v>5</v>
      </c>
      <c r="L1330" t="str">
        <f t="shared" si="60"/>
        <v>OK</v>
      </c>
      <c r="M1330" t="str">
        <f t="shared" si="61"/>
        <v>OK</v>
      </c>
      <c r="N1330" t="str">
        <f t="shared" si="62"/>
        <v>ERRO</v>
      </c>
    </row>
    <row r="1331" spans="1:14" ht="28.8" x14ac:dyDescent="0.3">
      <c r="A1331">
        <v>71</v>
      </c>
      <c r="B1331">
        <v>2024</v>
      </c>
      <c r="C1331" s="2">
        <v>45562</v>
      </c>
      <c r="D1331" s="7" t="s">
        <v>11</v>
      </c>
      <c r="E1331" s="8" t="s">
        <v>34</v>
      </c>
      <c r="F1331" s="8" t="s">
        <v>35</v>
      </c>
      <c r="G1331" s="10">
        <v>10</v>
      </c>
      <c r="H1331" s="10">
        <v>10</v>
      </c>
      <c r="I1331" s="10">
        <v>15</v>
      </c>
      <c r="J1331" s="10" t="s">
        <v>339</v>
      </c>
      <c r="K1331" s="10">
        <v>11</v>
      </c>
      <c r="L1331" t="str">
        <f t="shared" si="60"/>
        <v>OK</v>
      </c>
      <c r="M1331" t="str">
        <f t="shared" si="61"/>
        <v>OK</v>
      </c>
      <c r="N1331" t="str">
        <f t="shared" si="62"/>
        <v>ERRO</v>
      </c>
    </row>
    <row r="1332" spans="1:14" ht="28.8" x14ac:dyDescent="0.3">
      <c r="A1332">
        <v>71</v>
      </c>
      <c r="B1332">
        <v>2024</v>
      </c>
      <c r="C1332" s="2">
        <v>45562</v>
      </c>
      <c r="D1332" s="3" t="s">
        <v>11</v>
      </c>
      <c r="E1332" s="4" t="s">
        <v>36</v>
      </c>
      <c r="F1332" s="4" t="s">
        <v>35</v>
      </c>
      <c r="G1332" s="6">
        <v>20</v>
      </c>
      <c r="H1332" s="6">
        <v>20</v>
      </c>
      <c r="I1332" s="6">
        <v>25</v>
      </c>
      <c r="J1332" s="6" t="s">
        <v>340</v>
      </c>
      <c r="K1332" s="6">
        <v>20</v>
      </c>
      <c r="L1332" t="str">
        <f t="shared" si="60"/>
        <v>OK</v>
      </c>
      <c r="M1332" t="str">
        <f t="shared" si="61"/>
        <v>OK</v>
      </c>
      <c r="N1332" t="str">
        <f t="shared" si="62"/>
        <v>ERRO</v>
      </c>
    </row>
    <row r="1333" spans="1:14" ht="43.2" x14ac:dyDescent="0.3">
      <c r="A1333">
        <v>71</v>
      </c>
      <c r="B1333">
        <v>2024</v>
      </c>
      <c r="C1333" s="2">
        <v>45562</v>
      </c>
      <c r="D1333" s="7" t="s">
        <v>38</v>
      </c>
      <c r="E1333" s="8" t="s">
        <v>153</v>
      </c>
      <c r="F1333" s="8" t="s">
        <v>154</v>
      </c>
      <c r="G1333" s="9"/>
      <c r="H1333" s="10">
        <v>80</v>
      </c>
      <c r="I1333" s="10">
        <v>85</v>
      </c>
      <c r="J1333" s="10" t="s">
        <v>168</v>
      </c>
      <c r="K1333" s="10" t="s">
        <v>168</v>
      </c>
      <c r="L1333" t="str">
        <f t="shared" si="60"/>
        <v>OK</v>
      </c>
      <c r="M1333" t="str">
        <f t="shared" si="61"/>
        <v>OK</v>
      </c>
      <c r="N1333" t="str">
        <f t="shared" si="62"/>
        <v>ERRO</v>
      </c>
    </row>
    <row r="1334" spans="1:14" ht="43.2" x14ac:dyDescent="0.3">
      <c r="A1334">
        <v>71</v>
      </c>
      <c r="B1334">
        <v>2024</v>
      </c>
      <c r="C1334" s="2">
        <v>45562</v>
      </c>
      <c r="D1334" s="3" t="s">
        <v>38</v>
      </c>
      <c r="E1334" s="4" t="s">
        <v>39</v>
      </c>
      <c r="F1334" s="4" t="s">
        <v>40</v>
      </c>
      <c r="G1334" s="6">
        <v>35</v>
      </c>
      <c r="H1334" s="6">
        <v>35</v>
      </c>
      <c r="I1334" s="6">
        <v>50</v>
      </c>
      <c r="J1334" s="6">
        <v>42</v>
      </c>
      <c r="K1334" s="6">
        <v>45</v>
      </c>
      <c r="L1334" t="str">
        <f t="shared" si="60"/>
        <v>OK</v>
      </c>
      <c r="M1334" t="str">
        <f t="shared" si="61"/>
        <v>OK</v>
      </c>
      <c r="N1334" t="str">
        <f t="shared" si="62"/>
        <v>OK</v>
      </c>
    </row>
    <row r="1335" spans="1:14" ht="43.2" x14ac:dyDescent="0.3">
      <c r="A1335">
        <v>71</v>
      </c>
      <c r="B1335">
        <v>2024</v>
      </c>
      <c r="C1335" s="2">
        <v>45562</v>
      </c>
      <c r="D1335" s="7" t="s">
        <v>38</v>
      </c>
      <c r="E1335" s="8" t="s">
        <v>42</v>
      </c>
      <c r="F1335" s="8" t="s">
        <v>43</v>
      </c>
      <c r="G1335" s="10">
        <v>70</v>
      </c>
      <c r="H1335" s="10">
        <v>45</v>
      </c>
      <c r="I1335" s="10">
        <v>70</v>
      </c>
      <c r="J1335" s="10">
        <v>64</v>
      </c>
      <c r="K1335" s="10">
        <v>70</v>
      </c>
      <c r="L1335" t="str">
        <f t="shared" si="60"/>
        <v>OK</v>
      </c>
      <c r="M1335" t="str">
        <f t="shared" si="61"/>
        <v>OK</v>
      </c>
      <c r="N1335" t="str">
        <f t="shared" si="62"/>
        <v>OK</v>
      </c>
    </row>
    <row r="1336" spans="1:14" ht="43.2" x14ac:dyDescent="0.3">
      <c r="A1336">
        <v>71</v>
      </c>
      <c r="B1336">
        <v>2024</v>
      </c>
      <c r="C1336" s="2">
        <v>45562</v>
      </c>
      <c r="D1336" s="3" t="s">
        <v>38</v>
      </c>
      <c r="E1336" s="4" t="s">
        <v>44</v>
      </c>
      <c r="F1336" s="4" t="s">
        <v>45</v>
      </c>
      <c r="G1336" s="5"/>
      <c r="H1336" s="6">
        <v>45</v>
      </c>
      <c r="I1336" s="6">
        <v>60</v>
      </c>
      <c r="J1336" s="6" t="s">
        <v>138</v>
      </c>
      <c r="K1336" s="6">
        <v>50</v>
      </c>
      <c r="L1336" t="str">
        <f t="shared" si="60"/>
        <v>OK</v>
      </c>
      <c r="M1336" t="str">
        <f t="shared" si="61"/>
        <v>OK</v>
      </c>
      <c r="N1336" t="str">
        <f t="shared" si="62"/>
        <v>ERRO</v>
      </c>
    </row>
    <row r="1337" spans="1:14" ht="43.2" x14ac:dyDescent="0.3">
      <c r="A1337">
        <v>71</v>
      </c>
      <c r="B1337">
        <v>2024</v>
      </c>
      <c r="C1337" s="2">
        <v>45562</v>
      </c>
      <c r="D1337" s="7" t="s">
        <v>38</v>
      </c>
      <c r="E1337" s="8" t="s">
        <v>48</v>
      </c>
      <c r="F1337" s="8" t="s">
        <v>45</v>
      </c>
      <c r="G1337" s="9"/>
      <c r="H1337" s="10">
        <v>50</v>
      </c>
      <c r="I1337" s="10">
        <v>110</v>
      </c>
      <c r="J1337" s="10" t="s">
        <v>270</v>
      </c>
      <c r="K1337" s="10">
        <v>90</v>
      </c>
      <c r="L1337" t="str">
        <f t="shared" si="60"/>
        <v>OK</v>
      </c>
      <c r="M1337" t="str">
        <f t="shared" si="61"/>
        <v>OK</v>
      </c>
      <c r="N1337" t="str">
        <f t="shared" si="62"/>
        <v>ERRO</v>
      </c>
    </row>
    <row r="1338" spans="1:14" ht="43.2" x14ac:dyDescent="0.3">
      <c r="A1338">
        <v>71</v>
      </c>
      <c r="B1338">
        <v>2024</v>
      </c>
      <c r="C1338" s="2">
        <v>45562</v>
      </c>
      <c r="D1338" s="3" t="s">
        <v>38</v>
      </c>
      <c r="E1338" s="4" t="s">
        <v>49</v>
      </c>
      <c r="F1338" s="4" t="s">
        <v>50</v>
      </c>
      <c r="G1338" s="6">
        <v>70</v>
      </c>
      <c r="H1338" s="6">
        <v>60</v>
      </c>
      <c r="I1338" s="6">
        <v>70</v>
      </c>
      <c r="J1338" s="6">
        <v>65</v>
      </c>
      <c r="K1338" s="6">
        <v>65</v>
      </c>
      <c r="L1338" t="str">
        <f t="shared" si="60"/>
        <v>OK</v>
      </c>
      <c r="M1338" t="str">
        <f t="shared" si="61"/>
        <v>OK</v>
      </c>
      <c r="N1338" t="str">
        <f t="shared" si="62"/>
        <v>OK</v>
      </c>
    </row>
    <row r="1339" spans="1:14" ht="43.2" x14ac:dyDescent="0.3">
      <c r="A1339">
        <v>71</v>
      </c>
      <c r="B1339">
        <v>2024</v>
      </c>
      <c r="C1339" s="2">
        <v>45562</v>
      </c>
      <c r="D1339" s="7" t="s">
        <v>38</v>
      </c>
      <c r="E1339" s="8" t="s">
        <v>52</v>
      </c>
      <c r="F1339" s="8" t="s">
        <v>43</v>
      </c>
      <c r="G1339" s="10">
        <v>60</v>
      </c>
      <c r="H1339" s="10">
        <v>35</v>
      </c>
      <c r="I1339" s="10">
        <v>60</v>
      </c>
      <c r="J1339" s="10">
        <v>50</v>
      </c>
      <c r="K1339" s="10">
        <v>55</v>
      </c>
      <c r="L1339" t="str">
        <f t="shared" si="60"/>
        <v>OK</v>
      </c>
      <c r="M1339" t="str">
        <f t="shared" si="61"/>
        <v>OK</v>
      </c>
      <c r="N1339" t="str">
        <f t="shared" si="62"/>
        <v>OK</v>
      </c>
    </row>
    <row r="1340" spans="1:14" ht="43.2" x14ac:dyDescent="0.3">
      <c r="A1340">
        <v>71</v>
      </c>
      <c r="B1340">
        <v>2024</v>
      </c>
      <c r="C1340" s="2">
        <v>45562</v>
      </c>
      <c r="D1340" s="3" t="s">
        <v>38</v>
      </c>
      <c r="E1340" s="4" t="s">
        <v>53</v>
      </c>
      <c r="F1340" s="4" t="s">
        <v>43</v>
      </c>
      <c r="G1340" s="6">
        <v>60</v>
      </c>
      <c r="H1340" s="6">
        <v>60</v>
      </c>
      <c r="I1340" s="6">
        <v>80</v>
      </c>
      <c r="J1340" s="6">
        <v>68</v>
      </c>
      <c r="K1340" s="6">
        <v>70</v>
      </c>
      <c r="L1340" t="str">
        <f t="shared" si="60"/>
        <v>OK</v>
      </c>
      <c r="M1340" t="str">
        <f t="shared" si="61"/>
        <v>OK</v>
      </c>
      <c r="N1340" t="str">
        <f t="shared" si="62"/>
        <v>OK</v>
      </c>
    </row>
    <row r="1341" spans="1:14" ht="43.2" x14ac:dyDescent="0.3">
      <c r="A1341">
        <v>71</v>
      </c>
      <c r="B1341">
        <v>2024</v>
      </c>
      <c r="C1341" s="2">
        <v>45562</v>
      </c>
      <c r="D1341" s="7" t="s">
        <v>38</v>
      </c>
      <c r="E1341" s="8" t="s">
        <v>54</v>
      </c>
      <c r="F1341" s="8" t="s">
        <v>40</v>
      </c>
      <c r="G1341" s="9"/>
      <c r="H1341" s="10">
        <v>90</v>
      </c>
      <c r="I1341" s="10">
        <v>120</v>
      </c>
      <c r="J1341" s="10">
        <v>105</v>
      </c>
      <c r="K1341" s="10">
        <v>105</v>
      </c>
      <c r="L1341" t="str">
        <f t="shared" si="60"/>
        <v>OK</v>
      </c>
      <c r="M1341" t="str">
        <f t="shared" si="61"/>
        <v>OK</v>
      </c>
      <c r="N1341" t="str">
        <f t="shared" si="62"/>
        <v>OK</v>
      </c>
    </row>
    <row r="1342" spans="1:14" ht="43.2" x14ac:dyDescent="0.3">
      <c r="A1342">
        <v>71</v>
      </c>
      <c r="B1342">
        <v>2024</v>
      </c>
      <c r="C1342" s="2">
        <v>45562</v>
      </c>
      <c r="D1342" s="3" t="s">
        <v>38</v>
      </c>
      <c r="E1342" s="4" t="s">
        <v>56</v>
      </c>
      <c r="F1342" s="4" t="s">
        <v>43</v>
      </c>
      <c r="G1342" s="5"/>
      <c r="H1342" s="6">
        <v>65</v>
      </c>
      <c r="I1342" s="6">
        <v>65</v>
      </c>
      <c r="J1342" s="6">
        <v>65</v>
      </c>
      <c r="K1342" s="6">
        <v>65</v>
      </c>
      <c r="L1342" t="str">
        <f t="shared" si="60"/>
        <v>OK</v>
      </c>
      <c r="M1342" t="str">
        <f t="shared" si="61"/>
        <v>OK</v>
      </c>
      <c r="N1342" t="str">
        <f t="shared" si="62"/>
        <v>OK</v>
      </c>
    </row>
    <row r="1343" spans="1:14" ht="43.2" x14ac:dyDescent="0.3">
      <c r="A1343">
        <v>71</v>
      </c>
      <c r="B1343">
        <v>2024</v>
      </c>
      <c r="C1343" s="2">
        <v>45562</v>
      </c>
      <c r="D1343" s="7" t="s">
        <v>38</v>
      </c>
      <c r="E1343" s="8" t="s">
        <v>57</v>
      </c>
      <c r="F1343" s="8" t="s">
        <v>40</v>
      </c>
      <c r="G1343" s="10">
        <v>100</v>
      </c>
      <c r="H1343" s="10">
        <v>80</v>
      </c>
      <c r="I1343" s="10">
        <v>100</v>
      </c>
      <c r="J1343" s="10" t="s">
        <v>196</v>
      </c>
      <c r="K1343" s="10">
        <v>100</v>
      </c>
      <c r="L1343" t="str">
        <f t="shared" si="60"/>
        <v>OK</v>
      </c>
      <c r="M1343" t="str">
        <f t="shared" si="61"/>
        <v>OK</v>
      </c>
      <c r="N1343" t="str">
        <f t="shared" si="62"/>
        <v>ERRO</v>
      </c>
    </row>
    <row r="1344" spans="1:14" ht="43.2" x14ac:dyDescent="0.3">
      <c r="A1344">
        <v>71</v>
      </c>
      <c r="B1344">
        <v>2024</v>
      </c>
      <c r="C1344" s="2">
        <v>45562</v>
      </c>
      <c r="D1344" s="3" t="s">
        <v>38</v>
      </c>
      <c r="E1344" s="4" t="s">
        <v>58</v>
      </c>
      <c r="F1344" s="4" t="s">
        <v>40</v>
      </c>
      <c r="G1344" s="5"/>
      <c r="H1344" s="6">
        <v>100</v>
      </c>
      <c r="I1344" s="6">
        <v>145</v>
      </c>
      <c r="J1344" s="6" t="s">
        <v>341</v>
      </c>
      <c r="K1344" s="6">
        <v>130</v>
      </c>
      <c r="L1344" t="str">
        <f t="shared" si="60"/>
        <v>OK</v>
      </c>
      <c r="M1344" t="str">
        <f t="shared" si="61"/>
        <v>OK</v>
      </c>
      <c r="N1344" t="str">
        <f t="shared" si="62"/>
        <v>ERRO</v>
      </c>
    </row>
    <row r="1345" spans="1:14" ht="43.2" x14ac:dyDescent="0.3">
      <c r="A1345">
        <v>71</v>
      </c>
      <c r="B1345">
        <v>2024</v>
      </c>
      <c r="C1345" s="2">
        <v>45562</v>
      </c>
      <c r="D1345" s="7" t="s">
        <v>38</v>
      </c>
      <c r="E1345" s="8" t="s">
        <v>59</v>
      </c>
      <c r="F1345" s="8" t="s">
        <v>45</v>
      </c>
      <c r="G1345" s="10">
        <v>55</v>
      </c>
      <c r="H1345" s="10">
        <v>40</v>
      </c>
      <c r="I1345" s="10">
        <v>55</v>
      </c>
      <c r="J1345" s="10">
        <v>49</v>
      </c>
      <c r="K1345" s="10">
        <v>50</v>
      </c>
      <c r="L1345" t="str">
        <f t="shared" si="60"/>
        <v>OK</v>
      </c>
      <c r="M1345" t="str">
        <f t="shared" si="61"/>
        <v>OK</v>
      </c>
      <c r="N1345" t="str">
        <f t="shared" si="62"/>
        <v>OK</v>
      </c>
    </row>
    <row r="1346" spans="1:14" ht="43.2" x14ac:dyDescent="0.3">
      <c r="A1346">
        <v>71</v>
      </c>
      <c r="B1346">
        <v>2024</v>
      </c>
      <c r="C1346" s="2">
        <v>45562</v>
      </c>
      <c r="D1346" s="3" t="s">
        <v>38</v>
      </c>
      <c r="E1346" s="4" t="s">
        <v>60</v>
      </c>
      <c r="F1346" s="4" t="s">
        <v>61</v>
      </c>
      <c r="G1346" s="6">
        <v>140</v>
      </c>
      <c r="H1346" s="6">
        <v>140</v>
      </c>
      <c r="I1346" s="6">
        <v>150</v>
      </c>
      <c r="J1346" s="6">
        <v>144</v>
      </c>
      <c r="K1346" s="6">
        <v>140</v>
      </c>
      <c r="L1346" t="str">
        <f t="shared" si="60"/>
        <v>OK</v>
      </c>
      <c r="M1346" t="str">
        <f t="shared" si="61"/>
        <v>OK</v>
      </c>
      <c r="N1346" t="str">
        <f t="shared" si="62"/>
        <v>OK</v>
      </c>
    </row>
    <row r="1347" spans="1:14" ht="43.2" x14ac:dyDescent="0.3">
      <c r="A1347">
        <v>71</v>
      </c>
      <c r="B1347">
        <v>2024</v>
      </c>
      <c r="C1347" s="2">
        <v>45562</v>
      </c>
      <c r="D1347" s="7" t="s">
        <v>38</v>
      </c>
      <c r="E1347" s="8" t="s">
        <v>63</v>
      </c>
      <c r="F1347" s="8" t="s">
        <v>40</v>
      </c>
      <c r="G1347" s="10">
        <v>60</v>
      </c>
      <c r="H1347" s="10">
        <v>50</v>
      </c>
      <c r="I1347" s="10">
        <v>90</v>
      </c>
      <c r="J1347" s="10">
        <v>66</v>
      </c>
      <c r="K1347" s="10">
        <v>60</v>
      </c>
      <c r="L1347" t="str">
        <f t="shared" ref="L1347:L1410" si="63">IF(H1347&gt;I1347,"ERRO","OK")</f>
        <v>OK</v>
      </c>
      <c r="M1347" t="str">
        <f t="shared" ref="M1347:M1410" si="64">IF(H1347&gt;J1347,"ERRO","OK")</f>
        <v>OK</v>
      </c>
      <c r="N1347" t="str">
        <f t="shared" ref="N1347:N1410" si="65">IF(I1347&lt;J1347,"ERRO","OK")</f>
        <v>OK</v>
      </c>
    </row>
    <row r="1348" spans="1:14" ht="43.2" x14ac:dyDescent="0.3">
      <c r="A1348">
        <v>71</v>
      </c>
      <c r="B1348">
        <v>2024</v>
      </c>
      <c r="C1348" s="2">
        <v>45562</v>
      </c>
      <c r="D1348" s="3" t="s">
        <v>38</v>
      </c>
      <c r="E1348" s="4" t="s">
        <v>64</v>
      </c>
      <c r="F1348" s="4" t="s">
        <v>40</v>
      </c>
      <c r="G1348" s="5"/>
      <c r="H1348" s="6">
        <v>100</v>
      </c>
      <c r="I1348" s="6">
        <v>130</v>
      </c>
      <c r="J1348" s="6" t="s">
        <v>201</v>
      </c>
      <c r="K1348" s="6">
        <v>120</v>
      </c>
      <c r="L1348" t="str">
        <f t="shared" si="63"/>
        <v>OK</v>
      </c>
      <c r="M1348" t="str">
        <f t="shared" si="64"/>
        <v>OK</v>
      </c>
      <c r="N1348" t="str">
        <f t="shared" si="65"/>
        <v>ERRO</v>
      </c>
    </row>
    <row r="1349" spans="1:14" x14ac:dyDescent="0.3">
      <c r="A1349">
        <v>71</v>
      </c>
      <c r="B1349">
        <v>2024</v>
      </c>
      <c r="C1349" s="2">
        <v>45562</v>
      </c>
      <c r="D1349" s="7" t="s">
        <v>65</v>
      </c>
      <c r="E1349" s="8" t="s">
        <v>66</v>
      </c>
      <c r="F1349" s="8" t="s">
        <v>45</v>
      </c>
      <c r="G1349" s="9"/>
      <c r="H1349" s="9"/>
      <c r="I1349" s="9"/>
      <c r="J1349" s="9"/>
      <c r="K1349" s="9"/>
      <c r="L1349" t="str">
        <f t="shared" si="63"/>
        <v>OK</v>
      </c>
      <c r="M1349" t="str">
        <f t="shared" si="64"/>
        <v>OK</v>
      </c>
      <c r="N1349" t="str">
        <f t="shared" si="65"/>
        <v>OK</v>
      </c>
    </row>
    <row r="1350" spans="1:14" x14ac:dyDescent="0.3">
      <c r="A1350">
        <v>71</v>
      </c>
      <c r="B1350">
        <v>2024</v>
      </c>
      <c r="C1350" s="2">
        <v>45562</v>
      </c>
      <c r="D1350" s="3" t="s">
        <v>65</v>
      </c>
      <c r="E1350" s="4" t="s">
        <v>67</v>
      </c>
      <c r="F1350" s="4" t="s">
        <v>45</v>
      </c>
      <c r="G1350" s="5"/>
      <c r="H1350" s="5"/>
      <c r="I1350" s="5"/>
      <c r="J1350" s="5"/>
      <c r="K1350" s="5"/>
      <c r="L1350" t="str">
        <f t="shared" si="63"/>
        <v>OK</v>
      </c>
      <c r="M1350" t="str">
        <f t="shared" si="64"/>
        <v>OK</v>
      </c>
      <c r="N1350" t="str">
        <f t="shared" si="65"/>
        <v>OK</v>
      </c>
    </row>
    <row r="1351" spans="1:14" x14ac:dyDescent="0.3">
      <c r="A1351">
        <v>71</v>
      </c>
      <c r="B1351">
        <v>2024</v>
      </c>
      <c r="C1351" s="2">
        <v>45562</v>
      </c>
      <c r="D1351" s="7" t="s">
        <v>65</v>
      </c>
      <c r="E1351" s="8" t="s">
        <v>68</v>
      </c>
      <c r="F1351" s="8" t="s">
        <v>45</v>
      </c>
      <c r="G1351" s="9"/>
      <c r="H1351" s="9"/>
      <c r="I1351" s="9"/>
      <c r="J1351" s="9"/>
      <c r="K1351" s="9"/>
      <c r="L1351" t="str">
        <f t="shared" si="63"/>
        <v>OK</v>
      </c>
      <c r="M1351" t="str">
        <f t="shared" si="64"/>
        <v>OK</v>
      </c>
      <c r="N1351" t="str">
        <f t="shared" si="65"/>
        <v>OK</v>
      </c>
    </row>
    <row r="1352" spans="1:14" x14ac:dyDescent="0.3">
      <c r="A1352">
        <v>71</v>
      </c>
      <c r="B1352">
        <v>2024</v>
      </c>
      <c r="C1352" s="2">
        <v>45562</v>
      </c>
      <c r="D1352" s="3" t="s">
        <v>65</v>
      </c>
      <c r="E1352" s="4" t="s">
        <v>69</v>
      </c>
      <c r="F1352" s="4" t="s">
        <v>45</v>
      </c>
      <c r="G1352" s="5"/>
      <c r="H1352" s="6">
        <v>50</v>
      </c>
      <c r="I1352" s="6">
        <v>50</v>
      </c>
      <c r="J1352" s="6">
        <v>50</v>
      </c>
      <c r="K1352" s="6">
        <v>50</v>
      </c>
      <c r="L1352" t="str">
        <f t="shared" si="63"/>
        <v>OK</v>
      </c>
      <c r="M1352" t="str">
        <f t="shared" si="64"/>
        <v>OK</v>
      </c>
      <c r="N1352" t="str">
        <f t="shared" si="65"/>
        <v>OK</v>
      </c>
    </row>
    <row r="1353" spans="1:14" x14ac:dyDescent="0.3">
      <c r="A1353">
        <v>71</v>
      </c>
      <c r="B1353">
        <v>2024</v>
      </c>
      <c r="C1353" s="2">
        <v>45562</v>
      </c>
      <c r="D1353" s="7" t="s">
        <v>65</v>
      </c>
      <c r="E1353" s="8" t="s">
        <v>70</v>
      </c>
      <c r="F1353" s="8" t="s">
        <v>71</v>
      </c>
      <c r="G1353" s="9"/>
      <c r="H1353" s="9"/>
      <c r="I1353" s="9"/>
      <c r="J1353" s="9"/>
      <c r="K1353" s="9"/>
      <c r="L1353" t="str">
        <f t="shared" si="63"/>
        <v>OK</v>
      </c>
      <c r="M1353" t="str">
        <f t="shared" si="64"/>
        <v>OK</v>
      </c>
      <c r="N1353" t="str">
        <f t="shared" si="65"/>
        <v>OK</v>
      </c>
    </row>
    <row r="1354" spans="1:14" ht="28.8" x14ac:dyDescent="0.3">
      <c r="A1354">
        <v>72</v>
      </c>
      <c r="B1354">
        <v>2024</v>
      </c>
      <c r="C1354" s="2">
        <v>45569</v>
      </c>
      <c r="D1354" s="3" t="s">
        <v>11</v>
      </c>
      <c r="E1354" s="4" t="s">
        <v>12</v>
      </c>
      <c r="F1354" s="4" t="s">
        <v>13</v>
      </c>
      <c r="G1354" s="6">
        <v>48</v>
      </c>
      <c r="H1354" s="6">
        <v>48</v>
      </c>
      <c r="I1354" s="6">
        <v>60</v>
      </c>
      <c r="J1354" s="6">
        <v>51</v>
      </c>
      <c r="K1354" s="6">
        <v>48</v>
      </c>
      <c r="L1354" t="str">
        <f t="shared" si="63"/>
        <v>OK</v>
      </c>
      <c r="M1354" t="str">
        <f t="shared" si="64"/>
        <v>OK</v>
      </c>
      <c r="N1354" t="str">
        <f t="shared" si="65"/>
        <v>OK</v>
      </c>
    </row>
    <row r="1355" spans="1:14" ht="28.8" x14ac:dyDescent="0.3">
      <c r="A1355">
        <v>72</v>
      </c>
      <c r="B1355">
        <v>2024</v>
      </c>
      <c r="C1355" s="2">
        <v>45569</v>
      </c>
      <c r="D1355" s="7" t="s">
        <v>11</v>
      </c>
      <c r="E1355" s="8" t="s">
        <v>14</v>
      </c>
      <c r="F1355" s="8" t="s">
        <v>13</v>
      </c>
      <c r="G1355" s="10">
        <v>72</v>
      </c>
      <c r="H1355" s="10">
        <v>72</v>
      </c>
      <c r="I1355" s="10">
        <v>84</v>
      </c>
      <c r="J1355" s="10">
        <v>76</v>
      </c>
      <c r="K1355" s="10">
        <v>72</v>
      </c>
      <c r="L1355" t="str">
        <f t="shared" si="63"/>
        <v>OK</v>
      </c>
      <c r="M1355" t="str">
        <f t="shared" si="64"/>
        <v>OK</v>
      </c>
      <c r="N1355" t="str">
        <f t="shared" si="65"/>
        <v>OK</v>
      </c>
    </row>
    <row r="1356" spans="1:14" ht="28.8" x14ac:dyDescent="0.3">
      <c r="A1356">
        <v>72</v>
      </c>
      <c r="B1356">
        <v>2024</v>
      </c>
      <c r="C1356" s="2">
        <v>45569</v>
      </c>
      <c r="D1356" s="3" t="s">
        <v>11</v>
      </c>
      <c r="E1356" s="4" t="s">
        <v>15</v>
      </c>
      <c r="F1356" s="4" t="s">
        <v>13</v>
      </c>
      <c r="G1356" s="6">
        <v>30</v>
      </c>
      <c r="H1356" s="6">
        <v>30</v>
      </c>
      <c r="I1356" s="6">
        <v>36</v>
      </c>
      <c r="J1356" s="6">
        <v>33</v>
      </c>
      <c r="K1356" s="6">
        <v>33</v>
      </c>
      <c r="L1356" t="str">
        <f t="shared" si="63"/>
        <v>OK</v>
      </c>
      <c r="M1356" t="str">
        <f t="shared" si="64"/>
        <v>OK</v>
      </c>
      <c r="N1356" t="str">
        <f t="shared" si="65"/>
        <v>OK</v>
      </c>
    </row>
    <row r="1357" spans="1:14" ht="28.8" x14ac:dyDescent="0.3">
      <c r="A1357">
        <v>72</v>
      </c>
      <c r="B1357">
        <v>2024</v>
      </c>
      <c r="C1357" s="2">
        <v>45569</v>
      </c>
      <c r="D1357" s="7" t="s">
        <v>11</v>
      </c>
      <c r="E1357" s="8" t="s">
        <v>16</v>
      </c>
      <c r="F1357" s="8" t="s">
        <v>13</v>
      </c>
      <c r="G1357" s="10">
        <v>24</v>
      </c>
      <c r="H1357" s="10">
        <v>18</v>
      </c>
      <c r="I1357" s="10">
        <v>24</v>
      </c>
      <c r="J1357" s="10" t="s">
        <v>72</v>
      </c>
      <c r="K1357" s="10">
        <v>22</v>
      </c>
      <c r="L1357" t="str">
        <f t="shared" si="63"/>
        <v>OK</v>
      </c>
      <c r="M1357" t="str">
        <f t="shared" si="64"/>
        <v>OK</v>
      </c>
      <c r="N1357" t="str">
        <f t="shared" si="65"/>
        <v>ERRO</v>
      </c>
    </row>
    <row r="1358" spans="1:14" ht="28.8" x14ac:dyDescent="0.3">
      <c r="A1358">
        <v>72</v>
      </c>
      <c r="B1358">
        <v>2024</v>
      </c>
      <c r="C1358" s="2">
        <v>45569</v>
      </c>
      <c r="D1358" s="3" t="s">
        <v>11</v>
      </c>
      <c r="E1358" s="4" t="s">
        <v>17</v>
      </c>
      <c r="F1358" s="4" t="s">
        <v>13</v>
      </c>
      <c r="G1358" s="6">
        <v>24</v>
      </c>
      <c r="H1358" s="6">
        <v>18</v>
      </c>
      <c r="I1358" s="6">
        <v>24</v>
      </c>
      <c r="J1358" s="6" t="s">
        <v>72</v>
      </c>
      <c r="K1358" s="6">
        <v>22</v>
      </c>
      <c r="L1358" t="str">
        <f t="shared" si="63"/>
        <v>OK</v>
      </c>
      <c r="M1358" t="str">
        <f t="shared" si="64"/>
        <v>OK</v>
      </c>
      <c r="N1358" t="str">
        <f t="shared" si="65"/>
        <v>ERRO</v>
      </c>
    </row>
    <row r="1359" spans="1:14" ht="28.8" x14ac:dyDescent="0.3">
      <c r="A1359">
        <v>72</v>
      </c>
      <c r="B1359">
        <v>2024</v>
      </c>
      <c r="C1359" s="2">
        <v>45569</v>
      </c>
      <c r="D1359" s="7" t="s">
        <v>11</v>
      </c>
      <c r="E1359" s="8" t="s">
        <v>18</v>
      </c>
      <c r="F1359" s="8" t="s">
        <v>13</v>
      </c>
      <c r="G1359" s="10">
        <v>48</v>
      </c>
      <c r="H1359" s="10">
        <v>48</v>
      </c>
      <c r="I1359" s="10">
        <v>60</v>
      </c>
      <c r="J1359" s="10">
        <v>52</v>
      </c>
      <c r="K1359" s="10">
        <v>48</v>
      </c>
      <c r="L1359" t="str">
        <f t="shared" si="63"/>
        <v>OK</v>
      </c>
      <c r="M1359" t="str">
        <f t="shared" si="64"/>
        <v>OK</v>
      </c>
      <c r="N1359" t="str">
        <f t="shared" si="65"/>
        <v>OK</v>
      </c>
    </row>
    <row r="1360" spans="1:14" ht="28.8" x14ac:dyDescent="0.3">
      <c r="A1360">
        <v>72</v>
      </c>
      <c r="B1360">
        <v>2024</v>
      </c>
      <c r="C1360" s="2">
        <v>45569</v>
      </c>
      <c r="D1360" s="3" t="s">
        <v>11</v>
      </c>
      <c r="E1360" s="4" t="s">
        <v>19</v>
      </c>
      <c r="F1360" s="4" t="s">
        <v>13</v>
      </c>
      <c r="G1360" s="5"/>
      <c r="H1360" s="6">
        <v>48</v>
      </c>
      <c r="I1360" s="6">
        <v>60</v>
      </c>
      <c r="J1360" s="6">
        <v>54</v>
      </c>
      <c r="K1360" s="6">
        <v>54</v>
      </c>
      <c r="L1360" t="str">
        <f t="shared" si="63"/>
        <v>OK</v>
      </c>
      <c r="M1360" t="str">
        <f t="shared" si="64"/>
        <v>OK</v>
      </c>
      <c r="N1360" t="str">
        <f t="shared" si="65"/>
        <v>OK</v>
      </c>
    </row>
    <row r="1361" spans="1:14" ht="28.8" x14ac:dyDescent="0.3">
      <c r="A1361">
        <v>72</v>
      </c>
      <c r="B1361">
        <v>2024</v>
      </c>
      <c r="C1361" s="2">
        <v>45569</v>
      </c>
      <c r="D1361" s="7" t="s">
        <v>11</v>
      </c>
      <c r="E1361" s="8" t="s">
        <v>20</v>
      </c>
      <c r="F1361" s="8" t="s">
        <v>13</v>
      </c>
      <c r="G1361" s="10">
        <v>72</v>
      </c>
      <c r="H1361" s="10">
        <v>72</v>
      </c>
      <c r="I1361" s="10">
        <v>72</v>
      </c>
      <c r="J1361" s="10">
        <v>72</v>
      </c>
      <c r="K1361" s="10">
        <v>72</v>
      </c>
      <c r="L1361" t="str">
        <f t="shared" si="63"/>
        <v>OK</v>
      </c>
      <c r="M1361" t="str">
        <f t="shared" si="64"/>
        <v>OK</v>
      </c>
      <c r="N1361" t="str">
        <f t="shared" si="65"/>
        <v>OK</v>
      </c>
    </row>
    <row r="1362" spans="1:14" ht="28.8" x14ac:dyDescent="0.3">
      <c r="A1362">
        <v>72</v>
      </c>
      <c r="B1362">
        <v>2024</v>
      </c>
      <c r="C1362" s="2">
        <v>45569</v>
      </c>
      <c r="D1362" s="3" t="s">
        <v>11</v>
      </c>
      <c r="E1362" s="4" t="s">
        <v>21</v>
      </c>
      <c r="F1362" s="4" t="s">
        <v>13</v>
      </c>
      <c r="G1362" s="6">
        <v>24</v>
      </c>
      <c r="H1362" s="6">
        <v>18</v>
      </c>
      <c r="I1362" s="6">
        <v>24</v>
      </c>
      <c r="J1362" s="6" t="s">
        <v>37</v>
      </c>
      <c r="K1362" s="6">
        <v>24</v>
      </c>
      <c r="L1362" t="str">
        <f t="shared" si="63"/>
        <v>OK</v>
      </c>
      <c r="M1362" t="str">
        <f t="shared" si="64"/>
        <v>OK</v>
      </c>
      <c r="N1362" t="str">
        <f t="shared" si="65"/>
        <v>ERRO</v>
      </c>
    </row>
    <row r="1363" spans="1:14" ht="28.8" x14ac:dyDescent="0.3">
      <c r="A1363">
        <v>72</v>
      </c>
      <c r="B1363">
        <v>2024</v>
      </c>
      <c r="C1363" s="2">
        <v>45569</v>
      </c>
      <c r="D1363" s="7" t="s">
        <v>11</v>
      </c>
      <c r="E1363" s="8" t="s">
        <v>73</v>
      </c>
      <c r="F1363" s="8" t="s">
        <v>13</v>
      </c>
      <c r="G1363" s="10">
        <v>60</v>
      </c>
      <c r="H1363" s="10">
        <v>50</v>
      </c>
      <c r="I1363" s="10">
        <v>60</v>
      </c>
      <c r="J1363" s="10" t="s">
        <v>55</v>
      </c>
      <c r="K1363" s="10">
        <v>60</v>
      </c>
      <c r="L1363" t="str">
        <f t="shared" si="63"/>
        <v>OK</v>
      </c>
      <c r="M1363" t="str">
        <f t="shared" si="64"/>
        <v>OK</v>
      </c>
      <c r="N1363" t="str">
        <f t="shared" si="65"/>
        <v>ERRO</v>
      </c>
    </row>
    <row r="1364" spans="1:14" ht="28.8" x14ac:dyDescent="0.3">
      <c r="A1364">
        <v>72</v>
      </c>
      <c r="B1364">
        <v>2024</v>
      </c>
      <c r="C1364" s="2">
        <v>45569</v>
      </c>
      <c r="D1364" s="3" t="s">
        <v>11</v>
      </c>
      <c r="E1364" s="4" t="s">
        <v>23</v>
      </c>
      <c r="F1364" s="4" t="s">
        <v>13</v>
      </c>
      <c r="G1364" s="6">
        <v>24</v>
      </c>
      <c r="H1364" s="6">
        <v>20</v>
      </c>
      <c r="I1364" s="6">
        <v>24</v>
      </c>
      <c r="J1364" s="6">
        <v>23</v>
      </c>
      <c r="K1364" s="6">
        <v>24</v>
      </c>
      <c r="L1364" t="str">
        <f t="shared" si="63"/>
        <v>OK</v>
      </c>
      <c r="M1364" t="str">
        <f t="shared" si="64"/>
        <v>OK</v>
      </c>
      <c r="N1364" t="str">
        <f t="shared" si="65"/>
        <v>OK</v>
      </c>
    </row>
    <row r="1365" spans="1:14" ht="28.8" x14ac:dyDescent="0.3">
      <c r="A1365">
        <v>72</v>
      </c>
      <c r="B1365">
        <v>2024</v>
      </c>
      <c r="C1365" s="2">
        <v>45569</v>
      </c>
      <c r="D1365" s="7" t="s">
        <v>11</v>
      </c>
      <c r="E1365" s="8" t="s">
        <v>24</v>
      </c>
      <c r="F1365" s="8" t="s">
        <v>13</v>
      </c>
      <c r="G1365" s="10">
        <v>48</v>
      </c>
      <c r="H1365" s="10">
        <v>48</v>
      </c>
      <c r="I1365" s="10">
        <v>72</v>
      </c>
      <c r="J1365" s="10">
        <v>56</v>
      </c>
      <c r="K1365" s="10">
        <v>48</v>
      </c>
      <c r="L1365" t="str">
        <f t="shared" si="63"/>
        <v>OK</v>
      </c>
      <c r="M1365" t="str">
        <f t="shared" si="64"/>
        <v>OK</v>
      </c>
      <c r="N1365" t="str">
        <f t="shared" si="65"/>
        <v>OK</v>
      </c>
    </row>
    <row r="1366" spans="1:14" ht="28.8" x14ac:dyDescent="0.3">
      <c r="A1366">
        <v>72</v>
      </c>
      <c r="B1366">
        <v>2024</v>
      </c>
      <c r="C1366" s="2">
        <v>45569</v>
      </c>
      <c r="D1366" s="3" t="s">
        <v>11</v>
      </c>
      <c r="E1366" s="4" t="s">
        <v>25</v>
      </c>
      <c r="F1366" s="4" t="s">
        <v>26</v>
      </c>
      <c r="G1366" s="6">
        <v>60</v>
      </c>
      <c r="H1366" s="6">
        <v>48</v>
      </c>
      <c r="I1366" s="6">
        <v>60</v>
      </c>
      <c r="J1366" s="6">
        <v>54</v>
      </c>
      <c r="K1366" s="6">
        <v>54</v>
      </c>
      <c r="L1366" t="str">
        <f t="shared" si="63"/>
        <v>OK</v>
      </c>
      <c r="M1366" t="str">
        <f t="shared" si="64"/>
        <v>OK</v>
      </c>
      <c r="N1366" t="str">
        <f t="shared" si="65"/>
        <v>OK</v>
      </c>
    </row>
    <row r="1367" spans="1:14" ht="28.8" x14ac:dyDescent="0.3">
      <c r="A1367">
        <v>72</v>
      </c>
      <c r="B1367">
        <v>2024</v>
      </c>
      <c r="C1367" s="2">
        <v>45569</v>
      </c>
      <c r="D1367" s="7" t="s">
        <v>11</v>
      </c>
      <c r="E1367" s="8" t="s">
        <v>27</v>
      </c>
      <c r="F1367" s="8" t="s">
        <v>13</v>
      </c>
      <c r="G1367" s="10">
        <v>48</v>
      </c>
      <c r="H1367" s="10">
        <v>35</v>
      </c>
      <c r="I1367" s="10">
        <v>48</v>
      </c>
      <c r="J1367" s="10" t="s">
        <v>342</v>
      </c>
      <c r="K1367" s="10">
        <v>48</v>
      </c>
      <c r="L1367" t="str">
        <f t="shared" si="63"/>
        <v>OK</v>
      </c>
      <c r="M1367" t="str">
        <f t="shared" si="64"/>
        <v>OK</v>
      </c>
      <c r="N1367" t="str">
        <f t="shared" si="65"/>
        <v>ERRO</v>
      </c>
    </row>
    <row r="1368" spans="1:14" ht="28.8" x14ac:dyDescent="0.3">
      <c r="A1368">
        <v>72</v>
      </c>
      <c r="B1368">
        <v>2024</v>
      </c>
      <c r="C1368" s="2">
        <v>45569</v>
      </c>
      <c r="D1368" s="3" t="s">
        <v>11</v>
      </c>
      <c r="E1368" s="4" t="s">
        <v>28</v>
      </c>
      <c r="F1368" s="4" t="s">
        <v>13</v>
      </c>
      <c r="G1368" s="6">
        <v>30</v>
      </c>
      <c r="H1368" s="6">
        <v>24</v>
      </c>
      <c r="I1368" s="6">
        <v>36</v>
      </c>
      <c r="J1368" s="6">
        <v>30</v>
      </c>
      <c r="K1368" s="6">
        <v>30</v>
      </c>
      <c r="L1368" t="str">
        <f t="shared" si="63"/>
        <v>OK</v>
      </c>
      <c r="M1368" t="str">
        <f t="shared" si="64"/>
        <v>OK</v>
      </c>
      <c r="N1368" t="str">
        <f t="shared" si="65"/>
        <v>OK</v>
      </c>
    </row>
    <row r="1369" spans="1:14" ht="28.8" x14ac:dyDescent="0.3">
      <c r="A1369">
        <v>72</v>
      </c>
      <c r="B1369">
        <v>2024</v>
      </c>
      <c r="C1369" s="2">
        <v>45569</v>
      </c>
      <c r="D1369" s="7" t="s">
        <v>11</v>
      </c>
      <c r="E1369" s="8" t="s">
        <v>29</v>
      </c>
      <c r="F1369" s="8" t="s">
        <v>13</v>
      </c>
      <c r="G1369" s="10">
        <v>48</v>
      </c>
      <c r="H1369" s="10">
        <v>48</v>
      </c>
      <c r="I1369" s="10">
        <v>54</v>
      </c>
      <c r="J1369" s="10" t="s">
        <v>173</v>
      </c>
      <c r="K1369" s="10">
        <v>48</v>
      </c>
      <c r="L1369" t="str">
        <f t="shared" si="63"/>
        <v>OK</v>
      </c>
      <c r="M1369" t="str">
        <f t="shared" si="64"/>
        <v>OK</v>
      </c>
      <c r="N1369" t="str">
        <f t="shared" si="65"/>
        <v>ERRO</v>
      </c>
    </row>
    <row r="1370" spans="1:14" ht="28.8" x14ac:dyDescent="0.3">
      <c r="A1370">
        <v>72</v>
      </c>
      <c r="B1370">
        <v>2024</v>
      </c>
      <c r="C1370" s="2">
        <v>45569</v>
      </c>
      <c r="D1370" s="3" t="s">
        <v>11</v>
      </c>
      <c r="E1370" s="4" t="s">
        <v>31</v>
      </c>
      <c r="F1370" s="4" t="s">
        <v>32</v>
      </c>
      <c r="G1370" s="6">
        <v>5</v>
      </c>
      <c r="H1370" s="6">
        <v>4</v>
      </c>
      <c r="I1370" s="6">
        <v>5</v>
      </c>
      <c r="J1370" s="6" t="s">
        <v>150</v>
      </c>
      <c r="K1370" s="6">
        <v>5</v>
      </c>
      <c r="L1370" t="str">
        <f t="shared" si="63"/>
        <v>OK</v>
      </c>
      <c r="M1370" t="str">
        <f t="shared" si="64"/>
        <v>OK</v>
      </c>
      <c r="N1370" t="str">
        <f t="shared" si="65"/>
        <v>ERRO</v>
      </c>
    </row>
    <row r="1371" spans="1:14" ht="28.8" x14ac:dyDescent="0.3">
      <c r="A1371">
        <v>72</v>
      </c>
      <c r="B1371">
        <v>2024</v>
      </c>
      <c r="C1371" s="2">
        <v>45569</v>
      </c>
      <c r="D1371" s="7" t="s">
        <v>11</v>
      </c>
      <c r="E1371" s="8" t="s">
        <v>34</v>
      </c>
      <c r="F1371" s="8" t="s">
        <v>35</v>
      </c>
      <c r="G1371" s="10">
        <v>12</v>
      </c>
      <c r="H1371" s="10">
        <v>12</v>
      </c>
      <c r="I1371" s="10">
        <v>15</v>
      </c>
      <c r="J1371" s="10" t="s">
        <v>343</v>
      </c>
      <c r="K1371" s="10">
        <v>12</v>
      </c>
      <c r="L1371" t="str">
        <f t="shared" si="63"/>
        <v>OK</v>
      </c>
      <c r="M1371" t="str">
        <f t="shared" si="64"/>
        <v>OK</v>
      </c>
      <c r="N1371" t="str">
        <f t="shared" si="65"/>
        <v>ERRO</v>
      </c>
    </row>
    <row r="1372" spans="1:14" ht="28.8" x14ac:dyDescent="0.3">
      <c r="A1372">
        <v>72</v>
      </c>
      <c r="B1372">
        <v>2024</v>
      </c>
      <c r="C1372" s="2">
        <v>45569</v>
      </c>
      <c r="D1372" s="3" t="s">
        <v>11</v>
      </c>
      <c r="E1372" s="4" t="s">
        <v>36</v>
      </c>
      <c r="F1372" s="4" t="s">
        <v>35</v>
      </c>
      <c r="G1372" s="6">
        <v>20</v>
      </c>
      <c r="H1372" s="6">
        <v>20</v>
      </c>
      <c r="I1372" s="6">
        <v>30</v>
      </c>
      <c r="J1372" s="6" t="s">
        <v>310</v>
      </c>
      <c r="K1372" s="6" t="s">
        <v>37</v>
      </c>
      <c r="L1372" t="str">
        <f t="shared" si="63"/>
        <v>OK</v>
      </c>
      <c r="M1372" t="str">
        <f t="shared" si="64"/>
        <v>OK</v>
      </c>
      <c r="N1372" t="str">
        <f t="shared" si="65"/>
        <v>ERRO</v>
      </c>
    </row>
    <row r="1373" spans="1:14" ht="43.2" x14ac:dyDescent="0.3">
      <c r="A1373">
        <v>72</v>
      </c>
      <c r="B1373">
        <v>2024</v>
      </c>
      <c r="C1373" s="2">
        <v>45569</v>
      </c>
      <c r="D1373" s="7" t="s">
        <v>38</v>
      </c>
      <c r="E1373" s="8" t="s">
        <v>153</v>
      </c>
      <c r="F1373" s="8" t="s">
        <v>154</v>
      </c>
      <c r="G1373" s="10">
        <v>80</v>
      </c>
      <c r="H1373" s="10">
        <v>75</v>
      </c>
      <c r="I1373" s="10">
        <v>80</v>
      </c>
      <c r="J1373" s="10" t="s">
        <v>262</v>
      </c>
      <c r="K1373" s="10">
        <v>80</v>
      </c>
      <c r="L1373" t="str">
        <f t="shared" si="63"/>
        <v>OK</v>
      </c>
      <c r="M1373" t="str">
        <f t="shared" si="64"/>
        <v>OK</v>
      </c>
      <c r="N1373" t="str">
        <f t="shared" si="65"/>
        <v>ERRO</v>
      </c>
    </row>
    <row r="1374" spans="1:14" ht="43.2" x14ac:dyDescent="0.3">
      <c r="A1374">
        <v>72</v>
      </c>
      <c r="B1374">
        <v>2024</v>
      </c>
      <c r="C1374" s="2">
        <v>45569</v>
      </c>
      <c r="D1374" s="3" t="s">
        <v>38</v>
      </c>
      <c r="E1374" s="4" t="s">
        <v>39</v>
      </c>
      <c r="F1374" s="4" t="s">
        <v>40</v>
      </c>
      <c r="G1374" s="6">
        <v>35</v>
      </c>
      <c r="H1374" s="6">
        <v>35</v>
      </c>
      <c r="I1374" s="6">
        <v>50</v>
      </c>
      <c r="J1374" s="6" t="s">
        <v>344</v>
      </c>
      <c r="K1374" s="6">
        <v>40</v>
      </c>
      <c r="L1374" t="str">
        <f t="shared" si="63"/>
        <v>OK</v>
      </c>
      <c r="M1374" t="str">
        <f t="shared" si="64"/>
        <v>OK</v>
      </c>
      <c r="N1374" t="str">
        <f t="shared" si="65"/>
        <v>ERRO</v>
      </c>
    </row>
    <row r="1375" spans="1:14" ht="43.2" x14ac:dyDescent="0.3">
      <c r="A1375">
        <v>72</v>
      </c>
      <c r="B1375">
        <v>2024</v>
      </c>
      <c r="C1375" s="2">
        <v>45569</v>
      </c>
      <c r="D1375" s="7" t="s">
        <v>38</v>
      </c>
      <c r="E1375" s="8" t="s">
        <v>42</v>
      </c>
      <c r="F1375" s="8" t="s">
        <v>43</v>
      </c>
      <c r="G1375" s="10">
        <v>70</v>
      </c>
      <c r="H1375" s="10">
        <v>45</v>
      </c>
      <c r="I1375" s="10">
        <v>70</v>
      </c>
      <c r="J1375" s="10" t="s">
        <v>80</v>
      </c>
      <c r="K1375" s="10" t="s">
        <v>84</v>
      </c>
      <c r="L1375" t="str">
        <f t="shared" si="63"/>
        <v>OK</v>
      </c>
      <c r="M1375" t="str">
        <f t="shared" si="64"/>
        <v>OK</v>
      </c>
      <c r="N1375" t="str">
        <f t="shared" si="65"/>
        <v>ERRO</v>
      </c>
    </row>
    <row r="1376" spans="1:14" ht="43.2" x14ac:dyDescent="0.3">
      <c r="A1376">
        <v>72</v>
      </c>
      <c r="B1376">
        <v>2024</v>
      </c>
      <c r="C1376" s="2">
        <v>45569</v>
      </c>
      <c r="D1376" s="3" t="s">
        <v>38</v>
      </c>
      <c r="E1376" s="4" t="s">
        <v>44</v>
      </c>
      <c r="F1376" s="4" t="s">
        <v>45</v>
      </c>
      <c r="G1376" s="6">
        <v>60</v>
      </c>
      <c r="H1376" s="6">
        <v>50</v>
      </c>
      <c r="I1376" s="6">
        <v>60</v>
      </c>
      <c r="J1376" s="6" t="s">
        <v>41</v>
      </c>
      <c r="K1376" s="6">
        <v>60</v>
      </c>
      <c r="L1376" t="str">
        <f t="shared" si="63"/>
        <v>OK</v>
      </c>
      <c r="M1376" t="str">
        <f t="shared" si="64"/>
        <v>OK</v>
      </c>
      <c r="N1376" t="str">
        <f t="shared" si="65"/>
        <v>ERRO</v>
      </c>
    </row>
    <row r="1377" spans="1:14" ht="43.2" x14ac:dyDescent="0.3">
      <c r="A1377">
        <v>72</v>
      </c>
      <c r="B1377">
        <v>2024</v>
      </c>
      <c r="C1377" s="2">
        <v>45569</v>
      </c>
      <c r="D1377" s="7" t="s">
        <v>38</v>
      </c>
      <c r="E1377" s="8" t="s">
        <v>48</v>
      </c>
      <c r="F1377" s="8" t="s">
        <v>45</v>
      </c>
      <c r="G1377" s="9"/>
      <c r="H1377" s="10">
        <v>75</v>
      </c>
      <c r="I1377" s="10">
        <v>120</v>
      </c>
      <c r="J1377" s="10" t="s">
        <v>156</v>
      </c>
      <c r="K1377" s="10" t="s">
        <v>156</v>
      </c>
      <c r="L1377" t="str">
        <f t="shared" si="63"/>
        <v>OK</v>
      </c>
      <c r="M1377" t="str">
        <f t="shared" si="64"/>
        <v>OK</v>
      </c>
      <c r="N1377" t="str">
        <f t="shared" si="65"/>
        <v>ERRO</v>
      </c>
    </row>
    <row r="1378" spans="1:14" ht="43.2" x14ac:dyDescent="0.3">
      <c r="A1378">
        <v>72</v>
      </c>
      <c r="B1378">
        <v>2024</v>
      </c>
      <c r="C1378" s="2">
        <v>45569</v>
      </c>
      <c r="D1378" s="3" t="s">
        <v>38</v>
      </c>
      <c r="E1378" s="4" t="s">
        <v>49</v>
      </c>
      <c r="F1378" s="4" t="s">
        <v>50</v>
      </c>
      <c r="G1378" s="5"/>
      <c r="H1378" s="6">
        <v>60</v>
      </c>
      <c r="I1378" s="6">
        <v>80</v>
      </c>
      <c r="J1378" s="6" t="s">
        <v>94</v>
      </c>
      <c r="K1378" s="6" t="s">
        <v>84</v>
      </c>
      <c r="L1378" t="str">
        <f t="shared" si="63"/>
        <v>OK</v>
      </c>
      <c r="M1378" t="str">
        <f t="shared" si="64"/>
        <v>OK</v>
      </c>
      <c r="N1378" t="str">
        <f t="shared" si="65"/>
        <v>ERRO</v>
      </c>
    </row>
    <row r="1379" spans="1:14" ht="43.2" x14ac:dyDescent="0.3">
      <c r="A1379">
        <v>72</v>
      </c>
      <c r="B1379">
        <v>2024</v>
      </c>
      <c r="C1379" s="2">
        <v>45569</v>
      </c>
      <c r="D1379" s="7" t="s">
        <v>38</v>
      </c>
      <c r="E1379" s="8" t="s">
        <v>52</v>
      </c>
      <c r="F1379" s="8" t="s">
        <v>43</v>
      </c>
      <c r="G1379" s="10">
        <v>55</v>
      </c>
      <c r="H1379" s="10">
        <v>30</v>
      </c>
      <c r="I1379" s="10">
        <v>60</v>
      </c>
      <c r="J1379" s="10">
        <v>50</v>
      </c>
      <c r="K1379" s="10">
        <v>55</v>
      </c>
      <c r="L1379" t="str">
        <f t="shared" si="63"/>
        <v>OK</v>
      </c>
      <c r="M1379" t="str">
        <f t="shared" si="64"/>
        <v>OK</v>
      </c>
      <c r="N1379" t="str">
        <f t="shared" si="65"/>
        <v>OK</v>
      </c>
    </row>
    <row r="1380" spans="1:14" ht="43.2" x14ac:dyDescent="0.3">
      <c r="A1380">
        <v>72</v>
      </c>
      <c r="B1380">
        <v>2024</v>
      </c>
      <c r="C1380" s="2">
        <v>45569</v>
      </c>
      <c r="D1380" s="3" t="s">
        <v>38</v>
      </c>
      <c r="E1380" s="4" t="s">
        <v>53</v>
      </c>
      <c r="F1380" s="4" t="s">
        <v>43</v>
      </c>
      <c r="G1380" s="6">
        <v>60</v>
      </c>
      <c r="H1380" s="6">
        <v>60</v>
      </c>
      <c r="I1380" s="6">
        <v>85</v>
      </c>
      <c r="J1380" s="6" t="s">
        <v>84</v>
      </c>
      <c r="K1380" s="6" t="s">
        <v>80</v>
      </c>
      <c r="L1380" t="str">
        <f t="shared" si="63"/>
        <v>OK</v>
      </c>
      <c r="M1380" t="str">
        <f t="shared" si="64"/>
        <v>OK</v>
      </c>
      <c r="N1380" t="str">
        <f t="shared" si="65"/>
        <v>ERRO</v>
      </c>
    </row>
    <row r="1381" spans="1:14" ht="43.2" x14ac:dyDescent="0.3">
      <c r="A1381">
        <v>72</v>
      </c>
      <c r="B1381">
        <v>2024</v>
      </c>
      <c r="C1381" s="2">
        <v>45569</v>
      </c>
      <c r="D1381" s="7" t="s">
        <v>38</v>
      </c>
      <c r="E1381" s="8" t="s">
        <v>54</v>
      </c>
      <c r="F1381" s="8" t="s">
        <v>40</v>
      </c>
      <c r="G1381" s="10">
        <v>120</v>
      </c>
      <c r="H1381" s="10">
        <v>120</v>
      </c>
      <c r="I1381" s="10">
        <v>120</v>
      </c>
      <c r="J1381" s="10">
        <v>120</v>
      </c>
      <c r="K1381" s="10">
        <v>120</v>
      </c>
      <c r="L1381" t="str">
        <f t="shared" si="63"/>
        <v>OK</v>
      </c>
      <c r="M1381" t="str">
        <f t="shared" si="64"/>
        <v>OK</v>
      </c>
      <c r="N1381" t="str">
        <f t="shared" si="65"/>
        <v>OK</v>
      </c>
    </row>
    <row r="1382" spans="1:14" ht="43.2" x14ac:dyDescent="0.3">
      <c r="A1382">
        <v>72</v>
      </c>
      <c r="B1382">
        <v>2024</v>
      </c>
      <c r="C1382" s="2">
        <v>45569</v>
      </c>
      <c r="D1382" s="3" t="s">
        <v>38</v>
      </c>
      <c r="E1382" s="4" t="s">
        <v>56</v>
      </c>
      <c r="F1382" s="4" t="s">
        <v>43</v>
      </c>
      <c r="G1382" s="5"/>
      <c r="H1382" s="6">
        <v>50</v>
      </c>
      <c r="I1382" s="6">
        <v>50</v>
      </c>
      <c r="J1382" s="6">
        <v>50</v>
      </c>
      <c r="K1382" s="6">
        <v>50</v>
      </c>
      <c r="L1382" t="str">
        <f t="shared" si="63"/>
        <v>OK</v>
      </c>
      <c r="M1382" t="str">
        <f t="shared" si="64"/>
        <v>OK</v>
      </c>
      <c r="N1382" t="str">
        <f t="shared" si="65"/>
        <v>OK</v>
      </c>
    </row>
    <row r="1383" spans="1:14" ht="43.2" x14ac:dyDescent="0.3">
      <c r="A1383">
        <v>72</v>
      </c>
      <c r="B1383">
        <v>2024</v>
      </c>
      <c r="C1383" s="2">
        <v>45569</v>
      </c>
      <c r="D1383" s="7" t="s">
        <v>38</v>
      </c>
      <c r="E1383" s="8" t="s">
        <v>57</v>
      </c>
      <c r="F1383" s="8" t="s">
        <v>40</v>
      </c>
      <c r="G1383" s="10">
        <v>100</v>
      </c>
      <c r="H1383" s="10">
        <v>100</v>
      </c>
      <c r="I1383" s="10">
        <v>100</v>
      </c>
      <c r="J1383" s="10">
        <v>100</v>
      </c>
      <c r="K1383" s="10">
        <v>100</v>
      </c>
      <c r="L1383" t="str">
        <f t="shared" si="63"/>
        <v>OK</v>
      </c>
      <c r="M1383" t="str">
        <f t="shared" si="64"/>
        <v>OK</v>
      </c>
      <c r="N1383" t="str">
        <f t="shared" si="65"/>
        <v>OK</v>
      </c>
    </row>
    <row r="1384" spans="1:14" ht="43.2" x14ac:dyDescent="0.3">
      <c r="A1384">
        <v>72</v>
      </c>
      <c r="B1384">
        <v>2024</v>
      </c>
      <c r="C1384" s="2">
        <v>45569</v>
      </c>
      <c r="D1384" s="3" t="s">
        <v>38</v>
      </c>
      <c r="E1384" s="4" t="s">
        <v>58</v>
      </c>
      <c r="F1384" s="4" t="s">
        <v>40</v>
      </c>
      <c r="G1384" s="6">
        <v>120</v>
      </c>
      <c r="H1384" s="6">
        <v>120</v>
      </c>
      <c r="I1384" s="6">
        <v>140</v>
      </c>
      <c r="J1384" s="6" t="s">
        <v>240</v>
      </c>
      <c r="K1384" s="6">
        <v>125</v>
      </c>
      <c r="L1384" t="str">
        <f t="shared" si="63"/>
        <v>OK</v>
      </c>
      <c r="M1384" t="str">
        <f t="shared" si="64"/>
        <v>OK</v>
      </c>
      <c r="N1384" t="str">
        <f t="shared" si="65"/>
        <v>ERRO</v>
      </c>
    </row>
    <row r="1385" spans="1:14" ht="43.2" x14ac:dyDescent="0.3">
      <c r="A1385">
        <v>72</v>
      </c>
      <c r="B1385">
        <v>2024</v>
      </c>
      <c r="C1385" s="2">
        <v>45569</v>
      </c>
      <c r="D1385" s="7" t="s">
        <v>38</v>
      </c>
      <c r="E1385" s="8" t="s">
        <v>59</v>
      </c>
      <c r="F1385" s="8" t="s">
        <v>45</v>
      </c>
      <c r="G1385" s="9"/>
      <c r="H1385" s="10">
        <v>45</v>
      </c>
      <c r="I1385" s="10">
        <v>80</v>
      </c>
      <c r="J1385" s="10">
        <v>60</v>
      </c>
      <c r="K1385" s="10" t="s">
        <v>41</v>
      </c>
      <c r="L1385" t="str">
        <f t="shared" si="63"/>
        <v>OK</v>
      </c>
      <c r="M1385" t="str">
        <f t="shared" si="64"/>
        <v>OK</v>
      </c>
      <c r="N1385" t="str">
        <f t="shared" si="65"/>
        <v>OK</v>
      </c>
    </row>
    <row r="1386" spans="1:14" ht="43.2" x14ac:dyDescent="0.3">
      <c r="A1386">
        <v>72</v>
      </c>
      <c r="B1386">
        <v>2024</v>
      </c>
      <c r="C1386" s="2">
        <v>45569</v>
      </c>
      <c r="D1386" s="3" t="s">
        <v>38</v>
      </c>
      <c r="E1386" s="4" t="s">
        <v>60</v>
      </c>
      <c r="F1386" s="4" t="s">
        <v>61</v>
      </c>
      <c r="G1386" s="6">
        <v>140</v>
      </c>
      <c r="H1386" s="6">
        <v>140</v>
      </c>
      <c r="I1386" s="6">
        <v>175</v>
      </c>
      <c r="J1386" s="6" t="s">
        <v>345</v>
      </c>
      <c r="K1386" s="6">
        <v>145</v>
      </c>
      <c r="L1386" t="str">
        <f t="shared" si="63"/>
        <v>OK</v>
      </c>
      <c r="M1386" t="str">
        <f t="shared" si="64"/>
        <v>OK</v>
      </c>
      <c r="N1386" t="str">
        <f t="shared" si="65"/>
        <v>ERRO</v>
      </c>
    </row>
    <row r="1387" spans="1:14" ht="43.2" x14ac:dyDescent="0.3">
      <c r="A1387">
        <v>72</v>
      </c>
      <c r="B1387">
        <v>2024</v>
      </c>
      <c r="C1387" s="2">
        <v>45569</v>
      </c>
      <c r="D1387" s="7" t="s">
        <v>38</v>
      </c>
      <c r="E1387" s="8" t="s">
        <v>63</v>
      </c>
      <c r="F1387" s="8" t="s">
        <v>40</v>
      </c>
      <c r="G1387" s="10">
        <v>80</v>
      </c>
      <c r="H1387" s="10">
        <v>45</v>
      </c>
      <c r="I1387" s="10">
        <v>90</v>
      </c>
      <c r="J1387" s="10" t="s">
        <v>346</v>
      </c>
      <c r="K1387" s="10">
        <v>80</v>
      </c>
      <c r="L1387" t="str">
        <f t="shared" si="63"/>
        <v>OK</v>
      </c>
      <c r="M1387" t="str">
        <f t="shared" si="64"/>
        <v>OK</v>
      </c>
      <c r="N1387" t="str">
        <f t="shared" si="65"/>
        <v>ERRO</v>
      </c>
    </row>
    <row r="1388" spans="1:14" ht="43.2" x14ac:dyDescent="0.3">
      <c r="A1388">
        <v>72</v>
      </c>
      <c r="B1388">
        <v>2024</v>
      </c>
      <c r="C1388" s="2">
        <v>45569</v>
      </c>
      <c r="D1388" s="3" t="s">
        <v>38</v>
      </c>
      <c r="E1388" s="4" t="s">
        <v>64</v>
      </c>
      <c r="F1388" s="4" t="s">
        <v>40</v>
      </c>
      <c r="G1388" s="6">
        <v>110</v>
      </c>
      <c r="H1388" s="6">
        <v>110</v>
      </c>
      <c r="I1388" s="6">
        <v>120</v>
      </c>
      <c r="J1388" s="6" t="s">
        <v>214</v>
      </c>
      <c r="K1388" s="6">
        <v>110</v>
      </c>
      <c r="L1388" t="str">
        <f t="shared" si="63"/>
        <v>OK</v>
      </c>
      <c r="M1388" t="str">
        <f t="shared" si="64"/>
        <v>OK</v>
      </c>
      <c r="N1388" t="str">
        <f t="shared" si="65"/>
        <v>ERRO</v>
      </c>
    </row>
    <row r="1389" spans="1:14" x14ac:dyDescent="0.3">
      <c r="A1389">
        <v>72</v>
      </c>
      <c r="B1389">
        <v>2024</v>
      </c>
      <c r="C1389" s="2">
        <v>45569</v>
      </c>
      <c r="D1389" s="7" t="s">
        <v>65</v>
      </c>
      <c r="E1389" s="8" t="s">
        <v>66</v>
      </c>
      <c r="F1389" s="8" t="s">
        <v>45</v>
      </c>
      <c r="G1389" s="9"/>
      <c r="H1389" s="9"/>
      <c r="I1389" s="9"/>
      <c r="J1389" s="9"/>
      <c r="K1389" s="9"/>
      <c r="L1389" t="str">
        <f t="shared" si="63"/>
        <v>OK</v>
      </c>
      <c r="M1389" t="str">
        <f t="shared" si="64"/>
        <v>OK</v>
      </c>
      <c r="N1389" t="str">
        <f t="shared" si="65"/>
        <v>OK</v>
      </c>
    </row>
    <row r="1390" spans="1:14" x14ac:dyDescent="0.3">
      <c r="A1390">
        <v>72</v>
      </c>
      <c r="B1390">
        <v>2024</v>
      </c>
      <c r="C1390" s="2">
        <v>45569</v>
      </c>
      <c r="D1390" s="3" t="s">
        <v>65</v>
      </c>
      <c r="E1390" s="4" t="s">
        <v>67</v>
      </c>
      <c r="F1390" s="4" t="s">
        <v>45</v>
      </c>
      <c r="G1390" s="5"/>
      <c r="H1390" s="5"/>
      <c r="I1390" s="5"/>
      <c r="J1390" s="5"/>
      <c r="K1390" s="5"/>
      <c r="L1390" t="str">
        <f t="shared" si="63"/>
        <v>OK</v>
      </c>
      <c r="M1390" t="str">
        <f t="shared" si="64"/>
        <v>OK</v>
      </c>
      <c r="N1390" t="str">
        <f t="shared" si="65"/>
        <v>OK</v>
      </c>
    </row>
    <row r="1391" spans="1:14" x14ac:dyDescent="0.3">
      <c r="A1391">
        <v>72</v>
      </c>
      <c r="B1391">
        <v>2024</v>
      </c>
      <c r="C1391" s="2">
        <v>45569</v>
      </c>
      <c r="D1391" s="7" t="s">
        <v>65</v>
      </c>
      <c r="E1391" s="8" t="s">
        <v>68</v>
      </c>
      <c r="F1391" s="8" t="s">
        <v>45</v>
      </c>
      <c r="G1391" s="9"/>
      <c r="H1391" s="9"/>
      <c r="I1391" s="9"/>
      <c r="J1391" s="9"/>
      <c r="K1391" s="9"/>
      <c r="L1391" t="str">
        <f t="shared" si="63"/>
        <v>OK</v>
      </c>
      <c r="M1391" t="str">
        <f t="shared" si="64"/>
        <v>OK</v>
      </c>
      <c r="N1391" t="str">
        <f t="shared" si="65"/>
        <v>OK</v>
      </c>
    </row>
    <row r="1392" spans="1:14" x14ac:dyDescent="0.3">
      <c r="A1392">
        <v>72</v>
      </c>
      <c r="B1392">
        <v>2024</v>
      </c>
      <c r="C1392" s="2">
        <v>45569</v>
      </c>
      <c r="D1392" s="3" t="s">
        <v>65</v>
      </c>
      <c r="E1392" s="4" t="s">
        <v>69</v>
      </c>
      <c r="F1392" s="4" t="s">
        <v>45</v>
      </c>
      <c r="G1392" s="5"/>
      <c r="H1392" s="6">
        <v>60</v>
      </c>
      <c r="I1392" s="6">
        <v>60</v>
      </c>
      <c r="J1392" s="6">
        <v>60</v>
      </c>
      <c r="K1392" s="6">
        <v>60</v>
      </c>
      <c r="L1392" t="str">
        <f t="shared" si="63"/>
        <v>OK</v>
      </c>
      <c r="M1392" t="str">
        <f t="shared" si="64"/>
        <v>OK</v>
      </c>
      <c r="N1392" t="str">
        <f t="shared" si="65"/>
        <v>OK</v>
      </c>
    </row>
    <row r="1393" spans="1:14" x14ac:dyDescent="0.3">
      <c r="A1393">
        <v>72</v>
      </c>
      <c r="B1393">
        <v>2024</v>
      </c>
      <c r="C1393" s="2">
        <v>45569</v>
      </c>
      <c r="D1393" s="7" t="s">
        <v>65</v>
      </c>
      <c r="E1393" s="8" t="s">
        <v>70</v>
      </c>
      <c r="F1393" s="8" t="s">
        <v>71</v>
      </c>
      <c r="G1393" s="9"/>
      <c r="H1393" s="9"/>
      <c r="I1393" s="9"/>
      <c r="J1393" s="9"/>
      <c r="K1393" s="9"/>
      <c r="L1393" t="str">
        <f t="shared" si="63"/>
        <v>OK</v>
      </c>
      <c r="M1393" t="str">
        <f t="shared" si="64"/>
        <v>OK</v>
      </c>
      <c r="N1393" t="str">
        <f t="shared" si="65"/>
        <v>OK</v>
      </c>
    </row>
    <row r="1394" spans="1:14" ht="28.8" x14ac:dyDescent="0.3">
      <c r="A1394">
        <v>73</v>
      </c>
      <c r="B1394">
        <v>2024</v>
      </c>
      <c r="C1394" s="2">
        <v>45576</v>
      </c>
      <c r="D1394" s="3" t="s">
        <v>11</v>
      </c>
      <c r="E1394" s="4" t="s">
        <v>12</v>
      </c>
      <c r="F1394" s="4" t="s">
        <v>13</v>
      </c>
      <c r="G1394" s="6">
        <v>48</v>
      </c>
      <c r="H1394" s="6">
        <v>36</v>
      </c>
      <c r="I1394" s="6">
        <v>60</v>
      </c>
      <c r="J1394" s="6">
        <v>48</v>
      </c>
      <c r="K1394" s="6">
        <v>48</v>
      </c>
      <c r="L1394" t="str">
        <f t="shared" si="63"/>
        <v>OK</v>
      </c>
      <c r="M1394" t="str">
        <f t="shared" si="64"/>
        <v>OK</v>
      </c>
      <c r="N1394" t="str">
        <f t="shared" si="65"/>
        <v>OK</v>
      </c>
    </row>
    <row r="1395" spans="1:14" ht="28.8" x14ac:dyDescent="0.3">
      <c r="A1395">
        <v>73</v>
      </c>
      <c r="B1395">
        <v>2024</v>
      </c>
      <c r="C1395" s="2">
        <v>45576</v>
      </c>
      <c r="D1395" s="7" t="s">
        <v>11</v>
      </c>
      <c r="E1395" s="8" t="s">
        <v>14</v>
      </c>
      <c r="F1395" s="8" t="s">
        <v>13</v>
      </c>
      <c r="G1395" s="10">
        <v>84</v>
      </c>
      <c r="H1395" s="10">
        <v>72</v>
      </c>
      <c r="I1395" s="10">
        <v>84</v>
      </c>
      <c r="J1395" s="10">
        <v>80</v>
      </c>
      <c r="K1395" s="10">
        <v>84</v>
      </c>
      <c r="L1395" t="str">
        <f t="shared" si="63"/>
        <v>OK</v>
      </c>
      <c r="M1395" t="str">
        <f t="shared" si="64"/>
        <v>OK</v>
      </c>
      <c r="N1395" t="str">
        <f t="shared" si="65"/>
        <v>OK</v>
      </c>
    </row>
    <row r="1396" spans="1:14" ht="28.8" x14ac:dyDescent="0.3">
      <c r="A1396">
        <v>73</v>
      </c>
      <c r="B1396">
        <v>2024</v>
      </c>
      <c r="C1396" s="2">
        <v>45576</v>
      </c>
      <c r="D1396" s="3" t="s">
        <v>11</v>
      </c>
      <c r="E1396" s="4" t="s">
        <v>15</v>
      </c>
      <c r="F1396" s="4" t="s">
        <v>13</v>
      </c>
      <c r="G1396" s="6">
        <v>36</v>
      </c>
      <c r="H1396" s="6">
        <v>25</v>
      </c>
      <c r="I1396" s="6">
        <v>42</v>
      </c>
      <c r="J1396" s="6" t="s">
        <v>347</v>
      </c>
      <c r="K1396" s="6">
        <v>36</v>
      </c>
      <c r="L1396" t="str">
        <f t="shared" si="63"/>
        <v>OK</v>
      </c>
      <c r="M1396" t="str">
        <f t="shared" si="64"/>
        <v>OK</v>
      </c>
      <c r="N1396" t="str">
        <f t="shared" si="65"/>
        <v>ERRO</v>
      </c>
    </row>
    <row r="1397" spans="1:14" ht="28.8" x14ac:dyDescent="0.3">
      <c r="A1397">
        <v>73</v>
      </c>
      <c r="B1397">
        <v>2024</v>
      </c>
      <c r="C1397" s="2">
        <v>45576</v>
      </c>
      <c r="D1397" s="7" t="s">
        <v>11</v>
      </c>
      <c r="E1397" s="8" t="s">
        <v>16</v>
      </c>
      <c r="F1397" s="8" t="s">
        <v>13</v>
      </c>
      <c r="G1397" s="10">
        <v>18</v>
      </c>
      <c r="H1397" s="10">
        <v>18</v>
      </c>
      <c r="I1397" s="10">
        <v>24</v>
      </c>
      <c r="J1397" s="10">
        <v>21</v>
      </c>
      <c r="K1397" s="10">
        <v>21</v>
      </c>
      <c r="L1397" t="str">
        <f t="shared" si="63"/>
        <v>OK</v>
      </c>
      <c r="M1397" t="str">
        <f t="shared" si="64"/>
        <v>OK</v>
      </c>
      <c r="N1397" t="str">
        <f t="shared" si="65"/>
        <v>OK</v>
      </c>
    </row>
    <row r="1398" spans="1:14" ht="28.8" x14ac:dyDescent="0.3">
      <c r="A1398">
        <v>73</v>
      </c>
      <c r="B1398">
        <v>2024</v>
      </c>
      <c r="C1398" s="2">
        <v>45576</v>
      </c>
      <c r="D1398" s="3" t="s">
        <v>11</v>
      </c>
      <c r="E1398" s="4" t="s">
        <v>17</v>
      </c>
      <c r="F1398" s="4" t="s">
        <v>13</v>
      </c>
      <c r="G1398" s="6">
        <v>18</v>
      </c>
      <c r="H1398" s="6">
        <v>18</v>
      </c>
      <c r="I1398" s="6">
        <v>24</v>
      </c>
      <c r="J1398" s="6">
        <v>21</v>
      </c>
      <c r="K1398" s="6">
        <v>21</v>
      </c>
      <c r="L1398" t="str">
        <f t="shared" si="63"/>
        <v>OK</v>
      </c>
      <c r="M1398" t="str">
        <f t="shared" si="64"/>
        <v>OK</v>
      </c>
      <c r="N1398" t="str">
        <f t="shared" si="65"/>
        <v>OK</v>
      </c>
    </row>
    <row r="1399" spans="1:14" ht="28.8" x14ac:dyDescent="0.3">
      <c r="A1399">
        <v>73</v>
      </c>
      <c r="B1399">
        <v>2024</v>
      </c>
      <c r="C1399" s="2">
        <v>45576</v>
      </c>
      <c r="D1399" s="7" t="s">
        <v>11</v>
      </c>
      <c r="E1399" s="8" t="s">
        <v>18</v>
      </c>
      <c r="F1399" s="8" t="s">
        <v>13</v>
      </c>
      <c r="G1399" s="10">
        <v>60</v>
      </c>
      <c r="H1399" s="10">
        <v>60</v>
      </c>
      <c r="I1399" s="10">
        <v>60</v>
      </c>
      <c r="J1399" s="10">
        <v>60</v>
      </c>
      <c r="K1399" s="10">
        <v>60</v>
      </c>
      <c r="L1399" t="str">
        <f t="shared" si="63"/>
        <v>OK</v>
      </c>
      <c r="M1399" t="str">
        <f t="shared" si="64"/>
        <v>OK</v>
      </c>
      <c r="N1399" t="str">
        <f t="shared" si="65"/>
        <v>OK</v>
      </c>
    </row>
    <row r="1400" spans="1:14" ht="28.8" x14ac:dyDescent="0.3">
      <c r="A1400">
        <v>73</v>
      </c>
      <c r="B1400">
        <v>2024</v>
      </c>
      <c r="C1400" s="2">
        <v>45576</v>
      </c>
      <c r="D1400" s="3" t="s">
        <v>11</v>
      </c>
      <c r="E1400" s="4" t="s">
        <v>19</v>
      </c>
      <c r="F1400" s="4" t="s">
        <v>13</v>
      </c>
      <c r="G1400" s="5"/>
      <c r="H1400" s="6">
        <v>42</v>
      </c>
      <c r="I1400" s="6">
        <v>72</v>
      </c>
      <c r="J1400" s="6">
        <v>58</v>
      </c>
      <c r="K1400" s="6">
        <v>60</v>
      </c>
      <c r="L1400" t="str">
        <f t="shared" si="63"/>
        <v>OK</v>
      </c>
      <c r="M1400" t="str">
        <f t="shared" si="64"/>
        <v>OK</v>
      </c>
      <c r="N1400" t="str">
        <f t="shared" si="65"/>
        <v>OK</v>
      </c>
    </row>
    <row r="1401" spans="1:14" ht="28.8" x14ac:dyDescent="0.3">
      <c r="A1401">
        <v>73</v>
      </c>
      <c r="B1401">
        <v>2024</v>
      </c>
      <c r="C1401" s="2">
        <v>45576</v>
      </c>
      <c r="D1401" s="7" t="s">
        <v>11</v>
      </c>
      <c r="E1401" s="8" t="s">
        <v>20</v>
      </c>
      <c r="F1401" s="8" t="s">
        <v>13</v>
      </c>
      <c r="G1401" s="10">
        <v>72</v>
      </c>
      <c r="H1401" s="10">
        <v>60</v>
      </c>
      <c r="I1401" s="10">
        <v>72</v>
      </c>
      <c r="J1401" s="10">
        <v>69</v>
      </c>
      <c r="K1401" s="10">
        <v>72</v>
      </c>
      <c r="L1401" t="str">
        <f t="shared" si="63"/>
        <v>OK</v>
      </c>
      <c r="M1401" t="str">
        <f t="shared" si="64"/>
        <v>OK</v>
      </c>
      <c r="N1401" t="str">
        <f t="shared" si="65"/>
        <v>OK</v>
      </c>
    </row>
    <row r="1402" spans="1:14" ht="28.8" x14ac:dyDescent="0.3">
      <c r="A1402">
        <v>73</v>
      </c>
      <c r="B1402">
        <v>2024</v>
      </c>
      <c r="C1402" s="2">
        <v>45576</v>
      </c>
      <c r="D1402" s="3" t="s">
        <v>11</v>
      </c>
      <c r="E1402" s="4" t="s">
        <v>21</v>
      </c>
      <c r="F1402" s="4" t="s">
        <v>13</v>
      </c>
      <c r="G1402" s="6">
        <v>18</v>
      </c>
      <c r="H1402" s="6">
        <v>18</v>
      </c>
      <c r="I1402" s="6">
        <v>24</v>
      </c>
      <c r="J1402" s="6">
        <v>21</v>
      </c>
      <c r="K1402" s="6">
        <v>21</v>
      </c>
      <c r="L1402" t="str">
        <f t="shared" si="63"/>
        <v>OK</v>
      </c>
      <c r="M1402" t="str">
        <f t="shared" si="64"/>
        <v>OK</v>
      </c>
      <c r="N1402" t="str">
        <f t="shared" si="65"/>
        <v>OK</v>
      </c>
    </row>
    <row r="1403" spans="1:14" ht="28.8" x14ac:dyDescent="0.3">
      <c r="A1403">
        <v>73</v>
      </c>
      <c r="B1403">
        <v>2024</v>
      </c>
      <c r="C1403" s="2">
        <v>45576</v>
      </c>
      <c r="D1403" s="7" t="s">
        <v>11</v>
      </c>
      <c r="E1403" s="8" t="s">
        <v>73</v>
      </c>
      <c r="F1403" s="8" t="s">
        <v>13</v>
      </c>
      <c r="G1403" s="9"/>
      <c r="H1403" s="10">
        <v>50</v>
      </c>
      <c r="I1403" s="10">
        <v>78</v>
      </c>
      <c r="J1403" s="10" t="s">
        <v>172</v>
      </c>
      <c r="K1403" s="10">
        <v>60</v>
      </c>
      <c r="L1403" t="str">
        <f t="shared" si="63"/>
        <v>OK</v>
      </c>
      <c r="M1403" t="str">
        <f t="shared" si="64"/>
        <v>OK</v>
      </c>
      <c r="N1403" t="str">
        <f t="shared" si="65"/>
        <v>ERRO</v>
      </c>
    </row>
    <row r="1404" spans="1:14" ht="28.8" x14ac:dyDescent="0.3">
      <c r="A1404">
        <v>73</v>
      </c>
      <c r="B1404">
        <v>2024</v>
      </c>
      <c r="C1404" s="2">
        <v>45576</v>
      </c>
      <c r="D1404" s="3" t="s">
        <v>11</v>
      </c>
      <c r="E1404" s="4" t="s">
        <v>23</v>
      </c>
      <c r="F1404" s="4" t="s">
        <v>13</v>
      </c>
      <c r="G1404" s="6">
        <v>18</v>
      </c>
      <c r="H1404" s="6">
        <v>18</v>
      </c>
      <c r="I1404" s="6">
        <v>24</v>
      </c>
      <c r="J1404" s="6">
        <v>21</v>
      </c>
      <c r="K1404" s="6">
        <v>21</v>
      </c>
      <c r="L1404" t="str">
        <f t="shared" si="63"/>
        <v>OK</v>
      </c>
      <c r="M1404" t="str">
        <f t="shared" si="64"/>
        <v>OK</v>
      </c>
      <c r="N1404" t="str">
        <f t="shared" si="65"/>
        <v>OK</v>
      </c>
    </row>
    <row r="1405" spans="1:14" ht="28.8" x14ac:dyDescent="0.3">
      <c r="A1405">
        <v>73</v>
      </c>
      <c r="B1405">
        <v>2024</v>
      </c>
      <c r="C1405" s="2">
        <v>45576</v>
      </c>
      <c r="D1405" s="7" t="s">
        <v>11</v>
      </c>
      <c r="E1405" s="8" t="s">
        <v>24</v>
      </c>
      <c r="F1405" s="8" t="s">
        <v>13</v>
      </c>
      <c r="G1405" s="10">
        <v>60</v>
      </c>
      <c r="H1405" s="10">
        <v>48</v>
      </c>
      <c r="I1405" s="10">
        <v>60</v>
      </c>
      <c r="J1405" s="10">
        <v>56</v>
      </c>
      <c r="K1405" s="10">
        <v>60</v>
      </c>
      <c r="L1405" t="str">
        <f t="shared" si="63"/>
        <v>OK</v>
      </c>
      <c r="M1405" t="str">
        <f t="shared" si="64"/>
        <v>OK</v>
      </c>
      <c r="N1405" t="str">
        <f t="shared" si="65"/>
        <v>OK</v>
      </c>
    </row>
    <row r="1406" spans="1:14" ht="28.8" x14ac:dyDescent="0.3">
      <c r="A1406">
        <v>73</v>
      </c>
      <c r="B1406">
        <v>2024</v>
      </c>
      <c r="C1406" s="2">
        <v>45576</v>
      </c>
      <c r="D1406" s="3" t="s">
        <v>11</v>
      </c>
      <c r="E1406" s="4" t="s">
        <v>25</v>
      </c>
      <c r="F1406" s="4" t="s">
        <v>26</v>
      </c>
      <c r="G1406" s="6">
        <v>60</v>
      </c>
      <c r="H1406" s="6">
        <v>36</v>
      </c>
      <c r="I1406" s="6">
        <v>60</v>
      </c>
      <c r="J1406" s="6">
        <v>51</v>
      </c>
      <c r="K1406" s="6">
        <v>54</v>
      </c>
      <c r="L1406" t="str">
        <f t="shared" si="63"/>
        <v>OK</v>
      </c>
      <c r="M1406" t="str">
        <f t="shared" si="64"/>
        <v>OK</v>
      </c>
      <c r="N1406" t="str">
        <f t="shared" si="65"/>
        <v>OK</v>
      </c>
    </row>
    <row r="1407" spans="1:14" ht="28.8" x14ac:dyDescent="0.3">
      <c r="A1407">
        <v>73</v>
      </c>
      <c r="B1407">
        <v>2024</v>
      </c>
      <c r="C1407" s="2">
        <v>45576</v>
      </c>
      <c r="D1407" s="7" t="s">
        <v>11</v>
      </c>
      <c r="E1407" s="8" t="s">
        <v>27</v>
      </c>
      <c r="F1407" s="8" t="s">
        <v>13</v>
      </c>
      <c r="G1407" s="9"/>
      <c r="H1407" s="10">
        <v>48</v>
      </c>
      <c r="I1407" s="10">
        <v>72</v>
      </c>
      <c r="J1407" s="10">
        <v>60</v>
      </c>
      <c r="K1407" s="10">
        <v>60</v>
      </c>
      <c r="L1407" t="str">
        <f t="shared" si="63"/>
        <v>OK</v>
      </c>
      <c r="M1407" t="str">
        <f t="shared" si="64"/>
        <v>OK</v>
      </c>
      <c r="N1407" t="str">
        <f t="shared" si="65"/>
        <v>OK</v>
      </c>
    </row>
    <row r="1408" spans="1:14" ht="28.8" x14ac:dyDescent="0.3">
      <c r="A1408">
        <v>73</v>
      </c>
      <c r="B1408">
        <v>2024</v>
      </c>
      <c r="C1408" s="2">
        <v>45576</v>
      </c>
      <c r="D1408" s="3" t="s">
        <v>11</v>
      </c>
      <c r="E1408" s="4" t="s">
        <v>28</v>
      </c>
      <c r="F1408" s="4" t="s">
        <v>13</v>
      </c>
      <c r="G1408" s="6">
        <v>24</v>
      </c>
      <c r="H1408" s="6">
        <v>24</v>
      </c>
      <c r="I1408" s="6">
        <v>36</v>
      </c>
      <c r="J1408" s="6" t="s">
        <v>179</v>
      </c>
      <c r="K1408" s="6">
        <v>27</v>
      </c>
      <c r="L1408" t="str">
        <f t="shared" si="63"/>
        <v>OK</v>
      </c>
      <c r="M1408" t="str">
        <f t="shared" si="64"/>
        <v>OK</v>
      </c>
      <c r="N1408" t="str">
        <f t="shared" si="65"/>
        <v>ERRO</v>
      </c>
    </row>
    <row r="1409" spans="1:14" ht="28.8" x14ac:dyDescent="0.3">
      <c r="A1409">
        <v>73</v>
      </c>
      <c r="B1409">
        <v>2024</v>
      </c>
      <c r="C1409" s="2">
        <v>45576</v>
      </c>
      <c r="D1409" s="7" t="s">
        <v>30</v>
      </c>
      <c r="E1409" s="8" t="s">
        <v>31</v>
      </c>
      <c r="F1409" s="8" t="s">
        <v>32</v>
      </c>
      <c r="G1409" s="10">
        <v>5</v>
      </c>
      <c r="H1409" s="10">
        <v>5</v>
      </c>
      <c r="I1409" s="10">
        <v>5</v>
      </c>
      <c r="J1409" s="10">
        <v>5</v>
      </c>
      <c r="K1409" s="10">
        <v>5</v>
      </c>
      <c r="L1409" t="str">
        <f t="shared" si="63"/>
        <v>OK</v>
      </c>
      <c r="M1409" t="str">
        <f t="shared" si="64"/>
        <v>OK</v>
      </c>
      <c r="N1409" t="str">
        <f t="shared" si="65"/>
        <v>OK</v>
      </c>
    </row>
    <row r="1410" spans="1:14" ht="28.8" x14ac:dyDescent="0.3">
      <c r="A1410">
        <v>73</v>
      </c>
      <c r="B1410">
        <v>2024</v>
      </c>
      <c r="C1410" s="2">
        <v>45576</v>
      </c>
      <c r="D1410" s="3" t="s">
        <v>30</v>
      </c>
      <c r="E1410" s="4" t="s">
        <v>34</v>
      </c>
      <c r="F1410" s="4" t="s">
        <v>35</v>
      </c>
      <c r="G1410" s="6">
        <v>12</v>
      </c>
      <c r="H1410" s="6">
        <v>12</v>
      </c>
      <c r="I1410" s="6">
        <v>15</v>
      </c>
      <c r="J1410" s="6" t="s">
        <v>278</v>
      </c>
      <c r="K1410" s="6" t="s">
        <v>278</v>
      </c>
      <c r="L1410" t="str">
        <f t="shared" si="63"/>
        <v>OK</v>
      </c>
      <c r="M1410" t="str">
        <f t="shared" si="64"/>
        <v>OK</v>
      </c>
      <c r="N1410" t="str">
        <f t="shared" si="65"/>
        <v>ERRO</v>
      </c>
    </row>
    <row r="1411" spans="1:14" ht="28.8" x14ac:dyDescent="0.3">
      <c r="A1411">
        <v>73</v>
      </c>
      <c r="B1411">
        <v>2024</v>
      </c>
      <c r="C1411" s="2">
        <v>45576</v>
      </c>
      <c r="D1411" s="7" t="s">
        <v>30</v>
      </c>
      <c r="E1411" s="8" t="s">
        <v>36</v>
      </c>
      <c r="F1411" s="8" t="s">
        <v>35</v>
      </c>
      <c r="G1411" s="9"/>
      <c r="H1411" s="10">
        <v>35</v>
      </c>
      <c r="I1411" s="10">
        <v>20</v>
      </c>
      <c r="J1411" s="10">
        <v>35</v>
      </c>
      <c r="K1411" s="10" t="s">
        <v>348</v>
      </c>
      <c r="L1411" t="str">
        <f t="shared" ref="L1411:L1474" si="66">IF(H1411&gt;I1411,"ERRO","OK")</f>
        <v>ERRO</v>
      </c>
      <c r="M1411" t="str">
        <f t="shared" ref="M1411:M1474" si="67">IF(H1411&gt;J1411,"ERRO","OK")</f>
        <v>OK</v>
      </c>
      <c r="N1411" t="str">
        <f t="shared" ref="N1411:N1474" si="68">IF(I1411&lt;J1411,"ERRO","OK")</f>
        <v>ERRO</v>
      </c>
    </row>
    <row r="1412" spans="1:14" ht="43.2" x14ac:dyDescent="0.3">
      <c r="A1412">
        <v>73</v>
      </c>
      <c r="B1412">
        <v>2024</v>
      </c>
      <c r="C1412" s="2">
        <v>45576</v>
      </c>
      <c r="D1412" s="3" t="s">
        <v>38</v>
      </c>
      <c r="E1412" s="4" t="s">
        <v>153</v>
      </c>
      <c r="F1412" s="4" t="s">
        <v>154</v>
      </c>
      <c r="G1412" s="5"/>
      <c r="H1412" s="6">
        <v>80</v>
      </c>
      <c r="I1412" s="6">
        <v>80</v>
      </c>
      <c r="J1412" s="6">
        <v>80</v>
      </c>
      <c r="K1412" s="6">
        <v>80</v>
      </c>
      <c r="L1412" t="str">
        <f t="shared" si="66"/>
        <v>OK</v>
      </c>
      <c r="M1412" t="str">
        <f t="shared" si="67"/>
        <v>OK</v>
      </c>
      <c r="N1412" t="str">
        <f t="shared" si="68"/>
        <v>OK</v>
      </c>
    </row>
    <row r="1413" spans="1:14" ht="43.2" x14ac:dyDescent="0.3">
      <c r="A1413">
        <v>73</v>
      </c>
      <c r="B1413">
        <v>2024</v>
      </c>
      <c r="C1413" s="2">
        <v>45576</v>
      </c>
      <c r="D1413" s="7" t="s">
        <v>38</v>
      </c>
      <c r="E1413" s="8" t="s">
        <v>39</v>
      </c>
      <c r="F1413" s="8" t="s">
        <v>40</v>
      </c>
      <c r="G1413" s="10">
        <v>40</v>
      </c>
      <c r="H1413" s="10">
        <v>30</v>
      </c>
      <c r="I1413" s="10">
        <v>40</v>
      </c>
      <c r="J1413" s="10">
        <v>35</v>
      </c>
      <c r="K1413" s="10">
        <v>35</v>
      </c>
      <c r="L1413" t="str">
        <f t="shared" si="66"/>
        <v>OK</v>
      </c>
      <c r="M1413" t="str">
        <f t="shared" si="67"/>
        <v>OK</v>
      </c>
      <c r="N1413" t="str">
        <f t="shared" si="68"/>
        <v>OK</v>
      </c>
    </row>
    <row r="1414" spans="1:14" ht="43.2" x14ac:dyDescent="0.3">
      <c r="A1414">
        <v>73</v>
      </c>
      <c r="B1414">
        <v>2024</v>
      </c>
      <c r="C1414" s="2">
        <v>45576</v>
      </c>
      <c r="D1414" s="3" t="s">
        <v>38</v>
      </c>
      <c r="E1414" s="4" t="s">
        <v>42</v>
      </c>
      <c r="F1414" s="4" t="s">
        <v>43</v>
      </c>
      <c r="G1414" s="6">
        <v>45</v>
      </c>
      <c r="H1414" s="6">
        <v>45</v>
      </c>
      <c r="I1414" s="6">
        <v>70</v>
      </c>
      <c r="J1414" s="6" t="s">
        <v>235</v>
      </c>
      <c r="K1414" s="6">
        <v>55</v>
      </c>
      <c r="L1414" t="str">
        <f t="shared" si="66"/>
        <v>OK</v>
      </c>
      <c r="M1414" t="str">
        <f t="shared" si="67"/>
        <v>OK</v>
      </c>
      <c r="N1414" t="str">
        <f t="shared" si="68"/>
        <v>ERRO</v>
      </c>
    </row>
    <row r="1415" spans="1:14" ht="43.2" x14ac:dyDescent="0.3">
      <c r="A1415">
        <v>73</v>
      </c>
      <c r="B1415">
        <v>2024</v>
      </c>
      <c r="C1415" s="2">
        <v>45576</v>
      </c>
      <c r="D1415" s="7" t="s">
        <v>38</v>
      </c>
      <c r="E1415" s="8" t="s">
        <v>44</v>
      </c>
      <c r="F1415" s="8" t="s">
        <v>45</v>
      </c>
      <c r="G1415" s="9"/>
      <c r="H1415" s="10">
        <v>50</v>
      </c>
      <c r="I1415" s="10">
        <v>70</v>
      </c>
      <c r="J1415" s="10">
        <v>60</v>
      </c>
      <c r="K1415" s="10">
        <v>60</v>
      </c>
      <c r="L1415" t="str">
        <f t="shared" si="66"/>
        <v>OK</v>
      </c>
      <c r="M1415" t="str">
        <f t="shared" si="67"/>
        <v>OK</v>
      </c>
      <c r="N1415" t="str">
        <f t="shared" si="68"/>
        <v>OK</v>
      </c>
    </row>
    <row r="1416" spans="1:14" ht="43.2" x14ac:dyDescent="0.3">
      <c r="A1416">
        <v>73</v>
      </c>
      <c r="B1416">
        <v>2024</v>
      </c>
      <c r="C1416" s="2">
        <v>45576</v>
      </c>
      <c r="D1416" s="3" t="s">
        <v>38</v>
      </c>
      <c r="E1416" s="4" t="s">
        <v>48</v>
      </c>
      <c r="F1416" s="4" t="s">
        <v>45</v>
      </c>
      <c r="G1416" s="5"/>
      <c r="H1416" s="6">
        <v>45</v>
      </c>
      <c r="I1416" s="6">
        <v>110</v>
      </c>
      <c r="J1416" s="6" t="s">
        <v>349</v>
      </c>
      <c r="K1416" s="6">
        <v>90</v>
      </c>
      <c r="L1416" t="str">
        <f t="shared" si="66"/>
        <v>OK</v>
      </c>
      <c r="M1416" t="str">
        <f t="shared" si="67"/>
        <v>OK</v>
      </c>
      <c r="N1416" t="str">
        <f t="shared" si="68"/>
        <v>ERRO</v>
      </c>
    </row>
    <row r="1417" spans="1:14" ht="43.2" x14ac:dyDescent="0.3">
      <c r="A1417">
        <v>73</v>
      </c>
      <c r="B1417">
        <v>2024</v>
      </c>
      <c r="C1417" s="2">
        <v>45576</v>
      </c>
      <c r="D1417" s="7" t="s">
        <v>38</v>
      </c>
      <c r="E1417" s="8" t="s">
        <v>52</v>
      </c>
      <c r="F1417" s="8" t="s">
        <v>43</v>
      </c>
      <c r="G1417" s="10">
        <v>55</v>
      </c>
      <c r="H1417" s="10">
        <v>40</v>
      </c>
      <c r="I1417" s="10">
        <v>55</v>
      </c>
      <c r="J1417" s="10" t="s">
        <v>137</v>
      </c>
      <c r="K1417" s="10">
        <v>50</v>
      </c>
      <c r="L1417" t="str">
        <f t="shared" si="66"/>
        <v>OK</v>
      </c>
      <c r="M1417" t="str">
        <f t="shared" si="67"/>
        <v>OK</v>
      </c>
      <c r="N1417" t="str">
        <f t="shared" si="68"/>
        <v>ERRO</v>
      </c>
    </row>
    <row r="1418" spans="1:14" ht="43.2" x14ac:dyDescent="0.3">
      <c r="A1418">
        <v>73</v>
      </c>
      <c r="B1418">
        <v>2024</v>
      </c>
      <c r="C1418" s="2">
        <v>45576</v>
      </c>
      <c r="D1418" s="3" t="s">
        <v>38</v>
      </c>
      <c r="E1418" s="4" t="s">
        <v>53</v>
      </c>
      <c r="F1418" s="4" t="s">
        <v>43</v>
      </c>
      <c r="G1418" s="5"/>
      <c r="H1418" s="6">
        <v>55</v>
      </c>
      <c r="I1418" s="6">
        <v>85</v>
      </c>
      <c r="J1418" s="6" t="s">
        <v>94</v>
      </c>
      <c r="K1418" s="6" t="s">
        <v>84</v>
      </c>
      <c r="L1418" t="str">
        <f t="shared" si="66"/>
        <v>OK</v>
      </c>
      <c r="M1418" t="str">
        <f t="shared" si="67"/>
        <v>OK</v>
      </c>
      <c r="N1418" t="str">
        <f t="shared" si="68"/>
        <v>ERRO</v>
      </c>
    </row>
    <row r="1419" spans="1:14" ht="43.2" x14ac:dyDescent="0.3">
      <c r="A1419">
        <v>73</v>
      </c>
      <c r="B1419">
        <v>2024</v>
      </c>
      <c r="C1419" s="2">
        <v>45576</v>
      </c>
      <c r="D1419" s="7" t="s">
        <v>38</v>
      </c>
      <c r="E1419" s="8" t="s">
        <v>54</v>
      </c>
      <c r="F1419" s="8" t="s">
        <v>40</v>
      </c>
      <c r="G1419" s="9"/>
      <c r="H1419" s="10">
        <v>90</v>
      </c>
      <c r="I1419" s="10">
        <v>100</v>
      </c>
      <c r="J1419" s="10">
        <v>95</v>
      </c>
      <c r="K1419" s="10">
        <v>95</v>
      </c>
      <c r="L1419" t="str">
        <f t="shared" si="66"/>
        <v>OK</v>
      </c>
      <c r="M1419" t="str">
        <f t="shared" si="67"/>
        <v>OK</v>
      </c>
      <c r="N1419" t="str">
        <f t="shared" si="68"/>
        <v>OK</v>
      </c>
    </row>
    <row r="1420" spans="1:14" ht="43.2" x14ac:dyDescent="0.3">
      <c r="A1420">
        <v>73</v>
      </c>
      <c r="B1420">
        <v>2024</v>
      </c>
      <c r="C1420" s="2">
        <v>45576</v>
      </c>
      <c r="D1420" s="3" t="s">
        <v>38</v>
      </c>
      <c r="E1420" s="4" t="s">
        <v>56</v>
      </c>
      <c r="F1420" s="4" t="s">
        <v>43</v>
      </c>
      <c r="G1420" s="5"/>
      <c r="H1420" s="6">
        <v>70</v>
      </c>
      <c r="I1420" s="6">
        <v>70</v>
      </c>
      <c r="J1420" s="6">
        <v>70</v>
      </c>
      <c r="K1420" s="6">
        <v>70</v>
      </c>
      <c r="L1420" t="str">
        <f t="shared" si="66"/>
        <v>OK</v>
      </c>
      <c r="M1420" t="str">
        <f t="shared" si="67"/>
        <v>OK</v>
      </c>
      <c r="N1420" t="str">
        <f t="shared" si="68"/>
        <v>OK</v>
      </c>
    </row>
    <row r="1421" spans="1:14" ht="43.2" x14ac:dyDescent="0.3">
      <c r="A1421">
        <v>73</v>
      </c>
      <c r="B1421">
        <v>2024</v>
      </c>
      <c r="C1421" s="2">
        <v>45576</v>
      </c>
      <c r="D1421" s="7" t="s">
        <v>38</v>
      </c>
      <c r="E1421" s="8" t="s">
        <v>57</v>
      </c>
      <c r="F1421" s="8" t="s">
        <v>40</v>
      </c>
      <c r="G1421" s="9"/>
      <c r="H1421" s="10">
        <v>70</v>
      </c>
      <c r="I1421" s="10">
        <v>80</v>
      </c>
      <c r="J1421" s="10">
        <v>75</v>
      </c>
      <c r="K1421" s="10">
        <v>75</v>
      </c>
      <c r="L1421" t="str">
        <f t="shared" si="66"/>
        <v>OK</v>
      </c>
      <c r="M1421" t="str">
        <f t="shared" si="67"/>
        <v>OK</v>
      </c>
      <c r="N1421" t="str">
        <f t="shared" si="68"/>
        <v>OK</v>
      </c>
    </row>
    <row r="1422" spans="1:14" ht="43.2" x14ac:dyDescent="0.3">
      <c r="A1422">
        <v>73</v>
      </c>
      <c r="B1422">
        <v>2024</v>
      </c>
      <c r="C1422" s="2">
        <v>45576</v>
      </c>
      <c r="D1422" s="3" t="s">
        <v>38</v>
      </c>
      <c r="E1422" s="4" t="s">
        <v>58</v>
      </c>
      <c r="F1422" s="4" t="s">
        <v>40</v>
      </c>
      <c r="G1422" s="6">
        <v>100</v>
      </c>
      <c r="H1422" s="6">
        <v>75</v>
      </c>
      <c r="I1422" s="6">
        <v>100</v>
      </c>
      <c r="J1422" s="6" t="s">
        <v>350</v>
      </c>
      <c r="K1422" s="6">
        <v>90</v>
      </c>
      <c r="L1422" t="str">
        <f t="shared" si="66"/>
        <v>OK</v>
      </c>
      <c r="M1422" t="str">
        <f t="shared" si="67"/>
        <v>OK</v>
      </c>
      <c r="N1422" t="str">
        <f t="shared" si="68"/>
        <v>ERRO</v>
      </c>
    </row>
    <row r="1423" spans="1:14" ht="43.2" x14ac:dyDescent="0.3">
      <c r="A1423">
        <v>73</v>
      </c>
      <c r="B1423">
        <v>2024</v>
      </c>
      <c r="C1423" s="2">
        <v>45576</v>
      </c>
      <c r="D1423" s="7" t="s">
        <v>38</v>
      </c>
      <c r="E1423" s="8" t="s">
        <v>59</v>
      </c>
      <c r="F1423" s="8" t="s">
        <v>45</v>
      </c>
      <c r="G1423" s="10">
        <v>45</v>
      </c>
      <c r="H1423" s="10">
        <v>45</v>
      </c>
      <c r="I1423" s="10">
        <v>85</v>
      </c>
      <c r="J1423" s="10" t="s">
        <v>41</v>
      </c>
      <c r="K1423" s="10">
        <v>50</v>
      </c>
      <c r="L1423" t="str">
        <f t="shared" si="66"/>
        <v>OK</v>
      </c>
      <c r="M1423" t="str">
        <f t="shared" si="67"/>
        <v>OK</v>
      </c>
      <c r="N1423" t="str">
        <f t="shared" si="68"/>
        <v>ERRO</v>
      </c>
    </row>
    <row r="1424" spans="1:14" ht="43.2" x14ac:dyDescent="0.3">
      <c r="A1424">
        <v>73</v>
      </c>
      <c r="B1424">
        <v>2024</v>
      </c>
      <c r="C1424" s="2">
        <v>45576</v>
      </c>
      <c r="D1424" s="3" t="s">
        <v>38</v>
      </c>
      <c r="E1424" s="4" t="s">
        <v>60</v>
      </c>
      <c r="F1424" s="4" t="s">
        <v>61</v>
      </c>
      <c r="G1424" s="6">
        <v>160</v>
      </c>
      <c r="H1424" s="6">
        <v>150</v>
      </c>
      <c r="I1424" s="6">
        <v>180</v>
      </c>
      <c r="J1424" s="6" t="s">
        <v>351</v>
      </c>
      <c r="K1424" s="6">
        <v>160</v>
      </c>
      <c r="L1424" t="str">
        <f t="shared" si="66"/>
        <v>OK</v>
      </c>
      <c r="M1424" t="str">
        <f t="shared" si="67"/>
        <v>OK</v>
      </c>
      <c r="N1424" t="str">
        <f t="shared" si="68"/>
        <v>ERRO</v>
      </c>
    </row>
    <row r="1425" spans="1:14" ht="43.2" x14ac:dyDescent="0.3">
      <c r="A1425">
        <v>73</v>
      </c>
      <c r="B1425">
        <v>2024</v>
      </c>
      <c r="C1425" s="2">
        <v>45576</v>
      </c>
      <c r="D1425" s="7" t="s">
        <v>38</v>
      </c>
      <c r="E1425" s="8" t="s">
        <v>63</v>
      </c>
      <c r="F1425" s="8" t="s">
        <v>40</v>
      </c>
      <c r="G1425" s="9"/>
      <c r="H1425" s="10">
        <v>50</v>
      </c>
      <c r="I1425" s="10">
        <v>80</v>
      </c>
      <c r="J1425" s="10">
        <v>65</v>
      </c>
      <c r="K1425" s="10">
        <v>65</v>
      </c>
      <c r="L1425" t="str">
        <f t="shared" si="66"/>
        <v>OK</v>
      </c>
      <c r="M1425" t="str">
        <f t="shared" si="67"/>
        <v>OK</v>
      </c>
      <c r="N1425" t="str">
        <f t="shared" si="68"/>
        <v>OK</v>
      </c>
    </row>
    <row r="1426" spans="1:14" ht="43.2" x14ac:dyDescent="0.3">
      <c r="A1426">
        <v>73</v>
      </c>
      <c r="B1426">
        <v>2024</v>
      </c>
      <c r="C1426" s="2">
        <v>45576</v>
      </c>
      <c r="D1426" s="3" t="s">
        <v>38</v>
      </c>
      <c r="E1426" s="4" t="s">
        <v>64</v>
      </c>
      <c r="F1426" s="4" t="s">
        <v>40</v>
      </c>
      <c r="G1426" s="5"/>
      <c r="H1426" s="5"/>
      <c r="I1426" s="6">
        <v>90</v>
      </c>
      <c r="J1426" s="6">
        <v>120</v>
      </c>
      <c r="K1426" s="6" t="s">
        <v>114</v>
      </c>
      <c r="L1426" t="str">
        <f t="shared" si="66"/>
        <v>OK</v>
      </c>
      <c r="M1426" t="str">
        <f t="shared" si="67"/>
        <v>OK</v>
      </c>
      <c r="N1426" t="str">
        <f t="shared" si="68"/>
        <v>ERRO</v>
      </c>
    </row>
    <row r="1427" spans="1:14" x14ac:dyDescent="0.3">
      <c r="A1427">
        <v>73</v>
      </c>
      <c r="B1427">
        <v>2024</v>
      </c>
      <c r="C1427" s="2">
        <v>45576</v>
      </c>
      <c r="D1427" s="7" t="s">
        <v>65</v>
      </c>
      <c r="E1427" s="8" t="s">
        <v>66</v>
      </c>
      <c r="F1427" s="8" t="s">
        <v>45</v>
      </c>
      <c r="G1427" s="9"/>
      <c r="H1427" s="9"/>
      <c r="I1427" s="9"/>
      <c r="J1427" s="9"/>
      <c r="K1427" s="9"/>
      <c r="L1427" t="str">
        <f t="shared" si="66"/>
        <v>OK</v>
      </c>
      <c r="M1427" t="str">
        <f t="shared" si="67"/>
        <v>OK</v>
      </c>
      <c r="N1427" t="str">
        <f t="shared" si="68"/>
        <v>OK</v>
      </c>
    </row>
    <row r="1428" spans="1:14" x14ac:dyDescent="0.3">
      <c r="A1428">
        <v>73</v>
      </c>
      <c r="B1428">
        <v>2024</v>
      </c>
      <c r="C1428" s="2">
        <v>45576</v>
      </c>
      <c r="D1428" s="3" t="s">
        <v>65</v>
      </c>
      <c r="E1428" s="4" t="s">
        <v>67</v>
      </c>
      <c r="F1428" s="4" t="s">
        <v>45</v>
      </c>
      <c r="G1428" s="5"/>
      <c r="H1428" s="5"/>
      <c r="I1428" s="5"/>
      <c r="J1428" s="5"/>
      <c r="K1428" s="5"/>
      <c r="L1428" t="str">
        <f t="shared" si="66"/>
        <v>OK</v>
      </c>
      <c r="M1428" t="str">
        <f t="shared" si="67"/>
        <v>OK</v>
      </c>
      <c r="N1428" t="str">
        <f t="shared" si="68"/>
        <v>OK</v>
      </c>
    </row>
    <row r="1429" spans="1:14" x14ac:dyDescent="0.3">
      <c r="A1429">
        <v>73</v>
      </c>
      <c r="B1429">
        <v>2024</v>
      </c>
      <c r="C1429" s="2">
        <v>45576</v>
      </c>
      <c r="D1429" s="7" t="s">
        <v>65</v>
      </c>
      <c r="E1429" s="8" t="s">
        <v>68</v>
      </c>
      <c r="F1429" s="8" t="s">
        <v>45</v>
      </c>
      <c r="G1429" s="9"/>
      <c r="H1429" s="9"/>
      <c r="I1429" s="9"/>
      <c r="J1429" s="9"/>
      <c r="K1429" s="9"/>
      <c r="L1429" t="str">
        <f t="shared" si="66"/>
        <v>OK</v>
      </c>
      <c r="M1429" t="str">
        <f t="shared" si="67"/>
        <v>OK</v>
      </c>
      <c r="N1429" t="str">
        <f t="shared" si="68"/>
        <v>OK</v>
      </c>
    </row>
    <row r="1430" spans="1:14" x14ac:dyDescent="0.3">
      <c r="A1430">
        <v>73</v>
      </c>
      <c r="B1430">
        <v>2024</v>
      </c>
      <c r="C1430" s="2">
        <v>45576</v>
      </c>
      <c r="D1430" s="3" t="s">
        <v>65</v>
      </c>
      <c r="E1430" s="4" t="s">
        <v>69</v>
      </c>
      <c r="F1430" s="4" t="s">
        <v>45</v>
      </c>
      <c r="G1430" s="5"/>
      <c r="H1430" s="6">
        <v>70</v>
      </c>
      <c r="I1430" s="6">
        <v>70</v>
      </c>
      <c r="J1430" s="6">
        <v>70</v>
      </c>
      <c r="K1430" s="6">
        <v>70</v>
      </c>
      <c r="L1430" t="str">
        <f t="shared" si="66"/>
        <v>OK</v>
      </c>
      <c r="M1430" t="str">
        <f t="shared" si="67"/>
        <v>OK</v>
      </c>
      <c r="N1430" t="str">
        <f t="shared" si="68"/>
        <v>OK</v>
      </c>
    </row>
    <row r="1431" spans="1:14" x14ac:dyDescent="0.3">
      <c r="A1431">
        <v>73</v>
      </c>
      <c r="B1431">
        <v>2024</v>
      </c>
      <c r="C1431" s="2">
        <v>45576</v>
      </c>
      <c r="D1431" s="3" t="s">
        <v>65</v>
      </c>
      <c r="E1431" s="17" t="s">
        <v>70</v>
      </c>
      <c r="F1431" s="17" t="s">
        <v>71</v>
      </c>
      <c r="G1431" s="18"/>
      <c r="H1431" s="19"/>
      <c r="I1431" s="19"/>
      <c r="J1431" s="19"/>
      <c r="K1431" s="19"/>
      <c r="L1431" t="str">
        <f t="shared" si="66"/>
        <v>OK</v>
      </c>
      <c r="M1431" t="str">
        <f t="shared" si="67"/>
        <v>OK</v>
      </c>
      <c r="N1431" t="str">
        <f t="shared" si="68"/>
        <v>OK</v>
      </c>
    </row>
    <row r="1432" spans="1:14" x14ac:dyDescent="0.3">
      <c r="A1432">
        <v>74</v>
      </c>
      <c r="B1432">
        <v>2024</v>
      </c>
      <c r="C1432" s="2"/>
      <c r="D1432" s="16"/>
      <c r="E1432" s="11" t="s">
        <v>12</v>
      </c>
      <c r="F1432" s="12" t="s">
        <v>13</v>
      </c>
      <c r="G1432" s="13">
        <v>48</v>
      </c>
      <c r="H1432" s="13">
        <v>36</v>
      </c>
      <c r="I1432" s="13">
        <v>60</v>
      </c>
      <c r="J1432" s="13">
        <v>48</v>
      </c>
      <c r="K1432" s="13">
        <v>48</v>
      </c>
      <c r="L1432" t="str">
        <f t="shared" si="66"/>
        <v>OK</v>
      </c>
      <c r="M1432" t="str">
        <f t="shared" si="67"/>
        <v>OK</v>
      </c>
      <c r="N1432" t="str">
        <f t="shared" si="68"/>
        <v>OK</v>
      </c>
    </row>
    <row r="1433" spans="1:14" x14ac:dyDescent="0.3">
      <c r="A1433">
        <v>74</v>
      </c>
      <c r="B1433">
        <v>2024</v>
      </c>
      <c r="C1433" s="2"/>
      <c r="D1433" s="16"/>
      <c r="E1433" s="11" t="s">
        <v>14</v>
      </c>
      <c r="F1433" s="12" t="s">
        <v>13</v>
      </c>
      <c r="G1433" s="13">
        <v>84</v>
      </c>
      <c r="H1433" s="13">
        <v>72</v>
      </c>
      <c r="I1433" s="13">
        <v>84</v>
      </c>
      <c r="J1433" s="13">
        <v>80</v>
      </c>
      <c r="K1433" s="13">
        <v>84</v>
      </c>
      <c r="L1433" t="str">
        <f t="shared" si="66"/>
        <v>OK</v>
      </c>
      <c r="M1433" t="str">
        <f t="shared" si="67"/>
        <v>OK</v>
      </c>
      <c r="N1433" t="str">
        <f t="shared" si="68"/>
        <v>OK</v>
      </c>
    </row>
    <row r="1434" spans="1:14" x14ac:dyDescent="0.3">
      <c r="A1434">
        <v>74</v>
      </c>
      <c r="B1434">
        <v>2024</v>
      </c>
      <c r="C1434" s="2"/>
      <c r="D1434" s="16"/>
      <c r="E1434" s="11" t="s">
        <v>15</v>
      </c>
      <c r="F1434" s="12" t="s">
        <v>13</v>
      </c>
      <c r="G1434" s="13">
        <v>36</v>
      </c>
      <c r="H1434" s="13">
        <v>25</v>
      </c>
      <c r="I1434" s="13">
        <v>42</v>
      </c>
      <c r="J1434" s="13" t="s">
        <v>347</v>
      </c>
      <c r="K1434" s="13">
        <v>36</v>
      </c>
      <c r="L1434" t="str">
        <f t="shared" si="66"/>
        <v>OK</v>
      </c>
      <c r="M1434" t="str">
        <f t="shared" si="67"/>
        <v>OK</v>
      </c>
      <c r="N1434" t="str">
        <f t="shared" si="68"/>
        <v>ERRO</v>
      </c>
    </row>
    <row r="1435" spans="1:14" x14ac:dyDescent="0.3">
      <c r="A1435">
        <v>74</v>
      </c>
      <c r="B1435">
        <v>2024</v>
      </c>
      <c r="C1435" s="2"/>
      <c r="D1435" s="16"/>
      <c r="E1435" s="11" t="s">
        <v>16</v>
      </c>
      <c r="F1435" s="12" t="s">
        <v>13</v>
      </c>
      <c r="G1435" s="13">
        <v>18</v>
      </c>
      <c r="H1435" s="13">
        <v>18</v>
      </c>
      <c r="I1435" s="13">
        <v>24</v>
      </c>
      <c r="J1435" s="13">
        <v>21</v>
      </c>
      <c r="K1435" s="13">
        <v>21</v>
      </c>
      <c r="L1435" t="str">
        <f t="shared" si="66"/>
        <v>OK</v>
      </c>
      <c r="M1435" t="str">
        <f t="shared" si="67"/>
        <v>OK</v>
      </c>
      <c r="N1435" t="str">
        <f t="shared" si="68"/>
        <v>OK</v>
      </c>
    </row>
    <row r="1436" spans="1:14" x14ac:dyDescent="0.3">
      <c r="A1436">
        <v>74</v>
      </c>
      <c r="B1436">
        <v>2024</v>
      </c>
      <c r="C1436" s="2"/>
      <c r="D1436" s="16"/>
      <c r="E1436" s="11" t="s">
        <v>17</v>
      </c>
      <c r="F1436" s="12" t="s">
        <v>13</v>
      </c>
      <c r="G1436" s="13">
        <v>18</v>
      </c>
      <c r="H1436" s="13">
        <v>18</v>
      </c>
      <c r="I1436" s="13">
        <v>24</v>
      </c>
      <c r="J1436" s="13">
        <v>21</v>
      </c>
      <c r="K1436" s="13">
        <v>21</v>
      </c>
      <c r="L1436" t="str">
        <f t="shared" si="66"/>
        <v>OK</v>
      </c>
      <c r="M1436" t="str">
        <f t="shared" si="67"/>
        <v>OK</v>
      </c>
      <c r="N1436" t="str">
        <f t="shared" si="68"/>
        <v>OK</v>
      </c>
    </row>
    <row r="1437" spans="1:14" x14ac:dyDescent="0.3">
      <c r="A1437">
        <v>74</v>
      </c>
      <c r="B1437">
        <v>2024</v>
      </c>
      <c r="C1437" s="2"/>
      <c r="D1437" s="16"/>
      <c r="E1437" s="11" t="s">
        <v>18</v>
      </c>
      <c r="F1437" s="12" t="s">
        <v>13</v>
      </c>
      <c r="G1437" s="13">
        <v>60</v>
      </c>
      <c r="H1437" s="13">
        <v>60</v>
      </c>
      <c r="I1437" s="13">
        <v>60</v>
      </c>
      <c r="J1437" s="13">
        <v>60</v>
      </c>
      <c r="K1437" s="13">
        <v>60</v>
      </c>
      <c r="L1437" t="str">
        <f t="shared" si="66"/>
        <v>OK</v>
      </c>
      <c r="M1437" t="str">
        <f t="shared" si="67"/>
        <v>OK</v>
      </c>
      <c r="N1437" t="str">
        <f t="shared" si="68"/>
        <v>OK</v>
      </c>
    </row>
    <row r="1438" spans="1:14" ht="28.8" x14ac:dyDescent="0.3">
      <c r="A1438">
        <v>74</v>
      </c>
      <c r="B1438">
        <v>2024</v>
      </c>
      <c r="C1438" s="2"/>
      <c r="D1438" s="16"/>
      <c r="E1438" s="11" t="s">
        <v>19</v>
      </c>
      <c r="F1438" s="12" t="s">
        <v>13</v>
      </c>
      <c r="G1438" s="12"/>
      <c r="H1438" s="13">
        <v>42</v>
      </c>
      <c r="I1438" s="13">
        <v>72</v>
      </c>
      <c r="J1438" s="13">
        <v>58</v>
      </c>
      <c r="K1438" s="13">
        <v>60</v>
      </c>
      <c r="L1438" t="str">
        <f t="shared" si="66"/>
        <v>OK</v>
      </c>
      <c r="M1438" t="str">
        <f t="shared" si="67"/>
        <v>OK</v>
      </c>
      <c r="N1438" t="str">
        <f t="shared" si="68"/>
        <v>OK</v>
      </c>
    </row>
    <row r="1439" spans="1:14" x14ac:dyDescent="0.3">
      <c r="A1439">
        <v>74</v>
      </c>
      <c r="B1439">
        <v>2024</v>
      </c>
      <c r="C1439" s="2"/>
      <c r="D1439" s="16"/>
      <c r="E1439" s="11" t="s">
        <v>20</v>
      </c>
      <c r="F1439" s="12" t="s">
        <v>13</v>
      </c>
      <c r="G1439" s="13">
        <v>72</v>
      </c>
      <c r="H1439" s="13">
        <v>60</v>
      </c>
      <c r="I1439" s="13">
        <v>72</v>
      </c>
      <c r="J1439" s="13">
        <v>69</v>
      </c>
      <c r="K1439" s="13">
        <v>72</v>
      </c>
      <c r="L1439" t="str">
        <f t="shared" si="66"/>
        <v>OK</v>
      </c>
      <c r="M1439" t="str">
        <f t="shared" si="67"/>
        <v>OK</v>
      </c>
      <c r="N1439" t="str">
        <f t="shared" si="68"/>
        <v>OK</v>
      </c>
    </row>
    <row r="1440" spans="1:14" x14ac:dyDescent="0.3">
      <c r="A1440">
        <v>74</v>
      </c>
      <c r="B1440">
        <v>2024</v>
      </c>
      <c r="C1440" s="2"/>
      <c r="D1440" s="16"/>
      <c r="E1440" s="11" t="s">
        <v>443</v>
      </c>
      <c r="F1440" s="12" t="s">
        <v>13</v>
      </c>
      <c r="G1440" s="13">
        <v>18</v>
      </c>
      <c r="H1440" s="13">
        <v>18</v>
      </c>
      <c r="I1440" s="13">
        <v>24</v>
      </c>
      <c r="J1440" s="13">
        <v>21</v>
      </c>
      <c r="K1440" s="13">
        <v>21</v>
      </c>
      <c r="L1440" t="str">
        <f t="shared" si="66"/>
        <v>OK</v>
      </c>
      <c r="M1440" t="str">
        <f t="shared" si="67"/>
        <v>OK</v>
      </c>
      <c r="N1440" t="str">
        <f t="shared" si="68"/>
        <v>OK</v>
      </c>
    </row>
    <row r="1441" spans="1:14" x14ac:dyDescent="0.3">
      <c r="A1441">
        <v>74</v>
      </c>
      <c r="B1441">
        <v>2024</v>
      </c>
      <c r="C1441" s="2"/>
      <c r="D1441" s="16"/>
      <c r="E1441" s="11" t="s">
        <v>444</v>
      </c>
      <c r="F1441" s="12" t="s">
        <v>13</v>
      </c>
      <c r="G1441" s="12"/>
      <c r="H1441" s="13">
        <v>50</v>
      </c>
      <c r="I1441" s="13">
        <v>78</v>
      </c>
      <c r="J1441" s="13" t="s">
        <v>172</v>
      </c>
      <c r="K1441" s="13">
        <v>60</v>
      </c>
      <c r="L1441" t="str">
        <f t="shared" si="66"/>
        <v>OK</v>
      </c>
      <c r="M1441" t="str">
        <f t="shared" si="67"/>
        <v>OK</v>
      </c>
      <c r="N1441" t="str">
        <f t="shared" si="68"/>
        <v>ERRO</v>
      </c>
    </row>
    <row r="1442" spans="1:14" x14ac:dyDescent="0.3">
      <c r="A1442">
        <v>74</v>
      </c>
      <c r="B1442">
        <v>2024</v>
      </c>
      <c r="C1442" s="2"/>
      <c r="D1442" s="16"/>
      <c r="E1442" s="11" t="s">
        <v>23</v>
      </c>
      <c r="F1442" s="12" t="s">
        <v>13</v>
      </c>
      <c r="G1442" s="13">
        <v>18</v>
      </c>
      <c r="H1442" s="13">
        <v>18</v>
      </c>
      <c r="I1442" s="13">
        <v>24</v>
      </c>
      <c r="J1442" s="13">
        <v>21</v>
      </c>
      <c r="K1442" s="13">
        <v>21</v>
      </c>
      <c r="L1442" t="str">
        <f t="shared" si="66"/>
        <v>OK</v>
      </c>
      <c r="M1442" t="str">
        <f t="shared" si="67"/>
        <v>OK</v>
      </c>
      <c r="N1442" t="str">
        <f t="shared" si="68"/>
        <v>OK</v>
      </c>
    </row>
    <row r="1443" spans="1:14" x14ac:dyDescent="0.3">
      <c r="A1443">
        <v>74</v>
      </c>
      <c r="B1443">
        <v>2024</v>
      </c>
      <c r="C1443" s="2"/>
      <c r="D1443" s="16"/>
      <c r="E1443" s="11" t="s">
        <v>24</v>
      </c>
      <c r="F1443" s="12" t="s">
        <v>13</v>
      </c>
      <c r="G1443" s="13">
        <v>60</v>
      </c>
      <c r="H1443" s="13">
        <v>48</v>
      </c>
      <c r="I1443" s="13">
        <v>60</v>
      </c>
      <c r="J1443" s="13">
        <v>56</v>
      </c>
      <c r="K1443" s="13">
        <v>60</v>
      </c>
      <c r="L1443" t="str">
        <f t="shared" si="66"/>
        <v>OK</v>
      </c>
      <c r="M1443" t="str">
        <f t="shared" si="67"/>
        <v>OK</v>
      </c>
      <c r="N1443" t="str">
        <f t="shared" si="68"/>
        <v>OK</v>
      </c>
    </row>
    <row r="1444" spans="1:14" x14ac:dyDescent="0.3">
      <c r="A1444">
        <v>74</v>
      </c>
      <c r="B1444">
        <v>2024</v>
      </c>
      <c r="C1444" s="2"/>
      <c r="D1444" s="16"/>
      <c r="E1444" s="11" t="s">
        <v>25</v>
      </c>
      <c r="F1444" s="12" t="s">
        <v>26</v>
      </c>
      <c r="G1444" s="13">
        <v>60</v>
      </c>
      <c r="H1444" s="13">
        <v>36</v>
      </c>
      <c r="I1444" s="13">
        <v>60</v>
      </c>
      <c r="J1444" s="13">
        <v>51</v>
      </c>
      <c r="K1444" s="13">
        <v>54</v>
      </c>
      <c r="L1444" t="str">
        <f t="shared" si="66"/>
        <v>OK</v>
      </c>
      <c r="M1444" t="str">
        <f t="shared" si="67"/>
        <v>OK</v>
      </c>
      <c r="N1444" t="str">
        <f t="shared" si="68"/>
        <v>OK</v>
      </c>
    </row>
    <row r="1445" spans="1:14" x14ac:dyDescent="0.3">
      <c r="A1445">
        <v>74</v>
      </c>
      <c r="B1445">
        <v>2024</v>
      </c>
      <c r="C1445" s="2"/>
      <c r="D1445" s="16"/>
      <c r="E1445" s="11" t="s">
        <v>27</v>
      </c>
      <c r="F1445" s="12" t="s">
        <v>13</v>
      </c>
      <c r="G1445" s="12"/>
      <c r="H1445" s="13">
        <v>48</v>
      </c>
      <c r="I1445" s="13">
        <v>72</v>
      </c>
      <c r="J1445" s="13">
        <v>60</v>
      </c>
      <c r="K1445" s="13">
        <v>60</v>
      </c>
      <c r="L1445" t="str">
        <f t="shared" si="66"/>
        <v>OK</v>
      </c>
      <c r="M1445" t="str">
        <f t="shared" si="67"/>
        <v>OK</v>
      </c>
      <c r="N1445" t="str">
        <f t="shared" si="68"/>
        <v>OK</v>
      </c>
    </row>
    <row r="1446" spans="1:14" x14ac:dyDescent="0.3">
      <c r="A1446">
        <v>74</v>
      </c>
      <c r="B1446">
        <v>2024</v>
      </c>
      <c r="C1446" s="2"/>
      <c r="D1446" s="16"/>
      <c r="E1446" s="11" t="s">
        <v>28</v>
      </c>
      <c r="F1446" s="12" t="s">
        <v>13</v>
      </c>
      <c r="G1446" s="13">
        <v>24</v>
      </c>
      <c r="H1446" s="13">
        <v>24</v>
      </c>
      <c r="I1446" s="13">
        <v>36</v>
      </c>
      <c r="J1446" s="13" t="s">
        <v>179</v>
      </c>
      <c r="K1446" s="13">
        <v>27</v>
      </c>
      <c r="L1446" t="str">
        <f t="shared" si="66"/>
        <v>OK</v>
      </c>
      <c r="M1446" t="str">
        <f t="shared" si="67"/>
        <v>OK</v>
      </c>
      <c r="N1446" t="str">
        <f t="shared" si="68"/>
        <v>ERRO</v>
      </c>
    </row>
    <row r="1447" spans="1:14" x14ac:dyDescent="0.3">
      <c r="A1447">
        <v>74</v>
      </c>
      <c r="B1447">
        <v>2024</v>
      </c>
      <c r="C1447" s="2"/>
      <c r="D1447" s="16"/>
      <c r="E1447" s="11" t="s">
        <v>29</v>
      </c>
      <c r="F1447" s="12" t="s">
        <v>13</v>
      </c>
      <c r="G1447" s="13">
        <v>48</v>
      </c>
      <c r="H1447" s="13">
        <v>48</v>
      </c>
      <c r="I1447" s="13">
        <v>48</v>
      </c>
      <c r="J1447" s="13">
        <v>48</v>
      </c>
      <c r="K1447" s="13">
        <v>48</v>
      </c>
      <c r="L1447" t="str">
        <f t="shared" si="66"/>
        <v>OK</v>
      </c>
      <c r="M1447" t="str">
        <f t="shared" si="67"/>
        <v>OK</v>
      </c>
      <c r="N1447" t="str">
        <f t="shared" si="68"/>
        <v>OK</v>
      </c>
    </row>
    <row r="1448" spans="1:14" x14ac:dyDescent="0.3">
      <c r="A1448">
        <v>74</v>
      </c>
      <c r="B1448">
        <v>2024</v>
      </c>
      <c r="C1448" s="2"/>
      <c r="D1448" s="16"/>
      <c r="E1448" s="11" t="s">
        <v>31</v>
      </c>
      <c r="F1448" s="12" t="s">
        <v>32</v>
      </c>
      <c r="G1448" s="13">
        <v>5</v>
      </c>
      <c r="H1448" s="13">
        <v>5</v>
      </c>
      <c r="I1448" s="13">
        <v>5</v>
      </c>
      <c r="J1448" s="13">
        <v>5</v>
      </c>
      <c r="K1448" s="13">
        <v>5</v>
      </c>
      <c r="L1448" t="str">
        <f t="shared" si="66"/>
        <v>OK</v>
      </c>
      <c r="M1448" t="str">
        <f t="shared" si="67"/>
        <v>OK</v>
      </c>
      <c r="N1448" t="str">
        <f t="shared" si="68"/>
        <v>OK</v>
      </c>
    </row>
    <row r="1449" spans="1:14" x14ac:dyDescent="0.3">
      <c r="A1449">
        <v>74</v>
      </c>
      <c r="B1449">
        <v>2024</v>
      </c>
      <c r="C1449" s="2"/>
      <c r="D1449" s="16"/>
      <c r="E1449" s="11" t="s">
        <v>34</v>
      </c>
      <c r="F1449" s="12" t="s">
        <v>35</v>
      </c>
      <c r="G1449" s="13">
        <v>12</v>
      </c>
      <c r="H1449" s="13">
        <v>12</v>
      </c>
      <c r="I1449" s="13">
        <v>15</v>
      </c>
      <c r="J1449" s="13" t="s">
        <v>278</v>
      </c>
      <c r="K1449" s="13" t="s">
        <v>278</v>
      </c>
      <c r="L1449" t="str">
        <f t="shared" si="66"/>
        <v>OK</v>
      </c>
      <c r="M1449" t="str">
        <f t="shared" si="67"/>
        <v>OK</v>
      </c>
      <c r="N1449" t="str">
        <f t="shared" si="68"/>
        <v>ERRO</v>
      </c>
    </row>
    <row r="1450" spans="1:14" x14ac:dyDescent="0.3">
      <c r="A1450">
        <v>74</v>
      </c>
      <c r="B1450">
        <v>2024</v>
      </c>
      <c r="C1450" s="2"/>
      <c r="D1450" s="16"/>
      <c r="E1450" s="11" t="s">
        <v>36</v>
      </c>
      <c r="F1450" s="12" t="s">
        <v>35</v>
      </c>
      <c r="G1450" s="13">
        <v>35</v>
      </c>
      <c r="H1450" s="13">
        <v>20</v>
      </c>
      <c r="I1450" s="13">
        <v>35</v>
      </c>
      <c r="J1450" s="13" t="s">
        <v>348</v>
      </c>
      <c r="K1450" s="13">
        <v>30</v>
      </c>
      <c r="L1450" t="str">
        <f t="shared" si="66"/>
        <v>OK</v>
      </c>
      <c r="M1450" t="str">
        <f t="shared" si="67"/>
        <v>OK</v>
      </c>
      <c r="N1450" t="str">
        <f t="shared" si="68"/>
        <v>ERRO</v>
      </c>
    </row>
    <row r="1451" spans="1:14" x14ac:dyDescent="0.3">
      <c r="A1451">
        <v>74</v>
      </c>
      <c r="B1451">
        <v>2024</v>
      </c>
      <c r="C1451" s="2"/>
      <c r="D1451" s="16"/>
      <c r="E1451" s="11" t="s">
        <v>352</v>
      </c>
      <c r="F1451" s="12" t="s">
        <v>154</v>
      </c>
      <c r="G1451" s="12"/>
      <c r="H1451" s="13">
        <v>80</v>
      </c>
      <c r="I1451" s="13">
        <v>80</v>
      </c>
      <c r="J1451" s="13">
        <v>80</v>
      </c>
      <c r="K1451" s="13">
        <v>80</v>
      </c>
      <c r="L1451" t="str">
        <f t="shared" si="66"/>
        <v>OK</v>
      </c>
      <c r="M1451" t="str">
        <f t="shared" si="67"/>
        <v>OK</v>
      </c>
      <c r="N1451" t="str">
        <f t="shared" si="68"/>
        <v>OK</v>
      </c>
    </row>
    <row r="1452" spans="1:14" x14ac:dyDescent="0.3">
      <c r="A1452">
        <v>74</v>
      </c>
      <c r="B1452">
        <v>2024</v>
      </c>
      <c r="C1452" s="2"/>
      <c r="D1452" s="16"/>
      <c r="E1452" s="11" t="s">
        <v>39</v>
      </c>
      <c r="F1452" s="12" t="s">
        <v>40</v>
      </c>
      <c r="G1452" s="13">
        <v>40</v>
      </c>
      <c r="H1452" s="13">
        <v>30</v>
      </c>
      <c r="I1452" s="13">
        <v>40</v>
      </c>
      <c r="J1452" s="13">
        <v>35</v>
      </c>
      <c r="K1452" s="13">
        <v>35</v>
      </c>
      <c r="L1452" t="str">
        <f t="shared" si="66"/>
        <v>OK</v>
      </c>
      <c r="M1452" t="str">
        <f t="shared" si="67"/>
        <v>OK</v>
      </c>
      <c r="N1452" t="str">
        <f t="shared" si="68"/>
        <v>OK</v>
      </c>
    </row>
    <row r="1453" spans="1:14" x14ac:dyDescent="0.3">
      <c r="A1453">
        <v>74</v>
      </c>
      <c r="B1453">
        <v>2024</v>
      </c>
      <c r="C1453" s="2"/>
      <c r="D1453" s="16"/>
      <c r="E1453" s="11" t="s">
        <v>445</v>
      </c>
      <c r="F1453" s="12" t="s">
        <v>43</v>
      </c>
      <c r="G1453" s="13">
        <v>45</v>
      </c>
      <c r="H1453" s="13">
        <v>45</v>
      </c>
      <c r="I1453" s="13">
        <v>70</v>
      </c>
      <c r="J1453" s="13" t="s">
        <v>235</v>
      </c>
      <c r="K1453" s="13">
        <v>55</v>
      </c>
      <c r="L1453" t="str">
        <f t="shared" si="66"/>
        <v>OK</v>
      </c>
      <c r="M1453" t="str">
        <f t="shared" si="67"/>
        <v>OK</v>
      </c>
      <c r="N1453" t="str">
        <f t="shared" si="68"/>
        <v>ERRO</v>
      </c>
    </row>
    <row r="1454" spans="1:14" x14ac:dyDescent="0.3">
      <c r="A1454">
        <v>74</v>
      </c>
      <c r="B1454">
        <v>2024</v>
      </c>
      <c r="C1454" s="2"/>
      <c r="D1454" s="16"/>
      <c r="E1454" s="11" t="s">
        <v>44</v>
      </c>
      <c r="F1454" s="12" t="s">
        <v>45</v>
      </c>
      <c r="G1454" s="12"/>
      <c r="H1454" s="13">
        <v>50</v>
      </c>
      <c r="I1454" s="13">
        <v>70</v>
      </c>
      <c r="J1454" s="13">
        <v>60</v>
      </c>
      <c r="K1454" s="13">
        <v>60</v>
      </c>
      <c r="L1454" t="str">
        <f t="shared" si="66"/>
        <v>OK</v>
      </c>
      <c r="M1454" t="str">
        <f t="shared" si="67"/>
        <v>OK</v>
      </c>
      <c r="N1454" t="str">
        <f t="shared" si="68"/>
        <v>OK</v>
      </c>
    </row>
    <row r="1455" spans="1:14" x14ac:dyDescent="0.3">
      <c r="A1455">
        <v>74</v>
      </c>
      <c r="B1455">
        <v>2024</v>
      </c>
      <c r="C1455" s="2"/>
      <c r="D1455" s="16"/>
      <c r="E1455" s="11" t="s">
        <v>48</v>
      </c>
      <c r="F1455" s="12" t="s">
        <v>45</v>
      </c>
      <c r="G1455" s="12"/>
      <c r="H1455" s="13">
        <v>45</v>
      </c>
      <c r="I1455" s="13">
        <v>110</v>
      </c>
      <c r="J1455" s="13" t="s">
        <v>349</v>
      </c>
      <c r="K1455" s="13">
        <v>90</v>
      </c>
      <c r="L1455" t="str">
        <f t="shared" si="66"/>
        <v>OK</v>
      </c>
      <c r="M1455" t="str">
        <f t="shared" si="67"/>
        <v>OK</v>
      </c>
      <c r="N1455" t="str">
        <f t="shared" si="68"/>
        <v>ERRO</v>
      </c>
    </row>
    <row r="1456" spans="1:14" x14ac:dyDescent="0.3">
      <c r="A1456">
        <v>74</v>
      </c>
      <c r="B1456">
        <v>2024</v>
      </c>
      <c r="C1456" s="2"/>
      <c r="D1456" s="16"/>
      <c r="E1456" s="11" t="s">
        <v>49</v>
      </c>
      <c r="F1456" s="12" t="s">
        <v>50</v>
      </c>
      <c r="G1456" s="12"/>
      <c r="H1456" s="13">
        <v>55</v>
      </c>
      <c r="I1456" s="13">
        <v>70</v>
      </c>
      <c r="J1456" s="13" t="s">
        <v>80</v>
      </c>
      <c r="K1456" s="13" t="s">
        <v>80</v>
      </c>
      <c r="L1456" t="str">
        <f t="shared" si="66"/>
        <v>OK</v>
      </c>
      <c r="M1456" t="str">
        <f t="shared" si="67"/>
        <v>OK</v>
      </c>
      <c r="N1456" t="str">
        <f t="shared" si="68"/>
        <v>ERRO</v>
      </c>
    </row>
    <row r="1457" spans="1:14" x14ac:dyDescent="0.3">
      <c r="A1457">
        <v>74</v>
      </c>
      <c r="B1457">
        <v>2024</v>
      </c>
      <c r="C1457" s="2"/>
      <c r="D1457" s="16"/>
      <c r="E1457" s="11" t="s">
        <v>52</v>
      </c>
      <c r="F1457" s="12" t="s">
        <v>43</v>
      </c>
      <c r="G1457" s="13">
        <v>55</v>
      </c>
      <c r="H1457" s="13">
        <v>40</v>
      </c>
      <c r="I1457" s="13">
        <v>55</v>
      </c>
      <c r="J1457" s="13" t="s">
        <v>137</v>
      </c>
      <c r="K1457" s="13">
        <v>50</v>
      </c>
      <c r="L1457" t="str">
        <f t="shared" si="66"/>
        <v>OK</v>
      </c>
      <c r="M1457" t="str">
        <f t="shared" si="67"/>
        <v>OK</v>
      </c>
      <c r="N1457" t="str">
        <f t="shared" si="68"/>
        <v>ERRO</v>
      </c>
    </row>
    <row r="1458" spans="1:14" x14ac:dyDescent="0.3">
      <c r="A1458">
        <v>74</v>
      </c>
      <c r="B1458">
        <v>2024</v>
      </c>
      <c r="C1458" s="2"/>
      <c r="D1458" s="16"/>
      <c r="E1458" s="11" t="s">
        <v>53</v>
      </c>
      <c r="F1458" s="12" t="s">
        <v>43</v>
      </c>
      <c r="G1458" s="12"/>
      <c r="H1458" s="13">
        <v>55</v>
      </c>
      <c r="I1458" s="13">
        <v>85</v>
      </c>
      <c r="J1458" s="13" t="s">
        <v>94</v>
      </c>
      <c r="K1458" s="13" t="s">
        <v>84</v>
      </c>
      <c r="L1458" t="str">
        <f t="shared" si="66"/>
        <v>OK</v>
      </c>
      <c r="M1458" t="str">
        <f t="shared" si="67"/>
        <v>OK</v>
      </c>
      <c r="N1458" t="str">
        <f t="shared" si="68"/>
        <v>ERRO</v>
      </c>
    </row>
    <row r="1459" spans="1:14" x14ac:dyDescent="0.3">
      <c r="A1459">
        <v>74</v>
      </c>
      <c r="B1459">
        <v>2024</v>
      </c>
      <c r="C1459" s="2"/>
      <c r="D1459" s="16"/>
      <c r="E1459" s="11" t="s">
        <v>54</v>
      </c>
      <c r="F1459" s="12" t="s">
        <v>40</v>
      </c>
      <c r="G1459" s="12"/>
      <c r="H1459" s="13">
        <v>90</v>
      </c>
      <c r="I1459" s="13">
        <v>100</v>
      </c>
      <c r="J1459" s="13">
        <v>95</v>
      </c>
      <c r="K1459" s="13">
        <v>95</v>
      </c>
      <c r="L1459" t="str">
        <f t="shared" si="66"/>
        <v>OK</v>
      </c>
      <c r="M1459" t="str">
        <f t="shared" si="67"/>
        <v>OK</v>
      </c>
      <c r="N1459" t="str">
        <f t="shared" si="68"/>
        <v>OK</v>
      </c>
    </row>
    <row r="1460" spans="1:14" x14ac:dyDescent="0.3">
      <c r="A1460">
        <v>74</v>
      </c>
      <c r="B1460">
        <v>2024</v>
      </c>
      <c r="C1460" s="2"/>
      <c r="D1460" s="16"/>
      <c r="E1460" s="11" t="s">
        <v>56</v>
      </c>
      <c r="F1460" s="12" t="s">
        <v>43</v>
      </c>
      <c r="G1460" s="12"/>
      <c r="H1460" s="13">
        <v>70</v>
      </c>
      <c r="I1460" s="13">
        <v>70</v>
      </c>
      <c r="J1460" s="13">
        <v>70</v>
      </c>
      <c r="K1460" s="13">
        <v>70</v>
      </c>
      <c r="L1460" t="str">
        <f t="shared" si="66"/>
        <v>OK</v>
      </c>
      <c r="M1460" t="str">
        <f t="shared" si="67"/>
        <v>OK</v>
      </c>
      <c r="N1460" t="str">
        <f t="shared" si="68"/>
        <v>OK</v>
      </c>
    </row>
    <row r="1461" spans="1:14" x14ac:dyDescent="0.3">
      <c r="A1461">
        <v>74</v>
      </c>
      <c r="B1461">
        <v>2024</v>
      </c>
      <c r="C1461" s="2"/>
      <c r="D1461" s="16"/>
      <c r="E1461" s="11" t="s">
        <v>57</v>
      </c>
      <c r="F1461" s="12" t="s">
        <v>40</v>
      </c>
      <c r="G1461" s="12"/>
      <c r="H1461" s="13">
        <v>70</v>
      </c>
      <c r="I1461" s="13">
        <v>80</v>
      </c>
      <c r="J1461" s="13">
        <v>75</v>
      </c>
      <c r="K1461" s="13">
        <v>75</v>
      </c>
      <c r="L1461" t="str">
        <f t="shared" si="66"/>
        <v>OK</v>
      </c>
      <c r="M1461" t="str">
        <f t="shared" si="67"/>
        <v>OK</v>
      </c>
      <c r="N1461" t="str">
        <f t="shared" si="68"/>
        <v>OK</v>
      </c>
    </row>
    <row r="1462" spans="1:14" x14ac:dyDescent="0.3">
      <c r="A1462">
        <v>74</v>
      </c>
      <c r="B1462">
        <v>2024</v>
      </c>
      <c r="C1462" s="2"/>
      <c r="D1462" s="16"/>
      <c r="E1462" s="11" t="s">
        <v>58</v>
      </c>
      <c r="F1462" s="12" t="s">
        <v>40</v>
      </c>
      <c r="G1462" s="13">
        <v>100</v>
      </c>
      <c r="H1462" s="13">
        <v>75</v>
      </c>
      <c r="I1462" s="13">
        <v>100</v>
      </c>
      <c r="J1462" s="13" t="s">
        <v>350</v>
      </c>
      <c r="K1462" s="13">
        <v>90</v>
      </c>
      <c r="L1462" t="str">
        <f t="shared" si="66"/>
        <v>OK</v>
      </c>
      <c r="M1462" t="str">
        <f t="shared" si="67"/>
        <v>OK</v>
      </c>
      <c r="N1462" t="str">
        <f t="shared" si="68"/>
        <v>ERRO</v>
      </c>
    </row>
    <row r="1463" spans="1:14" x14ac:dyDescent="0.3">
      <c r="A1463">
        <v>74</v>
      </c>
      <c r="B1463">
        <v>2024</v>
      </c>
      <c r="C1463" s="2"/>
      <c r="D1463" s="16"/>
      <c r="E1463" s="11" t="s">
        <v>59</v>
      </c>
      <c r="F1463" s="12" t="s">
        <v>45</v>
      </c>
      <c r="G1463" s="13">
        <v>45</v>
      </c>
      <c r="H1463" s="13">
        <v>45</v>
      </c>
      <c r="I1463" s="13">
        <v>85</v>
      </c>
      <c r="J1463" s="13" t="s">
        <v>41</v>
      </c>
      <c r="K1463" s="13">
        <v>50</v>
      </c>
      <c r="L1463" t="str">
        <f t="shared" si="66"/>
        <v>OK</v>
      </c>
      <c r="M1463" t="str">
        <f t="shared" si="67"/>
        <v>OK</v>
      </c>
      <c r="N1463" t="str">
        <f t="shared" si="68"/>
        <v>ERRO</v>
      </c>
    </row>
    <row r="1464" spans="1:14" x14ac:dyDescent="0.3">
      <c r="A1464">
        <v>74</v>
      </c>
      <c r="B1464">
        <v>2024</v>
      </c>
      <c r="C1464" s="2"/>
      <c r="D1464" s="16"/>
      <c r="E1464" s="11" t="s">
        <v>60</v>
      </c>
      <c r="F1464" s="12" t="s">
        <v>61</v>
      </c>
      <c r="G1464" s="13">
        <v>160</v>
      </c>
      <c r="H1464" s="13">
        <v>150</v>
      </c>
      <c r="I1464" s="13">
        <v>180</v>
      </c>
      <c r="J1464" s="13" t="s">
        <v>351</v>
      </c>
      <c r="K1464" s="13">
        <v>160</v>
      </c>
      <c r="L1464" t="str">
        <f t="shared" si="66"/>
        <v>OK</v>
      </c>
      <c r="M1464" t="str">
        <f t="shared" si="67"/>
        <v>OK</v>
      </c>
      <c r="N1464" t="str">
        <f t="shared" si="68"/>
        <v>ERRO</v>
      </c>
    </row>
    <row r="1465" spans="1:14" x14ac:dyDescent="0.3">
      <c r="A1465">
        <v>74</v>
      </c>
      <c r="B1465">
        <v>2024</v>
      </c>
      <c r="C1465" s="2"/>
      <c r="D1465" s="16"/>
      <c r="E1465" s="11" t="s">
        <v>63</v>
      </c>
      <c r="F1465" s="12" t="s">
        <v>40</v>
      </c>
      <c r="G1465" s="12"/>
      <c r="H1465" s="13">
        <v>50</v>
      </c>
      <c r="I1465" s="13">
        <v>80</v>
      </c>
      <c r="J1465" s="13">
        <v>65</v>
      </c>
      <c r="K1465" s="13">
        <v>65</v>
      </c>
      <c r="L1465" t="str">
        <f t="shared" si="66"/>
        <v>OK</v>
      </c>
      <c r="M1465" t="str">
        <f t="shared" si="67"/>
        <v>OK</v>
      </c>
      <c r="N1465" t="str">
        <f t="shared" si="68"/>
        <v>OK</v>
      </c>
    </row>
    <row r="1466" spans="1:14" x14ac:dyDescent="0.3">
      <c r="A1466">
        <v>74</v>
      </c>
      <c r="B1466">
        <v>2024</v>
      </c>
      <c r="C1466" s="2"/>
      <c r="D1466" s="16"/>
      <c r="E1466" s="11" t="s">
        <v>64</v>
      </c>
      <c r="F1466" s="12" t="s">
        <v>40</v>
      </c>
      <c r="G1466" s="12"/>
      <c r="H1466" s="13">
        <v>90</v>
      </c>
      <c r="I1466" s="13">
        <v>120</v>
      </c>
      <c r="J1466" s="13" t="s">
        <v>114</v>
      </c>
      <c r="K1466" s="13">
        <v>100</v>
      </c>
      <c r="L1466" t="str">
        <f t="shared" si="66"/>
        <v>OK</v>
      </c>
      <c r="M1466" t="str">
        <f t="shared" si="67"/>
        <v>OK</v>
      </c>
      <c r="N1466" t="str">
        <f t="shared" si="68"/>
        <v>ERRO</v>
      </c>
    </row>
    <row r="1467" spans="1:14" x14ac:dyDescent="0.3">
      <c r="A1467">
        <v>74</v>
      </c>
      <c r="B1467">
        <v>2024</v>
      </c>
      <c r="C1467" s="2"/>
      <c r="D1467" s="16"/>
      <c r="E1467" s="11" t="s">
        <v>66</v>
      </c>
      <c r="F1467" s="12" t="s">
        <v>45</v>
      </c>
      <c r="G1467" s="12"/>
      <c r="H1467" s="12"/>
      <c r="I1467" s="12"/>
      <c r="J1467" s="12"/>
      <c r="K1467" s="12"/>
      <c r="L1467" t="str">
        <f t="shared" si="66"/>
        <v>OK</v>
      </c>
      <c r="M1467" t="str">
        <f t="shared" si="67"/>
        <v>OK</v>
      </c>
      <c r="N1467" t="str">
        <f t="shared" si="68"/>
        <v>OK</v>
      </c>
    </row>
    <row r="1468" spans="1:14" x14ac:dyDescent="0.3">
      <c r="A1468">
        <v>74</v>
      </c>
      <c r="B1468">
        <v>2024</v>
      </c>
      <c r="C1468" s="2"/>
      <c r="D1468" s="16"/>
      <c r="E1468" s="11" t="s">
        <v>67</v>
      </c>
      <c r="F1468" s="12" t="s">
        <v>45</v>
      </c>
      <c r="G1468" s="12"/>
      <c r="H1468" s="12"/>
      <c r="I1468" s="12"/>
      <c r="J1468" s="12"/>
      <c r="K1468" s="12"/>
      <c r="L1468" t="str">
        <f t="shared" si="66"/>
        <v>OK</v>
      </c>
      <c r="M1468" t="str">
        <f t="shared" si="67"/>
        <v>OK</v>
      </c>
      <c r="N1468" t="str">
        <f t="shared" si="68"/>
        <v>OK</v>
      </c>
    </row>
    <row r="1469" spans="1:14" x14ac:dyDescent="0.3">
      <c r="A1469">
        <v>74</v>
      </c>
      <c r="B1469">
        <v>2024</v>
      </c>
      <c r="C1469" s="2"/>
      <c r="D1469" s="16"/>
      <c r="E1469" s="11" t="s">
        <v>68</v>
      </c>
      <c r="F1469" s="12" t="s">
        <v>45</v>
      </c>
      <c r="G1469" s="12"/>
      <c r="H1469" s="12"/>
      <c r="I1469" s="12"/>
      <c r="J1469" s="12"/>
      <c r="K1469" s="12"/>
      <c r="L1469" t="str">
        <f t="shared" si="66"/>
        <v>OK</v>
      </c>
      <c r="M1469" t="str">
        <f t="shared" si="67"/>
        <v>OK</v>
      </c>
      <c r="N1469" t="str">
        <f t="shared" si="68"/>
        <v>OK</v>
      </c>
    </row>
    <row r="1470" spans="1:14" x14ac:dyDescent="0.3">
      <c r="A1470">
        <v>74</v>
      </c>
      <c r="B1470">
        <v>2024</v>
      </c>
      <c r="C1470" s="2"/>
      <c r="D1470" s="16"/>
      <c r="E1470" s="11" t="s">
        <v>69</v>
      </c>
      <c r="F1470" s="12" t="s">
        <v>45</v>
      </c>
      <c r="G1470" s="12"/>
      <c r="H1470" s="13">
        <v>70</v>
      </c>
      <c r="I1470" s="13">
        <v>70</v>
      </c>
      <c r="J1470" s="13">
        <v>70</v>
      </c>
      <c r="K1470" s="13">
        <v>70</v>
      </c>
      <c r="L1470" t="str">
        <f t="shared" si="66"/>
        <v>OK</v>
      </c>
      <c r="M1470" t="str">
        <f t="shared" si="67"/>
        <v>OK</v>
      </c>
      <c r="N1470" t="str">
        <f t="shared" si="68"/>
        <v>OK</v>
      </c>
    </row>
    <row r="1471" spans="1:14" x14ac:dyDescent="0.3">
      <c r="A1471">
        <v>74</v>
      </c>
      <c r="B1471">
        <v>2024</v>
      </c>
      <c r="C1471" s="2"/>
      <c r="D1471" s="16"/>
      <c r="E1471" s="11" t="s">
        <v>70</v>
      </c>
      <c r="F1471" s="12" t="s">
        <v>71</v>
      </c>
      <c r="G1471" s="12"/>
      <c r="H1471" s="12"/>
      <c r="I1471" s="12"/>
      <c r="J1471" s="12"/>
      <c r="K1471" s="12"/>
      <c r="L1471" t="str">
        <f t="shared" si="66"/>
        <v>OK</v>
      </c>
      <c r="M1471" t="str">
        <f t="shared" si="67"/>
        <v>OK</v>
      </c>
      <c r="N1471" t="str">
        <f t="shared" si="68"/>
        <v>OK</v>
      </c>
    </row>
    <row r="1472" spans="1:14" x14ac:dyDescent="0.3">
      <c r="A1472">
        <v>75</v>
      </c>
      <c r="B1472">
        <v>2024</v>
      </c>
      <c r="C1472" s="2"/>
      <c r="D1472" s="16"/>
      <c r="E1472" s="11" t="s">
        <v>12</v>
      </c>
      <c r="F1472" s="12" t="s">
        <v>13</v>
      </c>
      <c r="G1472" s="12"/>
      <c r="H1472" s="13">
        <v>36</v>
      </c>
      <c r="I1472" s="13">
        <v>60</v>
      </c>
      <c r="J1472" s="13">
        <v>48</v>
      </c>
      <c r="K1472" s="13">
        <v>48</v>
      </c>
      <c r="L1472" t="str">
        <f t="shared" si="66"/>
        <v>OK</v>
      </c>
      <c r="M1472" t="str">
        <f t="shared" si="67"/>
        <v>OK</v>
      </c>
      <c r="N1472" t="str">
        <f t="shared" si="68"/>
        <v>OK</v>
      </c>
    </row>
    <row r="1473" spans="1:14" x14ac:dyDescent="0.3">
      <c r="A1473">
        <v>75</v>
      </c>
      <c r="B1473">
        <v>2024</v>
      </c>
      <c r="C1473" s="2"/>
      <c r="D1473" s="16"/>
      <c r="E1473" s="11" t="s">
        <v>14</v>
      </c>
      <c r="F1473" s="12" t="s">
        <v>13</v>
      </c>
      <c r="G1473" s="13">
        <v>72</v>
      </c>
      <c r="H1473" s="13">
        <v>78</v>
      </c>
      <c r="I1473" s="13">
        <v>84</v>
      </c>
      <c r="J1473" s="13">
        <v>78</v>
      </c>
      <c r="K1473" s="13">
        <v>78</v>
      </c>
      <c r="L1473" t="str">
        <f t="shared" si="66"/>
        <v>OK</v>
      </c>
      <c r="M1473" t="str">
        <f t="shared" si="67"/>
        <v>OK</v>
      </c>
      <c r="N1473" t="str">
        <f t="shared" si="68"/>
        <v>OK</v>
      </c>
    </row>
    <row r="1474" spans="1:14" x14ac:dyDescent="0.3">
      <c r="A1474">
        <v>75</v>
      </c>
      <c r="B1474">
        <v>2024</v>
      </c>
      <c r="C1474" s="2"/>
      <c r="D1474" s="16"/>
      <c r="E1474" s="11" t="s">
        <v>15</v>
      </c>
      <c r="F1474" s="12" t="s">
        <v>13</v>
      </c>
      <c r="G1474" s="13">
        <v>30</v>
      </c>
      <c r="H1474" s="13">
        <v>30</v>
      </c>
      <c r="I1474" s="13">
        <v>30</v>
      </c>
      <c r="J1474" s="13">
        <v>30</v>
      </c>
      <c r="K1474" s="13">
        <v>30</v>
      </c>
      <c r="L1474" t="str">
        <f t="shared" si="66"/>
        <v>OK</v>
      </c>
      <c r="M1474" t="str">
        <f t="shared" si="67"/>
        <v>OK</v>
      </c>
      <c r="N1474" t="str">
        <f t="shared" si="68"/>
        <v>OK</v>
      </c>
    </row>
    <row r="1475" spans="1:14" x14ac:dyDescent="0.3">
      <c r="A1475">
        <v>75</v>
      </c>
      <c r="B1475">
        <v>2024</v>
      </c>
      <c r="C1475" s="2"/>
      <c r="D1475" s="16"/>
      <c r="E1475" s="11" t="s">
        <v>16</v>
      </c>
      <c r="F1475" s="12" t="s">
        <v>13</v>
      </c>
      <c r="G1475" s="13">
        <v>18</v>
      </c>
      <c r="H1475" s="13">
        <v>18</v>
      </c>
      <c r="I1475" s="13">
        <v>20</v>
      </c>
      <c r="J1475" s="13" t="s">
        <v>454</v>
      </c>
      <c r="K1475" s="13">
        <v>18</v>
      </c>
      <c r="L1475" t="str">
        <f t="shared" ref="L1475:L1538" si="69">IF(H1475&gt;I1475,"ERRO","OK")</f>
        <v>OK</v>
      </c>
      <c r="M1475" t="str">
        <f t="shared" ref="M1475:M1538" si="70">IF(H1475&gt;J1475,"ERRO","OK")</f>
        <v>OK</v>
      </c>
      <c r="N1475" t="str">
        <f t="shared" ref="N1475:N1538" si="71">IF(I1475&lt;J1475,"ERRO","OK")</f>
        <v>ERRO</v>
      </c>
    </row>
    <row r="1476" spans="1:14" x14ac:dyDescent="0.3">
      <c r="A1476">
        <v>75</v>
      </c>
      <c r="B1476">
        <v>2024</v>
      </c>
      <c r="C1476" s="2"/>
      <c r="D1476" s="16"/>
      <c r="E1476" s="11" t="s">
        <v>17</v>
      </c>
      <c r="F1476" s="12" t="s">
        <v>13</v>
      </c>
      <c r="G1476" s="13">
        <v>18</v>
      </c>
      <c r="H1476" s="13">
        <v>18</v>
      </c>
      <c r="I1476" s="13">
        <v>20</v>
      </c>
      <c r="J1476" s="13" t="s">
        <v>454</v>
      </c>
      <c r="K1476" s="13">
        <v>18</v>
      </c>
      <c r="L1476" t="str">
        <f t="shared" si="69"/>
        <v>OK</v>
      </c>
      <c r="M1476" t="str">
        <f t="shared" si="70"/>
        <v>OK</v>
      </c>
      <c r="N1476" t="str">
        <f t="shared" si="71"/>
        <v>ERRO</v>
      </c>
    </row>
    <row r="1477" spans="1:14" x14ac:dyDescent="0.3">
      <c r="A1477">
        <v>75</v>
      </c>
      <c r="B1477">
        <v>2024</v>
      </c>
      <c r="C1477" s="2"/>
      <c r="D1477" s="16"/>
      <c r="E1477" s="11" t="s">
        <v>18</v>
      </c>
      <c r="F1477" s="12" t="s">
        <v>13</v>
      </c>
      <c r="G1477" s="13">
        <v>48</v>
      </c>
      <c r="H1477" s="12"/>
      <c r="I1477" s="13">
        <v>60</v>
      </c>
      <c r="J1477" s="13">
        <v>54</v>
      </c>
      <c r="K1477" s="13">
        <v>54</v>
      </c>
      <c r="L1477" t="str">
        <f t="shared" si="69"/>
        <v>OK</v>
      </c>
      <c r="M1477" t="str">
        <f t="shared" si="70"/>
        <v>OK</v>
      </c>
      <c r="N1477" t="str">
        <f t="shared" si="71"/>
        <v>OK</v>
      </c>
    </row>
    <row r="1478" spans="1:14" ht="28.8" x14ac:dyDescent="0.3">
      <c r="A1478">
        <v>75</v>
      </c>
      <c r="B1478">
        <v>2024</v>
      </c>
      <c r="C1478" s="2"/>
      <c r="D1478" s="16"/>
      <c r="E1478" s="11" t="s">
        <v>19</v>
      </c>
      <c r="F1478" s="12" t="s">
        <v>13</v>
      </c>
      <c r="G1478" s="13">
        <v>60</v>
      </c>
      <c r="H1478" s="12"/>
      <c r="I1478" s="13">
        <v>72</v>
      </c>
      <c r="J1478" s="13">
        <v>66</v>
      </c>
      <c r="K1478" s="13">
        <v>66</v>
      </c>
      <c r="L1478" t="str">
        <f t="shared" si="69"/>
        <v>OK</v>
      </c>
      <c r="M1478" t="str">
        <f t="shared" si="70"/>
        <v>OK</v>
      </c>
      <c r="N1478" t="str">
        <f t="shared" si="71"/>
        <v>OK</v>
      </c>
    </row>
    <row r="1479" spans="1:14" x14ac:dyDescent="0.3">
      <c r="A1479">
        <v>75</v>
      </c>
      <c r="B1479">
        <v>2024</v>
      </c>
      <c r="C1479" s="2"/>
      <c r="D1479" s="16"/>
      <c r="E1479" s="11" t="s">
        <v>20</v>
      </c>
      <c r="F1479" s="12" t="s">
        <v>13</v>
      </c>
      <c r="G1479" s="13">
        <v>72</v>
      </c>
      <c r="H1479" s="13">
        <v>72</v>
      </c>
      <c r="I1479" s="13">
        <v>72</v>
      </c>
      <c r="J1479" s="13">
        <v>72</v>
      </c>
      <c r="K1479" s="13">
        <v>72</v>
      </c>
      <c r="L1479" t="str">
        <f t="shared" si="69"/>
        <v>OK</v>
      </c>
      <c r="M1479" t="str">
        <f t="shared" si="70"/>
        <v>OK</v>
      </c>
      <c r="N1479" t="str">
        <f t="shared" si="71"/>
        <v>OK</v>
      </c>
    </row>
    <row r="1480" spans="1:14" x14ac:dyDescent="0.3">
      <c r="A1480">
        <v>75</v>
      </c>
      <c r="B1480">
        <v>2024</v>
      </c>
      <c r="C1480" s="2"/>
      <c r="D1480" s="16"/>
      <c r="E1480" s="11" t="s">
        <v>443</v>
      </c>
      <c r="F1480" s="12" t="s">
        <v>13</v>
      </c>
      <c r="G1480" s="13">
        <v>18</v>
      </c>
      <c r="H1480" s="13">
        <v>18</v>
      </c>
      <c r="I1480" s="13">
        <v>25</v>
      </c>
      <c r="J1480" s="13" t="s">
        <v>455</v>
      </c>
      <c r="K1480" s="13">
        <v>18</v>
      </c>
      <c r="L1480" t="str">
        <f t="shared" si="69"/>
        <v>OK</v>
      </c>
      <c r="M1480" t="str">
        <f t="shared" si="70"/>
        <v>OK</v>
      </c>
      <c r="N1480" t="str">
        <f t="shared" si="71"/>
        <v>ERRO</v>
      </c>
    </row>
    <row r="1481" spans="1:14" x14ac:dyDescent="0.3">
      <c r="A1481">
        <v>75</v>
      </c>
      <c r="B1481">
        <v>2024</v>
      </c>
      <c r="C1481" s="2"/>
      <c r="D1481" s="16"/>
      <c r="E1481" s="11" t="s">
        <v>444</v>
      </c>
      <c r="F1481" s="12" t="s">
        <v>13</v>
      </c>
      <c r="G1481" s="13">
        <v>72</v>
      </c>
      <c r="H1481" s="13">
        <v>72</v>
      </c>
      <c r="I1481" s="13">
        <v>72</v>
      </c>
      <c r="J1481" s="13">
        <v>72</v>
      </c>
      <c r="K1481" s="13">
        <v>72</v>
      </c>
      <c r="L1481" t="str">
        <f t="shared" si="69"/>
        <v>OK</v>
      </c>
      <c r="M1481" t="str">
        <f t="shared" si="70"/>
        <v>OK</v>
      </c>
      <c r="N1481" t="str">
        <f t="shared" si="71"/>
        <v>OK</v>
      </c>
    </row>
    <row r="1482" spans="1:14" x14ac:dyDescent="0.3">
      <c r="A1482">
        <v>75</v>
      </c>
      <c r="B1482">
        <v>2024</v>
      </c>
      <c r="C1482" s="2"/>
      <c r="D1482" s="16"/>
      <c r="E1482" s="11" t="s">
        <v>23</v>
      </c>
      <c r="F1482" s="12" t="s">
        <v>13</v>
      </c>
      <c r="G1482" s="13">
        <v>18</v>
      </c>
      <c r="H1482" s="13">
        <v>18</v>
      </c>
      <c r="I1482" s="13">
        <v>20</v>
      </c>
      <c r="J1482" s="13" t="s">
        <v>454</v>
      </c>
      <c r="K1482" s="13">
        <v>18</v>
      </c>
      <c r="L1482" t="str">
        <f t="shared" si="69"/>
        <v>OK</v>
      </c>
      <c r="M1482" t="str">
        <f t="shared" si="70"/>
        <v>OK</v>
      </c>
      <c r="N1482" t="str">
        <f t="shared" si="71"/>
        <v>ERRO</v>
      </c>
    </row>
    <row r="1483" spans="1:14" x14ac:dyDescent="0.3">
      <c r="A1483">
        <v>75</v>
      </c>
      <c r="B1483">
        <v>2024</v>
      </c>
      <c r="C1483" s="2"/>
      <c r="D1483" s="16"/>
      <c r="E1483" s="11" t="s">
        <v>24</v>
      </c>
      <c r="F1483" s="12" t="s">
        <v>13</v>
      </c>
      <c r="G1483" s="13">
        <v>48</v>
      </c>
      <c r="H1483" s="13">
        <v>48</v>
      </c>
      <c r="I1483" s="13">
        <v>72</v>
      </c>
      <c r="J1483" s="13">
        <v>60</v>
      </c>
      <c r="K1483" s="13">
        <v>60</v>
      </c>
      <c r="L1483" t="str">
        <f t="shared" si="69"/>
        <v>OK</v>
      </c>
      <c r="M1483" t="str">
        <f t="shared" si="70"/>
        <v>OK</v>
      </c>
      <c r="N1483" t="str">
        <f t="shared" si="71"/>
        <v>OK</v>
      </c>
    </row>
    <row r="1484" spans="1:14" x14ac:dyDescent="0.3">
      <c r="A1484">
        <v>75</v>
      </c>
      <c r="B1484">
        <v>2024</v>
      </c>
      <c r="C1484" s="2"/>
      <c r="D1484" s="16"/>
      <c r="E1484" s="11" t="s">
        <v>25</v>
      </c>
      <c r="F1484" s="12" t="s">
        <v>26</v>
      </c>
      <c r="G1484" s="13">
        <v>48</v>
      </c>
      <c r="H1484" s="13">
        <v>40</v>
      </c>
      <c r="I1484" s="13">
        <v>60</v>
      </c>
      <c r="J1484" s="13">
        <v>52</v>
      </c>
      <c r="K1484" s="13">
        <v>50</v>
      </c>
      <c r="L1484" t="str">
        <f t="shared" si="69"/>
        <v>OK</v>
      </c>
      <c r="M1484" t="str">
        <f t="shared" si="70"/>
        <v>OK</v>
      </c>
      <c r="N1484" t="str">
        <f t="shared" si="71"/>
        <v>OK</v>
      </c>
    </row>
    <row r="1485" spans="1:14" x14ac:dyDescent="0.3">
      <c r="A1485">
        <v>75</v>
      </c>
      <c r="B1485">
        <v>2024</v>
      </c>
      <c r="C1485" s="2"/>
      <c r="D1485" s="16"/>
      <c r="E1485" s="11" t="s">
        <v>27</v>
      </c>
      <c r="F1485" s="12" t="s">
        <v>13</v>
      </c>
      <c r="G1485" s="13">
        <v>48</v>
      </c>
      <c r="H1485" s="12"/>
      <c r="I1485" s="13">
        <v>60</v>
      </c>
      <c r="J1485" s="13">
        <v>50</v>
      </c>
      <c r="K1485" s="12"/>
      <c r="L1485" t="str">
        <f t="shared" si="69"/>
        <v>OK</v>
      </c>
      <c r="M1485" t="str">
        <f t="shared" si="70"/>
        <v>OK</v>
      </c>
      <c r="N1485" t="str">
        <f t="shared" si="71"/>
        <v>OK</v>
      </c>
    </row>
    <row r="1486" spans="1:14" x14ac:dyDescent="0.3">
      <c r="A1486">
        <v>75</v>
      </c>
      <c r="B1486">
        <v>2024</v>
      </c>
      <c r="C1486" s="2"/>
      <c r="D1486" s="16"/>
      <c r="E1486" s="11" t="s">
        <v>28</v>
      </c>
      <c r="F1486" s="12" t="s">
        <v>13</v>
      </c>
      <c r="G1486" s="13">
        <v>30</v>
      </c>
      <c r="H1486" s="13">
        <v>24</v>
      </c>
      <c r="I1486" s="13">
        <v>30</v>
      </c>
      <c r="J1486" s="13">
        <v>28</v>
      </c>
      <c r="K1486" s="13">
        <v>30</v>
      </c>
      <c r="L1486" t="str">
        <f t="shared" si="69"/>
        <v>OK</v>
      </c>
      <c r="M1486" t="str">
        <f t="shared" si="70"/>
        <v>OK</v>
      </c>
      <c r="N1486" t="str">
        <f t="shared" si="71"/>
        <v>OK</v>
      </c>
    </row>
    <row r="1487" spans="1:14" x14ac:dyDescent="0.3">
      <c r="A1487">
        <v>75</v>
      </c>
      <c r="B1487">
        <v>2024</v>
      </c>
      <c r="C1487" s="2"/>
      <c r="D1487" s="16"/>
      <c r="E1487" s="11" t="s">
        <v>29</v>
      </c>
      <c r="F1487" s="12" t="s">
        <v>13</v>
      </c>
      <c r="G1487" s="13">
        <v>48</v>
      </c>
      <c r="H1487" s="12"/>
      <c r="I1487" s="13">
        <v>60</v>
      </c>
      <c r="J1487" s="13">
        <v>54</v>
      </c>
      <c r="K1487" s="13">
        <v>54</v>
      </c>
      <c r="L1487" t="str">
        <f t="shared" si="69"/>
        <v>OK</v>
      </c>
      <c r="M1487" t="str">
        <f t="shared" si="70"/>
        <v>OK</v>
      </c>
      <c r="N1487" t="str">
        <f t="shared" si="71"/>
        <v>OK</v>
      </c>
    </row>
    <row r="1488" spans="1:14" x14ac:dyDescent="0.3">
      <c r="A1488">
        <v>75</v>
      </c>
      <c r="B1488">
        <v>2024</v>
      </c>
      <c r="C1488" s="2"/>
      <c r="D1488" s="16"/>
      <c r="E1488" s="11" t="s">
        <v>31</v>
      </c>
      <c r="F1488" s="12" t="s">
        <v>32</v>
      </c>
      <c r="G1488" s="13">
        <v>5</v>
      </c>
      <c r="H1488" s="13">
        <v>5</v>
      </c>
      <c r="I1488" s="13">
        <v>5</v>
      </c>
      <c r="J1488" s="13">
        <v>5</v>
      </c>
      <c r="K1488" s="13">
        <v>5</v>
      </c>
      <c r="L1488" t="str">
        <f t="shared" si="69"/>
        <v>OK</v>
      </c>
      <c r="M1488" t="str">
        <f t="shared" si="70"/>
        <v>OK</v>
      </c>
      <c r="N1488" t="str">
        <f t="shared" si="71"/>
        <v>OK</v>
      </c>
    </row>
    <row r="1489" spans="1:14" x14ac:dyDescent="0.3">
      <c r="A1489">
        <v>75</v>
      </c>
      <c r="B1489">
        <v>2024</v>
      </c>
      <c r="C1489" s="2"/>
      <c r="D1489" s="16"/>
      <c r="E1489" s="11" t="s">
        <v>34</v>
      </c>
      <c r="F1489" s="12" t="s">
        <v>35</v>
      </c>
      <c r="G1489" s="13">
        <v>15</v>
      </c>
      <c r="H1489" s="13">
        <v>12</v>
      </c>
      <c r="I1489" s="13">
        <v>15</v>
      </c>
      <c r="J1489" s="13">
        <v>14</v>
      </c>
      <c r="K1489" s="13">
        <v>15</v>
      </c>
      <c r="L1489" t="str">
        <f t="shared" si="69"/>
        <v>OK</v>
      </c>
      <c r="M1489" t="str">
        <f t="shared" si="70"/>
        <v>OK</v>
      </c>
      <c r="N1489" t="str">
        <f t="shared" si="71"/>
        <v>OK</v>
      </c>
    </row>
    <row r="1490" spans="1:14" x14ac:dyDescent="0.3">
      <c r="A1490">
        <v>75</v>
      </c>
      <c r="B1490">
        <v>2024</v>
      </c>
      <c r="C1490" s="2"/>
      <c r="D1490" s="16"/>
      <c r="E1490" s="11" t="s">
        <v>36</v>
      </c>
      <c r="F1490" s="12" t="s">
        <v>35</v>
      </c>
      <c r="G1490" s="13">
        <v>25</v>
      </c>
      <c r="H1490" s="13">
        <v>25</v>
      </c>
      <c r="I1490" s="13">
        <v>30</v>
      </c>
      <c r="J1490" s="13" t="s">
        <v>136</v>
      </c>
      <c r="K1490" s="13">
        <v>25</v>
      </c>
      <c r="L1490" t="str">
        <f t="shared" si="69"/>
        <v>OK</v>
      </c>
      <c r="M1490" t="str">
        <f t="shared" si="70"/>
        <v>OK</v>
      </c>
      <c r="N1490" t="str">
        <f t="shared" si="71"/>
        <v>ERRO</v>
      </c>
    </row>
    <row r="1491" spans="1:14" x14ac:dyDescent="0.3">
      <c r="A1491">
        <v>75</v>
      </c>
      <c r="B1491">
        <v>2024</v>
      </c>
      <c r="C1491" s="2"/>
      <c r="D1491" s="16"/>
      <c r="E1491" s="11" t="s">
        <v>352</v>
      </c>
      <c r="F1491" s="12" t="s">
        <v>154</v>
      </c>
      <c r="G1491" s="13">
        <v>75</v>
      </c>
      <c r="H1491" s="13">
        <v>75</v>
      </c>
      <c r="I1491" s="13">
        <v>80</v>
      </c>
      <c r="J1491" s="13" t="s">
        <v>158</v>
      </c>
      <c r="K1491" s="13">
        <v>75</v>
      </c>
      <c r="L1491" t="str">
        <f t="shared" si="69"/>
        <v>OK</v>
      </c>
      <c r="M1491" t="str">
        <f t="shared" si="70"/>
        <v>OK</v>
      </c>
      <c r="N1491" t="str">
        <f t="shared" si="71"/>
        <v>ERRO</v>
      </c>
    </row>
    <row r="1492" spans="1:14" x14ac:dyDescent="0.3">
      <c r="A1492">
        <v>75</v>
      </c>
      <c r="B1492">
        <v>2024</v>
      </c>
      <c r="C1492" s="2"/>
      <c r="D1492" s="16"/>
      <c r="E1492" s="11" t="s">
        <v>39</v>
      </c>
      <c r="F1492" s="12" t="s">
        <v>40</v>
      </c>
      <c r="G1492" s="13">
        <v>25</v>
      </c>
      <c r="H1492" s="13">
        <v>25</v>
      </c>
      <c r="I1492" s="13">
        <v>40</v>
      </c>
      <c r="J1492" s="13" t="s">
        <v>456</v>
      </c>
      <c r="K1492" s="13">
        <v>25</v>
      </c>
      <c r="L1492" t="str">
        <f t="shared" si="69"/>
        <v>OK</v>
      </c>
      <c r="M1492" t="str">
        <f t="shared" si="70"/>
        <v>OK</v>
      </c>
      <c r="N1492" t="str">
        <f t="shared" si="71"/>
        <v>ERRO</v>
      </c>
    </row>
    <row r="1493" spans="1:14" x14ac:dyDescent="0.3">
      <c r="A1493">
        <v>75</v>
      </c>
      <c r="B1493">
        <v>2024</v>
      </c>
      <c r="C1493" s="2"/>
      <c r="D1493" s="16"/>
      <c r="E1493" s="11" t="s">
        <v>445</v>
      </c>
      <c r="F1493" s="12" t="s">
        <v>43</v>
      </c>
      <c r="G1493" s="13">
        <v>70</v>
      </c>
      <c r="H1493" s="13">
        <v>45</v>
      </c>
      <c r="I1493" s="13">
        <v>70</v>
      </c>
      <c r="J1493" s="13" t="s">
        <v>268</v>
      </c>
      <c r="K1493" s="13" t="s">
        <v>84</v>
      </c>
      <c r="L1493" t="str">
        <f t="shared" si="69"/>
        <v>OK</v>
      </c>
      <c r="M1493" t="str">
        <f t="shared" si="70"/>
        <v>OK</v>
      </c>
      <c r="N1493" t="str">
        <f t="shared" si="71"/>
        <v>ERRO</v>
      </c>
    </row>
    <row r="1494" spans="1:14" x14ac:dyDescent="0.3">
      <c r="A1494">
        <v>75</v>
      </c>
      <c r="B1494">
        <v>2024</v>
      </c>
      <c r="C1494" s="2"/>
      <c r="D1494" s="16"/>
      <c r="E1494" s="11" t="s">
        <v>44</v>
      </c>
      <c r="F1494" s="12" t="s">
        <v>45</v>
      </c>
      <c r="G1494" s="13">
        <v>50</v>
      </c>
      <c r="H1494" s="13">
        <v>50</v>
      </c>
      <c r="I1494" s="13">
        <v>65</v>
      </c>
      <c r="J1494" s="13">
        <v>56</v>
      </c>
      <c r="K1494" s="13">
        <v>55</v>
      </c>
      <c r="L1494" t="str">
        <f t="shared" si="69"/>
        <v>OK</v>
      </c>
      <c r="M1494" t="str">
        <f t="shared" si="70"/>
        <v>OK</v>
      </c>
      <c r="N1494" t="str">
        <f t="shared" si="71"/>
        <v>OK</v>
      </c>
    </row>
    <row r="1495" spans="1:14" x14ac:dyDescent="0.3">
      <c r="A1495">
        <v>75</v>
      </c>
      <c r="B1495">
        <v>2024</v>
      </c>
      <c r="C1495" s="2"/>
      <c r="D1495" s="16"/>
      <c r="E1495" s="11" t="s">
        <v>48</v>
      </c>
      <c r="F1495" s="12" t="s">
        <v>45</v>
      </c>
      <c r="G1495" s="13">
        <v>45</v>
      </c>
      <c r="H1495" s="12"/>
      <c r="I1495" s="13">
        <v>80</v>
      </c>
      <c r="J1495" s="13" t="s">
        <v>102</v>
      </c>
      <c r="K1495" s="13">
        <v>75</v>
      </c>
      <c r="L1495" t="str">
        <f t="shared" si="69"/>
        <v>OK</v>
      </c>
      <c r="M1495" t="str">
        <f t="shared" si="70"/>
        <v>OK</v>
      </c>
      <c r="N1495" t="str">
        <f t="shared" si="71"/>
        <v>ERRO</v>
      </c>
    </row>
    <row r="1496" spans="1:14" x14ac:dyDescent="0.3">
      <c r="A1496">
        <v>75</v>
      </c>
      <c r="B1496">
        <v>2024</v>
      </c>
      <c r="C1496" s="2"/>
      <c r="D1496" s="16"/>
      <c r="E1496" s="11" t="s">
        <v>49</v>
      </c>
      <c r="F1496" s="12" t="s">
        <v>50</v>
      </c>
      <c r="G1496" s="13">
        <v>50</v>
      </c>
      <c r="H1496" s="13">
        <v>50</v>
      </c>
      <c r="I1496" s="13">
        <v>65</v>
      </c>
      <c r="J1496" s="13" t="s">
        <v>41</v>
      </c>
      <c r="K1496" s="13" t="s">
        <v>55</v>
      </c>
      <c r="L1496" t="str">
        <f t="shared" si="69"/>
        <v>OK</v>
      </c>
      <c r="M1496" t="str">
        <f t="shared" si="70"/>
        <v>OK</v>
      </c>
      <c r="N1496" t="str">
        <f t="shared" si="71"/>
        <v>ERRO</v>
      </c>
    </row>
    <row r="1497" spans="1:14" x14ac:dyDescent="0.3">
      <c r="A1497">
        <v>75</v>
      </c>
      <c r="B1497">
        <v>2024</v>
      </c>
      <c r="C1497" s="2"/>
      <c r="D1497" s="16"/>
      <c r="E1497" s="11" t="s">
        <v>52</v>
      </c>
      <c r="F1497" s="12" t="s">
        <v>43</v>
      </c>
      <c r="G1497" s="13">
        <v>45</v>
      </c>
      <c r="H1497" s="13">
        <v>40</v>
      </c>
      <c r="I1497" s="13">
        <v>60</v>
      </c>
      <c r="J1497" s="13" t="s">
        <v>457</v>
      </c>
      <c r="K1497" s="13">
        <v>45</v>
      </c>
      <c r="L1497" t="str">
        <f t="shared" si="69"/>
        <v>OK</v>
      </c>
      <c r="M1497" t="str">
        <f t="shared" si="70"/>
        <v>OK</v>
      </c>
      <c r="N1497" t="str">
        <f t="shared" si="71"/>
        <v>ERRO</v>
      </c>
    </row>
    <row r="1498" spans="1:14" x14ac:dyDescent="0.3">
      <c r="A1498">
        <v>75</v>
      </c>
      <c r="B1498">
        <v>2024</v>
      </c>
      <c r="C1498" s="2"/>
      <c r="D1498" s="16"/>
      <c r="E1498" s="11" t="s">
        <v>53</v>
      </c>
      <c r="F1498" s="12" t="s">
        <v>43</v>
      </c>
      <c r="G1498" s="13">
        <v>40</v>
      </c>
      <c r="H1498" s="13">
        <v>55</v>
      </c>
      <c r="I1498" s="13">
        <v>55</v>
      </c>
      <c r="J1498" s="13" t="s">
        <v>458</v>
      </c>
      <c r="K1498" s="13">
        <v>55</v>
      </c>
      <c r="L1498" t="str">
        <f t="shared" si="69"/>
        <v>OK</v>
      </c>
      <c r="M1498" t="str">
        <f t="shared" si="70"/>
        <v>OK</v>
      </c>
      <c r="N1498" t="str">
        <f t="shared" si="71"/>
        <v>ERRO</v>
      </c>
    </row>
    <row r="1499" spans="1:14" x14ac:dyDescent="0.3">
      <c r="A1499">
        <v>75</v>
      </c>
      <c r="B1499">
        <v>2024</v>
      </c>
      <c r="C1499" s="2"/>
      <c r="D1499" s="16"/>
      <c r="E1499" s="11" t="s">
        <v>54</v>
      </c>
      <c r="F1499" s="12" t="s">
        <v>40</v>
      </c>
      <c r="G1499" s="13">
        <v>100</v>
      </c>
      <c r="H1499" s="13">
        <v>120</v>
      </c>
      <c r="I1499" s="13">
        <v>130</v>
      </c>
      <c r="J1499" s="13">
        <v>116</v>
      </c>
      <c r="K1499" s="13">
        <v>120</v>
      </c>
      <c r="L1499" t="str">
        <f t="shared" si="69"/>
        <v>OK</v>
      </c>
      <c r="M1499" t="str">
        <f t="shared" si="70"/>
        <v>ERRO</v>
      </c>
      <c r="N1499" t="str">
        <f t="shared" si="71"/>
        <v>OK</v>
      </c>
    </row>
    <row r="1500" spans="1:14" x14ac:dyDescent="0.3">
      <c r="A1500">
        <v>75</v>
      </c>
      <c r="B1500">
        <v>2024</v>
      </c>
      <c r="C1500" s="2"/>
      <c r="D1500" s="16"/>
      <c r="E1500" s="11" t="s">
        <v>56</v>
      </c>
      <c r="F1500" s="12" t="s">
        <v>43</v>
      </c>
      <c r="G1500" s="13">
        <v>55</v>
      </c>
      <c r="H1500" s="12"/>
      <c r="I1500" s="13">
        <v>55</v>
      </c>
      <c r="J1500" s="13">
        <v>55</v>
      </c>
      <c r="K1500" s="13">
        <v>55</v>
      </c>
      <c r="L1500" t="str">
        <f t="shared" si="69"/>
        <v>OK</v>
      </c>
      <c r="M1500" t="str">
        <f t="shared" si="70"/>
        <v>OK</v>
      </c>
      <c r="N1500" t="str">
        <f t="shared" si="71"/>
        <v>OK</v>
      </c>
    </row>
    <row r="1501" spans="1:14" x14ac:dyDescent="0.3">
      <c r="A1501">
        <v>75</v>
      </c>
      <c r="B1501">
        <v>2024</v>
      </c>
      <c r="C1501" s="2"/>
      <c r="D1501" s="16"/>
      <c r="E1501" s="11" t="s">
        <v>57</v>
      </c>
      <c r="F1501" s="12" t="s">
        <v>40</v>
      </c>
      <c r="G1501" s="13">
        <v>60</v>
      </c>
      <c r="H1501" s="13">
        <v>50</v>
      </c>
      <c r="I1501" s="13">
        <v>85</v>
      </c>
      <c r="J1501" s="13">
        <v>60</v>
      </c>
      <c r="K1501" s="13" t="s">
        <v>286</v>
      </c>
      <c r="L1501" t="str">
        <f t="shared" si="69"/>
        <v>OK</v>
      </c>
      <c r="M1501" t="str">
        <f t="shared" si="70"/>
        <v>OK</v>
      </c>
      <c r="N1501" t="str">
        <f t="shared" si="71"/>
        <v>OK</v>
      </c>
    </row>
    <row r="1502" spans="1:14" x14ac:dyDescent="0.3">
      <c r="A1502">
        <v>75</v>
      </c>
      <c r="B1502">
        <v>2024</v>
      </c>
      <c r="C1502" s="2"/>
      <c r="D1502" s="16"/>
      <c r="E1502" s="11" t="s">
        <v>58</v>
      </c>
      <c r="F1502" s="12" t="s">
        <v>40</v>
      </c>
      <c r="G1502" s="13">
        <v>75</v>
      </c>
      <c r="H1502" s="12"/>
      <c r="I1502" s="13">
        <v>100</v>
      </c>
      <c r="J1502" s="13" t="s">
        <v>239</v>
      </c>
      <c r="K1502" s="13" t="s">
        <v>239</v>
      </c>
      <c r="L1502" t="str">
        <f t="shared" si="69"/>
        <v>OK</v>
      </c>
      <c r="M1502" t="str">
        <f t="shared" si="70"/>
        <v>OK</v>
      </c>
      <c r="N1502" t="str">
        <f t="shared" si="71"/>
        <v>ERRO</v>
      </c>
    </row>
    <row r="1503" spans="1:14" x14ac:dyDescent="0.3">
      <c r="A1503">
        <v>75</v>
      </c>
      <c r="B1503">
        <v>2024</v>
      </c>
      <c r="C1503" s="2"/>
      <c r="D1503" s="16"/>
      <c r="E1503" s="11" t="s">
        <v>59</v>
      </c>
      <c r="F1503" s="12" t="s">
        <v>45</v>
      </c>
      <c r="G1503" s="13">
        <v>40</v>
      </c>
      <c r="H1503" s="13">
        <v>50</v>
      </c>
      <c r="I1503" s="13">
        <v>70</v>
      </c>
      <c r="J1503" s="13" t="s">
        <v>459</v>
      </c>
      <c r="K1503" s="13">
        <v>50</v>
      </c>
      <c r="L1503" t="str">
        <f t="shared" si="69"/>
        <v>OK</v>
      </c>
      <c r="M1503" t="str">
        <f t="shared" si="70"/>
        <v>OK</v>
      </c>
      <c r="N1503" t="str">
        <f t="shared" si="71"/>
        <v>ERRO</v>
      </c>
    </row>
    <row r="1504" spans="1:14" x14ac:dyDescent="0.3">
      <c r="A1504">
        <v>75</v>
      </c>
      <c r="B1504">
        <v>2024</v>
      </c>
      <c r="C1504" s="2"/>
      <c r="D1504" s="16"/>
      <c r="E1504" s="11" t="s">
        <v>60</v>
      </c>
      <c r="F1504" s="12" t="s">
        <v>61</v>
      </c>
      <c r="G1504" s="13">
        <v>180</v>
      </c>
      <c r="H1504" s="13">
        <v>150</v>
      </c>
      <c r="I1504" s="13">
        <v>180</v>
      </c>
      <c r="J1504" s="13" t="s">
        <v>460</v>
      </c>
      <c r="K1504" s="13">
        <v>165</v>
      </c>
      <c r="L1504" t="str">
        <f t="shared" si="69"/>
        <v>OK</v>
      </c>
      <c r="M1504" t="str">
        <f t="shared" si="70"/>
        <v>OK</v>
      </c>
      <c r="N1504" t="str">
        <f t="shared" si="71"/>
        <v>ERRO</v>
      </c>
    </row>
    <row r="1505" spans="1:14" x14ac:dyDescent="0.3">
      <c r="A1505">
        <v>75</v>
      </c>
      <c r="B1505">
        <v>2024</v>
      </c>
      <c r="C1505" s="2"/>
      <c r="D1505" s="16"/>
      <c r="E1505" s="11" t="s">
        <v>63</v>
      </c>
      <c r="F1505" s="12" t="s">
        <v>40</v>
      </c>
      <c r="G1505" s="13">
        <v>60</v>
      </c>
      <c r="H1505" s="13">
        <v>70</v>
      </c>
      <c r="I1505" s="13">
        <v>80</v>
      </c>
      <c r="J1505" s="13" t="s">
        <v>130</v>
      </c>
      <c r="K1505" s="13">
        <v>70</v>
      </c>
      <c r="L1505" t="str">
        <f t="shared" si="69"/>
        <v>OK</v>
      </c>
      <c r="M1505" t="str">
        <f t="shared" si="70"/>
        <v>OK</v>
      </c>
      <c r="N1505" t="str">
        <f t="shared" si="71"/>
        <v>ERRO</v>
      </c>
    </row>
    <row r="1506" spans="1:14" x14ac:dyDescent="0.3">
      <c r="A1506">
        <v>75</v>
      </c>
      <c r="B1506">
        <v>2024</v>
      </c>
      <c r="C1506" s="2"/>
      <c r="D1506" s="16"/>
      <c r="E1506" s="11" t="s">
        <v>64</v>
      </c>
      <c r="F1506" s="12" t="s">
        <v>40</v>
      </c>
      <c r="G1506" s="13">
        <v>80</v>
      </c>
      <c r="H1506" s="12"/>
      <c r="I1506" s="13">
        <v>120</v>
      </c>
      <c r="J1506" s="13">
        <v>95</v>
      </c>
      <c r="K1506" s="13" t="s">
        <v>156</v>
      </c>
      <c r="L1506" t="str">
        <f t="shared" si="69"/>
        <v>OK</v>
      </c>
      <c r="M1506" t="str">
        <f t="shared" si="70"/>
        <v>OK</v>
      </c>
      <c r="N1506" t="str">
        <f t="shared" si="71"/>
        <v>OK</v>
      </c>
    </row>
    <row r="1507" spans="1:14" x14ac:dyDescent="0.3">
      <c r="A1507">
        <v>75</v>
      </c>
      <c r="B1507">
        <v>2024</v>
      </c>
      <c r="C1507" s="2"/>
      <c r="D1507" s="16"/>
      <c r="E1507" s="11" t="s">
        <v>66</v>
      </c>
      <c r="F1507" s="12" t="s">
        <v>45</v>
      </c>
      <c r="G1507" s="12"/>
      <c r="H1507" s="12"/>
      <c r="I1507" s="12"/>
      <c r="J1507" s="12"/>
      <c r="K1507" s="12"/>
      <c r="L1507" t="str">
        <f t="shared" si="69"/>
        <v>OK</v>
      </c>
      <c r="M1507" t="str">
        <f t="shared" si="70"/>
        <v>OK</v>
      </c>
      <c r="N1507" t="str">
        <f t="shared" si="71"/>
        <v>OK</v>
      </c>
    </row>
    <row r="1508" spans="1:14" x14ac:dyDescent="0.3">
      <c r="A1508">
        <v>75</v>
      </c>
      <c r="B1508">
        <v>2024</v>
      </c>
      <c r="C1508" s="2"/>
      <c r="D1508" s="16"/>
      <c r="E1508" s="11" t="s">
        <v>67</v>
      </c>
      <c r="F1508" s="12" t="s">
        <v>45</v>
      </c>
      <c r="G1508" s="12"/>
      <c r="H1508" s="12"/>
      <c r="I1508" s="12"/>
      <c r="J1508" s="12"/>
      <c r="K1508" s="12"/>
      <c r="L1508" t="str">
        <f t="shared" si="69"/>
        <v>OK</v>
      </c>
      <c r="M1508" t="str">
        <f t="shared" si="70"/>
        <v>OK</v>
      </c>
      <c r="N1508" t="str">
        <f t="shared" si="71"/>
        <v>OK</v>
      </c>
    </row>
    <row r="1509" spans="1:14" x14ac:dyDescent="0.3">
      <c r="A1509">
        <v>75</v>
      </c>
      <c r="B1509">
        <v>2024</v>
      </c>
      <c r="C1509" s="2"/>
      <c r="D1509" s="16"/>
      <c r="E1509" s="11" t="s">
        <v>68</v>
      </c>
      <c r="F1509" s="12" t="s">
        <v>45</v>
      </c>
      <c r="G1509" s="12"/>
      <c r="H1509" s="12"/>
      <c r="I1509" s="12"/>
      <c r="J1509" s="12"/>
      <c r="K1509" s="12"/>
      <c r="L1509" t="str">
        <f t="shared" si="69"/>
        <v>OK</v>
      </c>
      <c r="M1509" t="str">
        <f t="shared" si="70"/>
        <v>OK</v>
      </c>
      <c r="N1509" t="str">
        <f t="shared" si="71"/>
        <v>OK</v>
      </c>
    </row>
    <row r="1510" spans="1:14" x14ac:dyDescent="0.3">
      <c r="A1510">
        <v>75</v>
      </c>
      <c r="B1510">
        <v>2024</v>
      </c>
      <c r="C1510" s="2"/>
      <c r="D1510" s="16"/>
      <c r="E1510" s="11" t="s">
        <v>69</v>
      </c>
      <c r="F1510" s="12" t="s">
        <v>45</v>
      </c>
      <c r="G1510" s="12"/>
      <c r="H1510" s="12"/>
      <c r="I1510" s="12"/>
      <c r="J1510" s="12"/>
      <c r="K1510" s="12"/>
      <c r="L1510" t="str">
        <f t="shared" si="69"/>
        <v>OK</v>
      </c>
      <c r="M1510" t="str">
        <f t="shared" si="70"/>
        <v>OK</v>
      </c>
      <c r="N1510" t="str">
        <f t="shared" si="71"/>
        <v>OK</v>
      </c>
    </row>
    <row r="1511" spans="1:14" x14ac:dyDescent="0.3">
      <c r="A1511">
        <v>75</v>
      </c>
      <c r="B1511">
        <v>2024</v>
      </c>
      <c r="C1511" s="2"/>
      <c r="D1511" s="16"/>
      <c r="E1511" s="11" t="s">
        <v>70</v>
      </c>
      <c r="F1511" s="12" t="s">
        <v>71</v>
      </c>
      <c r="G1511" s="12"/>
      <c r="H1511" s="12"/>
      <c r="I1511" s="12"/>
      <c r="J1511" s="12"/>
      <c r="K1511" s="12"/>
      <c r="L1511" t="str">
        <f t="shared" si="69"/>
        <v>OK</v>
      </c>
      <c r="M1511" t="str">
        <f t="shared" si="70"/>
        <v>OK</v>
      </c>
      <c r="N1511" t="str">
        <f t="shared" si="71"/>
        <v>OK</v>
      </c>
    </row>
    <row r="1512" spans="1:14" x14ac:dyDescent="0.3">
      <c r="A1512">
        <v>76</v>
      </c>
      <c r="B1512">
        <v>2024</v>
      </c>
      <c r="C1512" s="2">
        <v>45597</v>
      </c>
      <c r="E1512" t="s">
        <v>12</v>
      </c>
      <c r="F1512" t="s">
        <v>13</v>
      </c>
      <c r="G1512" t="s">
        <v>463</v>
      </c>
      <c r="H1512" t="s">
        <v>463</v>
      </c>
      <c r="I1512" t="s">
        <v>464</v>
      </c>
      <c r="J1512" t="s">
        <v>465</v>
      </c>
      <c r="K1512" t="s">
        <v>465</v>
      </c>
      <c r="L1512" t="str">
        <f t="shared" si="69"/>
        <v>OK</v>
      </c>
      <c r="M1512" t="str">
        <f t="shared" si="70"/>
        <v>OK</v>
      </c>
      <c r="N1512" t="str">
        <f t="shared" si="71"/>
        <v>OK</v>
      </c>
    </row>
    <row r="1513" spans="1:14" x14ac:dyDescent="0.3">
      <c r="A1513">
        <v>76</v>
      </c>
      <c r="B1513">
        <v>2024</v>
      </c>
      <c r="C1513" s="2">
        <v>45597</v>
      </c>
      <c r="E1513" t="s">
        <v>14</v>
      </c>
      <c r="F1513" t="s">
        <v>13</v>
      </c>
      <c r="G1513" t="s">
        <v>466</v>
      </c>
      <c r="H1513" t="s">
        <v>464</v>
      </c>
      <c r="I1513" t="s">
        <v>467</v>
      </c>
      <c r="J1513" t="s">
        <v>466</v>
      </c>
      <c r="K1513" t="s">
        <v>466</v>
      </c>
      <c r="L1513" t="str">
        <f t="shared" si="69"/>
        <v>OK</v>
      </c>
      <c r="M1513" t="str">
        <f t="shared" si="70"/>
        <v>OK</v>
      </c>
      <c r="N1513" t="str">
        <f t="shared" si="71"/>
        <v>OK</v>
      </c>
    </row>
    <row r="1514" spans="1:14" x14ac:dyDescent="0.3">
      <c r="A1514">
        <v>76</v>
      </c>
      <c r="B1514">
        <v>2024</v>
      </c>
      <c r="C1514" s="2">
        <v>45597</v>
      </c>
      <c r="E1514" t="s">
        <v>15</v>
      </c>
      <c r="F1514" t="s">
        <v>13</v>
      </c>
      <c r="G1514" t="s">
        <v>468</v>
      </c>
      <c r="H1514" t="s">
        <v>468</v>
      </c>
      <c r="I1514" t="s">
        <v>469</v>
      </c>
      <c r="J1514" t="s">
        <v>470</v>
      </c>
      <c r="K1514" t="s">
        <v>471</v>
      </c>
      <c r="L1514" t="str">
        <f t="shared" si="69"/>
        <v>OK</v>
      </c>
      <c r="M1514" t="str">
        <f t="shared" si="70"/>
        <v>OK</v>
      </c>
      <c r="N1514" t="str">
        <f t="shared" si="71"/>
        <v>OK</v>
      </c>
    </row>
    <row r="1515" spans="1:14" x14ac:dyDescent="0.3">
      <c r="A1515">
        <v>76</v>
      </c>
      <c r="B1515">
        <v>2024</v>
      </c>
      <c r="C1515" s="2">
        <v>45597</v>
      </c>
      <c r="E1515" t="s">
        <v>16</v>
      </c>
      <c r="F1515" t="s">
        <v>13</v>
      </c>
      <c r="G1515" t="s">
        <v>472</v>
      </c>
      <c r="H1515" t="s">
        <v>473</v>
      </c>
      <c r="I1515" t="s">
        <v>472</v>
      </c>
      <c r="J1515" t="s">
        <v>474</v>
      </c>
      <c r="K1515" t="s">
        <v>472</v>
      </c>
      <c r="L1515" t="str">
        <f t="shared" si="69"/>
        <v>OK</v>
      </c>
      <c r="M1515" t="str">
        <f t="shared" si="70"/>
        <v>OK</v>
      </c>
      <c r="N1515" t="str">
        <f t="shared" si="71"/>
        <v>OK</v>
      </c>
    </row>
    <row r="1516" spans="1:14" x14ac:dyDescent="0.3">
      <c r="A1516">
        <v>76</v>
      </c>
      <c r="B1516">
        <v>2024</v>
      </c>
      <c r="C1516" s="2">
        <v>45597</v>
      </c>
      <c r="E1516" t="s">
        <v>17</v>
      </c>
      <c r="F1516" t="s">
        <v>13</v>
      </c>
      <c r="G1516" t="s">
        <v>472</v>
      </c>
      <c r="H1516" t="s">
        <v>472</v>
      </c>
      <c r="I1516" t="s">
        <v>464</v>
      </c>
      <c r="J1516" t="s">
        <v>471</v>
      </c>
      <c r="K1516" t="s">
        <v>472</v>
      </c>
      <c r="L1516" t="str">
        <f t="shared" si="69"/>
        <v>OK</v>
      </c>
      <c r="M1516" t="str">
        <f t="shared" si="70"/>
        <v>OK</v>
      </c>
      <c r="N1516" t="str">
        <f t="shared" si="71"/>
        <v>OK</v>
      </c>
    </row>
    <row r="1517" spans="1:14" x14ac:dyDescent="0.3">
      <c r="A1517">
        <v>76</v>
      </c>
      <c r="B1517">
        <v>2024</v>
      </c>
      <c r="C1517" s="2">
        <v>45597</v>
      </c>
      <c r="E1517" t="s">
        <v>18</v>
      </c>
      <c r="F1517" t="s">
        <v>13</v>
      </c>
      <c r="G1517" t="s">
        <v>464</v>
      </c>
      <c r="H1517" t="s">
        <v>464</v>
      </c>
      <c r="I1517" t="s">
        <v>464</v>
      </c>
      <c r="J1517" t="s">
        <v>464</v>
      </c>
      <c r="K1517" t="s">
        <v>464</v>
      </c>
      <c r="L1517" t="str">
        <f t="shared" si="69"/>
        <v>OK</v>
      </c>
      <c r="M1517" t="str">
        <f t="shared" si="70"/>
        <v>OK</v>
      </c>
      <c r="N1517" t="str">
        <f t="shared" si="71"/>
        <v>OK</v>
      </c>
    </row>
    <row r="1518" spans="1:14" x14ac:dyDescent="0.3">
      <c r="A1518">
        <v>76</v>
      </c>
      <c r="B1518">
        <v>2024</v>
      </c>
      <c r="C1518" s="2">
        <v>45597</v>
      </c>
      <c r="E1518" t="s">
        <v>19</v>
      </c>
      <c r="F1518" t="s">
        <v>13</v>
      </c>
      <c r="G1518" t="s">
        <v>464</v>
      </c>
      <c r="H1518" t="s">
        <v>464</v>
      </c>
      <c r="I1518" t="s">
        <v>466</v>
      </c>
      <c r="J1518" t="s">
        <v>475</v>
      </c>
      <c r="K1518" t="s">
        <v>464</v>
      </c>
      <c r="L1518" t="str">
        <f t="shared" si="69"/>
        <v>OK</v>
      </c>
      <c r="M1518" t="str">
        <f t="shared" si="70"/>
        <v>OK</v>
      </c>
      <c r="N1518" t="str">
        <f t="shared" si="71"/>
        <v>OK</v>
      </c>
    </row>
    <row r="1519" spans="1:14" x14ac:dyDescent="0.3">
      <c r="A1519">
        <v>76</v>
      </c>
      <c r="B1519">
        <v>2024</v>
      </c>
      <c r="C1519" s="2">
        <v>45597</v>
      </c>
      <c r="E1519" t="s">
        <v>20</v>
      </c>
      <c r="F1519" t="s">
        <v>13</v>
      </c>
      <c r="G1519" t="s">
        <v>466</v>
      </c>
      <c r="H1519" t="s">
        <v>476</v>
      </c>
      <c r="I1519" t="s">
        <v>466</v>
      </c>
      <c r="J1519" t="s">
        <v>477</v>
      </c>
      <c r="K1519" t="s">
        <v>466</v>
      </c>
      <c r="L1519" t="str">
        <f t="shared" si="69"/>
        <v>OK</v>
      </c>
      <c r="M1519" t="str">
        <f t="shared" si="70"/>
        <v>OK</v>
      </c>
      <c r="N1519" t="str">
        <f t="shared" si="71"/>
        <v>OK</v>
      </c>
    </row>
    <row r="1520" spans="1:14" x14ac:dyDescent="0.3">
      <c r="A1520">
        <v>76</v>
      </c>
      <c r="B1520">
        <v>2024</v>
      </c>
      <c r="C1520" s="2">
        <v>45597</v>
      </c>
      <c r="E1520" t="s">
        <v>21</v>
      </c>
      <c r="F1520" t="s">
        <v>13</v>
      </c>
      <c r="G1520" t="s">
        <v>472</v>
      </c>
      <c r="H1520" t="s">
        <v>473</v>
      </c>
      <c r="I1520" t="s">
        <v>472</v>
      </c>
      <c r="J1520" t="s">
        <v>478</v>
      </c>
      <c r="K1520" t="s">
        <v>479</v>
      </c>
      <c r="L1520" t="str">
        <f t="shared" si="69"/>
        <v>OK</v>
      </c>
      <c r="M1520" t="str">
        <f t="shared" si="70"/>
        <v>OK</v>
      </c>
      <c r="N1520" t="str">
        <f t="shared" si="71"/>
        <v>OK</v>
      </c>
    </row>
    <row r="1521" spans="1:14" x14ac:dyDescent="0.3">
      <c r="A1521">
        <v>76</v>
      </c>
      <c r="B1521">
        <v>2024</v>
      </c>
      <c r="C1521" s="2">
        <v>45597</v>
      </c>
      <c r="E1521" t="s">
        <v>73</v>
      </c>
      <c r="F1521" t="s">
        <v>13</v>
      </c>
      <c r="G1521" t="s">
        <v>464</v>
      </c>
      <c r="H1521" t="s">
        <v>464</v>
      </c>
      <c r="I1521" t="s">
        <v>476</v>
      </c>
      <c r="J1521" t="s">
        <v>480</v>
      </c>
      <c r="K1521" t="s">
        <v>464</v>
      </c>
      <c r="L1521" t="str">
        <f t="shared" si="69"/>
        <v>OK</v>
      </c>
      <c r="M1521" t="str">
        <f t="shared" si="70"/>
        <v>OK</v>
      </c>
      <c r="N1521" t="str">
        <f t="shared" si="71"/>
        <v>OK</v>
      </c>
    </row>
    <row r="1522" spans="1:14" x14ac:dyDescent="0.3">
      <c r="A1522">
        <v>76</v>
      </c>
      <c r="B1522">
        <v>2024</v>
      </c>
      <c r="C1522" s="2">
        <v>45597</v>
      </c>
      <c r="E1522" t="s">
        <v>23</v>
      </c>
      <c r="F1522" t="s">
        <v>13</v>
      </c>
      <c r="G1522" t="s">
        <v>472</v>
      </c>
      <c r="H1522" t="s">
        <v>473</v>
      </c>
      <c r="I1522" t="s">
        <v>472</v>
      </c>
      <c r="J1522" t="s">
        <v>474</v>
      </c>
      <c r="K1522" t="s">
        <v>472</v>
      </c>
      <c r="L1522" t="str">
        <f t="shared" si="69"/>
        <v>OK</v>
      </c>
      <c r="M1522" t="str">
        <f t="shared" si="70"/>
        <v>OK</v>
      </c>
      <c r="N1522" t="str">
        <f t="shared" si="71"/>
        <v>OK</v>
      </c>
    </row>
    <row r="1523" spans="1:14" x14ac:dyDescent="0.3">
      <c r="A1523">
        <v>76</v>
      </c>
      <c r="B1523">
        <v>2024</v>
      </c>
      <c r="C1523" s="2">
        <v>45597</v>
      </c>
      <c r="E1523" t="s">
        <v>24</v>
      </c>
      <c r="F1523" t="s">
        <v>13</v>
      </c>
      <c r="G1523" t="s">
        <v>464</v>
      </c>
      <c r="H1523" t="s">
        <v>464</v>
      </c>
      <c r="I1523" t="s">
        <v>466</v>
      </c>
      <c r="J1523" t="s">
        <v>481</v>
      </c>
      <c r="K1523" t="s">
        <v>464</v>
      </c>
      <c r="L1523" t="str">
        <f t="shared" si="69"/>
        <v>OK</v>
      </c>
      <c r="M1523" t="str">
        <f t="shared" si="70"/>
        <v>OK</v>
      </c>
      <c r="N1523" t="str">
        <f t="shared" si="71"/>
        <v>OK</v>
      </c>
    </row>
    <row r="1524" spans="1:14" x14ac:dyDescent="0.3">
      <c r="A1524">
        <v>76</v>
      </c>
      <c r="B1524">
        <v>2024</v>
      </c>
      <c r="C1524" s="2">
        <v>45597</v>
      </c>
      <c r="E1524" t="s">
        <v>25</v>
      </c>
      <c r="F1524" t="s">
        <v>26</v>
      </c>
      <c r="G1524" t="s">
        <v>463</v>
      </c>
      <c r="H1524" t="s">
        <v>463</v>
      </c>
      <c r="I1524" t="s">
        <v>464</v>
      </c>
      <c r="J1524" t="s">
        <v>465</v>
      </c>
      <c r="K1524" t="s">
        <v>465</v>
      </c>
      <c r="L1524" t="str">
        <f t="shared" si="69"/>
        <v>OK</v>
      </c>
      <c r="M1524" t="str">
        <f t="shared" si="70"/>
        <v>OK</v>
      </c>
      <c r="N1524" t="str">
        <f t="shared" si="71"/>
        <v>OK</v>
      </c>
    </row>
    <row r="1525" spans="1:14" x14ac:dyDescent="0.3">
      <c r="A1525">
        <v>76</v>
      </c>
      <c r="B1525">
        <v>2024</v>
      </c>
      <c r="C1525" s="2">
        <v>45597</v>
      </c>
      <c r="E1525" t="s">
        <v>27</v>
      </c>
      <c r="F1525" t="s">
        <v>13</v>
      </c>
      <c r="G1525" t="s">
        <v>466</v>
      </c>
      <c r="H1525" t="s">
        <v>463</v>
      </c>
      <c r="I1525" t="s">
        <v>466</v>
      </c>
      <c r="J1525" t="s">
        <v>475</v>
      </c>
      <c r="K1525" t="s">
        <v>466</v>
      </c>
      <c r="L1525" t="str">
        <f t="shared" si="69"/>
        <v>OK</v>
      </c>
      <c r="M1525" t="str">
        <f t="shared" si="70"/>
        <v>OK</v>
      </c>
      <c r="N1525" t="str">
        <f t="shared" si="71"/>
        <v>OK</v>
      </c>
    </row>
    <row r="1526" spans="1:14" x14ac:dyDescent="0.3">
      <c r="A1526">
        <v>76</v>
      </c>
      <c r="B1526">
        <v>2024</v>
      </c>
      <c r="C1526" s="2">
        <v>45597</v>
      </c>
      <c r="E1526" t="s">
        <v>28</v>
      </c>
      <c r="F1526" t="s">
        <v>13</v>
      </c>
      <c r="G1526" t="s">
        <v>472</v>
      </c>
      <c r="H1526" t="s">
        <v>472</v>
      </c>
      <c r="I1526" t="s">
        <v>468</v>
      </c>
      <c r="J1526" t="s">
        <v>482</v>
      </c>
      <c r="K1526" t="s">
        <v>472</v>
      </c>
      <c r="L1526" t="str">
        <f t="shared" si="69"/>
        <v>OK</v>
      </c>
      <c r="M1526" t="str">
        <f t="shared" si="70"/>
        <v>OK</v>
      </c>
      <c r="N1526" t="str">
        <f t="shared" si="71"/>
        <v>OK</v>
      </c>
    </row>
    <row r="1527" spans="1:14" x14ac:dyDescent="0.3">
      <c r="A1527">
        <v>76</v>
      </c>
      <c r="B1527">
        <v>2024</v>
      </c>
      <c r="C1527" s="2">
        <v>45597</v>
      </c>
      <c r="E1527" t="s">
        <v>29</v>
      </c>
      <c r="F1527" t="s">
        <v>13</v>
      </c>
      <c r="G1527" t="s">
        <v>463</v>
      </c>
      <c r="H1527" t="s">
        <v>463</v>
      </c>
      <c r="I1527" t="s">
        <v>464</v>
      </c>
      <c r="J1527" t="s">
        <v>483</v>
      </c>
      <c r="K1527" t="s">
        <v>463</v>
      </c>
      <c r="L1527" t="str">
        <f t="shared" si="69"/>
        <v>OK</v>
      </c>
      <c r="M1527" t="str">
        <f t="shared" si="70"/>
        <v>OK</v>
      </c>
      <c r="N1527" t="str">
        <f t="shared" si="71"/>
        <v>OK</v>
      </c>
    </row>
    <row r="1528" spans="1:14" x14ac:dyDescent="0.3">
      <c r="A1528">
        <v>76</v>
      </c>
      <c r="B1528">
        <v>2024</v>
      </c>
      <c r="C1528" s="2">
        <v>45597</v>
      </c>
      <c r="E1528" t="s">
        <v>31</v>
      </c>
      <c r="F1528" t="s">
        <v>32</v>
      </c>
      <c r="G1528" t="s">
        <v>484</v>
      </c>
      <c r="H1528" t="s">
        <v>484</v>
      </c>
      <c r="I1528" t="s">
        <v>484</v>
      </c>
      <c r="J1528" t="s">
        <v>484</v>
      </c>
      <c r="K1528" t="s">
        <v>484</v>
      </c>
      <c r="L1528" t="str">
        <f t="shared" si="69"/>
        <v>OK</v>
      </c>
      <c r="M1528" t="str">
        <f t="shared" si="70"/>
        <v>OK</v>
      </c>
      <c r="N1528" t="str">
        <f t="shared" si="71"/>
        <v>OK</v>
      </c>
    </row>
    <row r="1529" spans="1:14" x14ac:dyDescent="0.3">
      <c r="A1529">
        <v>76</v>
      </c>
      <c r="B1529">
        <v>2024</v>
      </c>
      <c r="C1529" s="2">
        <v>45597</v>
      </c>
      <c r="E1529" t="s">
        <v>34</v>
      </c>
      <c r="F1529" t="s">
        <v>35</v>
      </c>
      <c r="G1529" t="s">
        <v>485</v>
      </c>
      <c r="H1529" t="s">
        <v>486</v>
      </c>
      <c r="I1529" t="s">
        <v>485</v>
      </c>
      <c r="J1529" t="s">
        <v>487</v>
      </c>
      <c r="K1529" t="s">
        <v>485</v>
      </c>
      <c r="L1529" t="str">
        <f t="shared" si="69"/>
        <v>OK</v>
      </c>
      <c r="M1529" t="str">
        <f t="shared" si="70"/>
        <v>OK</v>
      </c>
      <c r="N1529" t="str">
        <f t="shared" si="71"/>
        <v>OK</v>
      </c>
    </row>
    <row r="1530" spans="1:14" x14ac:dyDescent="0.3">
      <c r="A1530">
        <v>76</v>
      </c>
      <c r="B1530">
        <v>2024</v>
      </c>
      <c r="C1530" s="2">
        <v>45597</v>
      </c>
      <c r="E1530" t="s">
        <v>36</v>
      </c>
      <c r="F1530" t="s">
        <v>35</v>
      </c>
      <c r="G1530" t="s">
        <v>468</v>
      </c>
      <c r="H1530" t="s">
        <v>488</v>
      </c>
      <c r="I1530" t="s">
        <v>468</v>
      </c>
      <c r="J1530" t="s">
        <v>489</v>
      </c>
      <c r="K1530" t="s">
        <v>490</v>
      </c>
      <c r="L1530" t="str">
        <f t="shared" si="69"/>
        <v>OK</v>
      </c>
      <c r="M1530" t="str">
        <f t="shared" si="70"/>
        <v>OK</v>
      </c>
      <c r="N1530" t="str">
        <f t="shared" si="71"/>
        <v>OK</v>
      </c>
    </row>
    <row r="1531" spans="1:14" x14ac:dyDescent="0.3">
      <c r="A1531">
        <v>76</v>
      </c>
      <c r="B1531">
        <v>2024</v>
      </c>
      <c r="C1531" s="2">
        <v>45597</v>
      </c>
      <c r="E1531" t="s">
        <v>153</v>
      </c>
      <c r="F1531" t="s">
        <v>154</v>
      </c>
      <c r="H1531" t="s">
        <v>491</v>
      </c>
      <c r="I1531" t="s">
        <v>492</v>
      </c>
      <c r="J1531" t="s">
        <v>493</v>
      </c>
      <c r="K1531" t="s">
        <v>493</v>
      </c>
      <c r="L1531" t="str">
        <f t="shared" si="69"/>
        <v>OK</v>
      </c>
      <c r="M1531" t="str">
        <f t="shared" si="70"/>
        <v>OK</v>
      </c>
      <c r="N1531" t="str">
        <f t="shared" si="71"/>
        <v>OK</v>
      </c>
    </row>
    <row r="1532" spans="1:14" x14ac:dyDescent="0.3">
      <c r="A1532">
        <v>76</v>
      </c>
      <c r="B1532">
        <v>2024</v>
      </c>
      <c r="C1532" s="2">
        <v>45597</v>
      </c>
      <c r="E1532" t="s">
        <v>39</v>
      </c>
      <c r="F1532" t="s">
        <v>40</v>
      </c>
      <c r="G1532" t="s">
        <v>494</v>
      </c>
      <c r="H1532" t="s">
        <v>468</v>
      </c>
      <c r="I1532" t="s">
        <v>494</v>
      </c>
      <c r="J1532" t="s">
        <v>495</v>
      </c>
      <c r="K1532" t="s">
        <v>494</v>
      </c>
      <c r="L1532" t="str">
        <f t="shared" si="69"/>
        <v>OK</v>
      </c>
      <c r="M1532" t="str">
        <f t="shared" si="70"/>
        <v>OK</v>
      </c>
      <c r="N1532" t="str">
        <f t="shared" si="71"/>
        <v>OK</v>
      </c>
    </row>
    <row r="1533" spans="1:14" x14ac:dyDescent="0.3">
      <c r="A1533">
        <v>76</v>
      </c>
      <c r="B1533">
        <v>2024</v>
      </c>
      <c r="C1533" s="2">
        <v>45597</v>
      </c>
      <c r="E1533" t="s">
        <v>42</v>
      </c>
      <c r="F1533" t="s">
        <v>43</v>
      </c>
      <c r="H1533" t="s">
        <v>496</v>
      </c>
      <c r="I1533" t="s">
        <v>476</v>
      </c>
      <c r="J1533" t="s">
        <v>464</v>
      </c>
      <c r="K1533" t="s">
        <v>497</v>
      </c>
      <c r="L1533" t="str">
        <f t="shared" si="69"/>
        <v>OK</v>
      </c>
      <c r="M1533" t="str">
        <f t="shared" si="70"/>
        <v>OK</v>
      </c>
      <c r="N1533" t="str">
        <f t="shared" si="71"/>
        <v>OK</v>
      </c>
    </row>
    <row r="1534" spans="1:14" x14ac:dyDescent="0.3">
      <c r="A1534">
        <v>76</v>
      </c>
      <c r="B1534">
        <v>2024</v>
      </c>
      <c r="C1534" s="2">
        <v>45597</v>
      </c>
      <c r="E1534" t="s">
        <v>44</v>
      </c>
      <c r="F1534" t="s">
        <v>45</v>
      </c>
      <c r="H1534" t="s">
        <v>496</v>
      </c>
      <c r="I1534" t="s">
        <v>464</v>
      </c>
      <c r="J1534" t="s">
        <v>498</v>
      </c>
      <c r="K1534" t="s">
        <v>499</v>
      </c>
      <c r="L1534" t="str">
        <f t="shared" si="69"/>
        <v>OK</v>
      </c>
      <c r="M1534" t="str">
        <f t="shared" si="70"/>
        <v>OK</v>
      </c>
      <c r="N1534" t="str">
        <f t="shared" si="71"/>
        <v>OK</v>
      </c>
    </row>
    <row r="1535" spans="1:14" x14ac:dyDescent="0.3">
      <c r="A1535">
        <v>76</v>
      </c>
      <c r="B1535">
        <v>2024</v>
      </c>
      <c r="C1535" s="2">
        <v>45597</v>
      </c>
      <c r="E1535" t="s">
        <v>48</v>
      </c>
      <c r="F1535" t="s">
        <v>45</v>
      </c>
      <c r="H1535" t="s">
        <v>464</v>
      </c>
      <c r="I1535" t="s">
        <v>464</v>
      </c>
      <c r="J1535" t="s">
        <v>464</v>
      </c>
      <c r="K1535" t="s">
        <v>464</v>
      </c>
      <c r="L1535" t="str">
        <f t="shared" si="69"/>
        <v>OK</v>
      </c>
      <c r="M1535" t="str">
        <f t="shared" si="70"/>
        <v>OK</v>
      </c>
      <c r="N1535" t="str">
        <f t="shared" si="71"/>
        <v>OK</v>
      </c>
    </row>
    <row r="1536" spans="1:14" x14ac:dyDescent="0.3">
      <c r="A1536">
        <v>76</v>
      </c>
      <c r="B1536">
        <v>2024</v>
      </c>
      <c r="C1536" s="2">
        <v>45597</v>
      </c>
      <c r="E1536" t="s">
        <v>49</v>
      </c>
      <c r="F1536" t="s">
        <v>50</v>
      </c>
      <c r="G1536" t="s">
        <v>499</v>
      </c>
      <c r="H1536" t="s">
        <v>499</v>
      </c>
      <c r="I1536" t="s">
        <v>500</v>
      </c>
      <c r="J1536" t="s">
        <v>501</v>
      </c>
      <c r="K1536" t="s">
        <v>502</v>
      </c>
      <c r="L1536" t="str">
        <f t="shared" si="69"/>
        <v>OK</v>
      </c>
      <c r="M1536" t="str">
        <f t="shared" si="70"/>
        <v>OK</v>
      </c>
      <c r="N1536" t="str">
        <f t="shared" si="71"/>
        <v>OK</v>
      </c>
    </row>
    <row r="1537" spans="1:14" x14ac:dyDescent="0.3">
      <c r="A1537">
        <v>76</v>
      </c>
      <c r="B1537">
        <v>2024</v>
      </c>
      <c r="C1537" s="2">
        <v>45597</v>
      </c>
      <c r="E1537" t="s">
        <v>52</v>
      </c>
      <c r="F1537" t="s">
        <v>43</v>
      </c>
      <c r="G1537" t="s">
        <v>502</v>
      </c>
      <c r="H1537" t="s">
        <v>503</v>
      </c>
      <c r="I1537" t="s">
        <v>502</v>
      </c>
      <c r="J1537" t="s">
        <v>504</v>
      </c>
      <c r="K1537" t="s">
        <v>499</v>
      </c>
      <c r="L1537" t="str">
        <f t="shared" si="69"/>
        <v>OK</v>
      </c>
      <c r="M1537" t="str">
        <f t="shared" si="70"/>
        <v>OK</v>
      </c>
      <c r="N1537" t="str">
        <f t="shared" si="71"/>
        <v>OK</v>
      </c>
    </row>
    <row r="1538" spans="1:14" x14ac:dyDescent="0.3">
      <c r="A1538">
        <v>76</v>
      </c>
      <c r="B1538">
        <v>2024</v>
      </c>
      <c r="C1538" s="2">
        <v>45597</v>
      </c>
      <c r="E1538" t="s">
        <v>53</v>
      </c>
      <c r="F1538" t="s">
        <v>43</v>
      </c>
      <c r="G1538" t="s">
        <v>499</v>
      </c>
      <c r="H1538" t="s">
        <v>499</v>
      </c>
      <c r="I1538" t="s">
        <v>491</v>
      </c>
      <c r="J1538" t="s">
        <v>505</v>
      </c>
      <c r="K1538" t="s">
        <v>506</v>
      </c>
      <c r="L1538" t="str">
        <f t="shared" si="69"/>
        <v>OK</v>
      </c>
      <c r="M1538" t="str">
        <f t="shared" si="70"/>
        <v>OK</v>
      </c>
      <c r="N1538" t="str">
        <f t="shared" si="71"/>
        <v>OK</v>
      </c>
    </row>
    <row r="1539" spans="1:14" x14ac:dyDescent="0.3">
      <c r="A1539">
        <v>76</v>
      </c>
      <c r="B1539">
        <v>2024</v>
      </c>
      <c r="C1539" s="2">
        <v>45597</v>
      </c>
      <c r="E1539" t="s">
        <v>54</v>
      </c>
      <c r="F1539" t="s">
        <v>40</v>
      </c>
      <c r="H1539" t="s">
        <v>492</v>
      </c>
      <c r="I1539" t="s">
        <v>507</v>
      </c>
      <c r="J1539" t="s">
        <v>508</v>
      </c>
      <c r="K1539" t="s">
        <v>509</v>
      </c>
      <c r="L1539" t="str">
        <f t="shared" ref="L1539:L1602" si="72">IF(H1539&gt;I1539,"ERRO","OK")</f>
        <v>ERRO</v>
      </c>
      <c r="M1539" t="str">
        <f t="shared" ref="M1539:M1602" si="73">IF(H1539&gt;J1539,"ERRO","OK")</f>
        <v>ERRO</v>
      </c>
      <c r="N1539" t="str">
        <f t="shared" ref="N1539:N1602" si="74">IF(I1539&lt;J1539,"ERRO","OK")</f>
        <v>OK</v>
      </c>
    </row>
    <row r="1540" spans="1:14" x14ac:dyDescent="0.3">
      <c r="A1540">
        <v>76</v>
      </c>
      <c r="B1540">
        <v>2024</v>
      </c>
      <c r="C1540" s="2">
        <v>45597</v>
      </c>
      <c r="E1540" t="s">
        <v>56</v>
      </c>
      <c r="F1540" t="s">
        <v>43</v>
      </c>
      <c r="H1540" t="s">
        <v>499</v>
      </c>
      <c r="I1540" t="s">
        <v>464</v>
      </c>
      <c r="J1540" t="s">
        <v>502</v>
      </c>
      <c r="K1540" t="s">
        <v>502</v>
      </c>
      <c r="L1540" t="str">
        <f t="shared" si="72"/>
        <v>OK</v>
      </c>
      <c r="M1540" t="str">
        <f t="shared" si="73"/>
        <v>OK</v>
      </c>
      <c r="N1540" t="str">
        <f t="shared" si="74"/>
        <v>OK</v>
      </c>
    </row>
    <row r="1541" spans="1:14" x14ac:dyDescent="0.3">
      <c r="A1541">
        <v>76</v>
      </c>
      <c r="B1541">
        <v>2024</v>
      </c>
      <c r="C1541" s="2">
        <v>45597</v>
      </c>
      <c r="E1541" t="s">
        <v>57</v>
      </c>
      <c r="F1541" t="s">
        <v>40</v>
      </c>
      <c r="G1541" t="s">
        <v>499</v>
      </c>
      <c r="H1541" t="s">
        <v>503</v>
      </c>
      <c r="I1541" t="s">
        <v>499</v>
      </c>
      <c r="J1541" t="s">
        <v>510</v>
      </c>
      <c r="K1541" t="s">
        <v>499</v>
      </c>
      <c r="L1541" t="str">
        <f t="shared" si="72"/>
        <v>OK</v>
      </c>
      <c r="M1541" t="str">
        <f t="shared" si="73"/>
        <v>OK</v>
      </c>
      <c r="N1541" t="str">
        <f t="shared" si="74"/>
        <v>OK</v>
      </c>
    </row>
    <row r="1542" spans="1:14" x14ac:dyDescent="0.3">
      <c r="A1542">
        <v>76</v>
      </c>
      <c r="B1542">
        <v>2024</v>
      </c>
      <c r="C1542" s="2">
        <v>45597</v>
      </c>
      <c r="E1542" t="s">
        <v>58</v>
      </c>
      <c r="F1542" t="s">
        <v>40</v>
      </c>
      <c r="G1542" t="s">
        <v>476</v>
      </c>
      <c r="H1542" t="s">
        <v>500</v>
      </c>
      <c r="I1542" t="s">
        <v>511</v>
      </c>
      <c r="J1542" t="s">
        <v>512</v>
      </c>
      <c r="K1542" t="s">
        <v>476</v>
      </c>
      <c r="L1542" t="str">
        <f t="shared" si="72"/>
        <v>OK</v>
      </c>
      <c r="M1542" t="str">
        <f t="shared" si="73"/>
        <v>OK</v>
      </c>
      <c r="N1542" t="str">
        <f t="shared" si="74"/>
        <v>OK</v>
      </c>
    </row>
    <row r="1543" spans="1:14" x14ac:dyDescent="0.3">
      <c r="A1543">
        <v>76</v>
      </c>
      <c r="B1543">
        <v>2024</v>
      </c>
      <c r="C1543" s="2">
        <v>45597</v>
      </c>
      <c r="E1543" t="s">
        <v>59</v>
      </c>
      <c r="F1543" t="s">
        <v>45</v>
      </c>
      <c r="G1543" t="s">
        <v>499</v>
      </c>
      <c r="H1543" t="s">
        <v>503</v>
      </c>
      <c r="I1543" t="s">
        <v>499</v>
      </c>
      <c r="J1543" t="s">
        <v>513</v>
      </c>
      <c r="K1543" t="s">
        <v>510</v>
      </c>
      <c r="L1543" t="str">
        <f t="shared" si="72"/>
        <v>OK</v>
      </c>
      <c r="M1543" t="str">
        <f t="shared" si="73"/>
        <v>OK</v>
      </c>
      <c r="N1543" t="str">
        <f t="shared" si="74"/>
        <v>OK</v>
      </c>
    </row>
    <row r="1544" spans="1:14" x14ac:dyDescent="0.3">
      <c r="A1544">
        <v>76</v>
      </c>
      <c r="B1544">
        <v>2024</v>
      </c>
      <c r="C1544" s="2">
        <v>45597</v>
      </c>
      <c r="E1544" t="s">
        <v>60</v>
      </c>
      <c r="F1544" t="s">
        <v>61</v>
      </c>
      <c r="H1544" t="s">
        <v>514</v>
      </c>
      <c r="I1544" t="s">
        <v>515</v>
      </c>
      <c r="J1544" t="s">
        <v>516</v>
      </c>
      <c r="K1544" t="s">
        <v>517</v>
      </c>
      <c r="L1544" t="str">
        <f t="shared" si="72"/>
        <v>OK</v>
      </c>
      <c r="M1544" t="str">
        <f t="shared" si="73"/>
        <v>OK</v>
      </c>
      <c r="N1544" t="str">
        <f t="shared" si="74"/>
        <v>OK</v>
      </c>
    </row>
    <row r="1545" spans="1:14" x14ac:dyDescent="0.3">
      <c r="A1545">
        <v>76</v>
      </c>
      <c r="B1545">
        <v>2024</v>
      </c>
      <c r="C1545" s="2">
        <v>45597</v>
      </c>
      <c r="E1545" t="s">
        <v>63</v>
      </c>
      <c r="F1545" t="s">
        <v>40</v>
      </c>
      <c r="G1545" t="s">
        <v>492</v>
      </c>
      <c r="H1545" t="s">
        <v>476</v>
      </c>
      <c r="I1545" t="s">
        <v>518</v>
      </c>
      <c r="J1545" t="s">
        <v>519</v>
      </c>
      <c r="K1545" t="s">
        <v>492</v>
      </c>
      <c r="L1545" t="str">
        <f t="shared" si="72"/>
        <v>OK</v>
      </c>
      <c r="M1545" t="str">
        <f t="shared" si="73"/>
        <v>OK</v>
      </c>
      <c r="N1545" t="str">
        <f t="shared" si="74"/>
        <v>OK</v>
      </c>
    </row>
    <row r="1546" spans="1:14" x14ac:dyDescent="0.3">
      <c r="A1546">
        <v>76</v>
      </c>
      <c r="B1546">
        <v>2024</v>
      </c>
      <c r="C1546" s="2">
        <v>45597</v>
      </c>
      <c r="E1546" t="s">
        <v>64</v>
      </c>
      <c r="F1546" t="s">
        <v>40</v>
      </c>
      <c r="H1546" t="s">
        <v>511</v>
      </c>
      <c r="I1546" t="s">
        <v>515</v>
      </c>
      <c r="J1546" t="s">
        <v>520</v>
      </c>
      <c r="K1546" t="s">
        <v>521</v>
      </c>
      <c r="L1546" t="str">
        <f t="shared" si="72"/>
        <v>ERRO</v>
      </c>
      <c r="M1546" t="str">
        <f t="shared" si="73"/>
        <v>ERRO</v>
      </c>
      <c r="N1546" t="str">
        <f t="shared" si="74"/>
        <v>OK</v>
      </c>
    </row>
    <row r="1547" spans="1:14" x14ac:dyDescent="0.3">
      <c r="A1547">
        <v>76</v>
      </c>
      <c r="B1547">
        <v>2024</v>
      </c>
      <c r="C1547" s="2">
        <v>45597</v>
      </c>
      <c r="E1547" t="s">
        <v>66</v>
      </c>
      <c r="F1547" t="s">
        <v>45</v>
      </c>
      <c r="L1547" t="str">
        <f t="shared" si="72"/>
        <v>OK</v>
      </c>
      <c r="M1547" t="str">
        <f t="shared" si="73"/>
        <v>OK</v>
      </c>
      <c r="N1547" t="str">
        <f t="shared" si="74"/>
        <v>OK</v>
      </c>
    </row>
    <row r="1548" spans="1:14" x14ac:dyDescent="0.3">
      <c r="A1548">
        <v>76</v>
      </c>
      <c r="B1548">
        <v>2024</v>
      </c>
      <c r="C1548" s="2">
        <v>45597</v>
      </c>
      <c r="E1548" t="s">
        <v>67</v>
      </c>
      <c r="F1548" t="s">
        <v>45</v>
      </c>
      <c r="L1548" t="str">
        <f t="shared" si="72"/>
        <v>OK</v>
      </c>
      <c r="M1548" t="str">
        <f t="shared" si="73"/>
        <v>OK</v>
      </c>
      <c r="N1548" t="str">
        <f t="shared" si="74"/>
        <v>OK</v>
      </c>
    </row>
    <row r="1549" spans="1:14" x14ac:dyDescent="0.3">
      <c r="A1549">
        <v>76</v>
      </c>
      <c r="B1549">
        <v>2024</v>
      </c>
      <c r="C1549" s="2">
        <v>45597</v>
      </c>
      <c r="E1549" t="s">
        <v>68</v>
      </c>
      <c r="F1549" t="s">
        <v>45</v>
      </c>
      <c r="L1549" t="str">
        <f t="shared" si="72"/>
        <v>OK</v>
      </c>
      <c r="M1549" t="str">
        <f t="shared" si="73"/>
        <v>OK</v>
      </c>
      <c r="N1549" t="str">
        <f t="shared" si="74"/>
        <v>OK</v>
      </c>
    </row>
    <row r="1550" spans="1:14" x14ac:dyDescent="0.3">
      <c r="A1550">
        <v>76</v>
      </c>
      <c r="B1550">
        <v>2024</v>
      </c>
      <c r="C1550" s="2">
        <v>45597</v>
      </c>
      <c r="E1550" t="s">
        <v>69</v>
      </c>
      <c r="F1550" t="s">
        <v>45</v>
      </c>
      <c r="H1550" t="s">
        <v>476</v>
      </c>
      <c r="I1550" t="s">
        <v>476</v>
      </c>
      <c r="J1550" t="s">
        <v>476</v>
      </c>
      <c r="K1550" t="s">
        <v>476</v>
      </c>
      <c r="L1550" t="str">
        <f t="shared" si="72"/>
        <v>OK</v>
      </c>
      <c r="M1550" t="str">
        <f t="shared" si="73"/>
        <v>OK</v>
      </c>
      <c r="N1550" t="str">
        <f t="shared" si="74"/>
        <v>OK</v>
      </c>
    </row>
    <row r="1551" spans="1:14" x14ac:dyDescent="0.3">
      <c r="A1551">
        <v>76</v>
      </c>
      <c r="B1551">
        <v>2024</v>
      </c>
      <c r="C1551" s="2">
        <v>45597</v>
      </c>
      <c r="E1551" t="s">
        <v>70</v>
      </c>
      <c r="F1551" s="12" t="s">
        <v>71</v>
      </c>
      <c r="L1551" t="str">
        <f t="shared" si="72"/>
        <v>OK</v>
      </c>
      <c r="M1551" t="str">
        <f t="shared" si="73"/>
        <v>OK</v>
      </c>
      <c r="N1551" t="str">
        <f t="shared" si="74"/>
        <v>OK</v>
      </c>
    </row>
    <row r="1552" spans="1:14" x14ac:dyDescent="0.3">
      <c r="A1552">
        <v>77</v>
      </c>
      <c r="B1552">
        <v>2024</v>
      </c>
      <c r="C1552" s="2">
        <v>45604</v>
      </c>
      <c r="E1552" t="s">
        <v>12</v>
      </c>
      <c r="F1552" t="s">
        <v>13</v>
      </c>
      <c r="G1552" t="s">
        <v>463</v>
      </c>
      <c r="H1552" t="s">
        <v>463</v>
      </c>
      <c r="I1552" t="s">
        <v>464</v>
      </c>
      <c r="J1552" t="s">
        <v>465</v>
      </c>
      <c r="K1552" t="s">
        <v>465</v>
      </c>
      <c r="L1552" t="str">
        <f t="shared" si="72"/>
        <v>OK</v>
      </c>
      <c r="M1552" t="str">
        <f t="shared" si="73"/>
        <v>OK</v>
      </c>
      <c r="N1552" t="str">
        <f t="shared" si="74"/>
        <v>OK</v>
      </c>
    </row>
    <row r="1553" spans="1:14" x14ac:dyDescent="0.3">
      <c r="A1553">
        <v>77</v>
      </c>
      <c r="B1553">
        <v>2024</v>
      </c>
      <c r="C1553" s="2">
        <v>45604</v>
      </c>
      <c r="E1553" t="s">
        <v>14</v>
      </c>
      <c r="F1553" t="s">
        <v>13</v>
      </c>
      <c r="G1553" t="s">
        <v>466</v>
      </c>
      <c r="H1553" t="s">
        <v>466</v>
      </c>
      <c r="I1553" t="s">
        <v>466</v>
      </c>
      <c r="J1553" t="s">
        <v>466</v>
      </c>
      <c r="K1553" t="s">
        <v>466</v>
      </c>
      <c r="L1553" t="str">
        <f t="shared" si="72"/>
        <v>OK</v>
      </c>
      <c r="M1553" t="str">
        <f t="shared" si="73"/>
        <v>OK</v>
      </c>
      <c r="N1553" t="str">
        <f t="shared" si="74"/>
        <v>OK</v>
      </c>
    </row>
    <row r="1554" spans="1:14" x14ac:dyDescent="0.3">
      <c r="A1554">
        <v>77</v>
      </c>
      <c r="B1554">
        <v>2024</v>
      </c>
      <c r="C1554" s="2">
        <v>45604</v>
      </c>
      <c r="E1554" t="s">
        <v>15</v>
      </c>
      <c r="F1554" t="s">
        <v>13</v>
      </c>
      <c r="G1554" t="s">
        <v>469</v>
      </c>
      <c r="H1554" t="s">
        <v>469</v>
      </c>
      <c r="I1554" t="s">
        <v>463</v>
      </c>
      <c r="J1554" t="s">
        <v>496</v>
      </c>
      <c r="K1554" t="s">
        <v>496</v>
      </c>
      <c r="L1554" t="str">
        <f t="shared" si="72"/>
        <v>OK</v>
      </c>
      <c r="M1554" t="str">
        <f t="shared" si="73"/>
        <v>OK</v>
      </c>
      <c r="N1554" t="str">
        <f t="shared" si="74"/>
        <v>OK</v>
      </c>
    </row>
    <row r="1555" spans="1:14" x14ac:dyDescent="0.3">
      <c r="A1555">
        <v>77</v>
      </c>
      <c r="B1555">
        <v>2024</v>
      </c>
      <c r="C1555" s="2">
        <v>45604</v>
      </c>
      <c r="E1555" t="s">
        <v>16</v>
      </c>
      <c r="F1555" t="s">
        <v>13</v>
      </c>
      <c r="G1555" t="s">
        <v>468</v>
      </c>
      <c r="H1555" t="s">
        <v>468</v>
      </c>
      <c r="I1555" t="s">
        <v>468</v>
      </c>
      <c r="J1555" t="s">
        <v>468</v>
      </c>
      <c r="K1555" t="s">
        <v>468</v>
      </c>
      <c r="L1555" t="str">
        <f t="shared" si="72"/>
        <v>OK</v>
      </c>
      <c r="M1555" t="str">
        <f t="shared" si="73"/>
        <v>OK</v>
      </c>
      <c r="N1555" t="str">
        <f t="shared" si="74"/>
        <v>OK</v>
      </c>
    </row>
    <row r="1556" spans="1:14" x14ac:dyDescent="0.3">
      <c r="A1556">
        <v>77</v>
      </c>
      <c r="B1556">
        <v>2024</v>
      </c>
      <c r="C1556" s="2">
        <v>45604</v>
      </c>
      <c r="E1556" t="s">
        <v>17</v>
      </c>
      <c r="F1556" t="s">
        <v>13</v>
      </c>
      <c r="G1556" t="s">
        <v>468</v>
      </c>
      <c r="H1556" t="s">
        <v>468</v>
      </c>
      <c r="I1556" t="s">
        <v>468</v>
      </c>
      <c r="J1556" t="s">
        <v>468</v>
      </c>
      <c r="K1556" t="s">
        <v>468</v>
      </c>
      <c r="L1556" t="str">
        <f t="shared" si="72"/>
        <v>OK</v>
      </c>
      <c r="M1556" t="str">
        <f t="shared" si="73"/>
        <v>OK</v>
      </c>
      <c r="N1556" t="str">
        <f t="shared" si="74"/>
        <v>OK</v>
      </c>
    </row>
    <row r="1557" spans="1:14" x14ac:dyDescent="0.3">
      <c r="A1557">
        <v>77</v>
      </c>
      <c r="B1557">
        <v>2024</v>
      </c>
      <c r="C1557" s="2">
        <v>45604</v>
      </c>
      <c r="E1557" t="s">
        <v>18</v>
      </c>
      <c r="F1557" t="s">
        <v>13</v>
      </c>
      <c r="G1557" t="s">
        <v>464</v>
      </c>
      <c r="H1557" t="s">
        <v>464</v>
      </c>
      <c r="I1557" t="s">
        <v>464</v>
      </c>
      <c r="J1557" t="s">
        <v>464</v>
      </c>
      <c r="K1557" t="s">
        <v>464</v>
      </c>
      <c r="L1557" t="str">
        <f t="shared" si="72"/>
        <v>OK</v>
      </c>
      <c r="M1557" t="str">
        <f t="shared" si="73"/>
        <v>OK</v>
      </c>
      <c r="N1557" t="str">
        <f t="shared" si="74"/>
        <v>OK</v>
      </c>
    </row>
    <row r="1558" spans="1:14" x14ac:dyDescent="0.3">
      <c r="A1558">
        <v>77</v>
      </c>
      <c r="B1558">
        <v>2024</v>
      </c>
      <c r="C1558" s="2">
        <v>45604</v>
      </c>
      <c r="E1558" t="s">
        <v>19</v>
      </c>
      <c r="F1558" t="s">
        <v>13</v>
      </c>
      <c r="G1558" t="s">
        <v>522</v>
      </c>
      <c r="H1558" t="s">
        <v>522</v>
      </c>
      <c r="I1558" t="s">
        <v>467</v>
      </c>
      <c r="J1558" t="s">
        <v>491</v>
      </c>
      <c r="K1558" t="s">
        <v>491</v>
      </c>
      <c r="L1558" t="str">
        <f t="shared" si="72"/>
        <v>OK</v>
      </c>
      <c r="M1558" t="str">
        <f t="shared" si="73"/>
        <v>OK</v>
      </c>
      <c r="N1558" t="str">
        <f t="shared" si="74"/>
        <v>OK</v>
      </c>
    </row>
    <row r="1559" spans="1:14" x14ac:dyDescent="0.3">
      <c r="A1559">
        <v>77</v>
      </c>
      <c r="B1559">
        <v>2024</v>
      </c>
      <c r="C1559" s="2">
        <v>45604</v>
      </c>
      <c r="E1559" t="s">
        <v>20</v>
      </c>
      <c r="F1559" t="s">
        <v>13</v>
      </c>
      <c r="G1559" t="s">
        <v>464</v>
      </c>
      <c r="H1559" t="s">
        <v>464</v>
      </c>
      <c r="I1559" t="s">
        <v>466</v>
      </c>
      <c r="J1559" t="s">
        <v>522</v>
      </c>
      <c r="K1559" t="s">
        <v>522</v>
      </c>
      <c r="L1559" t="str">
        <f t="shared" si="72"/>
        <v>OK</v>
      </c>
      <c r="M1559" t="str">
        <f t="shared" si="73"/>
        <v>OK</v>
      </c>
      <c r="N1559" t="str">
        <f t="shared" si="74"/>
        <v>OK</v>
      </c>
    </row>
    <row r="1560" spans="1:14" x14ac:dyDescent="0.3">
      <c r="A1560">
        <v>77</v>
      </c>
      <c r="B1560">
        <v>2024</v>
      </c>
      <c r="C1560" s="2">
        <v>45604</v>
      </c>
      <c r="E1560" t="s">
        <v>21</v>
      </c>
      <c r="F1560" t="s">
        <v>13</v>
      </c>
      <c r="G1560" t="s">
        <v>472</v>
      </c>
      <c r="H1560" t="s">
        <v>472</v>
      </c>
      <c r="I1560" t="s">
        <v>472</v>
      </c>
      <c r="J1560" t="s">
        <v>472</v>
      </c>
      <c r="K1560" t="s">
        <v>472</v>
      </c>
      <c r="L1560" t="str">
        <f t="shared" si="72"/>
        <v>OK</v>
      </c>
      <c r="M1560" t="str">
        <f t="shared" si="73"/>
        <v>OK</v>
      </c>
      <c r="N1560" t="str">
        <f t="shared" si="74"/>
        <v>OK</v>
      </c>
    </row>
    <row r="1561" spans="1:14" x14ac:dyDescent="0.3">
      <c r="A1561">
        <v>77</v>
      </c>
      <c r="B1561">
        <v>2024</v>
      </c>
      <c r="C1561" s="2">
        <v>45604</v>
      </c>
      <c r="E1561" t="s">
        <v>73</v>
      </c>
      <c r="F1561" t="s">
        <v>13</v>
      </c>
      <c r="G1561" t="s">
        <v>464</v>
      </c>
      <c r="H1561" t="s">
        <v>464</v>
      </c>
      <c r="I1561" t="s">
        <v>523</v>
      </c>
      <c r="J1561" t="s">
        <v>524</v>
      </c>
      <c r="K1561" t="s">
        <v>524</v>
      </c>
      <c r="L1561" t="str">
        <f t="shared" si="72"/>
        <v>OK</v>
      </c>
      <c r="M1561" t="str">
        <f t="shared" si="73"/>
        <v>OK</v>
      </c>
      <c r="N1561" t="str">
        <f t="shared" si="74"/>
        <v>OK</v>
      </c>
    </row>
    <row r="1562" spans="1:14" x14ac:dyDescent="0.3">
      <c r="A1562">
        <v>77</v>
      </c>
      <c r="B1562">
        <v>2024</v>
      </c>
      <c r="C1562" s="2">
        <v>45604</v>
      </c>
      <c r="E1562" t="s">
        <v>23</v>
      </c>
      <c r="F1562" t="s">
        <v>13</v>
      </c>
      <c r="G1562" t="s">
        <v>468</v>
      </c>
      <c r="H1562" t="s">
        <v>468</v>
      </c>
      <c r="I1562" t="s">
        <v>468</v>
      </c>
      <c r="J1562" t="s">
        <v>468</v>
      </c>
      <c r="K1562" t="s">
        <v>468</v>
      </c>
      <c r="L1562" t="str">
        <f t="shared" si="72"/>
        <v>OK</v>
      </c>
      <c r="M1562" t="str">
        <f t="shared" si="73"/>
        <v>OK</v>
      </c>
      <c r="N1562" t="str">
        <f t="shared" si="74"/>
        <v>OK</v>
      </c>
    </row>
    <row r="1563" spans="1:14" x14ac:dyDescent="0.3">
      <c r="A1563">
        <v>77</v>
      </c>
      <c r="B1563">
        <v>2024</v>
      </c>
      <c r="C1563" s="2">
        <v>45604</v>
      </c>
      <c r="E1563" t="s">
        <v>24</v>
      </c>
      <c r="F1563" t="s">
        <v>13</v>
      </c>
      <c r="G1563" t="s">
        <v>499</v>
      </c>
      <c r="H1563" t="s">
        <v>499</v>
      </c>
      <c r="I1563" t="s">
        <v>464</v>
      </c>
      <c r="J1563" t="s">
        <v>502</v>
      </c>
      <c r="K1563" t="s">
        <v>502</v>
      </c>
      <c r="L1563" t="str">
        <f t="shared" si="72"/>
        <v>OK</v>
      </c>
      <c r="M1563" t="str">
        <f t="shared" si="73"/>
        <v>OK</v>
      </c>
      <c r="N1563" t="str">
        <f t="shared" si="74"/>
        <v>OK</v>
      </c>
    </row>
    <row r="1564" spans="1:14" x14ac:dyDescent="0.3">
      <c r="A1564">
        <v>77</v>
      </c>
      <c r="B1564">
        <v>2024</v>
      </c>
      <c r="C1564" s="2">
        <v>45604</v>
      </c>
      <c r="E1564" t="s">
        <v>25</v>
      </c>
      <c r="F1564" t="s">
        <v>26</v>
      </c>
      <c r="G1564" t="s">
        <v>464</v>
      </c>
      <c r="H1564" t="s">
        <v>464</v>
      </c>
      <c r="I1564" t="s">
        <v>466</v>
      </c>
      <c r="J1564" t="s">
        <v>522</v>
      </c>
      <c r="K1564" t="s">
        <v>522</v>
      </c>
      <c r="L1564" t="str">
        <f t="shared" si="72"/>
        <v>OK</v>
      </c>
      <c r="M1564" t="str">
        <f t="shared" si="73"/>
        <v>OK</v>
      </c>
      <c r="N1564" t="str">
        <f t="shared" si="74"/>
        <v>OK</v>
      </c>
    </row>
    <row r="1565" spans="1:14" x14ac:dyDescent="0.3">
      <c r="A1565">
        <v>77</v>
      </c>
      <c r="B1565">
        <v>2024</v>
      </c>
      <c r="C1565" s="2">
        <v>45604</v>
      </c>
      <c r="E1565" t="s">
        <v>27</v>
      </c>
      <c r="F1565" t="s">
        <v>13</v>
      </c>
      <c r="G1565" t="s">
        <v>466</v>
      </c>
      <c r="H1565" t="s">
        <v>466</v>
      </c>
      <c r="I1565" t="s">
        <v>466</v>
      </c>
      <c r="J1565" t="s">
        <v>466</v>
      </c>
      <c r="K1565" t="s">
        <v>466</v>
      </c>
      <c r="L1565" t="str">
        <f t="shared" si="72"/>
        <v>OK</v>
      </c>
      <c r="M1565" t="str">
        <f t="shared" si="73"/>
        <v>OK</v>
      </c>
      <c r="N1565" t="str">
        <f t="shared" si="74"/>
        <v>OK</v>
      </c>
    </row>
    <row r="1566" spans="1:14" x14ac:dyDescent="0.3">
      <c r="A1566">
        <v>77</v>
      </c>
      <c r="B1566">
        <v>2024</v>
      </c>
      <c r="C1566" s="2">
        <v>45604</v>
      </c>
      <c r="E1566" t="s">
        <v>28</v>
      </c>
      <c r="F1566" t="s">
        <v>13</v>
      </c>
      <c r="G1566" t="s">
        <v>525</v>
      </c>
      <c r="H1566" t="s">
        <v>525</v>
      </c>
      <c r="I1566" t="s">
        <v>468</v>
      </c>
      <c r="J1566" t="s">
        <v>490</v>
      </c>
      <c r="K1566" t="s">
        <v>490</v>
      </c>
      <c r="L1566" t="str">
        <f t="shared" si="72"/>
        <v>OK</v>
      </c>
      <c r="M1566" t="str">
        <f t="shared" si="73"/>
        <v>OK</v>
      </c>
      <c r="N1566" t="str">
        <f t="shared" si="74"/>
        <v>OK</v>
      </c>
    </row>
    <row r="1567" spans="1:14" x14ac:dyDescent="0.3">
      <c r="A1567">
        <v>77</v>
      </c>
      <c r="B1567">
        <v>2024</v>
      </c>
      <c r="C1567" s="2">
        <v>45604</v>
      </c>
      <c r="E1567" t="s">
        <v>29</v>
      </c>
      <c r="F1567" t="s">
        <v>13</v>
      </c>
      <c r="G1567" t="s">
        <v>463</v>
      </c>
      <c r="H1567" t="s">
        <v>463</v>
      </c>
      <c r="I1567" t="s">
        <v>463</v>
      </c>
      <c r="J1567" t="s">
        <v>463</v>
      </c>
      <c r="K1567" t="s">
        <v>463</v>
      </c>
      <c r="L1567" t="str">
        <f t="shared" si="72"/>
        <v>OK</v>
      </c>
      <c r="M1567" t="str">
        <f t="shared" si="73"/>
        <v>OK</v>
      </c>
      <c r="N1567" t="str">
        <f t="shared" si="74"/>
        <v>OK</v>
      </c>
    </row>
    <row r="1568" spans="1:14" x14ac:dyDescent="0.3">
      <c r="A1568">
        <v>77</v>
      </c>
      <c r="B1568">
        <v>2024</v>
      </c>
      <c r="C1568" s="2">
        <v>45604</v>
      </c>
      <c r="E1568" t="s">
        <v>31</v>
      </c>
      <c r="F1568" t="s">
        <v>32</v>
      </c>
      <c r="G1568" t="s">
        <v>484</v>
      </c>
      <c r="H1568" t="s">
        <v>484</v>
      </c>
      <c r="I1568" t="s">
        <v>484</v>
      </c>
      <c r="J1568" t="s">
        <v>484</v>
      </c>
      <c r="K1568" t="s">
        <v>484</v>
      </c>
      <c r="L1568" t="str">
        <f t="shared" si="72"/>
        <v>OK</v>
      </c>
      <c r="M1568" t="str">
        <f t="shared" si="73"/>
        <v>OK</v>
      </c>
      <c r="N1568" t="str">
        <f t="shared" si="74"/>
        <v>OK</v>
      </c>
    </row>
    <row r="1569" spans="1:14" x14ac:dyDescent="0.3">
      <c r="A1569">
        <v>77</v>
      </c>
      <c r="B1569">
        <v>2024</v>
      </c>
      <c r="C1569" s="2">
        <v>45604</v>
      </c>
      <c r="E1569" t="s">
        <v>34</v>
      </c>
      <c r="F1569" t="s">
        <v>35</v>
      </c>
      <c r="G1569" t="s">
        <v>485</v>
      </c>
      <c r="H1569" t="s">
        <v>485</v>
      </c>
      <c r="I1569" t="s">
        <v>488</v>
      </c>
      <c r="J1569" t="s">
        <v>526</v>
      </c>
      <c r="K1569" t="s">
        <v>526</v>
      </c>
      <c r="L1569" t="str">
        <f t="shared" si="72"/>
        <v>OK</v>
      </c>
      <c r="M1569" t="str">
        <f t="shared" si="73"/>
        <v>OK</v>
      </c>
      <c r="N1569" t="str">
        <f t="shared" si="74"/>
        <v>OK</v>
      </c>
    </row>
    <row r="1570" spans="1:14" x14ac:dyDescent="0.3">
      <c r="A1570">
        <v>77</v>
      </c>
      <c r="B1570">
        <v>2024</v>
      </c>
      <c r="C1570" s="2">
        <v>45604</v>
      </c>
      <c r="E1570" t="s">
        <v>36</v>
      </c>
      <c r="F1570" t="s">
        <v>35</v>
      </c>
      <c r="G1570" t="s">
        <v>468</v>
      </c>
      <c r="H1570" t="s">
        <v>468</v>
      </c>
      <c r="I1570" t="s">
        <v>468</v>
      </c>
      <c r="J1570" t="s">
        <v>468</v>
      </c>
      <c r="K1570" t="s">
        <v>468</v>
      </c>
      <c r="L1570" t="str">
        <f t="shared" si="72"/>
        <v>OK</v>
      </c>
      <c r="M1570" t="str">
        <f t="shared" si="73"/>
        <v>OK</v>
      </c>
      <c r="N1570" t="str">
        <f t="shared" si="74"/>
        <v>OK</v>
      </c>
    </row>
    <row r="1571" spans="1:14" x14ac:dyDescent="0.3">
      <c r="A1571">
        <v>77</v>
      </c>
      <c r="B1571">
        <v>2024</v>
      </c>
      <c r="C1571" s="2">
        <v>45604</v>
      </c>
      <c r="E1571" t="s">
        <v>153</v>
      </c>
      <c r="F1571" t="s">
        <v>154</v>
      </c>
      <c r="G1571" t="s">
        <v>492</v>
      </c>
      <c r="H1571" t="s">
        <v>492</v>
      </c>
      <c r="I1571" t="s">
        <v>492</v>
      </c>
      <c r="J1571" t="s">
        <v>492</v>
      </c>
      <c r="K1571" t="s">
        <v>492</v>
      </c>
      <c r="L1571" t="str">
        <f t="shared" si="72"/>
        <v>OK</v>
      </c>
      <c r="M1571" t="str">
        <f t="shared" si="73"/>
        <v>OK</v>
      </c>
      <c r="N1571" t="str">
        <f t="shared" si="74"/>
        <v>OK</v>
      </c>
    </row>
    <row r="1572" spans="1:14" x14ac:dyDescent="0.3">
      <c r="A1572">
        <v>77</v>
      </c>
      <c r="B1572">
        <v>2024</v>
      </c>
      <c r="C1572" s="2">
        <v>45604</v>
      </c>
      <c r="E1572" t="s">
        <v>39</v>
      </c>
      <c r="F1572" t="s">
        <v>40</v>
      </c>
      <c r="G1572" t="s">
        <v>468</v>
      </c>
      <c r="H1572" t="s">
        <v>468</v>
      </c>
      <c r="I1572" t="s">
        <v>499</v>
      </c>
      <c r="J1572" t="s">
        <v>503</v>
      </c>
      <c r="K1572" t="s">
        <v>503</v>
      </c>
      <c r="L1572" t="str">
        <f t="shared" si="72"/>
        <v>OK</v>
      </c>
      <c r="M1572" t="str">
        <f t="shared" si="73"/>
        <v>OK</v>
      </c>
      <c r="N1572" t="str">
        <f t="shared" si="74"/>
        <v>OK</v>
      </c>
    </row>
    <row r="1573" spans="1:14" x14ac:dyDescent="0.3">
      <c r="A1573">
        <v>77</v>
      </c>
      <c r="B1573">
        <v>2024</v>
      </c>
      <c r="C1573" s="2">
        <v>45604</v>
      </c>
      <c r="E1573" t="s">
        <v>42</v>
      </c>
      <c r="F1573" t="s">
        <v>43</v>
      </c>
      <c r="G1573" t="s">
        <v>496</v>
      </c>
      <c r="H1573" t="s">
        <v>496</v>
      </c>
      <c r="I1573" t="s">
        <v>491</v>
      </c>
      <c r="J1573" t="s">
        <v>527</v>
      </c>
      <c r="K1573" t="s">
        <v>500</v>
      </c>
      <c r="L1573" t="str">
        <f t="shared" si="72"/>
        <v>OK</v>
      </c>
      <c r="M1573" t="str">
        <f t="shared" si="73"/>
        <v>OK</v>
      </c>
      <c r="N1573" t="str">
        <f t="shared" si="74"/>
        <v>OK</v>
      </c>
    </row>
    <row r="1574" spans="1:14" x14ac:dyDescent="0.3">
      <c r="A1574">
        <v>77</v>
      </c>
      <c r="B1574">
        <v>2024</v>
      </c>
      <c r="C1574" s="2">
        <v>45604</v>
      </c>
      <c r="E1574" t="s">
        <v>44</v>
      </c>
      <c r="F1574" t="s">
        <v>45</v>
      </c>
      <c r="G1574" t="s">
        <v>496</v>
      </c>
      <c r="H1574" t="s">
        <v>496</v>
      </c>
      <c r="I1574" t="s">
        <v>464</v>
      </c>
      <c r="J1574" t="s">
        <v>528</v>
      </c>
      <c r="K1574" t="s">
        <v>499</v>
      </c>
      <c r="L1574" t="str">
        <f t="shared" si="72"/>
        <v>OK</v>
      </c>
      <c r="M1574" t="str">
        <f t="shared" si="73"/>
        <v>OK</v>
      </c>
      <c r="N1574" t="str">
        <f t="shared" si="74"/>
        <v>OK</v>
      </c>
    </row>
    <row r="1575" spans="1:14" x14ac:dyDescent="0.3">
      <c r="A1575">
        <v>77</v>
      </c>
      <c r="B1575">
        <v>2024</v>
      </c>
      <c r="C1575" s="2">
        <v>45604</v>
      </c>
      <c r="E1575" t="s">
        <v>48</v>
      </c>
      <c r="F1575" t="s">
        <v>45</v>
      </c>
      <c r="G1575" t="s">
        <v>500</v>
      </c>
      <c r="H1575" t="s">
        <v>500</v>
      </c>
      <c r="I1575" t="s">
        <v>500</v>
      </c>
      <c r="J1575" t="s">
        <v>500</v>
      </c>
      <c r="K1575" t="s">
        <v>500</v>
      </c>
      <c r="L1575" t="str">
        <f t="shared" si="72"/>
        <v>OK</v>
      </c>
      <c r="M1575" t="str">
        <f t="shared" si="73"/>
        <v>OK</v>
      </c>
      <c r="N1575" t="str">
        <f t="shared" si="74"/>
        <v>OK</v>
      </c>
    </row>
    <row r="1576" spans="1:14" x14ac:dyDescent="0.3">
      <c r="A1576">
        <v>77</v>
      </c>
      <c r="B1576">
        <v>2024</v>
      </c>
      <c r="C1576" s="2">
        <v>45604</v>
      </c>
      <c r="E1576" t="s">
        <v>49</v>
      </c>
      <c r="F1576" t="s">
        <v>50</v>
      </c>
      <c r="G1576" t="s">
        <v>499</v>
      </c>
      <c r="H1576" t="s">
        <v>499</v>
      </c>
      <c r="I1576" t="s">
        <v>476</v>
      </c>
      <c r="J1576" t="s">
        <v>529</v>
      </c>
      <c r="K1576" t="s">
        <v>464</v>
      </c>
      <c r="L1576" t="str">
        <f t="shared" si="72"/>
        <v>OK</v>
      </c>
      <c r="M1576" t="str">
        <f t="shared" si="73"/>
        <v>OK</v>
      </c>
      <c r="N1576" t="str">
        <f t="shared" si="74"/>
        <v>OK</v>
      </c>
    </row>
    <row r="1577" spans="1:14" x14ac:dyDescent="0.3">
      <c r="A1577">
        <v>77</v>
      </c>
      <c r="B1577">
        <v>2024</v>
      </c>
      <c r="C1577" s="2">
        <v>45604</v>
      </c>
      <c r="E1577" t="s">
        <v>52</v>
      </c>
      <c r="F1577" t="s">
        <v>43</v>
      </c>
      <c r="G1577" t="s">
        <v>499</v>
      </c>
      <c r="H1577" t="s">
        <v>503</v>
      </c>
      <c r="I1577" t="s">
        <v>502</v>
      </c>
      <c r="J1577" t="s">
        <v>504</v>
      </c>
      <c r="K1577" t="s">
        <v>499</v>
      </c>
      <c r="L1577" t="str">
        <f t="shared" si="72"/>
        <v>OK</v>
      </c>
      <c r="M1577" t="str">
        <f t="shared" si="73"/>
        <v>OK</v>
      </c>
      <c r="N1577" t="str">
        <f t="shared" si="74"/>
        <v>OK</v>
      </c>
    </row>
    <row r="1578" spans="1:14" x14ac:dyDescent="0.3">
      <c r="A1578">
        <v>77</v>
      </c>
      <c r="B1578">
        <v>2024</v>
      </c>
      <c r="C1578" s="2">
        <v>45604</v>
      </c>
      <c r="E1578" t="s">
        <v>53</v>
      </c>
      <c r="F1578" t="s">
        <v>43</v>
      </c>
      <c r="G1578" t="s">
        <v>494</v>
      </c>
      <c r="H1578" t="s">
        <v>494</v>
      </c>
      <c r="I1578" t="s">
        <v>500</v>
      </c>
      <c r="J1578" t="s">
        <v>499</v>
      </c>
      <c r="K1578" t="s">
        <v>499</v>
      </c>
      <c r="L1578" t="str">
        <f t="shared" si="72"/>
        <v>OK</v>
      </c>
      <c r="M1578" t="str">
        <f t="shared" si="73"/>
        <v>OK</v>
      </c>
      <c r="N1578" t="str">
        <f t="shared" si="74"/>
        <v>OK</v>
      </c>
    </row>
    <row r="1579" spans="1:14" x14ac:dyDescent="0.3">
      <c r="A1579">
        <v>77</v>
      </c>
      <c r="B1579">
        <v>2024</v>
      </c>
      <c r="C1579" s="2">
        <v>45604</v>
      </c>
      <c r="E1579" t="s">
        <v>54</v>
      </c>
      <c r="F1579" t="s">
        <v>40</v>
      </c>
      <c r="G1579" t="s">
        <v>507</v>
      </c>
      <c r="H1579" t="s">
        <v>521</v>
      </c>
      <c r="I1579" t="s">
        <v>507</v>
      </c>
      <c r="J1579" t="s">
        <v>530</v>
      </c>
      <c r="K1579" t="s">
        <v>507</v>
      </c>
      <c r="L1579" t="str">
        <f t="shared" si="72"/>
        <v>OK</v>
      </c>
      <c r="M1579" t="str">
        <f t="shared" si="73"/>
        <v>OK</v>
      </c>
      <c r="N1579" t="str">
        <f t="shared" si="74"/>
        <v>OK</v>
      </c>
    </row>
    <row r="1580" spans="1:14" x14ac:dyDescent="0.3">
      <c r="A1580">
        <v>77</v>
      </c>
      <c r="B1580">
        <v>2024</v>
      </c>
      <c r="C1580" s="2">
        <v>45604</v>
      </c>
      <c r="E1580" t="s">
        <v>56</v>
      </c>
      <c r="F1580" t="s">
        <v>43</v>
      </c>
      <c r="G1580" t="s">
        <v>499</v>
      </c>
      <c r="H1580" t="s">
        <v>499</v>
      </c>
      <c r="I1580" t="s">
        <v>499</v>
      </c>
      <c r="J1580" t="s">
        <v>499</v>
      </c>
      <c r="K1580" t="s">
        <v>499</v>
      </c>
      <c r="L1580" t="str">
        <f t="shared" si="72"/>
        <v>OK</v>
      </c>
      <c r="M1580" t="str">
        <f t="shared" si="73"/>
        <v>OK</v>
      </c>
      <c r="N1580" t="str">
        <f t="shared" si="74"/>
        <v>OK</v>
      </c>
    </row>
    <row r="1581" spans="1:14" x14ac:dyDescent="0.3">
      <c r="A1581">
        <v>77</v>
      </c>
      <c r="B1581">
        <v>2024</v>
      </c>
      <c r="C1581" s="2">
        <v>45604</v>
      </c>
      <c r="E1581" t="s">
        <v>57</v>
      </c>
      <c r="F1581" t="s">
        <v>40</v>
      </c>
      <c r="G1581" t="s">
        <v>496</v>
      </c>
      <c r="H1581" t="s">
        <v>496</v>
      </c>
      <c r="I1581" t="s">
        <v>502</v>
      </c>
      <c r="J1581" t="s">
        <v>499</v>
      </c>
      <c r="K1581" t="s">
        <v>499</v>
      </c>
      <c r="L1581" t="str">
        <f t="shared" si="72"/>
        <v>OK</v>
      </c>
      <c r="M1581" t="str">
        <f t="shared" si="73"/>
        <v>OK</v>
      </c>
      <c r="N1581" t="str">
        <f t="shared" si="74"/>
        <v>OK</v>
      </c>
    </row>
    <row r="1582" spans="1:14" x14ac:dyDescent="0.3">
      <c r="A1582">
        <v>77</v>
      </c>
      <c r="B1582">
        <v>2024</v>
      </c>
      <c r="C1582" s="2">
        <v>45604</v>
      </c>
      <c r="E1582" t="s">
        <v>58</v>
      </c>
      <c r="F1582" t="s">
        <v>40</v>
      </c>
      <c r="G1582" t="s">
        <v>476</v>
      </c>
      <c r="H1582" t="s">
        <v>500</v>
      </c>
      <c r="I1582" t="s">
        <v>511</v>
      </c>
      <c r="J1582" t="s">
        <v>491</v>
      </c>
      <c r="K1582" t="s">
        <v>476</v>
      </c>
      <c r="L1582" t="str">
        <f t="shared" si="72"/>
        <v>OK</v>
      </c>
      <c r="M1582" t="str">
        <f t="shared" si="73"/>
        <v>OK</v>
      </c>
      <c r="N1582" t="str">
        <f t="shared" si="74"/>
        <v>OK</v>
      </c>
    </row>
    <row r="1583" spans="1:14" x14ac:dyDescent="0.3">
      <c r="A1583">
        <v>77</v>
      </c>
      <c r="B1583">
        <v>2024</v>
      </c>
      <c r="C1583" s="2">
        <v>45604</v>
      </c>
      <c r="E1583" t="s">
        <v>59</v>
      </c>
      <c r="F1583" t="s">
        <v>45</v>
      </c>
      <c r="G1583" t="s">
        <v>499</v>
      </c>
      <c r="H1583" t="s">
        <v>503</v>
      </c>
      <c r="I1583" t="s">
        <v>502</v>
      </c>
      <c r="J1583" t="s">
        <v>463</v>
      </c>
      <c r="K1583" t="s">
        <v>499</v>
      </c>
      <c r="L1583" t="str">
        <f t="shared" si="72"/>
        <v>OK</v>
      </c>
      <c r="M1583" t="str">
        <f t="shared" si="73"/>
        <v>OK</v>
      </c>
      <c r="N1583" t="str">
        <f t="shared" si="74"/>
        <v>OK</v>
      </c>
    </row>
    <row r="1584" spans="1:14" x14ac:dyDescent="0.3">
      <c r="A1584">
        <v>77</v>
      </c>
      <c r="B1584">
        <v>2024</v>
      </c>
      <c r="C1584" s="2">
        <v>45604</v>
      </c>
      <c r="E1584" t="s">
        <v>60</v>
      </c>
      <c r="F1584" t="s">
        <v>61</v>
      </c>
      <c r="G1584" t="s">
        <v>515</v>
      </c>
      <c r="H1584" t="s">
        <v>517</v>
      </c>
      <c r="I1584" t="s">
        <v>531</v>
      </c>
      <c r="J1584" t="s">
        <v>532</v>
      </c>
      <c r="K1584" t="s">
        <v>515</v>
      </c>
      <c r="L1584" t="str">
        <f t="shared" si="72"/>
        <v>OK</v>
      </c>
      <c r="M1584" t="str">
        <f t="shared" si="73"/>
        <v>OK</v>
      </c>
      <c r="N1584" t="str">
        <f t="shared" si="74"/>
        <v>OK</v>
      </c>
    </row>
    <row r="1585" spans="1:14" x14ac:dyDescent="0.3">
      <c r="A1585">
        <v>77</v>
      </c>
      <c r="B1585">
        <v>2024</v>
      </c>
      <c r="C1585" s="2">
        <v>45604</v>
      </c>
      <c r="E1585" t="s">
        <v>63</v>
      </c>
      <c r="F1585" t="s">
        <v>40</v>
      </c>
      <c r="G1585" t="s">
        <v>500</v>
      </c>
      <c r="H1585" t="s">
        <v>464</v>
      </c>
      <c r="I1585" t="s">
        <v>476</v>
      </c>
      <c r="J1585" t="s">
        <v>500</v>
      </c>
      <c r="K1585" t="s">
        <v>500</v>
      </c>
      <c r="L1585" t="str">
        <f t="shared" si="72"/>
        <v>OK</v>
      </c>
      <c r="M1585" t="str">
        <f t="shared" si="73"/>
        <v>OK</v>
      </c>
      <c r="N1585" t="str">
        <f t="shared" si="74"/>
        <v>OK</v>
      </c>
    </row>
    <row r="1586" spans="1:14" x14ac:dyDescent="0.3">
      <c r="A1586">
        <v>77</v>
      </c>
      <c r="B1586">
        <v>2024</v>
      </c>
      <c r="C1586" s="2">
        <v>45604</v>
      </c>
      <c r="E1586" t="s">
        <v>64</v>
      </c>
      <c r="F1586" t="s">
        <v>40</v>
      </c>
      <c r="G1586" t="s">
        <v>521</v>
      </c>
      <c r="H1586" t="s">
        <v>499</v>
      </c>
      <c r="I1586" t="s">
        <v>521</v>
      </c>
      <c r="J1586" t="s">
        <v>533</v>
      </c>
      <c r="K1586" t="s">
        <v>521</v>
      </c>
      <c r="L1586" t="str">
        <f t="shared" si="72"/>
        <v>ERRO</v>
      </c>
      <c r="M1586" t="str">
        <f t="shared" si="73"/>
        <v>OK</v>
      </c>
      <c r="N1586" t="str">
        <f t="shared" si="74"/>
        <v>ERRO</v>
      </c>
    </row>
    <row r="1587" spans="1:14" x14ac:dyDescent="0.3">
      <c r="A1587">
        <v>77</v>
      </c>
      <c r="B1587">
        <v>2024</v>
      </c>
      <c r="C1587" s="2">
        <v>45604</v>
      </c>
      <c r="E1587" t="s">
        <v>66</v>
      </c>
      <c r="F1587" t="s">
        <v>45</v>
      </c>
      <c r="L1587" t="str">
        <f t="shared" si="72"/>
        <v>OK</v>
      </c>
      <c r="M1587" t="str">
        <f t="shared" si="73"/>
        <v>OK</v>
      </c>
      <c r="N1587" t="str">
        <f t="shared" si="74"/>
        <v>OK</v>
      </c>
    </row>
    <row r="1588" spans="1:14" x14ac:dyDescent="0.3">
      <c r="A1588">
        <v>77</v>
      </c>
      <c r="B1588">
        <v>2024</v>
      </c>
      <c r="C1588" s="2">
        <v>45604</v>
      </c>
      <c r="E1588" t="s">
        <v>67</v>
      </c>
      <c r="F1588" t="s">
        <v>45</v>
      </c>
      <c r="L1588" t="str">
        <f t="shared" si="72"/>
        <v>OK</v>
      </c>
      <c r="M1588" t="str">
        <f t="shared" si="73"/>
        <v>OK</v>
      </c>
      <c r="N1588" t="str">
        <f t="shared" si="74"/>
        <v>OK</v>
      </c>
    </row>
    <row r="1589" spans="1:14" x14ac:dyDescent="0.3">
      <c r="A1589">
        <v>77</v>
      </c>
      <c r="B1589">
        <v>2024</v>
      </c>
      <c r="C1589" s="2">
        <v>45604</v>
      </c>
      <c r="E1589" t="s">
        <v>68</v>
      </c>
      <c r="F1589" t="s">
        <v>45</v>
      </c>
      <c r="L1589" t="str">
        <f t="shared" si="72"/>
        <v>OK</v>
      </c>
      <c r="M1589" t="str">
        <f t="shared" si="73"/>
        <v>OK</v>
      </c>
      <c r="N1589" t="str">
        <f t="shared" si="74"/>
        <v>OK</v>
      </c>
    </row>
    <row r="1590" spans="1:14" x14ac:dyDescent="0.3">
      <c r="A1590">
        <v>77</v>
      </c>
      <c r="B1590">
        <v>2024</v>
      </c>
      <c r="C1590" s="2">
        <v>45604</v>
      </c>
      <c r="E1590" t="s">
        <v>69</v>
      </c>
      <c r="F1590" t="s">
        <v>45</v>
      </c>
      <c r="G1590" t="s">
        <v>476</v>
      </c>
      <c r="H1590" t="s">
        <v>476</v>
      </c>
      <c r="I1590" t="s">
        <v>476</v>
      </c>
      <c r="J1590" t="s">
        <v>476</v>
      </c>
      <c r="K1590" t="s">
        <v>476</v>
      </c>
      <c r="L1590" t="str">
        <f t="shared" si="72"/>
        <v>OK</v>
      </c>
      <c r="M1590" t="str">
        <f t="shared" si="73"/>
        <v>OK</v>
      </c>
      <c r="N1590" t="str">
        <f t="shared" si="74"/>
        <v>OK</v>
      </c>
    </row>
    <row r="1591" spans="1:14" x14ac:dyDescent="0.3">
      <c r="A1591">
        <v>77</v>
      </c>
      <c r="B1591">
        <v>2024</v>
      </c>
      <c r="C1591" s="2">
        <v>45604</v>
      </c>
      <c r="E1591" t="s">
        <v>70</v>
      </c>
      <c r="F1591" s="12" t="s">
        <v>71</v>
      </c>
      <c r="L1591" t="str">
        <f t="shared" si="72"/>
        <v>OK</v>
      </c>
      <c r="M1591" t="str">
        <f t="shared" si="73"/>
        <v>OK</v>
      </c>
      <c r="N1591" t="str">
        <f t="shared" si="74"/>
        <v>OK</v>
      </c>
    </row>
    <row r="1592" spans="1:14" x14ac:dyDescent="0.3">
      <c r="A1592">
        <v>78</v>
      </c>
      <c r="B1592">
        <v>2024</v>
      </c>
      <c r="C1592" s="2">
        <v>45611</v>
      </c>
      <c r="E1592" t="s">
        <v>12</v>
      </c>
      <c r="F1592" t="s">
        <v>13</v>
      </c>
      <c r="G1592" t="s">
        <v>463</v>
      </c>
      <c r="H1592" t="s">
        <v>463</v>
      </c>
      <c r="I1592" t="s">
        <v>464</v>
      </c>
      <c r="J1592" t="s">
        <v>534</v>
      </c>
      <c r="K1592" t="s">
        <v>463</v>
      </c>
      <c r="L1592" t="str">
        <f t="shared" si="72"/>
        <v>OK</v>
      </c>
      <c r="M1592" t="str">
        <f t="shared" si="73"/>
        <v>OK</v>
      </c>
      <c r="N1592" t="str">
        <f t="shared" si="74"/>
        <v>OK</v>
      </c>
    </row>
    <row r="1593" spans="1:14" x14ac:dyDescent="0.3">
      <c r="A1593">
        <v>78</v>
      </c>
      <c r="B1593">
        <v>2024</v>
      </c>
      <c r="C1593" s="2">
        <v>45611</v>
      </c>
      <c r="E1593" t="s">
        <v>14</v>
      </c>
      <c r="F1593" t="s">
        <v>13</v>
      </c>
      <c r="G1593" t="s">
        <v>464</v>
      </c>
      <c r="H1593" t="s">
        <v>464</v>
      </c>
      <c r="I1593" t="s">
        <v>467</v>
      </c>
      <c r="J1593" t="s">
        <v>535</v>
      </c>
      <c r="K1593" t="s">
        <v>464</v>
      </c>
      <c r="L1593" t="str">
        <f t="shared" si="72"/>
        <v>OK</v>
      </c>
      <c r="M1593" t="str">
        <f t="shared" si="73"/>
        <v>OK</v>
      </c>
      <c r="N1593" t="str">
        <f t="shared" si="74"/>
        <v>OK</v>
      </c>
    </row>
    <row r="1594" spans="1:14" x14ac:dyDescent="0.3">
      <c r="A1594">
        <v>78</v>
      </c>
      <c r="B1594">
        <v>2024</v>
      </c>
      <c r="C1594" s="2">
        <v>45611</v>
      </c>
      <c r="E1594" t="s">
        <v>15</v>
      </c>
      <c r="F1594" t="s">
        <v>13</v>
      </c>
      <c r="G1594" t="s">
        <v>536</v>
      </c>
      <c r="H1594" t="s">
        <v>468</v>
      </c>
      <c r="I1594" t="s">
        <v>536</v>
      </c>
      <c r="J1594" t="s">
        <v>470</v>
      </c>
      <c r="K1594" t="s">
        <v>536</v>
      </c>
      <c r="L1594" t="str">
        <f t="shared" si="72"/>
        <v>OK</v>
      </c>
      <c r="M1594" t="str">
        <f t="shared" si="73"/>
        <v>OK</v>
      </c>
      <c r="N1594" t="str">
        <f t="shared" si="74"/>
        <v>OK</v>
      </c>
    </row>
    <row r="1595" spans="1:14" x14ac:dyDescent="0.3">
      <c r="A1595">
        <v>78</v>
      </c>
      <c r="B1595">
        <v>2024</v>
      </c>
      <c r="C1595" s="2">
        <v>45611</v>
      </c>
      <c r="E1595" t="s">
        <v>16</v>
      </c>
      <c r="F1595" t="s">
        <v>13</v>
      </c>
      <c r="G1595" t="s">
        <v>468</v>
      </c>
      <c r="H1595" t="s">
        <v>472</v>
      </c>
      <c r="I1595" t="s">
        <v>468</v>
      </c>
      <c r="J1595" t="s">
        <v>537</v>
      </c>
      <c r="K1595" t="s">
        <v>490</v>
      </c>
      <c r="L1595" t="str">
        <f t="shared" si="72"/>
        <v>OK</v>
      </c>
      <c r="M1595" t="str">
        <f t="shared" si="73"/>
        <v>OK</v>
      </c>
      <c r="N1595" t="str">
        <f t="shared" si="74"/>
        <v>OK</v>
      </c>
    </row>
    <row r="1596" spans="1:14" x14ac:dyDescent="0.3">
      <c r="A1596">
        <v>78</v>
      </c>
      <c r="B1596">
        <v>2024</v>
      </c>
      <c r="C1596" s="2">
        <v>45611</v>
      </c>
      <c r="E1596" t="s">
        <v>17</v>
      </c>
      <c r="F1596" t="s">
        <v>13</v>
      </c>
      <c r="G1596" t="s">
        <v>468</v>
      </c>
      <c r="H1596" t="s">
        <v>472</v>
      </c>
      <c r="I1596" t="s">
        <v>468</v>
      </c>
      <c r="J1596" t="s">
        <v>538</v>
      </c>
      <c r="K1596" t="s">
        <v>525</v>
      </c>
      <c r="L1596" t="str">
        <f t="shared" si="72"/>
        <v>OK</v>
      </c>
      <c r="M1596" t="str">
        <f t="shared" si="73"/>
        <v>OK</v>
      </c>
      <c r="N1596" t="str">
        <f t="shared" si="74"/>
        <v>OK</v>
      </c>
    </row>
    <row r="1597" spans="1:14" x14ac:dyDescent="0.3">
      <c r="A1597">
        <v>78</v>
      </c>
      <c r="B1597">
        <v>2024</v>
      </c>
      <c r="C1597" s="2">
        <v>45611</v>
      </c>
      <c r="E1597" t="s">
        <v>18</v>
      </c>
      <c r="F1597" t="s">
        <v>13</v>
      </c>
      <c r="G1597" t="s">
        <v>464</v>
      </c>
      <c r="H1597" t="s">
        <v>463</v>
      </c>
      <c r="I1597" t="s">
        <v>464</v>
      </c>
      <c r="J1597" t="s">
        <v>539</v>
      </c>
      <c r="K1597" t="s">
        <v>464</v>
      </c>
      <c r="L1597" t="str">
        <f t="shared" si="72"/>
        <v>OK</v>
      </c>
      <c r="M1597" t="str">
        <f t="shared" si="73"/>
        <v>OK</v>
      </c>
      <c r="N1597" t="str">
        <f t="shared" si="74"/>
        <v>OK</v>
      </c>
    </row>
    <row r="1598" spans="1:14" x14ac:dyDescent="0.3">
      <c r="A1598">
        <v>78</v>
      </c>
      <c r="B1598">
        <v>2024</v>
      </c>
      <c r="C1598" s="2">
        <v>45611</v>
      </c>
      <c r="E1598" t="s">
        <v>19</v>
      </c>
      <c r="F1598" t="s">
        <v>13</v>
      </c>
      <c r="G1598" t="s">
        <v>464</v>
      </c>
      <c r="H1598" t="s">
        <v>464</v>
      </c>
      <c r="I1598" t="s">
        <v>523</v>
      </c>
      <c r="J1598" t="s">
        <v>540</v>
      </c>
      <c r="K1598" t="s">
        <v>522</v>
      </c>
      <c r="L1598" t="str">
        <f t="shared" si="72"/>
        <v>OK</v>
      </c>
      <c r="M1598" t="str">
        <f t="shared" si="73"/>
        <v>OK</v>
      </c>
      <c r="N1598" t="str">
        <f t="shared" si="74"/>
        <v>OK</v>
      </c>
    </row>
    <row r="1599" spans="1:14" x14ac:dyDescent="0.3">
      <c r="A1599">
        <v>78</v>
      </c>
      <c r="B1599">
        <v>2024</v>
      </c>
      <c r="C1599" s="2">
        <v>45611</v>
      </c>
      <c r="E1599" t="s">
        <v>20</v>
      </c>
      <c r="F1599" t="s">
        <v>13</v>
      </c>
      <c r="G1599" t="s">
        <v>466</v>
      </c>
      <c r="H1599" t="s">
        <v>464</v>
      </c>
      <c r="I1599" t="s">
        <v>466</v>
      </c>
      <c r="J1599" t="s">
        <v>524</v>
      </c>
      <c r="K1599" t="s">
        <v>466</v>
      </c>
      <c r="L1599" t="str">
        <f t="shared" si="72"/>
        <v>OK</v>
      </c>
      <c r="M1599" t="str">
        <f t="shared" si="73"/>
        <v>OK</v>
      </c>
      <c r="N1599" t="str">
        <f t="shared" si="74"/>
        <v>OK</v>
      </c>
    </row>
    <row r="1600" spans="1:14" x14ac:dyDescent="0.3">
      <c r="A1600">
        <v>78</v>
      </c>
      <c r="B1600">
        <v>2024</v>
      </c>
      <c r="C1600" s="2">
        <v>45611</v>
      </c>
      <c r="E1600" t="s">
        <v>21</v>
      </c>
      <c r="F1600" t="s">
        <v>13</v>
      </c>
      <c r="G1600" t="s">
        <v>472</v>
      </c>
      <c r="H1600" t="s">
        <v>473</v>
      </c>
      <c r="I1600" t="s">
        <v>472</v>
      </c>
      <c r="J1600" t="s">
        <v>478</v>
      </c>
      <c r="K1600" t="s">
        <v>479</v>
      </c>
      <c r="L1600" t="str">
        <f t="shared" si="72"/>
        <v>OK</v>
      </c>
      <c r="M1600" t="str">
        <f t="shared" si="73"/>
        <v>OK</v>
      </c>
      <c r="N1600" t="str">
        <f t="shared" si="74"/>
        <v>OK</v>
      </c>
    </row>
    <row r="1601" spans="1:14" x14ac:dyDescent="0.3">
      <c r="A1601">
        <v>78</v>
      </c>
      <c r="B1601">
        <v>2024</v>
      </c>
      <c r="C1601" s="2">
        <v>45611</v>
      </c>
      <c r="E1601" t="s">
        <v>73</v>
      </c>
      <c r="F1601" t="s">
        <v>13</v>
      </c>
      <c r="G1601" t="s">
        <v>464</v>
      </c>
      <c r="H1601" t="s">
        <v>464</v>
      </c>
      <c r="I1601" t="s">
        <v>464</v>
      </c>
      <c r="J1601" t="s">
        <v>464</v>
      </c>
      <c r="K1601" t="s">
        <v>464</v>
      </c>
      <c r="L1601" t="str">
        <f t="shared" si="72"/>
        <v>OK</v>
      </c>
      <c r="M1601" t="str">
        <f t="shared" si="73"/>
        <v>OK</v>
      </c>
      <c r="N1601" t="str">
        <f t="shared" si="74"/>
        <v>OK</v>
      </c>
    </row>
    <row r="1602" spans="1:14" x14ac:dyDescent="0.3">
      <c r="A1602">
        <v>78</v>
      </c>
      <c r="B1602">
        <v>2024</v>
      </c>
      <c r="C1602" s="2">
        <v>45611</v>
      </c>
      <c r="E1602" t="s">
        <v>23</v>
      </c>
      <c r="F1602" t="s">
        <v>13</v>
      </c>
      <c r="G1602" t="s">
        <v>468</v>
      </c>
      <c r="H1602" t="s">
        <v>473</v>
      </c>
      <c r="I1602" t="s">
        <v>468</v>
      </c>
      <c r="J1602" t="s">
        <v>541</v>
      </c>
      <c r="K1602" t="s">
        <v>542</v>
      </c>
      <c r="L1602" t="str">
        <f t="shared" si="72"/>
        <v>OK</v>
      </c>
      <c r="M1602" t="str">
        <f t="shared" si="73"/>
        <v>OK</v>
      </c>
      <c r="N1602" t="str">
        <f t="shared" si="74"/>
        <v>OK</v>
      </c>
    </row>
    <row r="1603" spans="1:14" x14ac:dyDescent="0.3">
      <c r="A1603">
        <v>78</v>
      </c>
      <c r="B1603">
        <v>2024</v>
      </c>
      <c r="C1603" s="2">
        <v>45611</v>
      </c>
      <c r="E1603" t="s">
        <v>24</v>
      </c>
      <c r="F1603" t="s">
        <v>13</v>
      </c>
      <c r="G1603" t="s">
        <v>464</v>
      </c>
      <c r="H1603" t="s">
        <v>463</v>
      </c>
      <c r="I1603" t="s">
        <v>464</v>
      </c>
      <c r="J1603" t="s">
        <v>539</v>
      </c>
      <c r="K1603" t="s">
        <v>464</v>
      </c>
      <c r="L1603" t="str">
        <f t="shared" ref="L1603:L1666" si="75">IF(H1603&gt;I1603,"ERRO","OK")</f>
        <v>OK</v>
      </c>
      <c r="M1603" t="str">
        <f t="shared" ref="M1603:M1666" si="76">IF(H1603&gt;J1603,"ERRO","OK")</f>
        <v>OK</v>
      </c>
      <c r="N1603" t="str">
        <f t="shared" ref="N1603:N1666" si="77">IF(I1603&lt;J1603,"ERRO","OK")</f>
        <v>OK</v>
      </c>
    </row>
    <row r="1604" spans="1:14" x14ac:dyDescent="0.3">
      <c r="A1604">
        <v>78</v>
      </c>
      <c r="B1604">
        <v>2024</v>
      </c>
      <c r="C1604" s="2">
        <v>45611</v>
      </c>
      <c r="E1604" t="s">
        <v>25</v>
      </c>
      <c r="F1604" t="s">
        <v>26</v>
      </c>
      <c r="G1604" t="s">
        <v>463</v>
      </c>
      <c r="H1604" t="s">
        <v>463</v>
      </c>
      <c r="I1604" t="s">
        <v>464</v>
      </c>
      <c r="J1604" t="s">
        <v>465</v>
      </c>
      <c r="K1604" t="s">
        <v>465</v>
      </c>
      <c r="L1604" t="str">
        <f t="shared" si="75"/>
        <v>OK</v>
      </c>
      <c r="M1604" t="str">
        <f t="shared" si="76"/>
        <v>OK</v>
      </c>
      <c r="N1604" t="str">
        <f t="shared" si="77"/>
        <v>OK</v>
      </c>
    </row>
    <row r="1605" spans="1:14" x14ac:dyDescent="0.3">
      <c r="A1605">
        <v>78</v>
      </c>
      <c r="B1605">
        <v>2024</v>
      </c>
      <c r="C1605" s="2">
        <v>45611</v>
      </c>
      <c r="E1605" t="s">
        <v>27</v>
      </c>
      <c r="F1605" t="s">
        <v>13</v>
      </c>
      <c r="G1605" t="s">
        <v>463</v>
      </c>
      <c r="H1605" t="s">
        <v>536</v>
      </c>
      <c r="I1605" t="s">
        <v>463</v>
      </c>
      <c r="J1605" t="s">
        <v>543</v>
      </c>
      <c r="K1605" t="s">
        <v>463</v>
      </c>
      <c r="L1605" t="str">
        <f t="shared" si="75"/>
        <v>OK</v>
      </c>
      <c r="M1605" t="str">
        <f t="shared" si="76"/>
        <v>OK</v>
      </c>
      <c r="N1605" t="str">
        <f t="shared" si="77"/>
        <v>OK</v>
      </c>
    </row>
    <row r="1606" spans="1:14" x14ac:dyDescent="0.3">
      <c r="A1606">
        <v>78</v>
      </c>
      <c r="B1606">
        <v>2024</v>
      </c>
      <c r="C1606" s="2">
        <v>45611</v>
      </c>
      <c r="E1606" t="s">
        <v>28</v>
      </c>
      <c r="F1606" t="s">
        <v>13</v>
      </c>
      <c r="G1606" t="s">
        <v>468</v>
      </c>
      <c r="H1606" t="s">
        <v>472</v>
      </c>
      <c r="I1606" t="s">
        <v>468</v>
      </c>
      <c r="J1606" t="s">
        <v>544</v>
      </c>
      <c r="K1606" t="s">
        <v>468</v>
      </c>
      <c r="L1606" t="str">
        <f t="shared" si="75"/>
        <v>OK</v>
      </c>
      <c r="M1606" t="str">
        <f t="shared" si="76"/>
        <v>OK</v>
      </c>
      <c r="N1606" t="str">
        <f t="shared" si="77"/>
        <v>OK</v>
      </c>
    </row>
    <row r="1607" spans="1:14" x14ac:dyDescent="0.3">
      <c r="A1607">
        <v>78</v>
      </c>
      <c r="B1607">
        <v>2024</v>
      </c>
      <c r="C1607" s="2">
        <v>45611</v>
      </c>
      <c r="E1607" t="s">
        <v>29</v>
      </c>
      <c r="F1607" t="s">
        <v>13</v>
      </c>
      <c r="G1607" t="s">
        <v>463</v>
      </c>
      <c r="H1607" t="s">
        <v>469</v>
      </c>
      <c r="I1607" t="s">
        <v>464</v>
      </c>
      <c r="J1607" t="s">
        <v>545</v>
      </c>
      <c r="K1607" t="s">
        <v>463</v>
      </c>
      <c r="L1607" t="str">
        <f t="shared" si="75"/>
        <v>OK</v>
      </c>
      <c r="M1607" t="str">
        <f t="shared" si="76"/>
        <v>OK</v>
      </c>
      <c r="N1607" t="str">
        <f t="shared" si="77"/>
        <v>OK</v>
      </c>
    </row>
    <row r="1608" spans="1:14" x14ac:dyDescent="0.3">
      <c r="A1608">
        <v>78</v>
      </c>
      <c r="B1608">
        <v>2024</v>
      </c>
      <c r="C1608" s="2">
        <v>45611</v>
      </c>
      <c r="E1608" t="s">
        <v>31</v>
      </c>
      <c r="F1608" t="s">
        <v>32</v>
      </c>
      <c r="G1608" t="s">
        <v>484</v>
      </c>
      <c r="H1608" t="s">
        <v>484</v>
      </c>
      <c r="I1608" t="s">
        <v>484</v>
      </c>
      <c r="J1608" t="s">
        <v>484</v>
      </c>
      <c r="K1608" t="s">
        <v>484</v>
      </c>
      <c r="L1608" t="str">
        <f t="shared" si="75"/>
        <v>OK</v>
      </c>
      <c r="M1608" t="str">
        <f t="shared" si="76"/>
        <v>OK</v>
      </c>
      <c r="N1608" t="str">
        <f t="shared" si="77"/>
        <v>OK</v>
      </c>
    </row>
    <row r="1609" spans="1:14" x14ac:dyDescent="0.3">
      <c r="A1609">
        <v>78</v>
      </c>
      <c r="B1609">
        <v>2024</v>
      </c>
      <c r="C1609" s="2">
        <v>45611</v>
      </c>
      <c r="E1609" t="s">
        <v>34</v>
      </c>
      <c r="F1609" t="s">
        <v>35</v>
      </c>
      <c r="G1609" t="s">
        <v>485</v>
      </c>
      <c r="H1609" t="s">
        <v>485</v>
      </c>
      <c r="I1609" t="s">
        <v>488</v>
      </c>
      <c r="J1609" t="s">
        <v>526</v>
      </c>
      <c r="K1609" t="s">
        <v>526</v>
      </c>
      <c r="L1609" t="str">
        <f t="shared" si="75"/>
        <v>OK</v>
      </c>
      <c r="M1609" t="str">
        <f t="shared" si="76"/>
        <v>OK</v>
      </c>
      <c r="N1609" t="str">
        <f t="shared" si="77"/>
        <v>OK</v>
      </c>
    </row>
    <row r="1610" spans="1:14" x14ac:dyDescent="0.3">
      <c r="A1610">
        <v>78</v>
      </c>
      <c r="B1610">
        <v>2024</v>
      </c>
      <c r="C1610" s="2">
        <v>45611</v>
      </c>
      <c r="E1610" t="s">
        <v>36</v>
      </c>
      <c r="F1610" t="s">
        <v>35</v>
      </c>
      <c r="G1610" t="s">
        <v>463</v>
      </c>
      <c r="H1610" t="s">
        <v>469</v>
      </c>
      <c r="I1610" t="s">
        <v>464</v>
      </c>
      <c r="J1610" t="s">
        <v>545</v>
      </c>
      <c r="K1610" t="s">
        <v>463</v>
      </c>
      <c r="L1610" t="str">
        <f t="shared" si="75"/>
        <v>OK</v>
      </c>
      <c r="M1610" t="str">
        <f t="shared" si="76"/>
        <v>OK</v>
      </c>
      <c r="N1610" t="str">
        <f t="shared" si="77"/>
        <v>OK</v>
      </c>
    </row>
    <row r="1611" spans="1:14" x14ac:dyDescent="0.3">
      <c r="A1611">
        <v>78</v>
      </c>
      <c r="B1611">
        <v>2024</v>
      </c>
      <c r="C1611" s="2">
        <v>45611</v>
      </c>
      <c r="E1611" t="s">
        <v>153</v>
      </c>
      <c r="F1611" t="s">
        <v>154</v>
      </c>
      <c r="G1611" t="s">
        <v>491</v>
      </c>
      <c r="H1611" t="s">
        <v>491</v>
      </c>
      <c r="I1611" t="s">
        <v>492</v>
      </c>
      <c r="J1611" t="s">
        <v>493</v>
      </c>
      <c r="K1611" t="s">
        <v>493</v>
      </c>
      <c r="L1611" t="str">
        <f t="shared" si="75"/>
        <v>OK</v>
      </c>
      <c r="M1611" t="str">
        <f t="shared" si="76"/>
        <v>OK</v>
      </c>
      <c r="N1611" t="str">
        <f t="shared" si="77"/>
        <v>OK</v>
      </c>
    </row>
    <row r="1612" spans="1:14" x14ac:dyDescent="0.3">
      <c r="A1612">
        <v>78</v>
      </c>
      <c r="B1612">
        <v>2024</v>
      </c>
      <c r="C1612" s="2">
        <v>45611</v>
      </c>
      <c r="E1612" t="s">
        <v>39</v>
      </c>
      <c r="F1612" t="s">
        <v>40</v>
      </c>
      <c r="G1612" t="s">
        <v>500</v>
      </c>
      <c r="H1612" t="s">
        <v>499</v>
      </c>
      <c r="I1612" t="s">
        <v>500</v>
      </c>
      <c r="J1612" t="s">
        <v>464</v>
      </c>
      <c r="K1612" t="s">
        <v>497</v>
      </c>
      <c r="L1612" t="str">
        <f t="shared" si="75"/>
        <v>OK</v>
      </c>
      <c r="M1612" t="str">
        <f t="shared" si="76"/>
        <v>OK</v>
      </c>
      <c r="N1612" t="str">
        <f t="shared" si="77"/>
        <v>OK</v>
      </c>
    </row>
    <row r="1613" spans="1:14" x14ac:dyDescent="0.3">
      <c r="A1613">
        <v>78</v>
      </c>
      <c r="B1613">
        <v>2024</v>
      </c>
      <c r="C1613" s="2">
        <v>45611</v>
      </c>
      <c r="E1613" t="s">
        <v>42</v>
      </c>
      <c r="F1613" t="s">
        <v>43</v>
      </c>
      <c r="G1613" t="s">
        <v>476</v>
      </c>
      <c r="H1613" t="s">
        <v>496</v>
      </c>
      <c r="I1613" t="s">
        <v>476</v>
      </c>
      <c r="J1613" t="s">
        <v>505</v>
      </c>
      <c r="K1613" t="s">
        <v>505</v>
      </c>
      <c r="L1613" t="str">
        <f t="shared" si="75"/>
        <v>OK</v>
      </c>
      <c r="M1613" t="str">
        <f t="shared" si="76"/>
        <v>OK</v>
      </c>
      <c r="N1613" t="str">
        <f t="shared" si="77"/>
        <v>OK</v>
      </c>
    </row>
    <row r="1614" spans="1:14" x14ac:dyDescent="0.3">
      <c r="A1614">
        <v>78</v>
      </c>
      <c r="B1614">
        <v>2024</v>
      </c>
      <c r="C1614" s="2">
        <v>45611</v>
      </c>
      <c r="E1614" t="s">
        <v>44</v>
      </c>
      <c r="F1614" t="s">
        <v>45</v>
      </c>
      <c r="G1614" t="s">
        <v>499</v>
      </c>
      <c r="H1614" t="s">
        <v>496</v>
      </c>
      <c r="I1614" t="s">
        <v>502</v>
      </c>
      <c r="J1614" t="s">
        <v>499</v>
      </c>
      <c r="K1614" t="s">
        <v>499</v>
      </c>
      <c r="L1614" t="str">
        <f t="shared" si="75"/>
        <v>OK</v>
      </c>
      <c r="M1614" t="str">
        <f t="shared" si="76"/>
        <v>OK</v>
      </c>
      <c r="N1614" t="str">
        <f t="shared" si="77"/>
        <v>OK</v>
      </c>
    </row>
    <row r="1615" spans="1:14" x14ac:dyDescent="0.3">
      <c r="A1615">
        <v>78</v>
      </c>
      <c r="B1615">
        <v>2024</v>
      </c>
      <c r="C1615" s="2">
        <v>45611</v>
      </c>
      <c r="E1615" t="s">
        <v>48</v>
      </c>
      <c r="F1615" t="s">
        <v>45</v>
      </c>
      <c r="G1615" t="s">
        <v>511</v>
      </c>
      <c r="H1615" t="s">
        <v>511</v>
      </c>
      <c r="I1615" t="s">
        <v>511</v>
      </c>
      <c r="J1615" t="s">
        <v>511</v>
      </c>
      <c r="K1615" t="s">
        <v>511</v>
      </c>
      <c r="L1615" t="str">
        <f t="shared" si="75"/>
        <v>OK</v>
      </c>
      <c r="M1615" t="str">
        <f t="shared" si="76"/>
        <v>OK</v>
      </c>
      <c r="N1615" t="str">
        <f t="shared" si="77"/>
        <v>OK</v>
      </c>
    </row>
    <row r="1616" spans="1:14" x14ac:dyDescent="0.3">
      <c r="A1616">
        <v>78</v>
      </c>
      <c r="B1616">
        <v>2024</v>
      </c>
      <c r="C1616" s="2">
        <v>45611</v>
      </c>
      <c r="E1616" t="s">
        <v>49</v>
      </c>
      <c r="F1616" t="s">
        <v>50</v>
      </c>
      <c r="G1616" t="s">
        <v>499</v>
      </c>
      <c r="H1616" t="s">
        <v>499</v>
      </c>
      <c r="I1616" t="s">
        <v>464</v>
      </c>
      <c r="J1616" t="s">
        <v>502</v>
      </c>
      <c r="K1616" t="s">
        <v>502</v>
      </c>
      <c r="L1616" t="str">
        <f t="shared" si="75"/>
        <v>OK</v>
      </c>
      <c r="M1616" t="str">
        <f t="shared" si="76"/>
        <v>OK</v>
      </c>
      <c r="N1616" t="str">
        <f t="shared" si="77"/>
        <v>OK</v>
      </c>
    </row>
    <row r="1617" spans="1:14" x14ac:dyDescent="0.3">
      <c r="A1617">
        <v>78</v>
      </c>
      <c r="B1617">
        <v>2024</v>
      </c>
      <c r="C1617" s="2">
        <v>45611</v>
      </c>
      <c r="E1617" t="s">
        <v>52</v>
      </c>
      <c r="F1617" t="s">
        <v>43</v>
      </c>
      <c r="G1617" t="s">
        <v>496</v>
      </c>
      <c r="H1617" t="s">
        <v>496</v>
      </c>
      <c r="I1617" t="s">
        <v>500</v>
      </c>
      <c r="J1617" t="s">
        <v>501</v>
      </c>
      <c r="K1617" t="s">
        <v>505</v>
      </c>
      <c r="L1617" t="str">
        <f t="shared" si="75"/>
        <v>OK</v>
      </c>
      <c r="M1617" t="str">
        <f t="shared" si="76"/>
        <v>OK</v>
      </c>
      <c r="N1617" t="str">
        <f t="shared" si="77"/>
        <v>OK</v>
      </c>
    </row>
    <row r="1618" spans="1:14" x14ac:dyDescent="0.3">
      <c r="A1618">
        <v>78</v>
      </c>
      <c r="B1618">
        <v>2024</v>
      </c>
      <c r="C1618" s="2">
        <v>45611</v>
      </c>
      <c r="E1618" t="s">
        <v>53</v>
      </c>
      <c r="F1618" t="s">
        <v>43</v>
      </c>
      <c r="G1618" t="s">
        <v>503</v>
      </c>
      <c r="H1618" t="s">
        <v>503</v>
      </c>
      <c r="I1618" t="s">
        <v>464</v>
      </c>
      <c r="J1618" t="s">
        <v>513</v>
      </c>
      <c r="K1618" t="s">
        <v>546</v>
      </c>
      <c r="L1618" t="str">
        <f t="shared" si="75"/>
        <v>OK</v>
      </c>
      <c r="M1618" t="str">
        <f t="shared" si="76"/>
        <v>OK</v>
      </c>
      <c r="N1618" t="str">
        <f t="shared" si="77"/>
        <v>OK</v>
      </c>
    </row>
    <row r="1619" spans="1:14" x14ac:dyDescent="0.3">
      <c r="A1619">
        <v>78</v>
      </c>
      <c r="B1619">
        <v>2024</v>
      </c>
      <c r="C1619" s="2">
        <v>45611</v>
      </c>
      <c r="E1619" t="s">
        <v>54</v>
      </c>
      <c r="F1619" t="s">
        <v>40</v>
      </c>
      <c r="G1619" t="s">
        <v>521</v>
      </c>
      <c r="H1619" t="s">
        <v>521</v>
      </c>
      <c r="I1619" t="s">
        <v>507</v>
      </c>
      <c r="J1619" t="s">
        <v>509</v>
      </c>
      <c r="K1619" t="s">
        <v>509</v>
      </c>
      <c r="L1619" t="str">
        <f t="shared" si="75"/>
        <v>OK</v>
      </c>
      <c r="M1619" t="str">
        <f t="shared" si="76"/>
        <v>OK</v>
      </c>
      <c r="N1619" t="str">
        <f t="shared" si="77"/>
        <v>OK</v>
      </c>
    </row>
    <row r="1620" spans="1:14" x14ac:dyDescent="0.3">
      <c r="A1620">
        <v>78</v>
      </c>
      <c r="B1620">
        <v>2024</v>
      </c>
      <c r="C1620" s="2">
        <v>45611</v>
      </c>
      <c r="E1620" t="s">
        <v>56</v>
      </c>
      <c r="F1620" t="s">
        <v>43</v>
      </c>
      <c r="G1620" t="s">
        <v>500</v>
      </c>
      <c r="H1620" t="s">
        <v>500</v>
      </c>
      <c r="I1620" t="s">
        <v>500</v>
      </c>
      <c r="J1620" t="s">
        <v>500</v>
      </c>
      <c r="K1620" t="s">
        <v>500</v>
      </c>
      <c r="L1620" t="str">
        <f t="shared" si="75"/>
        <v>OK</v>
      </c>
      <c r="M1620" t="str">
        <f t="shared" si="76"/>
        <v>OK</v>
      </c>
      <c r="N1620" t="str">
        <f t="shared" si="77"/>
        <v>OK</v>
      </c>
    </row>
    <row r="1621" spans="1:14" x14ac:dyDescent="0.3">
      <c r="A1621">
        <v>78</v>
      </c>
      <c r="B1621">
        <v>2024</v>
      </c>
      <c r="C1621" s="2">
        <v>45611</v>
      </c>
      <c r="E1621" t="s">
        <v>57</v>
      </c>
      <c r="F1621" t="s">
        <v>40</v>
      </c>
      <c r="G1621" t="s">
        <v>496</v>
      </c>
      <c r="H1621" t="s">
        <v>496</v>
      </c>
      <c r="I1621" t="s">
        <v>476</v>
      </c>
      <c r="J1621" t="s">
        <v>547</v>
      </c>
      <c r="K1621" t="s">
        <v>496</v>
      </c>
      <c r="L1621" t="str">
        <f t="shared" si="75"/>
        <v>OK</v>
      </c>
      <c r="M1621" t="str">
        <f t="shared" si="76"/>
        <v>OK</v>
      </c>
      <c r="N1621" t="str">
        <f t="shared" si="77"/>
        <v>OK</v>
      </c>
    </row>
    <row r="1622" spans="1:14" x14ac:dyDescent="0.3">
      <c r="A1622">
        <v>78</v>
      </c>
      <c r="B1622">
        <v>2024</v>
      </c>
      <c r="C1622" s="2">
        <v>45611</v>
      </c>
      <c r="E1622" t="s">
        <v>58</v>
      </c>
      <c r="F1622" t="s">
        <v>40</v>
      </c>
      <c r="G1622" t="s">
        <v>464</v>
      </c>
      <c r="H1622" t="s">
        <v>499</v>
      </c>
      <c r="I1622" t="s">
        <v>464</v>
      </c>
      <c r="J1622" t="s">
        <v>505</v>
      </c>
      <c r="K1622" t="s">
        <v>464</v>
      </c>
      <c r="L1622" t="str">
        <f t="shared" si="75"/>
        <v>OK</v>
      </c>
      <c r="M1622" t="str">
        <f t="shared" si="76"/>
        <v>OK</v>
      </c>
      <c r="N1622" t="str">
        <f t="shared" si="77"/>
        <v>OK</v>
      </c>
    </row>
    <row r="1623" spans="1:14" x14ac:dyDescent="0.3">
      <c r="A1623">
        <v>78</v>
      </c>
      <c r="B1623">
        <v>2024</v>
      </c>
      <c r="C1623" s="2">
        <v>45611</v>
      </c>
      <c r="E1623" t="s">
        <v>59</v>
      </c>
      <c r="F1623" t="s">
        <v>45</v>
      </c>
      <c r="G1623" t="s">
        <v>499</v>
      </c>
      <c r="H1623" t="s">
        <v>496</v>
      </c>
      <c r="I1623" t="s">
        <v>499</v>
      </c>
      <c r="J1623" t="s">
        <v>504</v>
      </c>
      <c r="K1623" t="s">
        <v>499</v>
      </c>
      <c r="L1623" t="str">
        <f t="shared" si="75"/>
        <v>OK</v>
      </c>
      <c r="M1623" t="str">
        <f t="shared" si="76"/>
        <v>OK</v>
      </c>
      <c r="N1623" t="str">
        <f t="shared" si="77"/>
        <v>OK</v>
      </c>
    </row>
    <row r="1624" spans="1:14" x14ac:dyDescent="0.3">
      <c r="A1624">
        <v>78</v>
      </c>
      <c r="B1624">
        <v>2024</v>
      </c>
      <c r="C1624" s="2">
        <v>45611</v>
      </c>
      <c r="E1624" t="s">
        <v>60</v>
      </c>
      <c r="F1624" t="s">
        <v>61</v>
      </c>
      <c r="G1624" t="s">
        <v>515</v>
      </c>
      <c r="H1624" t="s">
        <v>515</v>
      </c>
      <c r="I1624" t="s">
        <v>515</v>
      </c>
      <c r="J1624" t="s">
        <v>515</v>
      </c>
      <c r="K1624" t="s">
        <v>515</v>
      </c>
      <c r="L1624" t="str">
        <f t="shared" si="75"/>
        <v>OK</v>
      </c>
      <c r="M1624" t="str">
        <f t="shared" si="76"/>
        <v>OK</v>
      </c>
      <c r="N1624" t="str">
        <f t="shared" si="77"/>
        <v>OK</v>
      </c>
    </row>
    <row r="1625" spans="1:14" x14ac:dyDescent="0.3">
      <c r="A1625">
        <v>78</v>
      </c>
      <c r="B1625">
        <v>2024</v>
      </c>
      <c r="C1625" s="2">
        <v>45611</v>
      </c>
      <c r="E1625" t="s">
        <v>63</v>
      </c>
      <c r="F1625" t="s">
        <v>40</v>
      </c>
      <c r="G1625" t="s">
        <v>500</v>
      </c>
      <c r="H1625" t="s">
        <v>500</v>
      </c>
      <c r="I1625" t="s">
        <v>492</v>
      </c>
      <c r="J1625" t="s">
        <v>476</v>
      </c>
      <c r="K1625" t="s">
        <v>540</v>
      </c>
      <c r="L1625" t="str">
        <f t="shared" si="75"/>
        <v>OK</v>
      </c>
      <c r="M1625" t="str">
        <f t="shared" si="76"/>
        <v>OK</v>
      </c>
      <c r="N1625" t="str">
        <f t="shared" si="77"/>
        <v>OK</v>
      </c>
    </row>
    <row r="1626" spans="1:14" x14ac:dyDescent="0.3">
      <c r="A1626">
        <v>78</v>
      </c>
      <c r="B1626">
        <v>2024</v>
      </c>
      <c r="C1626" s="2">
        <v>45611</v>
      </c>
      <c r="E1626" t="s">
        <v>64</v>
      </c>
      <c r="F1626" t="s">
        <v>40</v>
      </c>
      <c r="G1626" t="s">
        <v>499</v>
      </c>
      <c r="H1626" t="s">
        <v>499</v>
      </c>
      <c r="I1626" t="s">
        <v>492</v>
      </c>
      <c r="J1626" t="s">
        <v>464</v>
      </c>
      <c r="K1626" t="s">
        <v>502</v>
      </c>
      <c r="L1626" t="str">
        <f t="shared" si="75"/>
        <v>OK</v>
      </c>
      <c r="M1626" t="str">
        <f t="shared" si="76"/>
        <v>OK</v>
      </c>
      <c r="N1626" t="str">
        <f t="shared" si="77"/>
        <v>OK</v>
      </c>
    </row>
    <row r="1627" spans="1:14" x14ac:dyDescent="0.3">
      <c r="A1627">
        <v>78</v>
      </c>
      <c r="B1627">
        <v>2024</v>
      </c>
      <c r="C1627" s="2">
        <v>45611</v>
      </c>
      <c r="E1627" t="s">
        <v>66</v>
      </c>
      <c r="F1627" t="s">
        <v>45</v>
      </c>
      <c r="L1627" t="str">
        <f t="shared" si="75"/>
        <v>OK</v>
      </c>
      <c r="M1627" t="str">
        <f t="shared" si="76"/>
        <v>OK</v>
      </c>
      <c r="N1627" t="str">
        <f t="shared" si="77"/>
        <v>OK</v>
      </c>
    </row>
    <row r="1628" spans="1:14" x14ac:dyDescent="0.3">
      <c r="A1628">
        <v>78</v>
      </c>
      <c r="B1628">
        <v>2024</v>
      </c>
      <c r="C1628" s="2">
        <v>45611</v>
      </c>
      <c r="E1628" t="s">
        <v>67</v>
      </c>
      <c r="F1628" t="s">
        <v>45</v>
      </c>
      <c r="L1628" t="str">
        <f t="shared" si="75"/>
        <v>OK</v>
      </c>
      <c r="M1628" t="str">
        <f t="shared" si="76"/>
        <v>OK</v>
      </c>
      <c r="N1628" t="str">
        <f t="shared" si="77"/>
        <v>OK</v>
      </c>
    </row>
    <row r="1629" spans="1:14" x14ac:dyDescent="0.3">
      <c r="A1629">
        <v>78</v>
      </c>
      <c r="B1629">
        <v>2024</v>
      </c>
      <c r="C1629" s="2">
        <v>45611</v>
      </c>
      <c r="E1629" t="s">
        <v>68</v>
      </c>
      <c r="F1629" t="s">
        <v>45</v>
      </c>
      <c r="L1629" t="str">
        <f t="shared" si="75"/>
        <v>OK</v>
      </c>
      <c r="M1629" t="str">
        <f t="shared" si="76"/>
        <v>OK</v>
      </c>
      <c r="N1629" t="str">
        <f t="shared" si="77"/>
        <v>OK</v>
      </c>
    </row>
    <row r="1630" spans="1:14" x14ac:dyDescent="0.3">
      <c r="A1630">
        <v>78</v>
      </c>
      <c r="B1630">
        <v>2024</v>
      </c>
      <c r="C1630" s="2">
        <v>45611</v>
      </c>
      <c r="E1630" t="s">
        <v>69</v>
      </c>
      <c r="F1630" t="s">
        <v>45</v>
      </c>
      <c r="G1630" t="s">
        <v>464</v>
      </c>
      <c r="H1630" t="s">
        <v>464</v>
      </c>
      <c r="I1630" t="s">
        <v>464</v>
      </c>
      <c r="J1630" t="s">
        <v>464</v>
      </c>
      <c r="K1630" t="s">
        <v>464</v>
      </c>
      <c r="L1630" t="str">
        <f t="shared" si="75"/>
        <v>OK</v>
      </c>
      <c r="M1630" t="str">
        <f t="shared" si="76"/>
        <v>OK</v>
      </c>
      <c r="N1630" t="str">
        <f t="shared" si="77"/>
        <v>OK</v>
      </c>
    </row>
    <row r="1631" spans="1:14" x14ac:dyDescent="0.3">
      <c r="A1631">
        <v>78</v>
      </c>
      <c r="B1631">
        <v>2024</v>
      </c>
      <c r="C1631" s="2">
        <v>45611</v>
      </c>
      <c r="E1631" t="s">
        <v>70</v>
      </c>
      <c r="F1631" s="12" t="s">
        <v>71</v>
      </c>
      <c r="L1631" t="str">
        <f t="shared" si="75"/>
        <v>OK</v>
      </c>
      <c r="M1631" t="str">
        <f t="shared" si="76"/>
        <v>OK</v>
      </c>
      <c r="N1631" t="str">
        <f t="shared" si="77"/>
        <v>OK</v>
      </c>
    </row>
    <row r="1632" spans="1:14" x14ac:dyDescent="0.3">
      <c r="A1632">
        <v>79</v>
      </c>
      <c r="B1632">
        <v>24</v>
      </c>
      <c r="C1632" s="2">
        <v>45618</v>
      </c>
      <c r="E1632" t="s">
        <v>12</v>
      </c>
      <c r="F1632" s="12" t="s">
        <v>13</v>
      </c>
      <c r="G1632">
        <v>60</v>
      </c>
      <c r="H1632">
        <v>48</v>
      </c>
      <c r="I1632">
        <v>60</v>
      </c>
      <c r="J1632">
        <v>56</v>
      </c>
      <c r="K1632">
        <v>60</v>
      </c>
      <c r="L1632" t="str">
        <f t="shared" si="75"/>
        <v>OK</v>
      </c>
      <c r="M1632" t="str">
        <f t="shared" si="76"/>
        <v>OK</v>
      </c>
      <c r="N1632" t="str">
        <f t="shared" si="77"/>
        <v>OK</v>
      </c>
    </row>
    <row r="1633" spans="1:14" x14ac:dyDescent="0.3">
      <c r="A1633">
        <v>79</v>
      </c>
      <c r="B1633">
        <v>24</v>
      </c>
      <c r="C1633" s="2">
        <v>45618</v>
      </c>
      <c r="E1633" t="s">
        <v>14</v>
      </c>
      <c r="F1633" s="12" t="s">
        <v>13</v>
      </c>
      <c r="H1633">
        <v>84</v>
      </c>
      <c r="I1633">
        <v>90</v>
      </c>
      <c r="J1633">
        <v>87</v>
      </c>
      <c r="K1633">
        <v>87</v>
      </c>
      <c r="L1633" t="str">
        <f t="shared" si="75"/>
        <v>OK</v>
      </c>
      <c r="M1633" t="str">
        <f t="shared" si="76"/>
        <v>OK</v>
      </c>
      <c r="N1633" t="str">
        <f t="shared" si="77"/>
        <v>OK</v>
      </c>
    </row>
    <row r="1634" spans="1:14" x14ac:dyDescent="0.3">
      <c r="A1634">
        <v>79</v>
      </c>
      <c r="B1634">
        <v>24</v>
      </c>
      <c r="C1634" s="2">
        <v>45618</v>
      </c>
      <c r="E1634" t="s">
        <v>15</v>
      </c>
      <c r="F1634" s="12" t="s">
        <v>13</v>
      </c>
      <c r="H1634">
        <v>45</v>
      </c>
      <c r="I1634">
        <v>60</v>
      </c>
      <c r="J1634">
        <v>51</v>
      </c>
      <c r="K1634">
        <v>48</v>
      </c>
      <c r="L1634" t="str">
        <f t="shared" si="75"/>
        <v>OK</v>
      </c>
      <c r="M1634" t="str">
        <f t="shared" si="76"/>
        <v>OK</v>
      </c>
      <c r="N1634" t="str">
        <f t="shared" si="77"/>
        <v>OK</v>
      </c>
    </row>
    <row r="1635" spans="1:14" x14ac:dyDescent="0.3">
      <c r="A1635">
        <v>79</v>
      </c>
      <c r="B1635">
        <v>24</v>
      </c>
      <c r="C1635" s="2">
        <v>45618</v>
      </c>
      <c r="E1635" t="s">
        <v>16</v>
      </c>
      <c r="F1635" s="12" t="s">
        <v>13</v>
      </c>
      <c r="H1635">
        <v>30</v>
      </c>
      <c r="I1635">
        <v>36</v>
      </c>
      <c r="J1635" s="22">
        <v>33666667</v>
      </c>
      <c r="K1635">
        <v>35</v>
      </c>
      <c r="L1635" t="str">
        <f t="shared" si="75"/>
        <v>OK</v>
      </c>
      <c r="M1635" t="str">
        <f t="shared" si="76"/>
        <v>OK</v>
      </c>
      <c r="N1635" t="str">
        <f t="shared" si="77"/>
        <v>ERRO</v>
      </c>
    </row>
    <row r="1636" spans="1:14" x14ac:dyDescent="0.3">
      <c r="A1636">
        <v>79</v>
      </c>
      <c r="B1636">
        <v>24</v>
      </c>
      <c r="C1636" s="2">
        <v>45618</v>
      </c>
      <c r="E1636" t="s">
        <v>17</v>
      </c>
      <c r="F1636" s="12" t="s">
        <v>13</v>
      </c>
      <c r="H1636">
        <v>35</v>
      </c>
      <c r="I1636">
        <v>36</v>
      </c>
      <c r="J1636" t="s">
        <v>145</v>
      </c>
      <c r="K1636" t="s">
        <v>145</v>
      </c>
      <c r="L1636" t="str">
        <f t="shared" si="75"/>
        <v>OK</v>
      </c>
      <c r="M1636" t="str">
        <f t="shared" si="76"/>
        <v>OK</v>
      </c>
      <c r="N1636" t="str">
        <f t="shared" si="77"/>
        <v>ERRO</v>
      </c>
    </row>
    <row r="1637" spans="1:14" x14ac:dyDescent="0.3">
      <c r="A1637">
        <v>79</v>
      </c>
      <c r="B1637">
        <v>24</v>
      </c>
      <c r="C1637" s="2">
        <v>45618</v>
      </c>
      <c r="E1637" t="s">
        <v>18</v>
      </c>
      <c r="F1637" s="12" t="s">
        <v>13</v>
      </c>
      <c r="H1637">
        <v>66</v>
      </c>
      <c r="I1637">
        <v>72</v>
      </c>
      <c r="J1637">
        <v>69</v>
      </c>
      <c r="K1637">
        <v>69</v>
      </c>
      <c r="L1637" t="str">
        <f t="shared" si="75"/>
        <v>OK</v>
      </c>
      <c r="M1637" t="str">
        <f t="shared" si="76"/>
        <v>OK</v>
      </c>
      <c r="N1637" t="str">
        <f t="shared" si="77"/>
        <v>OK</v>
      </c>
    </row>
    <row r="1638" spans="1:14" x14ac:dyDescent="0.3">
      <c r="A1638">
        <v>79</v>
      </c>
      <c r="B1638">
        <v>24</v>
      </c>
      <c r="C1638" s="2">
        <v>45618</v>
      </c>
      <c r="E1638" t="s">
        <v>19</v>
      </c>
      <c r="F1638" s="12" t="s">
        <v>13</v>
      </c>
      <c r="G1638">
        <v>60</v>
      </c>
      <c r="H1638">
        <v>60</v>
      </c>
      <c r="I1638">
        <v>78</v>
      </c>
      <c r="J1638">
        <v>66</v>
      </c>
      <c r="K1638">
        <v>60</v>
      </c>
      <c r="L1638" t="str">
        <f t="shared" si="75"/>
        <v>OK</v>
      </c>
      <c r="M1638" t="str">
        <f t="shared" si="76"/>
        <v>OK</v>
      </c>
      <c r="N1638" t="str">
        <f t="shared" si="77"/>
        <v>OK</v>
      </c>
    </row>
    <row r="1639" spans="1:14" x14ac:dyDescent="0.3">
      <c r="A1639">
        <v>79</v>
      </c>
      <c r="B1639">
        <v>24</v>
      </c>
      <c r="C1639" s="2">
        <v>45618</v>
      </c>
      <c r="E1639" t="s">
        <v>20</v>
      </c>
      <c r="F1639" s="12" t="s">
        <v>13</v>
      </c>
      <c r="G1639">
        <v>72</v>
      </c>
      <c r="H1639">
        <v>72</v>
      </c>
      <c r="I1639">
        <v>84</v>
      </c>
      <c r="J1639">
        <v>76</v>
      </c>
      <c r="K1639">
        <v>72</v>
      </c>
      <c r="L1639" t="str">
        <f t="shared" si="75"/>
        <v>OK</v>
      </c>
      <c r="M1639" t="str">
        <f t="shared" si="76"/>
        <v>OK</v>
      </c>
      <c r="N1639" t="str">
        <f t="shared" si="77"/>
        <v>OK</v>
      </c>
    </row>
    <row r="1640" spans="1:14" x14ac:dyDescent="0.3">
      <c r="A1640">
        <v>79</v>
      </c>
      <c r="B1640">
        <v>24</v>
      </c>
      <c r="C1640" s="2">
        <v>45618</v>
      </c>
      <c r="E1640" t="s">
        <v>443</v>
      </c>
      <c r="F1640" s="12" t="s">
        <v>13</v>
      </c>
      <c r="G1640">
        <v>24</v>
      </c>
      <c r="H1640">
        <v>18</v>
      </c>
      <c r="I1640">
        <v>24</v>
      </c>
      <c r="J1640">
        <v>22</v>
      </c>
      <c r="K1640">
        <v>24</v>
      </c>
      <c r="L1640" t="str">
        <f t="shared" si="75"/>
        <v>OK</v>
      </c>
      <c r="M1640" t="str">
        <f t="shared" si="76"/>
        <v>OK</v>
      </c>
      <c r="N1640" t="str">
        <f t="shared" si="77"/>
        <v>OK</v>
      </c>
    </row>
    <row r="1641" spans="1:14" x14ac:dyDescent="0.3">
      <c r="A1641">
        <v>79</v>
      </c>
      <c r="B1641">
        <v>24</v>
      </c>
      <c r="C1641" s="2">
        <v>45618</v>
      </c>
      <c r="E1641" t="s">
        <v>444</v>
      </c>
      <c r="F1641" s="12" t="s">
        <v>13</v>
      </c>
      <c r="H1641">
        <v>72</v>
      </c>
      <c r="I1641">
        <v>84</v>
      </c>
      <c r="J1641">
        <v>78</v>
      </c>
      <c r="K1641">
        <v>78</v>
      </c>
      <c r="L1641" t="str">
        <f t="shared" si="75"/>
        <v>OK</v>
      </c>
      <c r="M1641" t="str">
        <f t="shared" si="76"/>
        <v>OK</v>
      </c>
      <c r="N1641" t="str">
        <f t="shared" si="77"/>
        <v>OK</v>
      </c>
    </row>
    <row r="1642" spans="1:14" x14ac:dyDescent="0.3">
      <c r="A1642">
        <v>79</v>
      </c>
      <c r="B1642">
        <v>24</v>
      </c>
      <c r="C1642" s="2">
        <v>45618</v>
      </c>
      <c r="E1642" t="s">
        <v>23</v>
      </c>
      <c r="F1642" s="12" t="s">
        <v>13</v>
      </c>
      <c r="H1642">
        <v>24</v>
      </c>
      <c r="I1642">
        <v>36</v>
      </c>
      <c r="J1642" s="22">
        <v>31666667</v>
      </c>
      <c r="K1642">
        <v>35</v>
      </c>
      <c r="L1642" t="str">
        <f t="shared" si="75"/>
        <v>OK</v>
      </c>
      <c r="M1642" t="str">
        <f t="shared" si="76"/>
        <v>OK</v>
      </c>
      <c r="N1642" t="str">
        <f t="shared" si="77"/>
        <v>ERRO</v>
      </c>
    </row>
    <row r="1643" spans="1:14" x14ac:dyDescent="0.3">
      <c r="A1643">
        <v>79</v>
      </c>
      <c r="B1643">
        <v>24</v>
      </c>
      <c r="C1643" s="2">
        <v>45618</v>
      </c>
      <c r="E1643" t="s">
        <v>24</v>
      </c>
      <c r="F1643" s="12" t="s">
        <v>13</v>
      </c>
      <c r="H1643">
        <v>72</v>
      </c>
      <c r="I1643">
        <v>84</v>
      </c>
      <c r="J1643">
        <v>78</v>
      </c>
      <c r="K1643">
        <v>78</v>
      </c>
      <c r="L1643" t="str">
        <f t="shared" si="75"/>
        <v>OK</v>
      </c>
      <c r="M1643" t="str">
        <f t="shared" si="76"/>
        <v>OK</v>
      </c>
      <c r="N1643" t="str">
        <f t="shared" si="77"/>
        <v>OK</v>
      </c>
    </row>
    <row r="1644" spans="1:14" x14ac:dyDescent="0.3">
      <c r="A1644">
        <v>79</v>
      </c>
      <c r="B1644">
        <v>24</v>
      </c>
      <c r="C1644" s="2">
        <v>45618</v>
      </c>
      <c r="E1644" t="s">
        <v>25</v>
      </c>
      <c r="F1644" s="12" t="s">
        <v>26</v>
      </c>
      <c r="H1644">
        <v>60</v>
      </c>
      <c r="I1644">
        <v>78</v>
      </c>
      <c r="J1644">
        <v>70</v>
      </c>
      <c r="K1644">
        <v>72</v>
      </c>
      <c r="L1644" t="str">
        <f t="shared" si="75"/>
        <v>OK</v>
      </c>
      <c r="M1644" t="str">
        <f t="shared" si="76"/>
        <v>OK</v>
      </c>
      <c r="N1644" t="str">
        <f t="shared" si="77"/>
        <v>OK</v>
      </c>
    </row>
    <row r="1645" spans="1:14" x14ac:dyDescent="0.3">
      <c r="A1645">
        <v>79</v>
      </c>
      <c r="B1645">
        <v>24</v>
      </c>
      <c r="C1645" s="2">
        <v>45618</v>
      </c>
      <c r="E1645" t="s">
        <v>27</v>
      </c>
      <c r="F1645" s="12" t="s">
        <v>13</v>
      </c>
      <c r="H1645">
        <v>40</v>
      </c>
      <c r="I1645">
        <v>72</v>
      </c>
      <c r="J1645">
        <v>56</v>
      </c>
      <c r="K1645">
        <v>56</v>
      </c>
      <c r="L1645" t="str">
        <f t="shared" si="75"/>
        <v>OK</v>
      </c>
      <c r="M1645" t="str">
        <f t="shared" si="76"/>
        <v>OK</v>
      </c>
      <c r="N1645" t="str">
        <f t="shared" si="77"/>
        <v>OK</v>
      </c>
    </row>
    <row r="1646" spans="1:14" x14ac:dyDescent="0.3">
      <c r="A1646">
        <v>79</v>
      </c>
      <c r="B1646">
        <v>24</v>
      </c>
      <c r="C1646" s="2">
        <v>45618</v>
      </c>
      <c r="E1646" t="s">
        <v>28</v>
      </c>
      <c r="F1646" s="12" t="s">
        <v>13</v>
      </c>
      <c r="G1646">
        <v>30</v>
      </c>
      <c r="H1646">
        <v>30</v>
      </c>
      <c r="I1646">
        <v>35</v>
      </c>
      <c r="J1646" s="22">
        <v>31666667</v>
      </c>
      <c r="K1646">
        <v>30</v>
      </c>
      <c r="L1646" t="str">
        <f t="shared" si="75"/>
        <v>OK</v>
      </c>
      <c r="M1646" t="str">
        <f t="shared" si="76"/>
        <v>OK</v>
      </c>
      <c r="N1646" t="str">
        <f t="shared" si="77"/>
        <v>ERRO</v>
      </c>
    </row>
    <row r="1647" spans="1:14" x14ac:dyDescent="0.3">
      <c r="A1647">
        <v>79</v>
      </c>
      <c r="B1647">
        <v>24</v>
      </c>
      <c r="C1647" s="2">
        <v>45618</v>
      </c>
      <c r="E1647" t="s">
        <v>29</v>
      </c>
      <c r="F1647" s="12" t="s">
        <v>13</v>
      </c>
      <c r="G1647">
        <v>54</v>
      </c>
      <c r="H1647">
        <v>54</v>
      </c>
      <c r="I1647">
        <v>60</v>
      </c>
      <c r="J1647">
        <v>56</v>
      </c>
      <c r="K1647">
        <v>54</v>
      </c>
      <c r="L1647" t="str">
        <f t="shared" si="75"/>
        <v>OK</v>
      </c>
      <c r="M1647" t="str">
        <f t="shared" si="76"/>
        <v>OK</v>
      </c>
      <c r="N1647" t="str">
        <f t="shared" si="77"/>
        <v>OK</v>
      </c>
    </row>
    <row r="1648" spans="1:14" x14ac:dyDescent="0.3">
      <c r="A1648">
        <v>79</v>
      </c>
      <c r="B1648">
        <v>24</v>
      </c>
      <c r="C1648" s="2">
        <v>45618</v>
      </c>
      <c r="E1648" t="s">
        <v>31</v>
      </c>
      <c r="F1648" s="12" t="s">
        <v>32</v>
      </c>
      <c r="G1648">
        <v>5</v>
      </c>
      <c r="H1648">
        <v>5</v>
      </c>
      <c r="I1648">
        <v>5</v>
      </c>
      <c r="J1648">
        <v>5</v>
      </c>
      <c r="K1648">
        <v>5</v>
      </c>
      <c r="L1648" t="str">
        <f t="shared" si="75"/>
        <v>OK</v>
      </c>
      <c r="M1648" t="str">
        <f t="shared" si="76"/>
        <v>OK</v>
      </c>
      <c r="N1648" t="str">
        <f t="shared" si="77"/>
        <v>OK</v>
      </c>
    </row>
    <row r="1649" spans="1:14" x14ac:dyDescent="0.3">
      <c r="A1649">
        <v>79</v>
      </c>
      <c r="B1649">
        <v>24</v>
      </c>
      <c r="C1649" s="2">
        <v>45618</v>
      </c>
      <c r="E1649" t="s">
        <v>34</v>
      </c>
      <c r="F1649" s="12" t="s">
        <v>35</v>
      </c>
      <c r="G1649">
        <v>20</v>
      </c>
      <c r="H1649">
        <v>20</v>
      </c>
      <c r="I1649">
        <v>20</v>
      </c>
      <c r="J1649">
        <v>20</v>
      </c>
      <c r="K1649">
        <v>20</v>
      </c>
      <c r="L1649" t="str">
        <f t="shared" si="75"/>
        <v>OK</v>
      </c>
      <c r="M1649" t="str">
        <f t="shared" si="76"/>
        <v>OK</v>
      </c>
      <c r="N1649" t="str">
        <f t="shared" si="77"/>
        <v>OK</v>
      </c>
    </row>
    <row r="1650" spans="1:14" x14ac:dyDescent="0.3">
      <c r="A1650">
        <v>79</v>
      </c>
      <c r="B1650">
        <v>24</v>
      </c>
      <c r="C1650" s="2">
        <v>45618</v>
      </c>
      <c r="E1650" t="s">
        <v>36</v>
      </c>
      <c r="F1650" s="12" t="s">
        <v>35</v>
      </c>
      <c r="G1650">
        <v>30</v>
      </c>
      <c r="H1650">
        <v>25</v>
      </c>
      <c r="I1650">
        <v>30</v>
      </c>
      <c r="J1650" s="22">
        <v>28333333</v>
      </c>
      <c r="K1650">
        <v>30</v>
      </c>
      <c r="L1650" t="str">
        <f t="shared" si="75"/>
        <v>OK</v>
      </c>
      <c r="M1650" t="str">
        <f t="shared" si="76"/>
        <v>OK</v>
      </c>
      <c r="N1650" t="str">
        <f t="shared" si="77"/>
        <v>ERRO</v>
      </c>
    </row>
    <row r="1651" spans="1:14" x14ac:dyDescent="0.3">
      <c r="A1651">
        <v>79</v>
      </c>
      <c r="B1651">
        <v>24</v>
      </c>
      <c r="C1651" s="2">
        <v>45618</v>
      </c>
      <c r="E1651" t="s">
        <v>153</v>
      </c>
      <c r="F1651" s="12" t="s">
        <v>154</v>
      </c>
      <c r="G1651">
        <v>80</v>
      </c>
      <c r="H1651">
        <v>75</v>
      </c>
      <c r="I1651">
        <v>80</v>
      </c>
      <c r="J1651" s="22">
        <v>78333333</v>
      </c>
      <c r="K1651">
        <v>80</v>
      </c>
      <c r="L1651" t="str">
        <f t="shared" si="75"/>
        <v>OK</v>
      </c>
      <c r="M1651" t="str">
        <f t="shared" si="76"/>
        <v>OK</v>
      </c>
      <c r="N1651" t="str">
        <f t="shared" si="77"/>
        <v>ERRO</v>
      </c>
    </row>
    <row r="1652" spans="1:14" x14ac:dyDescent="0.3">
      <c r="A1652">
        <v>79</v>
      </c>
      <c r="B1652">
        <v>24</v>
      </c>
      <c r="C1652" s="2">
        <v>45618</v>
      </c>
      <c r="E1652" t="s">
        <v>39</v>
      </c>
      <c r="F1652" s="12" t="s">
        <v>40</v>
      </c>
      <c r="H1652">
        <v>40</v>
      </c>
      <c r="I1652">
        <v>80</v>
      </c>
      <c r="J1652" s="22">
        <v>58333333</v>
      </c>
      <c r="K1652" t="s">
        <v>41</v>
      </c>
      <c r="L1652" t="str">
        <f t="shared" si="75"/>
        <v>OK</v>
      </c>
      <c r="M1652" t="str">
        <f t="shared" si="76"/>
        <v>OK</v>
      </c>
      <c r="N1652" t="str">
        <f t="shared" si="77"/>
        <v>ERRO</v>
      </c>
    </row>
    <row r="1653" spans="1:14" x14ac:dyDescent="0.3">
      <c r="A1653">
        <v>79</v>
      </c>
      <c r="B1653">
        <v>24</v>
      </c>
      <c r="C1653" s="2">
        <v>45618</v>
      </c>
      <c r="E1653" t="s">
        <v>445</v>
      </c>
      <c r="F1653" s="12" t="s">
        <v>43</v>
      </c>
      <c r="G1653">
        <v>65</v>
      </c>
      <c r="H1653">
        <v>45</v>
      </c>
      <c r="I1653">
        <v>70</v>
      </c>
      <c r="J1653">
        <v>60</v>
      </c>
      <c r="K1653">
        <v>65</v>
      </c>
      <c r="L1653" t="str">
        <f t="shared" si="75"/>
        <v>OK</v>
      </c>
      <c r="M1653" t="str">
        <f t="shared" si="76"/>
        <v>OK</v>
      </c>
      <c r="N1653" t="str">
        <f t="shared" si="77"/>
        <v>OK</v>
      </c>
    </row>
    <row r="1654" spans="1:14" x14ac:dyDescent="0.3">
      <c r="A1654">
        <v>79</v>
      </c>
      <c r="B1654">
        <v>24</v>
      </c>
      <c r="C1654" s="2">
        <v>45618</v>
      </c>
      <c r="E1654" t="s">
        <v>44</v>
      </c>
      <c r="F1654" s="12" t="s">
        <v>45</v>
      </c>
      <c r="G1654">
        <v>55</v>
      </c>
      <c r="H1654">
        <v>50</v>
      </c>
      <c r="I1654">
        <v>60</v>
      </c>
      <c r="J1654" s="22">
        <v>54166667</v>
      </c>
      <c r="K1654">
        <v>55</v>
      </c>
      <c r="L1654" t="str">
        <f t="shared" si="75"/>
        <v>OK</v>
      </c>
      <c r="M1654" t="str">
        <f t="shared" si="76"/>
        <v>OK</v>
      </c>
      <c r="N1654" t="str">
        <f t="shared" si="77"/>
        <v>ERRO</v>
      </c>
    </row>
    <row r="1655" spans="1:14" x14ac:dyDescent="0.3">
      <c r="A1655">
        <v>79</v>
      </c>
      <c r="B1655">
        <v>24</v>
      </c>
      <c r="C1655" s="2">
        <v>45618</v>
      </c>
      <c r="E1655" t="s">
        <v>48</v>
      </c>
      <c r="F1655" s="12" t="s">
        <v>45</v>
      </c>
      <c r="H1655">
        <v>90</v>
      </c>
      <c r="I1655">
        <v>120</v>
      </c>
      <c r="J1655">
        <v>105</v>
      </c>
      <c r="K1655">
        <v>105</v>
      </c>
      <c r="L1655" t="str">
        <f t="shared" si="75"/>
        <v>OK</v>
      </c>
      <c r="M1655" t="str">
        <f t="shared" si="76"/>
        <v>OK</v>
      </c>
      <c r="N1655" t="str">
        <f t="shared" si="77"/>
        <v>OK</v>
      </c>
    </row>
    <row r="1656" spans="1:14" x14ac:dyDescent="0.3">
      <c r="A1656">
        <v>79</v>
      </c>
      <c r="B1656">
        <v>24</v>
      </c>
      <c r="C1656" s="2">
        <v>45618</v>
      </c>
      <c r="E1656" t="s">
        <v>49</v>
      </c>
      <c r="F1656" s="12" t="s">
        <v>50</v>
      </c>
      <c r="G1656">
        <v>60</v>
      </c>
      <c r="H1656">
        <v>50</v>
      </c>
      <c r="I1656">
        <v>65</v>
      </c>
      <c r="J1656" s="22">
        <v>58333333</v>
      </c>
      <c r="K1656">
        <v>60</v>
      </c>
      <c r="L1656" t="str">
        <f t="shared" si="75"/>
        <v>OK</v>
      </c>
      <c r="M1656" t="str">
        <f t="shared" si="76"/>
        <v>OK</v>
      </c>
      <c r="N1656" t="str">
        <f t="shared" si="77"/>
        <v>ERRO</v>
      </c>
    </row>
    <row r="1657" spans="1:14" x14ac:dyDescent="0.3">
      <c r="A1657">
        <v>79</v>
      </c>
      <c r="B1657">
        <v>24</v>
      </c>
      <c r="C1657" s="2">
        <v>45618</v>
      </c>
      <c r="E1657" t="s">
        <v>52</v>
      </c>
      <c r="F1657" s="12" t="s">
        <v>43</v>
      </c>
      <c r="G1657">
        <v>50</v>
      </c>
      <c r="H1657">
        <v>50</v>
      </c>
      <c r="I1657">
        <v>65</v>
      </c>
      <c r="J1657" s="22">
        <v>56666667</v>
      </c>
      <c r="K1657" t="s">
        <v>41</v>
      </c>
      <c r="L1657" t="str">
        <f t="shared" si="75"/>
        <v>OK</v>
      </c>
      <c r="M1657" t="str">
        <f t="shared" si="76"/>
        <v>OK</v>
      </c>
      <c r="N1657" t="str">
        <f t="shared" si="77"/>
        <v>ERRO</v>
      </c>
    </row>
    <row r="1658" spans="1:14" x14ac:dyDescent="0.3">
      <c r="A1658">
        <v>79</v>
      </c>
      <c r="B1658">
        <v>24</v>
      </c>
      <c r="C1658" s="2">
        <v>45618</v>
      </c>
      <c r="E1658" t="s">
        <v>53</v>
      </c>
      <c r="F1658" s="12" t="s">
        <v>43</v>
      </c>
      <c r="G1658">
        <v>40</v>
      </c>
      <c r="H1658">
        <v>35</v>
      </c>
      <c r="I1658">
        <v>50</v>
      </c>
      <c r="J1658" s="22">
        <v>41666667</v>
      </c>
      <c r="K1658">
        <v>40</v>
      </c>
      <c r="L1658" t="str">
        <f t="shared" si="75"/>
        <v>OK</v>
      </c>
      <c r="M1658" t="str">
        <f t="shared" si="76"/>
        <v>OK</v>
      </c>
      <c r="N1658" t="str">
        <f t="shared" si="77"/>
        <v>ERRO</v>
      </c>
    </row>
    <row r="1659" spans="1:14" x14ac:dyDescent="0.3">
      <c r="A1659">
        <v>79</v>
      </c>
      <c r="B1659">
        <v>24</v>
      </c>
      <c r="C1659" s="2">
        <v>45618</v>
      </c>
      <c r="E1659" t="s">
        <v>54</v>
      </c>
      <c r="F1659" s="12" t="s">
        <v>40</v>
      </c>
      <c r="G1659">
        <v>110</v>
      </c>
      <c r="H1659">
        <v>110</v>
      </c>
      <c r="I1659">
        <v>130</v>
      </c>
      <c r="J1659">
        <v>118</v>
      </c>
      <c r="K1659">
        <v>120</v>
      </c>
      <c r="L1659" t="str">
        <f t="shared" si="75"/>
        <v>OK</v>
      </c>
      <c r="M1659" t="str">
        <f t="shared" si="76"/>
        <v>OK</v>
      </c>
      <c r="N1659" t="str">
        <f t="shared" si="77"/>
        <v>OK</v>
      </c>
    </row>
    <row r="1660" spans="1:14" x14ac:dyDescent="0.3">
      <c r="A1660">
        <v>79</v>
      </c>
      <c r="B1660">
        <v>24</v>
      </c>
      <c r="C1660" s="2">
        <v>45618</v>
      </c>
      <c r="E1660" t="s">
        <v>56</v>
      </c>
      <c r="F1660" s="12" t="s">
        <v>43</v>
      </c>
      <c r="H1660">
        <v>70</v>
      </c>
      <c r="I1660">
        <v>70</v>
      </c>
      <c r="J1660">
        <v>70</v>
      </c>
      <c r="K1660">
        <v>70</v>
      </c>
      <c r="L1660" t="str">
        <f t="shared" si="75"/>
        <v>OK</v>
      </c>
      <c r="M1660" t="str">
        <f t="shared" si="76"/>
        <v>OK</v>
      </c>
      <c r="N1660" t="str">
        <f t="shared" si="77"/>
        <v>OK</v>
      </c>
    </row>
    <row r="1661" spans="1:14" x14ac:dyDescent="0.3">
      <c r="A1661">
        <v>79</v>
      </c>
      <c r="B1661">
        <v>24</v>
      </c>
      <c r="C1661" s="2">
        <v>45618</v>
      </c>
      <c r="E1661" t="s">
        <v>57</v>
      </c>
      <c r="F1661" s="12" t="s">
        <v>40</v>
      </c>
      <c r="G1661">
        <v>50</v>
      </c>
      <c r="H1661">
        <v>40</v>
      </c>
      <c r="I1661">
        <v>50</v>
      </c>
      <c r="J1661" t="s">
        <v>91</v>
      </c>
      <c r="K1661">
        <v>50</v>
      </c>
      <c r="L1661" t="str">
        <f t="shared" si="75"/>
        <v>OK</v>
      </c>
      <c r="M1661" t="str">
        <f t="shared" si="76"/>
        <v>OK</v>
      </c>
      <c r="N1661" t="str">
        <f t="shared" si="77"/>
        <v>ERRO</v>
      </c>
    </row>
    <row r="1662" spans="1:14" x14ac:dyDescent="0.3">
      <c r="A1662">
        <v>79</v>
      </c>
      <c r="B1662">
        <v>24</v>
      </c>
      <c r="C1662" s="2">
        <v>45618</v>
      </c>
      <c r="E1662" t="s">
        <v>58</v>
      </c>
      <c r="F1662" s="12" t="s">
        <v>40</v>
      </c>
      <c r="G1662">
        <v>60</v>
      </c>
      <c r="H1662">
        <v>45</v>
      </c>
      <c r="I1662">
        <v>70</v>
      </c>
      <c r="J1662" s="22">
        <v>58333333</v>
      </c>
      <c r="K1662">
        <v>60</v>
      </c>
      <c r="L1662" t="str">
        <f t="shared" si="75"/>
        <v>OK</v>
      </c>
      <c r="M1662" t="str">
        <f t="shared" si="76"/>
        <v>OK</v>
      </c>
      <c r="N1662" t="str">
        <f t="shared" si="77"/>
        <v>ERRO</v>
      </c>
    </row>
    <row r="1663" spans="1:14" x14ac:dyDescent="0.3">
      <c r="A1663">
        <v>79</v>
      </c>
      <c r="B1663">
        <v>24</v>
      </c>
      <c r="C1663" s="2">
        <v>45618</v>
      </c>
      <c r="E1663" t="s">
        <v>59</v>
      </c>
      <c r="F1663" s="12" t="s">
        <v>45</v>
      </c>
      <c r="G1663">
        <v>55</v>
      </c>
      <c r="H1663">
        <v>40</v>
      </c>
      <c r="I1663">
        <v>55</v>
      </c>
      <c r="J1663" s="22">
        <v>49166667</v>
      </c>
      <c r="K1663">
        <v>50</v>
      </c>
      <c r="L1663" t="str">
        <f t="shared" si="75"/>
        <v>OK</v>
      </c>
      <c r="M1663" t="str">
        <f t="shared" si="76"/>
        <v>OK</v>
      </c>
      <c r="N1663" t="str">
        <f t="shared" si="77"/>
        <v>ERRO</v>
      </c>
    </row>
    <row r="1664" spans="1:14" x14ac:dyDescent="0.3">
      <c r="A1664">
        <v>79</v>
      </c>
      <c r="B1664">
        <v>24</v>
      </c>
      <c r="C1664" s="2">
        <v>45618</v>
      </c>
      <c r="E1664" t="s">
        <v>60</v>
      </c>
      <c r="F1664" s="12" t="s">
        <v>61</v>
      </c>
      <c r="G1664">
        <v>170</v>
      </c>
      <c r="H1664">
        <v>140</v>
      </c>
      <c r="I1664">
        <v>180</v>
      </c>
      <c r="J1664" s="22">
        <v>16333333</v>
      </c>
      <c r="K1664">
        <v>165</v>
      </c>
      <c r="L1664" t="str">
        <f t="shared" si="75"/>
        <v>OK</v>
      </c>
      <c r="M1664" t="str">
        <f t="shared" si="76"/>
        <v>OK</v>
      </c>
      <c r="N1664" t="str">
        <f t="shared" si="77"/>
        <v>ERRO</v>
      </c>
    </row>
    <row r="1665" spans="1:14" x14ac:dyDescent="0.3">
      <c r="A1665">
        <v>79</v>
      </c>
      <c r="B1665">
        <v>24</v>
      </c>
      <c r="C1665" s="2">
        <v>45618</v>
      </c>
      <c r="E1665" t="s">
        <v>63</v>
      </c>
      <c r="F1665" s="12" t="s">
        <v>40</v>
      </c>
      <c r="G1665">
        <v>60</v>
      </c>
      <c r="H1665">
        <v>50</v>
      </c>
      <c r="I1665">
        <v>90</v>
      </c>
      <c r="J1665" s="22">
        <v>65833333</v>
      </c>
      <c r="K1665" t="s">
        <v>80</v>
      </c>
      <c r="L1665" t="str">
        <f t="shared" si="75"/>
        <v>OK</v>
      </c>
      <c r="M1665" t="str">
        <f t="shared" si="76"/>
        <v>OK</v>
      </c>
      <c r="N1665" t="str">
        <f t="shared" si="77"/>
        <v>ERRO</v>
      </c>
    </row>
    <row r="1666" spans="1:14" x14ac:dyDescent="0.3">
      <c r="A1666">
        <v>79</v>
      </c>
      <c r="B1666">
        <v>24</v>
      </c>
      <c r="C1666" s="2">
        <v>45618</v>
      </c>
      <c r="E1666" t="s">
        <v>64</v>
      </c>
      <c r="F1666" s="12" t="s">
        <v>40</v>
      </c>
      <c r="G1666">
        <v>50</v>
      </c>
      <c r="H1666">
        <v>50</v>
      </c>
      <c r="I1666">
        <v>80</v>
      </c>
      <c r="J1666">
        <v>58</v>
      </c>
      <c r="K1666">
        <v>50</v>
      </c>
      <c r="L1666" t="str">
        <f t="shared" si="75"/>
        <v>OK</v>
      </c>
      <c r="M1666" t="str">
        <f t="shared" si="76"/>
        <v>OK</v>
      </c>
      <c r="N1666" t="str">
        <f t="shared" si="77"/>
        <v>OK</v>
      </c>
    </row>
    <row r="1667" spans="1:14" x14ac:dyDescent="0.3">
      <c r="A1667">
        <v>79</v>
      </c>
      <c r="B1667">
        <v>24</v>
      </c>
      <c r="C1667" s="2">
        <v>45618</v>
      </c>
      <c r="E1667" t="s">
        <v>66</v>
      </c>
      <c r="F1667" s="12" t="s">
        <v>45</v>
      </c>
      <c r="H1667" t="s">
        <v>548</v>
      </c>
      <c r="I1667" t="s">
        <v>548</v>
      </c>
      <c r="L1667" t="str">
        <f t="shared" ref="L1667:L1730" si="78">IF(H1667&gt;I1667,"ERRO","OK")</f>
        <v>OK</v>
      </c>
      <c r="M1667" t="str">
        <f t="shared" ref="M1667:M1730" si="79">IF(H1667&gt;J1667,"ERRO","OK")</f>
        <v>ERRO</v>
      </c>
      <c r="N1667" t="str">
        <f t="shared" ref="N1667:N1730" si="80">IF(I1667&lt;J1667,"ERRO","OK")</f>
        <v>OK</v>
      </c>
    </row>
    <row r="1668" spans="1:14" x14ac:dyDescent="0.3">
      <c r="A1668">
        <v>79</v>
      </c>
      <c r="B1668">
        <v>24</v>
      </c>
      <c r="C1668" s="2">
        <v>45618</v>
      </c>
      <c r="E1668" t="s">
        <v>67</v>
      </c>
      <c r="F1668" s="12" t="s">
        <v>45</v>
      </c>
      <c r="H1668" t="s">
        <v>548</v>
      </c>
      <c r="I1668" t="s">
        <v>548</v>
      </c>
      <c r="L1668" t="str">
        <f t="shared" si="78"/>
        <v>OK</v>
      </c>
      <c r="M1668" t="str">
        <f t="shared" si="79"/>
        <v>ERRO</v>
      </c>
      <c r="N1668" t="str">
        <f t="shared" si="80"/>
        <v>OK</v>
      </c>
    </row>
    <row r="1669" spans="1:14" x14ac:dyDescent="0.3">
      <c r="A1669">
        <v>79</v>
      </c>
      <c r="B1669">
        <v>24</v>
      </c>
      <c r="C1669" s="2">
        <v>45618</v>
      </c>
      <c r="E1669" t="s">
        <v>68</v>
      </c>
      <c r="F1669" s="12" t="s">
        <v>45</v>
      </c>
      <c r="H1669" t="s">
        <v>548</v>
      </c>
      <c r="I1669" t="s">
        <v>548</v>
      </c>
      <c r="L1669" t="str">
        <f t="shared" si="78"/>
        <v>OK</v>
      </c>
      <c r="M1669" t="str">
        <f t="shared" si="79"/>
        <v>ERRO</v>
      </c>
      <c r="N1669" t="str">
        <f t="shared" si="80"/>
        <v>OK</v>
      </c>
    </row>
    <row r="1670" spans="1:14" x14ac:dyDescent="0.3">
      <c r="A1670">
        <v>79</v>
      </c>
      <c r="B1670">
        <v>24</v>
      </c>
      <c r="C1670" s="2">
        <v>45618</v>
      </c>
      <c r="E1670" t="s">
        <v>69</v>
      </c>
      <c r="F1670" s="12" t="s">
        <v>45</v>
      </c>
      <c r="H1670" s="20">
        <v>70</v>
      </c>
      <c r="I1670" s="20">
        <v>70</v>
      </c>
      <c r="J1670" s="20">
        <v>70</v>
      </c>
      <c r="K1670" s="20">
        <v>70</v>
      </c>
      <c r="L1670" t="str">
        <f t="shared" si="78"/>
        <v>OK</v>
      </c>
      <c r="M1670" t="str">
        <f t="shared" si="79"/>
        <v>OK</v>
      </c>
      <c r="N1670" t="str">
        <f t="shared" si="80"/>
        <v>OK</v>
      </c>
    </row>
    <row r="1671" spans="1:14" x14ac:dyDescent="0.3">
      <c r="A1671">
        <v>79</v>
      </c>
      <c r="B1671">
        <v>24</v>
      </c>
      <c r="C1671" s="2">
        <v>45618</v>
      </c>
      <c r="E1671" t="s">
        <v>70</v>
      </c>
      <c r="F1671" s="12" t="s">
        <v>71</v>
      </c>
      <c r="H1671" t="s">
        <v>548</v>
      </c>
      <c r="I1671" t="s">
        <v>548</v>
      </c>
      <c r="L1671" t="str">
        <f t="shared" si="78"/>
        <v>OK</v>
      </c>
      <c r="M1671" t="str">
        <f t="shared" si="79"/>
        <v>ERRO</v>
      </c>
      <c r="N1671" t="str">
        <f t="shared" si="80"/>
        <v>OK</v>
      </c>
    </row>
    <row r="1672" spans="1:14" x14ac:dyDescent="0.3">
      <c r="A1672">
        <v>80</v>
      </c>
      <c r="B1672">
        <v>2024</v>
      </c>
      <c r="C1672" s="2">
        <v>45625</v>
      </c>
      <c r="E1672" t="s">
        <v>12</v>
      </c>
      <c r="F1672" t="s">
        <v>13</v>
      </c>
      <c r="G1672" t="s">
        <v>466</v>
      </c>
      <c r="H1672" t="s">
        <v>466</v>
      </c>
      <c r="I1672" t="s">
        <v>466</v>
      </c>
      <c r="J1672" t="s">
        <v>466</v>
      </c>
      <c r="K1672" t="s">
        <v>466</v>
      </c>
      <c r="L1672" t="str">
        <f t="shared" si="78"/>
        <v>OK</v>
      </c>
      <c r="M1672" t="str">
        <f t="shared" si="79"/>
        <v>OK</v>
      </c>
      <c r="N1672" t="str">
        <f t="shared" si="80"/>
        <v>OK</v>
      </c>
    </row>
    <row r="1673" spans="1:14" x14ac:dyDescent="0.3">
      <c r="A1673">
        <v>80</v>
      </c>
      <c r="B1673">
        <v>2024</v>
      </c>
      <c r="C1673" s="2">
        <v>45625</v>
      </c>
      <c r="E1673" t="s">
        <v>14</v>
      </c>
      <c r="F1673" t="s">
        <v>13</v>
      </c>
      <c r="G1673" t="s">
        <v>467</v>
      </c>
      <c r="H1673" t="s">
        <v>467</v>
      </c>
      <c r="I1673" t="s">
        <v>467</v>
      </c>
      <c r="J1673" t="s">
        <v>467</v>
      </c>
      <c r="K1673" t="s">
        <v>467</v>
      </c>
      <c r="L1673" t="str">
        <f t="shared" si="78"/>
        <v>OK</v>
      </c>
      <c r="M1673" t="str">
        <f t="shared" si="79"/>
        <v>OK</v>
      </c>
      <c r="N1673" t="str">
        <f t="shared" si="80"/>
        <v>OK</v>
      </c>
    </row>
    <row r="1674" spans="1:14" x14ac:dyDescent="0.3">
      <c r="A1674">
        <v>80</v>
      </c>
      <c r="B1674">
        <v>2024</v>
      </c>
      <c r="C1674" s="2">
        <v>45625</v>
      </c>
      <c r="E1674" t="s">
        <v>15</v>
      </c>
      <c r="F1674" t="s">
        <v>13</v>
      </c>
      <c r="H1674" t="s">
        <v>463</v>
      </c>
      <c r="I1674" t="s">
        <v>464</v>
      </c>
      <c r="J1674" t="s">
        <v>549</v>
      </c>
      <c r="K1674" t="s">
        <v>499</v>
      </c>
      <c r="L1674" t="str">
        <f t="shared" si="78"/>
        <v>OK</v>
      </c>
      <c r="M1674" t="str">
        <f t="shared" si="79"/>
        <v>OK</v>
      </c>
      <c r="N1674" t="str">
        <f t="shared" si="80"/>
        <v>OK</v>
      </c>
    </row>
    <row r="1675" spans="1:14" x14ac:dyDescent="0.3">
      <c r="A1675">
        <v>80</v>
      </c>
      <c r="B1675">
        <v>2024</v>
      </c>
      <c r="C1675" s="2">
        <v>45625</v>
      </c>
      <c r="E1675" t="s">
        <v>16</v>
      </c>
      <c r="F1675" t="s">
        <v>13</v>
      </c>
      <c r="H1675" t="s">
        <v>468</v>
      </c>
      <c r="I1675" t="s">
        <v>464</v>
      </c>
      <c r="J1675" t="s">
        <v>469</v>
      </c>
      <c r="K1675" t="s">
        <v>536</v>
      </c>
      <c r="L1675" t="str">
        <f t="shared" si="78"/>
        <v>OK</v>
      </c>
      <c r="M1675" t="str">
        <f t="shared" si="79"/>
        <v>OK</v>
      </c>
      <c r="N1675" t="str">
        <f t="shared" si="80"/>
        <v>OK</v>
      </c>
    </row>
    <row r="1676" spans="1:14" x14ac:dyDescent="0.3">
      <c r="A1676">
        <v>80</v>
      </c>
      <c r="B1676">
        <v>2024</v>
      </c>
      <c r="C1676" s="2">
        <v>45625</v>
      </c>
      <c r="E1676" t="s">
        <v>17</v>
      </c>
      <c r="F1676" t="s">
        <v>13</v>
      </c>
      <c r="H1676" t="s">
        <v>536</v>
      </c>
      <c r="I1676" t="s">
        <v>464</v>
      </c>
      <c r="J1676" t="s">
        <v>463</v>
      </c>
      <c r="K1676" t="s">
        <v>463</v>
      </c>
      <c r="L1676" t="str">
        <f t="shared" si="78"/>
        <v>OK</v>
      </c>
      <c r="M1676" t="str">
        <f t="shared" si="79"/>
        <v>OK</v>
      </c>
      <c r="N1676" t="str">
        <f t="shared" si="80"/>
        <v>OK</v>
      </c>
    </row>
    <row r="1677" spans="1:14" x14ac:dyDescent="0.3">
      <c r="A1677">
        <v>80</v>
      </c>
      <c r="B1677">
        <v>2024</v>
      </c>
      <c r="C1677" s="2">
        <v>45625</v>
      </c>
      <c r="E1677" t="s">
        <v>18</v>
      </c>
      <c r="F1677" t="s">
        <v>13</v>
      </c>
      <c r="H1677" t="s">
        <v>522</v>
      </c>
      <c r="I1677" t="s">
        <v>466</v>
      </c>
      <c r="J1677" t="s">
        <v>524</v>
      </c>
      <c r="K1677" t="s">
        <v>524</v>
      </c>
      <c r="L1677" t="str">
        <f t="shared" si="78"/>
        <v>OK</v>
      </c>
      <c r="M1677" t="str">
        <f t="shared" si="79"/>
        <v>OK</v>
      </c>
      <c r="N1677" t="str">
        <f t="shared" si="80"/>
        <v>OK</v>
      </c>
    </row>
    <row r="1678" spans="1:14" x14ac:dyDescent="0.3">
      <c r="A1678">
        <v>80</v>
      </c>
      <c r="B1678">
        <v>2024</v>
      </c>
      <c r="C1678" s="2">
        <v>45625</v>
      </c>
      <c r="E1678" t="s">
        <v>19</v>
      </c>
      <c r="F1678" t="s">
        <v>13</v>
      </c>
      <c r="G1678" t="s">
        <v>465</v>
      </c>
      <c r="H1678" t="s">
        <v>523</v>
      </c>
      <c r="I1678" t="s">
        <v>522</v>
      </c>
      <c r="J1678" t="s">
        <v>522</v>
      </c>
      <c r="L1678" t="str">
        <f t="shared" si="78"/>
        <v>ERRO</v>
      </c>
      <c r="M1678" t="str">
        <f t="shared" si="79"/>
        <v>ERRO</v>
      </c>
      <c r="N1678" t="str">
        <f t="shared" si="80"/>
        <v>OK</v>
      </c>
    </row>
    <row r="1679" spans="1:14" x14ac:dyDescent="0.3">
      <c r="A1679">
        <v>80</v>
      </c>
      <c r="B1679">
        <v>2024</v>
      </c>
      <c r="C1679" s="2">
        <v>45625</v>
      </c>
      <c r="E1679" t="s">
        <v>20</v>
      </c>
      <c r="F1679" t="s">
        <v>13</v>
      </c>
      <c r="G1679" t="s">
        <v>466</v>
      </c>
      <c r="H1679" t="s">
        <v>466</v>
      </c>
      <c r="I1679" t="s">
        <v>523</v>
      </c>
      <c r="J1679" t="s">
        <v>550</v>
      </c>
      <c r="K1679" t="s">
        <v>466</v>
      </c>
      <c r="L1679" t="str">
        <f t="shared" si="78"/>
        <v>OK</v>
      </c>
      <c r="M1679" t="str">
        <f t="shared" si="79"/>
        <v>OK</v>
      </c>
      <c r="N1679" t="str">
        <f t="shared" si="80"/>
        <v>OK</v>
      </c>
    </row>
    <row r="1680" spans="1:14" x14ac:dyDescent="0.3">
      <c r="A1680">
        <v>80</v>
      </c>
      <c r="B1680">
        <v>2024</v>
      </c>
      <c r="C1680" s="2">
        <v>45625</v>
      </c>
      <c r="E1680" t="s">
        <v>21</v>
      </c>
      <c r="F1680" t="s">
        <v>13</v>
      </c>
      <c r="G1680" t="s">
        <v>472</v>
      </c>
      <c r="H1680" t="s">
        <v>473</v>
      </c>
      <c r="I1680" t="s">
        <v>472</v>
      </c>
      <c r="J1680" t="s">
        <v>479</v>
      </c>
      <c r="K1680" t="s">
        <v>472</v>
      </c>
      <c r="L1680" t="str">
        <f t="shared" si="78"/>
        <v>OK</v>
      </c>
      <c r="M1680" t="str">
        <f t="shared" si="79"/>
        <v>OK</v>
      </c>
      <c r="N1680" t="str">
        <f t="shared" si="80"/>
        <v>OK</v>
      </c>
    </row>
    <row r="1681" spans="1:14" x14ac:dyDescent="0.3">
      <c r="A1681">
        <v>80</v>
      </c>
      <c r="B1681">
        <v>2024</v>
      </c>
      <c r="C1681" s="2">
        <v>45625</v>
      </c>
      <c r="E1681" t="s">
        <v>73</v>
      </c>
      <c r="F1681" t="s">
        <v>13</v>
      </c>
      <c r="H1681" t="s">
        <v>476</v>
      </c>
      <c r="I1681" t="s">
        <v>523</v>
      </c>
      <c r="J1681" t="s">
        <v>550</v>
      </c>
      <c r="K1681" t="s">
        <v>550</v>
      </c>
      <c r="L1681" t="str">
        <f t="shared" si="78"/>
        <v>OK</v>
      </c>
      <c r="M1681" t="str">
        <f t="shared" si="79"/>
        <v>OK</v>
      </c>
      <c r="N1681" t="str">
        <f t="shared" si="80"/>
        <v>OK</v>
      </c>
    </row>
    <row r="1682" spans="1:14" x14ac:dyDescent="0.3">
      <c r="A1682">
        <v>80</v>
      </c>
      <c r="B1682">
        <v>2024</v>
      </c>
      <c r="C1682" s="2">
        <v>45625</v>
      </c>
      <c r="E1682" t="s">
        <v>23</v>
      </c>
      <c r="F1682" t="s">
        <v>13</v>
      </c>
      <c r="H1682" t="s">
        <v>472</v>
      </c>
      <c r="I1682" t="s">
        <v>464</v>
      </c>
      <c r="J1682" t="s">
        <v>503</v>
      </c>
      <c r="K1682" t="s">
        <v>536</v>
      </c>
      <c r="L1682" t="str">
        <f t="shared" si="78"/>
        <v>OK</v>
      </c>
      <c r="M1682" t="str">
        <f t="shared" si="79"/>
        <v>OK</v>
      </c>
      <c r="N1682" t="str">
        <f t="shared" si="80"/>
        <v>OK</v>
      </c>
    </row>
    <row r="1683" spans="1:14" x14ac:dyDescent="0.3">
      <c r="A1683">
        <v>80</v>
      </c>
      <c r="B1683">
        <v>2024</v>
      </c>
      <c r="C1683" s="2">
        <v>45625</v>
      </c>
      <c r="E1683" t="s">
        <v>24</v>
      </c>
      <c r="F1683" t="s">
        <v>13</v>
      </c>
      <c r="H1683" t="s">
        <v>466</v>
      </c>
      <c r="I1683" t="s">
        <v>467</v>
      </c>
      <c r="J1683" t="s">
        <v>523</v>
      </c>
      <c r="K1683" t="s">
        <v>523</v>
      </c>
      <c r="L1683" t="str">
        <f t="shared" si="78"/>
        <v>OK</v>
      </c>
      <c r="M1683" t="str">
        <f t="shared" si="79"/>
        <v>OK</v>
      </c>
      <c r="N1683" t="str">
        <f t="shared" si="80"/>
        <v>OK</v>
      </c>
    </row>
    <row r="1684" spans="1:14" x14ac:dyDescent="0.3">
      <c r="A1684">
        <v>80</v>
      </c>
      <c r="B1684">
        <v>2024</v>
      </c>
      <c r="C1684" s="2">
        <v>45625</v>
      </c>
      <c r="E1684" t="s">
        <v>25</v>
      </c>
      <c r="F1684" t="s">
        <v>26</v>
      </c>
      <c r="H1684" t="s">
        <v>464</v>
      </c>
      <c r="I1684" t="s">
        <v>523</v>
      </c>
      <c r="J1684" t="s">
        <v>476</v>
      </c>
      <c r="K1684" t="s">
        <v>466</v>
      </c>
      <c r="L1684" t="str">
        <f t="shared" si="78"/>
        <v>OK</v>
      </c>
      <c r="M1684" t="str">
        <f t="shared" si="79"/>
        <v>OK</v>
      </c>
      <c r="N1684" t="str">
        <f t="shared" si="80"/>
        <v>OK</v>
      </c>
    </row>
    <row r="1685" spans="1:14" x14ac:dyDescent="0.3">
      <c r="A1685">
        <v>80</v>
      </c>
      <c r="B1685">
        <v>2024</v>
      </c>
      <c r="C1685" s="2">
        <v>45625</v>
      </c>
      <c r="E1685" t="s">
        <v>27</v>
      </c>
      <c r="F1685" t="s">
        <v>13</v>
      </c>
      <c r="H1685" t="s">
        <v>503</v>
      </c>
      <c r="I1685" t="s">
        <v>464</v>
      </c>
      <c r="J1685" t="s">
        <v>499</v>
      </c>
      <c r="K1685" t="s">
        <v>499</v>
      </c>
      <c r="L1685" t="str">
        <f t="shared" si="78"/>
        <v>OK</v>
      </c>
      <c r="M1685" t="str">
        <f t="shared" si="79"/>
        <v>OK</v>
      </c>
      <c r="N1685" t="str">
        <f t="shared" si="80"/>
        <v>OK</v>
      </c>
    </row>
    <row r="1686" spans="1:14" x14ac:dyDescent="0.3">
      <c r="A1686">
        <v>80</v>
      </c>
      <c r="B1686">
        <v>2024</v>
      </c>
      <c r="C1686" s="2">
        <v>45625</v>
      </c>
      <c r="E1686" t="s">
        <v>28</v>
      </c>
      <c r="F1686" t="s">
        <v>13</v>
      </c>
      <c r="H1686" t="s">
        <v>472</v>
      </c>
      <c r="I1686" t="s">
        <v>536</v>
      </c>
      <c r="J1686" t="s">
        <v>468</v>
      </c>
      <c r="K1686" t="s">
        <v>468</v>
      </c>
      <c r="L1686" t="str">
        <f t="shared" si="78"/>
        <v>OK</v>
      </c>
      <c r="M1686" t="str">
        <f t="shared" si="79"/>
        <v>OK</v>
      </c>
      <c r="N1686" t="str">
        <f t="shared" si="80"/>
        <v>OK</v>
      </c>
    </row>
    <row r="1687" spans="1:14" x14ac:dyDescent="0.3">
      <c r="A1687">
        <v>80</v>
      </c>
      <c r="B1687">
        <v>2024</v>
      </c>
      <c r="C1687" s="2">
        <v>45625</v>
      </c>
      <c r="E1687" t="s">
        <v>29</v>
      </c>
      <c r="F1687" t="s">
        <v>13</v>
      </c>
      <c r="H1687" t="s">
        <v>469</v>
      </c>
      <c r="I1687" t="s">
        <v>464</v>
      </c>
      <c r="J1687" t="s">
        <v>534</v>
      </c>
      <c r="K1687" t="s">
        <v>465</v>
      </c>
      <c r="L1687" t="str">
        <f t="shared" si="78"/>
        <v>OK</v>
      </c>
      <c r="M1687" t="str">
        <f t="shared" si="79"/>
        <v>OK</v>
      </c>
      <c r="N1687" t="str">
        <f t="shared" si="80"/>
        <v>OK</v>
      </c>
    </row>
    <row r="1688" spans="1:14" x14ac:dyDescent="0.3">
      <c r="A1688">
        <v>80</v>
      </c>
      <c r="B1688">
        <v>2024</v>
      </c>
      <c r="C1688" s="2">
        <v>45625</v>
      </c>
      <c r="E1688" t="s">
        <v>31</v>
      </c>
      <c r="F1688" t="s">
        <v>32</v>
      </c>
      <c r="G1688" t="s">
        <v>484</v>
      </c>
      <c r="H1688" t="s">
        <v>484</v>
      </c>
      <c r="I1688" t="s">
        <v>484</v>
      </c>
      <c r="J1688" t="s">
        <v>484</v>
      </c>
      <c r="K1688" t="s">
        <v>484</v>
      </c>
      <c r="L1688" t="str">
        <f t="shared" si="78"/>
        <v>OK</v>
      </c>
      <c r="M1688" t="str">
        <f t="shared" si="79"/>
        <v>OK</v>
      </c>
      <c r="N1688" t="str">
        <f t="shared" si="80"/>
        <v>OK</v>
      </c>
    </row>
    <row r="1689" spans="1:14" x14ac:dyDescent="0.3">
      <c r="A1689">
        <v>80</v>
      </c>
      <c r="B1689">
        <v>2024</v>
      </c>
      <c r="C1689" s="2">
        <v>45625</v>
      </c>
      <c r="E1689" t="s">
        <v>34</v>
      </c>
      <c r="F1689" t="s">
        <v>35</v>
      </c>
      <c r="G1689" t="s">
        <v>488</v>
      </c>
      <c r="H1689" t="s">
        <v>488</v>
      </c>
      <c r="I1689" t="s">
        <v>488</v>
      </c>
      <c r="J1689" t="s">
        <v>488</v>
      </c>
      <c r="K1689" t="s">
        <v>488</v>
      </c>
      <c r="L1689" t="str">
        <f t="shared" si="78"/>
        <v>OK</v>
      </c>
      <c r="M1689" t="str">
        <f t="shared" si="79"/>
        <v>OK</v>
      </c>
      <c r="N1689" t="str">
        <f t="shared" si="80"/>
        <v>OK</v>
      </c>
    </row>
    <row r="1690" spans="1:14" x14ac:dyDescent="0.3">
      <c r="A1690">
        <v>80</v>
      </c>
      <c r="B1690">
        <v>2024</v>
      </c>
      <c r="C1690" s="2">
        <v>45625</v>
      </c>
      <c r="E1690" t="s">
        <v>36</v>
      </c>
      <c r="F1690" t="s">
        <v>35</v>
      </c>
      <c r="H1690" t="s">
        <v>525</v>
      </c>
      <c r="I1690" t="s">
        <v>494</v>
      </c>
      <c r="J1690" t="s">
        <v>468</v>
      </c>
      <c r="K1690" t="s">
        <v>468</v>
      </c>
      <c r="L1690" t="str">
        <f t="shared" si="78"/>
        <v>OK</v>
      </c>
      <c r="M1690" t="str">
        <f t="shared" si="79"/>
        <v>OK</v>
      </c>
      <c r="N1690" t="str">
        <f t="shared" si="80"/>
        <v>OK</v>
      </c>
    </row>
    <row r="1691" spans="1:14" x14ac:dyDescent="0.3">
      <c r="A1691">
        <v>80</v>
      </c>
      <c r="B1691">
        <v>2024</v>
      </c>
      <c r="C1691" s="2">
        <v>45625</v>
      </c>
      <c r="E1691" t="s">
        <v>153</v>
      </c>
      <c r="F1691" t="s">
        <v>154</v>
      </c>
      <c r="G1691" t="s">
        <v>492</v>
      </c>
      <c r="H1691" t="s">
        <v>491</v>
      </c>
      <c r="I1691" t="s">
        <v>492</v>
      </c>
      <c r="J1691" t="s">
        <v>551</v>
      </c>
      <c r="K1691" t="s">
        <v>492</v>
      </c>
      <c r="L1691" t="str">
        <f t="shared" si="78"/>
        <v>OK</v>
      </c>
      <c r="M1691" t="str">
        <f t="shared" si="79"/>
        <v>OK</v>
      </c>
      <c r="N1691" t="str">
        <f t="shared" si="80"/>
        <v>OK</v>
      </c>
    </row>
    <row r="1692" spans="1:14" x14ac:dyDescent="0.3">
      <c r="A1692">
        <v>80</v>
      </c>
      <c r="B1692">
        <v>2024</v>
      </c>
      <c r="C1692" s="2">
        <v>45625</v>
      </c>
      <c r="E1692" t="s">
        <v>39</v>
      </c>
      <c r="F1692" t="s">
        <v>40</v>
      </c>
      <c r="G1692" t="s">
        <v>499</v>
      </c>
      <c r="H1692" t="s">
        <v>494</v>
      </c>
      <c r="I1692" t="s">
        <v>499</v>
      </c>
      <c r="J1692" t="s">
        <v>496</v>
      </c>
      <c r="K1692" t="s">
        <v>499</v>
      </c>
      <c r="L1692" t="str">
        <f t="shared" si="78"/>
        <v>OK</v>
      </c>
      <c r="M1692" t="str">
        <f t="shared" si="79"/>
        <v>OK</v>
      </c>
      <c r="N1692" t="str">
        <f t="shared" si="80"/>
        <v>OK</v>
      </c>
    </row>
    <row r="1693" spans="1:14" x14ac:dyDescent="0.3">
      <c r="A1693">
        <v>80</v>
      </c>
      <c r="B1693">
        <v>2024</v>
      </c>
      <c r="C1693" s="2">
        <v>45625</v>
      </c>
      <c r="E1693" t="s">
        <v>42</v>
      </c>
      <c r="F1693" t="s">
        <v>43</v>
      </c>
      <c r="G1693" t="s">
        <v>496</v>
      </c>
      <c r="H1693" t="s">
        <v>496</v>
      </c>
      <c r="I1693" t="s">
        <v>476</v>
      </c>
      <c r="J1693" t="s">
        <v>552</v>
      </c>
      <c r="K1693" t="s">
        <v>500</v>
      </c>
      <c r="L1693" t="str">
        <f t="shared" si="78"/>
        <v>OK</v>
      </c>
      <c r="M1693" t="str">
        <f t="shared" si="79"/>
        <v>OK</v>
      </c>
      <c r="N1693" t="str">
        <f t="shared" si="80"/>
        <v>OK</v>
      </c>
    </row>
    <row r="1694" spans="1:14" x14ac:dyDescent="0.3">
      <c r="A1694">
        <v>80</v>
      </c>
      <c r="B1694">
        <v>2024</v>
      </c>
      <c r="C1694" s="2">
        <v>45625</v>
      </c>
      <c r="E1694" t="s">
        <v>44</v>
      </c>
      <c r="F1694" t="s">
        <v>45</v>
      </c>
      <c r="G1694" t="s">
        <v>499</v>
      </c>
      <c r="H1694" t="s">
        <v>499</v>
      </c>
      <c r="I1694" t="s">
        <v>502</v>
      </c>
      <c r="J1694" t="s">
        <v>534</v>
      </c>
      <c r="K1694" t="s">
        <v>499</v>
      </c>
      <c r="L1694" t="str">
        <f t="shared" si="78"/>
        <v>OK</v>
      </c>
      <c r="M1694" t="str">
        <f t="shared" si="79"/>
        <v>OK</v>
      </c>
      <c r="N1694" t="str">
        <f t="shared" si="80"/>
        <v>OK</v>
      </c>
    </row>
    <row r="1695" spans="1:14" x14ac:dyDescent="0.3">
      <c r="A1695">
        <v>80</v>
      </c>
      <c r="B1695">
        <v>2024</v>
      </c>
      <c r="C1695" s="2">
        <v>45625</v>
      </c>
      <c r="E1695" t="s">
        <v>48</v>
      </c>
      <c r="F1695" t="s">
        <v>45</v>
      </c>
      <c r="H1695" t="s">
        <v>511</v>
      </c>
      <c r="I1695" t="s">
        <v>507</v>
      </c>
      <c r="J1695" t="s">
        <v>553</v>
      </c>
      <c r="K1695" t="s">
        <v>553</v>
      </c>
      <c r="L1695" t="str">
        <f t="shared" si="78"/>
        <v>ERRO</v>
      </c>
      <c r="M1695" t="str">
        <f t="shared" si="79"/>
        <v>ERRO</v>
      </c>
      <c r="N1695" t="str">
        <f t="shared" si="80"/>
        <v>OK</v>
      </c>
    </row>
    <row r="1696" spans="1:14" x14ac:dyDescent="0.3">
      <c r="A1696">
        <v>80</v>
      </c>
      <c r="B1696">
        <v>2024</v>
      </c>
      <c r="C1696" s="2">
        <v>45625</v>
      </c>
      <c r="E1696" t="s">
        <v>49</v>
      </c>
      <c r="F1696" t="s">
        <v>50</v>
      </c>
      <c r="G1696" t="s">
        <v>464</v>
      </c>
      <c r="H1696" t="s">
        <v>499</v>
      </c>
      <c r="I1696" t="s">
        <v>476</v>
      </c>
      <c r="J1696" t="s">
        <v>554</v>
      </c>
      <c r="K1696" t="s">
        <v>464</v>
      </c>
      <c r="L1696" t="str">
        <f t="shared" si="78"/>
        <v>OK</v>
      </c>
      <c r="M1696" t="str">
        <f t="shared" si="79"/>
        <v>OK</v>
      </c>
      <c r="N1696" t="str">
        <f t="shared" si="80"/>
        <v>OK</v>
      </c>
    </row>
    <row r="1697" spans="1:14" x14ac:dyDescent="0.3">
      <c r="A1697">
        <v>80</v>
      </c>
      <c r="B1697">
        <v>2024</v>
      </c>
      <c r="C1697" s="2">
        <v>45625</v>
      </c>
      <c r="E1697" t="s">
        <v>52</v>
      </c>
      <c r="F1697" t="s">
        <v>43</v>
      </c>
      <c r="G1697" t="s">
        <v>476</v>
      </c>
      <c r="H1697" t="s">
        <v>499</v>
      </c>
      <c r="I1697" t="s">
        <v>476</v>
      </c>
      <c r="J1697" t="s">
        <v>527</v>
      </c>
      <c r="K1697" t="s">
        <v>464</v>
      </c>
      <c r="L1697" t="str">
        <f t="shared" si="78"/>
        <v>OK</v>
      </c>
      <c r="M1697" t="str">
        <f t="shared" si="79"/>
        <v>OK</v>
      </c>
      <c r="N1697" t="str">
        <f t="shared" si="80"/>
        <v>OK</v>
      </c>
    </row>
    <row r="1698" spans="1:14" x14ac:dyDescent="0.3">
      <c r="A1698">
        <v>80</v>
      </c>
      <c r="B1698">
        <v>2024</v>
      </c>
      <c r="C1698" s="2">
        <v>45625</v>
      </c>
      <c r="E1698" t="s">
        <v>53</v>
      </c>
      <c r="F1698" t="s">
        <v>43</v>
      </c>
      <c r="G1698" t="s">
        <v>499</v>
      </c>
      <c r="H1698" t="s">
        <v>494</v>
      </c>
      <c r="I1698" t="s">
        <v>499</v>
      </c>
      <c r="J1698" t="s">
        <v>543</v>
      </c>
      <c r="K1698" t="s">
        <v>496</v>
      </c>
      <c r="L1698" t="str">
        <f t="shared" si="78"/>
        <v>OK</v>
      </c>
      <c r="M1698" t="str">
        <f t="shared" si="79"/>
        <v>OK</v>
      </c>
      <c r="N1698" t="str">
        <f t="shared" si="80"/>
        <v>OK</v>
      </c>
    </row>
    <row r="1699" spans="1:14" x14ac:dyDescent="0.3">
      <c r="A1699">
        <v>80</v>
      </c>
      <c r="B1699">
        <v>2024</v>
      </c>
      <c r="C1699" s="2">
        <v>45625</v>
      </c>
      <c r="E1699" t="s">
        <v>54</v>
      </c>
      <c r="F1699" t="s">
        <v>40</v>
      </c>
      <c r="G1699" t="s">
        <v>521</v>
      </c>
      <c r="H1699" t="s">
        <v>492</v>
      </c>
      <c r="I1699" t="s">
        <v>521</v>
      </c>
      <c r="J1699" t="s">
        <v>555</v>
      </c>
      <c r="K1699" t="s">
        <v>521</v>
      </c>
      <c r="L1699" t="str">
        <f t="shared" si="78"/>
        <v>ERRO</v>
      </c>
      <c r="M1699" t="str">
        <f t="shared" si="79"/>
        <v>OK</v>
      </c>
      <c r="N1699" t="str">
        <f t="shared" si="80"/>
        <v>ERRO</v>
      </c>
    </row>
    <row r="1700" spans="1:14" x14ac:dyDescent="0.3">
      <c r="A1700">
        <v>80</v>
      </c>
      <c r="B1700">
        <v>2024</v>
      </c>
      <c r="C1700" s="2">
        <v>45625</v>
      </c>
      <c r="E1700" t="s">
        <v>56</v>
      </c>
      <c r="F1700" t="s">
        <v>43</v>
      </c>
      <c r="H1700" t="s">
        <v>499</v>
      </c>
      <c r="I1700" t="s">
        <v>476</v>
      </c>
      <c r="J1700" t="s">
        <v>464</v>
      </c>
      <c r="K1700" t="s">
        <v>464</v>
      </c>
      <c r="L1700" t="str">
        <f t="shared" si="78"/>
        <v>OK</v>
      </c>
      <c r="M1700" t="str">
        <f t="shared" si="79"/>
        <v>OK</v>
      </c>
      <c r="N1700" t="str">
        <f t="shared" si="80"/>
        <v>OK</v>
      </c>
    </row>
    <row r="1701" spans="1:14" x14ac:dyDescent="0.3">
      <c r="A1701">
        <v>80</v>
      </c>
      <c r="B1701">
        <v>2024</v>
      </c>
      <c r="C1701" s="2">
        <v>45625</v>
      </c>
      <c r="E1701" t="s">
        <v>57</v>
      </c>
      <c r="F1701" t="s">
        <v>40</v>
      </c>
      <c r="G1701" t="s">
        <v>499</v>
      </c>
      <c r="H1701" t="s">
        <v>494</v>
      </c>
      <c r="I1701" t="s">
        <v>499</v>
      </c>
      <c r="J1701" t="s">
        <v>556</v>
      </c>
      <c r="K1701" t="s">
        <v>496</v>
      </c>
      <c r="L1701" t="str">
        <f t="shared" si="78"/>
        <v>OK</v>
      </c>
      <c r="M1701" t="str">
        <f t="shared" si="79"/>
        <v>OK</v>
      </c>
      <c r="N1701" t="str">
        <f t="shared" si="80"/>
        <v>OK</v>
      </c>
    </row>
    <row r="1702" spans="1:14" x14ac:dyDescent="0.3">
      <c r="A1702">
        <v>80</v>
      </c>
      <c r="B1702">
        <v>2024</v>
      </c>
      <c r="C1702" s="2">
        <v>45625</v>
      </c>
      <c r="E1702" t="s">
        <v>58</v>
      </c>
      <c r="F1702" t="s">
        <v>40</v>
      </c>
      <c r="G1702" t="s">
        <v>499</v>
      </c>
      <c r="H1702" t="s">
        <v>503</v>
      </c>
      <c r="I1702" t="s">
        <v>476</v>
      </c>
      <c r="J1702" t="s">
        <v>465</v>
      </c>
      <c r="K1702" t="s">
        <v>499</v>
      </c>
      <c r="L1702" t="str">
        <f t="shared" si="78"/>
        <v>OK</v>
      </c>
      <c r="M1702" t="str">
        <f t="shared" si="79"/>
        <v>OK</v>
      </c>
      <c r="N1702" t="str">
        <f t="shared" si="80"/>
        <v>OK</v>
      </c>
    </row>
    <row r="1703" spans="1:14" x14ac:dyDescent="0.3">
      <c r="A1703">
        <v>80</v>
      </c>
      <c r="B1703">
        <v>2024</v>
      </c>
      <c r="C1703" s="2">
        <v>45625</v>
      </c>
      <c r="E1703" t="s">
        <v>59</v>
      </c>
      <c r="F1703" t="s">
        <v>45</v>
      </c>
      <c r="G1703" t="s">
        <v>499</v>
      </c>
      <c r="H1703" t="s">
        <v>503</v>
      </c>
      <c r="I1703" t="s">
        <v>502</v>
      </c>
      <c r="J1703" t="s">
        <v>557</v>
      </c>
      <c r="K1703" t="s">
        <v>499</v>
      </c>
      <c r="L1703" t="str">
        <f t="shared" si="78"/>
        <v>OK</v>
      </c>
      <c r="M1703" t="str">
        <f t="shared" si="79"/>
        <v>OK</v>
      </c>
      <c r="N1703" t="str">
        <f t="shared" si="80"/>
        <v>OK</v>
      </c>
    </row>
    <row r="1704" spans="1:14" x14ac:dyDescent="0.3">
      <c r="A1704">
        <v>80</v>
      </c>
      <c r="B1704">
        <v>2024</v>
      </c>
      <c r="C1704" s="2">
        <v>45625</v>
      </c>
      <c r="E1704" t="s">
        <v>60</v>
      </c>
      <c r="F1704" t="s">
        <v>61</v>
      </c>
      <c r="G1704" t="s">
        <v>558</v>
      </c>
      <c r="H1704" t="s">
        <v>507</v>
      </c>
      <c r="I1704" t="s">
        <v>515</v>
      </c>
      <c r="J1704" t="s">
        <v>559</v>
      </c>
      <c r="K1704" t="s">
        <v>558</v>
      </c>
      <c r="L1704" t="str">
        <f t="shared" si="78"/>
        <v>OK</v>
      </c>
      <c r="M1704" t="str">
        <f t="shared" si="79"/>
        <v>OK</v>
      </c>
      <c r="N1704" t="str">
        <f t="shared" si="80"/>
        <v>OK</v>
      </c>
    </row>
    <row r="1705" spans="1:14" x14ac:dyDescent="0.3">
      <c r="A1705">
        <v>80</v>
      </c>
      <c r="B1705">
        <v>2024</v>
      </c>
      <c r="C1705" s="2">
        <v>45625</v>
      </c>
      <c r="E1705" t="s">
        <v>63</v>
      </c>
      <c r="F1705" t="s">
        <v>40</v>
      </c>
      <c r="G1705" t="s">
        <v>492</v>
      </c>
      <c r="H1705" t="s">
        <v>500</v>
      </c>
      <c r="I1705" t="s">
        <v>521</v>
      </c>
      <c r="J1705" t="s">
        <v>560</v>
      </c>
      <c r="K1705" t="s">
        <v>492</v>
      </c>
      <c r="L1705" t="str">
        <f t="shared" si="78"/>
        <v>ERRO</v>
      </c>
      <c r="M1705" t="str">
        <f t="shared" si="79"/>
        <v>OK</v>
      </c>
      <c r="N1705" t="str">
        <f t="shared" si="80"/>
        <v>ERRO</v>
      </c>
    </row>
    <row r="1706" spans="1:14" x14ac:dyDescent="0.3">
      <c r="A1706">
        <v>80</v>
      </c>
      <c r="B1706">
        <v>2024</v>
      </c>
      <c r="C1706" s="2">
        <v>45625</v>
      </c>
      <c r="E1706" t="s">
        <v>64</v>
      </c>
      <c r="F1706" t="s">
        <v>40</v>
      </c>
      <c r="G1706" t="s">
        <v>499</v>
      </c>
      <c r="H1706" t="s">
        <v>499</v>
      </c>
      <c r="I1706" t="s">
        <v>476</v>
      </c>
      <c r="J1706" t="s">
        <v>505</v>
      </c>
      <c r="K1706" t="s">
        <v>502</v>
      </c>
      <c r="L1706" t="str">
        <f t="shared" si="78"/>
        <v>OK</v>
      </c>
      <c r="M1706" t="str">
        <f t="shared" si="79"/>
        <v>OK</v>
      </c>
      <c r="N1706" t="str">
        <f t="shared" si="80"/>
        <v>OK</v>
      </c>
    </row>
    <row r="1707" spans="1:14" x14ac:dyDescent="0.3">
      <c r="A1707">
        <v>80</v>
      </c>
      <c r="B1707">
        <v>2024</v>
      </c>
      <c r="C1707" s="2">
        <v>45625</v>
      </c>
      <c r="E1707" t="s">
        <v>66</v>
      </c>
      <c r="F1707" t="s">
        <v>45</v>
      </c>
      <c r="L1707" t="str">
        <f t="shared" si="78"/>
        <v>OK</v>
      </c>
      <c r="M1707" t="str">
        <f t="shared" si="79"/>
        <v>OK</v>
      </c>
      <c r="N1707" t="str">
        <f t="shared" si="80"/>
        <v>OK</v>
      </c>
    </row>
    <row r="1708" spans="1:14" x14ac:dyDescent="0.3">
      <c r="A1708">
        <v>80</v>
      </c>
      <c r="B1708">
        <v>2024</v>
      </c>
      <c r="C1708" s="2">
        <v>45625</v>
      </c>
      <c r="E1708" t="s">
        <v>67</v>
      </c>
      <c r="F1708" t="s">
        <v>45</v>
      </c>
      <c r="L1708" t="str">
        <f t="shared" si="78"/>
        <v>OK</v>
      </c>
      <c r="M1708" t="str">
        <f t="shared" si="79"/>
        <v>OK</v>
      </c>
      <c r="N1708" t="str">
        <f t="shared" si="80"/>
        <v>OK</v>
      </c>
    </row>
    <row r="1709" spans="1:14" x14ac:dyDescent="0.3">
      <c r="A1709">
        <v>80</v>
      </c>
      <c r="B1709">
        <v>2024</v>
      </c>
      <c r="C1709" s="2">
        <v>45625</v>
      </c>
      <c r="E1709" t="s">
        <v>68</v>
      </c>
      <c r="F1709" t="s">
        <v>45</v>
      </c>
      <c r="L1709" t="str">
        <f t="shared" si="78"/>
        <v>OK</v>
      </c>
      <c r="M1709" t="str">
        <f t="shared" si="79"/>
        <v>OK</v>
      </c>
      <c r="N1709" t="str">
        <f t="shared" si="80"/>
        <v>OK</v>
      </c>
    </row>
    <row r="1710" spans="1:14" x14ac:dyDescent="0.3">
      <c r="A1710">
        <v>80</v>
      </c>
      <c r="B1710">
        <v>2024</v>
      </c>
      <c r="C1710" s="2">
        <v>45625</v>
      </c>
      <c r="E1710" t="s">
        <v>69</v>
      </c>
      <c r="F1710" t="s">
        <v>45</v>
      </c>
      <c r="H1710" t="s">
        <v>499</v>
      </c>
      <c r="I1710" t="s">
        <v>499</v>
      </c>
      <c r="J1710" t="s">
        <v>499</v>
      </c>
      <c r="K1710" t="s">
        <v>499</v>
      </c>
      <c r="L1710" t="str">
        <f t="shared" si="78"/>
        <v>OK</v>
      </c>
      <c r="M1710" t="str">
        <f t="shared" si="79"/>
        <v>OK</v>
      </c>
      <c r="N1710" t="str">
        <f t="shared" si="80"/>
        <v>OK</v>
      </c>
    </row>
    <row r="1711" spans="1:14" x14ac:dyDescent="0.3">
      <c r="A1711">
        <v>80</v>
      </c>
      <c r="B1711">
        <v>2024</v>
      </c>
      <c r="C1711" s="2">
        <v>45625</v>
      </c>
      <c r="E1711" t="s">
        <v>70</v>
      </c>
      <c r="F1711" s="12" t="s">
        <v>71</v>
      </c>
      <c r="L1711" t="str">
        <f t="shared" si="78"/>
        <v>OK</v>
      </c>
      <c r="M1711" t="str">
        <f t="shared" si="79"/>
        <v>OK</v>
      </c>
      <c r="N1711" t="str">
        <f t="shared" si="80"/>
        <v>OK</v>
      </c>
    </row>
    <row r="1712" spans="1:14" x14ac:dyDescent="0.3">
      <c r="A1712">
        <v>81</v>
      </c>
      <c r="B1712">
        <v>2024</v>
      </c>
      <c r="C1712" s="2">
        <v>45632</v>
      </c>
      <c r="E1712" t="s">
        <v>12</v>
      </c>
      <c r="F1712" t="s">
        <v>13</v>
      </c>
      <c r="G1712" t="s">
        <v>536</v>
      </c>
      <c r="H1712" t="s">
        <v>536</v>
      </c>
      <c r="I1712" t="s">
        <v>463</v>
      </c>
      <c r="J1712" t="s">
        <v>561</v>
      </c>
      <c r="K1712" t="s">
        <v>536</v>
      </c>
      <c r="L1712" t="str">
        <f t="shared" si="78"/>
        <v>OK</v>
      </c>
      <c r="M1712" t="str">
        <f t="shared" si="79"/>
        <v>OK</v>
      </c>
      <c r="N1712" t="str">
        <f t="shared" si="80"/>
        <v>OK</v>
      </c>
    </row>
    <row r="1713" spans="1:14" x14ac:dyDescent="0.3">
      <c r="A1713">
        <v>81</v>
      </c>
      <c r="B1713">
        <v>2024</v>
      </c>
      <c r="C1713" s="2">
        <v>45632</v>
      </c>
      <c r="E1713" t="s">
        <v>14</v>
      </c>
      <c r="F1713" t="s">
        <v>13</v>
      </c>
      <c r="G1713" t="s">
        <v>467</v>
      </c>
      <c r="H1713" t="s">
        <v>464</v>
      </c>
      <c r="I1713" t="s">
        <v>467</v>
      </c>
      <c r="J1713" t="s">
        <v>491</v>
      </c>
      <c r="K1713" t="s">
        <v>523</v>
      </c>
      <c r="L1713" t="str">
        <f t="shared" si="78"/>
        <v>OK</v>
      </c>
      <c r="M1713" t="str">
        <f t="shared" si="79"/>
        <v>OK</v>
      </c>
      <c r="N1713" t="str">
        <f t="shared" si="80"/>
        <v>OK</v>
      </c>
    </row>
    <row r="1714" spans="1:14" x14ac:dyDescent="0.3">
      <c r="A1714">
        <v>81</v>
      </c>
      <c r="B1714">
        <v>2024</v>
      </c>
      <c r="C1714" s="2">
        <v>45632</v>
      </c>
      <c r="E1714" t="s">
        <v>15</v>
      </c>
      <c r="F1714" t="s">
        <v>13</v>
      </c>
      <c r="H1714" t="s">
        <v>468</v>
      </c>
      <c r="I1714" t="s">
        <v>464</v>
      </c>
      <c r="J1714" t="s">
        <v>496</v>
      </c>
      <c r="K1714" t="s">
        <v>496</v>
      </c>
      <c r="L1714" t="str">
        <f t="shared" si="78"/>
        <v>OK</v>
      </c>
      <c r="M1714" t="str">
        <f t="shared" si="79"/>
        <v>OK</v>
      </c>
      <c r="N1714" t="str">
        <f t="shared" si="80"/>
        <v>OK</v>
      </c>
    </row>
    <row r="1715" spans="1:14" x14ac:dyDescent="0.3">
      <c r="A1715">
        <v>81</v>
      </c>
      <c r="B1715">
        <v>2024</v>
      </c>
      <c r="C1715" s="2">
        <v>45632</v>
      </c>
      <c r="E1715" t="s">
        <v>16</v>
      </c>
      <c r="F1715" t="s">
        <v>13</v>
      </c>
      <c r="G1715" t="s">
        <v>468</v>
      </c>
      <c r="H1715" t="s">
        <v>468</v>
      </c>
      <c r="I1715" t="s">
        <v>536</v>
      </c>
      <c r="J1715" t="s">
        <v>562</v>
      </c>
      <c r="K1715" t="s">
        <v>468</v>
      </c>
      <c r="L1715" t="str">
        <f t="shared" si="78"/>
        <v>OK</v>
      </c>
      <c r="M1715" t="str">
        <f t="shared" si="79"/>
        <v>OK</v>
      </c>
      <c r="N1715" t="str">
        <f t="shared" si="80"/>
        <v>OK</v>
      </c>
    </row>
    <row r="1716" spans="1:14" x14ac:dyDescent="0.3">
      <c r="A1716">
        <v>81</v>
      </c>
      <c r="B1716">
        <v>2024</v>
      </c>
      <c r="C1716" s="2">
        <v>45632</v>
      </c>
      <c r="E1716" t="s">
        <v>17</v>
      </c>
      <c r="F1716" t="s">
        <v>13</v>
      </c>
      <c r="G1716" t="s">
        <v>468</v>
      </c>
      <c r="H1716" t="s">
        <v>468</v>
      </c>
      <c r="I1716" t="s">
        <v>536</v>
      </c>
      <c r="J1716" t="s">
        <v>562</v>
      </c>
      <c r="K1716" t="s">
        <v>468</v>
      </c>
      <c r="L1716" t="str">
        <f t="shared" si="78"/>
        <v>OK</v>
      </c>
      <c r="M1716" t="str">
        <f t="shared" si="79"/>
        <v>OK</v>
      </c>
      <c r="N1716" t="str">
        <f t="shared" si="80"/>
        <v>OK</v>
      </c>
    </row>
    <row r="1717" spans="1:14" x14ac:dyDescent="0.3">
      <c r="A1717">
        <v>81</v>
      </c>
      <c r="B1717">
        <v>2024</v>
      </c>
      <c r="C1717" s="2">
        <v>45632</v>
      </c>
      <c r="E1717" t="s">
        <v>18</v>
      </c>
      <c r="F1717" t="s">
        <v>13</v>
      </c>
      <c r="G1717" t="s">
        <v>464</v>
      </c>
      <c r="H1717" t="s">
        <v>464</v>
      </c>
      <c r="I1717" t="s">
        <v>522</v>
      </c>
      <c r="J1717" t="s">
        <v>563</v>
      </c>
      <c r="K1717" t="s">
        <v>464</v>
      </c>
      <c r="L1717" t="str">
        <f t="shared" si="78"/>
        <v>OK</v>
      </c>
      <c r="M1717" t="str">
        <f t="shared" si="79"/>
        <v>OK</v>
      </c>
      <c r="N1717" t="str">
        <f t="shared" si="80"/>
        <v>OK</v>
      </c>
    </row>
    <row r="1718" spans="1:14" x14ac:dyDescent="0.3">
      <c r="A1718">
        <v>81</v>
      </c>
      <c r="B1718">
        <v>2024</v>
      </c>
      <c r="C1718" s="2">
        <v>45632</v>
      </c>
      <c r="E1718" t="s">
        <v>19</v>
      </c>
      <c r="F1718" t="s">
        <v>13</v>
      </c>
      <c r="G1718" t="s">
        <v>467</v>
      </c>
      <c r="H1718" t="s">
        <v>463</v>
      </c>
      <c r="I1718" t="s">
        <v>466</v>
      </c>
      <c r="J1718" t="s">
        <v>564</v>
      </c>
      <c r="K1718" t="s">
        <v>565</v>
      </c>
      <c r="L1718" t="str">
        <f t="shared" si="78"/>
        <v>OK</v>
      </c>
      <c r="M1718" t="str">
        <f t="shared" si="79"/>
        <v>OK</v>
      </c>
      <c r="N1718" t="str">
        <f t="shared" si="80"/>
        <v>OK</v>
      </c>
    </row>
    <row r="1719" spans="1:14" x14ac:dyDescent="0.3">
      <c r="A1719">
        <v>81</v>
      </c>
      <c r="B1719">
        <v>2024</v>
      </c>
      <c r="C1719" s="2">
        <v>45632</v>
      </c>
      <c r="E1719" t="s">
        <v>20</v>
      </c>
      <c r="F1719" t="s">
        <v>13</v>
      </c>
      <c r="H1719" t="s">
        <v>466</v>
      </c>
      <c r="I1719" t="s">
        <v>467</v>
      </c>
      <c r="J1719" t="s">
        <v>523</v>
      </c>
      <c r="K1719" t="s">
        <v>523</v>
      </c>
      <c r="L1719" t="str">
        <f t="shared" si="78"/>
        <v>OK</v>
      </c>
      <c r="M1719" t="str">
        <f t="shared" si="79"/>
        <v>OK</v>
      </c>
      <c r="N1719" t="str">
        <f t="shared" si="80"/>
        <v>OK</v>
      </c>
    </row>
    <row r="1720" spans="1:14" x14ac:dyDescent="0.3">
      <c r="A1720">
        <v>81</v>
      </c>
      <c r="B1720">
        <v>2024</v>
      </c>
      <c r="C1720" s="2">
        <v>45632</v>
      </c>
      <c r="E1720" t="s">
        <v>21</v>
      </c>
      <c r="F1720" t="s">
        <v>13</v>
      </c>
      <c r="G1720" t="s">
        <v>472</v>
      </c>
      <c r="H1720" t="s">
        <v>488</v>
      </c>
      <c r="I1720" t="s">
        <v>472</v>
      </c>
      <c r="J1720" t="s">
        <v>566</v>
      </c>
      <c r="K1720" t="s">
        <v>472</v>
      </c>
      <c r="L1720" t="str">
        <f t="shared" si="78"/>
        <v>OK</v>
      </c>
      <c r="M1720" t="str">
        <f t="shared" si="79"/>
        <v>OK</v>
      </c>
      <c r="N1720" t="str">
        <f t="shared" si="80"/>
        <v>OK</v>
      </c>
    </row>
    <row r="1721" spans="1:14" x14ac:dyDescent="0.3">
      <c r="A1721">
        <v>81</v>
      </c>
      <c r="B1721">
        <v>2024</v>
      </c>
      <c r="C1721" s="2">
        <v>45632</v>
      </c>
      <c r="E1721" t="s">
        <v>73</v>
      </c>
      <c r="F1721" t="s">
        <v>13</v>
      </c>
      <c r="G1721" t="s">
        <v>466</v>
      </c>
      <c r="H1721" t="s">
        <v>466</v>
      </c>
      <c r="I1721" t="s">
        <v>523</v>
      </c>
      <c r="J1721" t="s">
        <v>491</v>
      </c>
      <c r="K1721" t="s">
        <v>491</v>
      </c>
      <c r="L1721" t="str">
        <f t="shared" si="78"/>
        <v>OK</v>
      </c>
      <c r="M1721" t="str">
        <f t="shared" si="79"/>
        <v>OK</v>
      </c>
      <c r="N1721" t="str">
        <f t="shared" si="80"/>
        <v>OK</v>
      </c>
    </row>
    <row r="1722" spans="1:14" x14ac:dyDescent="0.3">
      <c r="A1722">
        <v>81</v>
      </c>
      <c r="B1722">
        <v>2024</v>
      </c>
      <c r="C1722" s="2">
        <v>45632</v>
      </c>
      <c r="E1722" t="s">
        <v>23</v>
      </c>
      <c r="F1722" t="s">
        <v>13</v>
      </c>
      <c r="G1722" t="s">
        <v>468</v>
      </c>
      <c r="H1722" t="s">
        <v>468</v>
      </c>
      <c r="I1722" t="s">
        <v>536</v>
      </c>
      <c r="J1722" t="s">
        <v>562</v>
      </c>
      <c r="K1722" t="s">
        <v>468</v>
      </c>
      <c r="L1722" t="str">
        <f t="shared" si="78"/>
        <v>OK</v>
      </c>
      <c r="M1722" t="str">
        <f t="shared" si="79"/>
        <v>OK</v>
      </c>
      <c r="N1722" t="str">
        <f t="shared" si="80"/>
        <v>OK</v>
      </c>
    </row>
    <row r="1723" spans="1:14" x14ac:dyDescent="0.3">
      <c r="A1723">
        <v>81</v>
      </c>
      <c r="B1723">
        <v>2024</v>
      </c>
      <c r="C1723" s="2">
        <v>45632</v>
      </c>
      <c r="E1723" t="s">
        <v>24</v>
      </c>
      <c r="F1723" t="s">
        <v>13</v>
      </c>
      <c r="G1723" t="s">
        <v>464</v>
      </c>
      <c r="H1723" t="s">
        <v>464</v>
      </c>
      <c r="I1723" t="s">
        <v>464</v>
      </c>
      <c r="J1723" t="s">
        <v>464</v>
      </c>
      <c r="K1723" t="s">
        <v>464</v>
      </c>
      <c r="L1723" t="str">
        <f t="shared" si="78"/>
        <v>OK</v>
      </c>
      <c r="M1723" t="str">
        <f t="shared" si="79"/>
        <v>OK</v>
      </c>
      <c r="N1723" t="str">
        <f t="shared" si="80"/>
        <v>OK</v>
      </c>
    </row>
    <row r="1724" spans="1:14" x14ac:dyDescent="0.3">
      <c r="A1724">
        <v>81</v>
      </c>
      <c r="B1724">
        <v>2024</v>
      </c>
      <c r="C1724" s="2">
        <v>45632</v>
      </c>
      <c r="E1724" t="s">
        <v>25</v>
      </c>
      <c r="F1724" t="s">
        <v>26</v>
      </c>
      <c r="G1724" t="s">
        <v>464</v>
      </c>
      <c r="H1724" t="s">
        <v>463</v>
      </c>
      <c r="I1724" t="s">
        <v>464</v>
      </c>
      <c r="J1724" t="s">
        <v>565</v>
      </c>
      <c r="K1724" t="s">
        <v>464</v>
      </c>
      <c r="L1724" t="str">
        <f t="shared" si="78"/>
        <v>OK</v>
      </c>
      <c r="M1724" t="str">
        <f t="shared" si="79"/>
        <v>OK</v>
      </c>
      <c r="N1724" t="str">
        <f t="shared" si="80"/>
        <v>OK</v>
      </c>
    </row>
    <row r="1725" spans="1:14" x14ac:dyDescent="0.3">
      <c r="A1725">
        <v>81</v>
      </c>
      <c r="B1725">
        <v>2024</v>
      </c>
      <c r="C1725" s="2">
        <v>45632</v>
      </c>
      <c r="E1725" t="s">
        <v>27</v>
      </c>
      <c r="F1725" t="s">
        <v>13</v>
      </c>
      <c r="G1725" t="s">
        <v>466</v>
      </c>
      <c r="H1725" t="s">
        <v>463</v>
      </c>
      <c r="I1725" t="s">
        <v>466</v>
      </c>
      <c r="J1725" t="s">
        <v>481</v>
      </c>
      <c r="K1725" t="s">
        <v>522</v>
      </c>
      <c r="L1725" t="str">
        <f t="shared" si="78"/>
        <v>OK</v>
      </c>
      <c r="M1725" t="str">
        <f t="shared" si="79"/>
        <v>OK</v>
      </c>
      <c r="N1725" t="str">
        <f t="shared" si="80"/>
        <v>OK</v>
      </c>
    </row>
    <row r="1726" spans="1:14" x14ac:dyDescent="0.3">
      <c r="A1726">
        <v>81</v>
      </c>
      <c r="B1726">
        <v>2024</v>
      </c>
      <c r="C1726" s="2">
        <v>45632</v>
      </c>
      <c r="E1726" t="s">
        <v>28</v>
      </c>
      <c r="F1726" t="s">
        <v>13</v>
      </c>
      <c r="G1726" t="s">
        <v>468</v>
      </c>
      <c r="H1726" t="s">
        <v>468</v>
      </c>
      <c r="I1726" t="s">
        <v>536</v>
      </c>
      <c r="J1726" t="s">
        <v>471</v>
      </c>
      <c r="K1726" t="s">
        <v>471</v>
      </c>
      <c r="L1726" t="str">
        <f t="shared" si="78"/>
        <v>OK</v>
      </c>
      <c r="M1726" t="str">
        <f t="shared" si="79"/>
        <v>OK</v>
      </c>
      <c r="N1726" t="str">
        <f t="shared" si="80"/>
        <v>OK</v>
      </c>
    </row>
    <row r="1727" spans="1:14" x14ac:dyDescent="0.3">
      <c r="A1727">
        <v>81</v>
      </c>
      <c r="B1727">
        <v>2024</v>
      </c>
      <c r="C1727" s="2">
        <v>45632</v>
      </c>
      <c r="E1727" t="s">
        <v>29</v>
      </c>
      <c r="F1727" t="s">
        <v>13</v>
      </c>
      <c r="G1727" t="s">
        <v>463</v>
      </c>
      <c r="H1727" t="s">
        <v>463</v>
      </c>
      <c r="I1727" t="s">
        <v>465</v>
      </c>
      <c r="J1727" t="s">
        <v>545</v>
      </c>
      <c r="K1727" t="s">
        <v>463</v>
      </c>
      <c r="L1727" t="str">
        <f t="shared" si="78"/>
        <v>OK</v>
      </c>
      <c r="M1727" t="str">
        <f t="shared" si="79"/>
        <v>OK</v>
      </c>
      <c r="N1727" t="str">
        <f t="shared" si="80"/>
        <v>OK</v>
      </c>
    </row>
    <row r="1728" spans="1:14" x14ac:dyDescent="0.3">
      <c r="A1728">
        <v>81</v>
      </c>
      <c r="B1728">
        <v>2024</v>
      </c>
      <c r="C1728" s="2">
        <v>45632</v>
      </c>
      <c r="E1728" t="s">
        <v>31</v>
      </c>
      <c r="F1728" t="s">
        <v>32</v>
      </c>
      <c r="G1728" t="s">
        <v>484</v>
      </c>
      <c r="H1728" t="s">
        <v>567</v>
      </c>
      <c r="I1728" t="s">
        <v>484</v>
      </c>
      <c r="J1728" t="s">
        <v>568</v>
      </c>
      <c r="K1728" t="s">
        <v>484</v>
      </c>
      <c r="L1728" t="str">
        <f t="shared" si="78"/>
        <v>OK</v>
      </c>
      <c r="M1728" t="str">
        <f t="shared" si="79"/>
        <v>OK</v>
      </c>
      <c r="N1728" t="str">
        <f t="shared" si="80"/>
        <v>OK</v>
      </c>
    </row>
    <row r="1729" spans="1:14" x14ac:dyDescent="0.3">
      <c r="A1729">
        <v>81</v>
      </c>
      <c r="B1729">
        <v>2024</v>
      </c>
      <c r="C1729" s="2">
        <v>45632</v>
      </c>
      <c r="E1729" t="s">
        <v>34</v>
      </c>
      <c r="F1729" t="s">
        <v>35</v>
      </c>
      <c r="G1729" t="s">
        <v>485</v>
      </c>
      <c r="H1729" t="s">
        <v>485</v>
      </c>
      <c r="I1729" t="s">
        <v>488</v>
      </c>
      <c r="J1729" t="s">
        <v>569</v>
      </c>
      <c r="K1729" t="s">
        <v>570</v>
      </c>
      <c r="L1729" t="str">
        <f t="shared" si="78"/>
        <v>OK</v>
      </c>
      <c r="M1729" t="str">
        <f t="shared" si="79"/>
        <v>OK</v>
      </c>
      <c r="N1729" t="str">
        <f t="shared" si="80"/>
        <v>OK</v>
      </c>
    </row>
    <row r="1730" spans="1:14" x14ac:dyDescent="0.3">
      <c r="A1730">
        <v>81</v>
      </c>
      <c r="B1730">
        <v>2024</v>
      </c>
      <c r="C1730" s="2">
        <v>45632</v>
      </c>
      <c r="E1730" t="s">
        <v>36</v>
      </c>
      <c r="F1730" t="s">
        <v>35</v>
      </c>
      <c r="G1730" t="s">
        <v>488</v>
      </c>
      <c r="H1730" t="s">
        <v>488</v>
      </c>
      <c r="I1730" t="s">
        <v>468</v>
      </c>
      <c r="J1730" t="s">
        <v>525</v>
      </c>
      <c r="K1730" t="s">
        <v>525</v>
      </c>
      <c r="L1730" t="str">
        <f t="shared" si="78"/>
        <v>OK</v>
      </c>
      <c r="M1730" t="str">
        <f t="shared" si="79"/>
        <v>OK</v>
      </c>
      <c r="N1730" t="str">
        <f t="shared" si="80"/>
        <v>OK</v>
      </c>
    </row>
    <row r="1731" spans="1:14" x14ac:dyDescent="0.3">
      <c r="A1731">
        <v>81</v>
      </c>
      <c r="B1731">
        <v>2024</v>
      </c>
      <c r="C1731" s="2">
        <v>45632</v>
      </c>
      <c r="E1731" t="s">
        <v>153</v>
      </c>
      <c r="F1731" t="s">
        <v>154</v>
      </c>
      <c r="H1731" t="s">
        <v>476</v>
      </c>
      <c r="I1731" t="s">
        <v>476</v>
      </c>
      <c r="J1731" t="s">
        <v>476</v>
      </c>
      <c r="K1731" t="s">
        <v>476</v>
      </c>
      <c r="L1731" t="str">
        <f t="shared" ref="L1731:L1794" si="81">IF(H1731&gt;I1731,"ERRO","OK")</f>
        <v>OK</v>
      </c>
      <c r="M1731" t="str">
        <f t="shared" ref="M1731:M1794" si="82">IF(H1731&gt;J1731,"ERRO","OK")</f>
        <v>OK</v>
      </c>
      <c r="N1731" t="str">
        <f t="shared" ref="N1731:N1794" si="83">IF(I1731&lt;J1731,"ERRO","OK")</f>
        <v>OK</v>
      </c>
    </row>
    <row r="1732" spans="1:14" x14ac:dyDescent="0.3">
      <c r="A1732">
        <v>81</v>
      </c>
      <c r="B1732">
        <v>2024</v>
      </c>
      <c r="C1732" s="2">
        <v>45632</v>
      </c>
      <c r="E1732" t="s">
        <v>39</v>
      </c>
      <c r="F1732" t="s">
        <v>40</v>
      </c>
      <c r="G1732" t="s">
        <v>503</v>
      </c>
      <c r="H1732" t="s">
        <v>468</v>
      </c>
      <c r="I1732" t="s">
        <v>464</v>
      </c>
      <c r="J1732" t="s">
        <v>571</v>
      </c>
      <c r="K1732" t="s">
        <v>546</v>
      </c>
      <c r="L1732" t="str">
        <f t="shared" si="81"/>
        <v>OK</v>
      </c>
      <c r="M1732" t="str">
        <f t="shared" si="82"/>
        <v>OK</v>
      </c>
      <c r="N1732" t="str">
        <f t="shared" si="83"/>
        <v>OK</v>
      </c>
    </row>
    <row r="1733" spans="1:14" x14ac:dyDescent="0.3">
      <c r="A1733">
        <v>81</v>
      </c>
      <c r="B1733">
        <v>2024</v>
      </c>
      <c r="C1733" s="2">
        <v>45632</v>
      </c>
      <c r="E1733" t="s">
        <v>42</v>
      </c>
      <c r="F1733" t="s">
        <v>43</v>
      </c>
      <c r="G1733" t="s">
        <v>476</v>
      </c>
      <c r="H1733" t="s">
        <v>468</v>
      </c>
      <c r="I1733" t="s">
        <v>476</v>
      </c>
      <c r="J1733" t="s">
        <v>547</v>
      </c>
      <c r="K1733" t="s">
        <v>502</v>
      </c>
      <c r="L1733" t="str">
        <f t="shared" si="81"/>
        <v>OK</v>
      </c>
      <c r="M1733" t="str">
        <f t="shared" si="82"/>
        <v>OK</v>
      </c>
      <c r="N1733" t="str">
        <f t="shared" si="83"/>
        <v>OK</v>
      </c>
    </row>
    <row r="1734" spans="1:14" x14ac:dyDescent="0.3">
      <c r="A1734">
        <v>81</v>
      </c>
      <c r="B1734">
        <v>2024</v>
      </c>
      <c r="C1734" s="2">
        <v>45632</v>
      </c>
      <c r="E1734" t="s">
        <v>44</v>
      </c>
      <c r="F1734" t="s">
        <v>45</v>
      </c>
      <c r="G1734" t="s">
        <v>503</v>
      </c>
      <c r="H1734" t="s">
        <v>503</v>
      </c>
      <c r="I1734" t="s">
        <v>464</v>
      </c>
      <c r="J1734" t="s">
        <v>572</v>
      </c>
      <c r="K1734" t="s">
        <v>496</v>
      </c>
      <c r="L1734" t="str">
        <f t="shared" si="81"/>
        <v>OK</v>
      </c>
      <c r="M1734" t="str">
        <f t="shared" si="82"/>
        <v>OK</v>
      </c>
      <c r="N1734" t="str">
        <f t="shared" si="83"/>
        <v>OK</v>
      </c>
    </row>
    <row r="1735" spans="1:14" x14ac:dyDescent="0.3">
      <c r="A1735">
        <v>81</v>
      </c>
      <c r="B1735">
        <v>2024</v>
      </c>
      <c r="C1735" s="2">
        <v>45632</v>
      </c>
      <c r="E1735" t="s">
        <v>48</v>
      </c>
      <c r="F1735" t="s">
        <v>45</v>
      </c>
      <c r="H1735" t="s">
        <v>492</v>
      </c>
      <c r="I1735" t="s">
        <v>492</v>
      </c>
      <c r="J1735" t="s">
        <v>492</v>
      </c>
      <c r="K1735" t="s">
        <v>492</v>
      </c>
      <c r="L1735" t="str">
        <f t="shared" si="81"/>
        <v>OK</v>
      </c>
      <c r="M1735" t="str">
        <f t="shared" si="82"/>
        <v>OK</v>
      </c>
      <c r="N1735" t="str">
        <f t="shared" si="83"/>
        <v>OK</v>
      </c>
    </row>
    <row r="1736" spans="1:14" x14ac:dyDescent="0.3">
      <c r="A1736">
        <v>81</v>
      </c>
      <c r="B1736">
        <v>2024</v>
      </c>
      <c r="C1736" s="2">
        <v>45632</v>
      </c>
      <c r="E1736" t="s">
        <v>49</v>
      </c>
      <c r="F1736" t="s">
        <v>50</v>
      </c>
      <c r="G1736" t="s">
        <v>464</v>
      </c>
      <c r="H1736" t="s">
        <v>502</v>
      </c>
      <c r="I1736" t="s">
        <v>464</v>
      </c>
      <c r="J1736" t="s">
        <v>573</v>
      </c>
      <c r="K1736" t="s">
        <v>464</v>
      </c>
      <c r="L1736" t="str">
        <f t="shared" si="81"/>
        <v>OK</v>
      </c>
      <c r="M1736" t="str">
        <f t="shared" si="82"/>
        <v>OK</v>
      </c>
      <c r="N1736" t="str">
        <f t="shared" si="83"/>
        <v>OK</v>
      </c>
    </row>
    <row r="1737" spans="1:14" x14ac:dyDescent="0.3">
      <c r="A1737">
        <v>81</v>
      </c>
      <c r="B1737">
        <v>2024</v>
      </c>
      <c r="C1737" s="2">
        <v>45632</v>
      </c>
      <c r="E1737" t="s">
        <v>52</v>
      </c>
      <c r="F1737" t="s">
        <v>43</v>
      </c>
      <c r="G1737" t="s">
        <v>464</v>
      </c>
      <c r="H1737" t="s">
        <v>503</v>
      </c>
      <c r="I1737" t="s">
        <v>476</v>
      </c>
      <c r="J1737" t="s">
        <v>547</v>
      </c>
      <c r="K1737" t="s">
        <v>502</v>
      </c>
      <c r="L1737" t="str">
        <f t="shared" si="81"/>
        <v>OK</v>
      </c>
      <c r="M1737" t="str">
        <f t="shared" si="82"/>
        <v>OK</v>
      </c>
      <c r="N1737" t="str">
        <f t="shared" si="83"/>
        <v>OK</v>
      </c>
    </row>
    <row r="1738" spans="1:14" x14ac:dyDescent="0.3">
      <c r="A1738">
        <v>81</v>
      </c>
      <c r="B1738">
        <v>2024</v>
      </c>
      <c r="C1738" s="2">
        <v>45632</v>
      </c>
      <c r="E1738" t="s">
        <v>53</v>
      </c>
      <c r="F1738" t="s">
        <v>43</v>
      </c>
      <c r="G1738" t="s">
        <v>503</v>
      </c>
      <c r="H1738" t="s">
        <v>488</v>
      </c>
      <c r="I1738" t="s">
        <v>503</v>
      </c>
      <c r="J1738" t="s">
        <v>574</v>
      </c>
      <c r="K1738" t="s">
        <v>494</v>
      </c>
      <c r="L1738" t="str">
        <f t="shared" si="81"/>
        <v>OK</v>
      </c>
      <c r="M1738" t="str">
        <f t="shared" si="82"/>
        <v>OK</v>
      </c>
      <c r="N1738" t="str">
        <f t="shared" si="83"/>
        <v>OK</v>
      </c>
    </row>
    <row r="1739" spans="1:14" x14ac:dyDescent="0.3">
      <c r="A1739">
        <v>81</v>
      </c>
      <c r="B1739">
        <v>2024</v>
      </c>
      <c r="C1739" s="2">
        <v>45632</v>
      </c>
      <c r="E1739" t="s">
        <v>54</v>
      </c>
      <c r="F1739" t="s">
        <v>40</v>
      </c>
      <c r="G1739" t="s">
        <v>511</v>
      </c>
      <c r="H1739" t="s">
        <v>492</v>
      </c>
      <c r="I1739" t="s">
        <v>521</v>
      </c>
      <c r="J1739" t="s">
        <v>575</v>
      </c>
      <c r="K1739" t="s">
        <v>511</v>
      </c>
      <c r="L1739" t="str">
        <f t="shared" si="81"/>
        <v>ERRO</v>
      </c>
      <c r="M1739" t="str">
        <f t="shared" si="82"/>
        <v>OK</v>
      </c>
      <c r="N1739" t="str">
        <f t="shared" si="83"/>
        <v>ERRO</v>
      </c>
    </row>
    <row r="1740" spans="1:14" x14ac:dyDescent="0.3">
      <c r="A1740">
        <v>81</v>
      </c>
      <c r="B1740">
        <v>2024</v>
      </c>
      <c r="C1740" s="2">
        <v>45632</v>
      </c>
      <c r="E1740" t="s">
        <v>56</v>
      </c>
      <c r="F1740" t="s">
        <v>43</v>
      </c>
      <c r="H1740" t="s">
        <v>499</v>
      </c>
      <c r="I1740" t="s">
        <v>500</v>
      </c>
      <c r="J1740" t="s">
        <v>505</v>
      </c>
      <c r="K1740" t="s">
        <v>505</v>
      </c>
      <c r="L1740" t="str">
        <f t="shared" si="81"/>
        <v>OK</v>
      </c>
      <c r="M1740" t="str">
        <f t="shared" si="82"/>
        <v>OK</v>
      </c>
      <c r="N1740" t="str">
        <f t="shared" si="83"/>
        <v>OK</v>
      </c>
    </row>
    <row r="1741" spans="1:14" x14ac:dyDescent="0.3">
      <c r="A1741">
        <v>81</v>
      </c>
      <c r="B1741">
        <v>2024</v>
      </c>
      <c r="C1741" s="2">
        <v>45632</v>
      </c>
      <c r="E1741" t="s">
        <v>57</v>
      </c>
      <c r="F1741" t="s">
        <v>40</v>
      </c>
      <c r="G1741" t="s">
        <v>503</v>
      </c>
      <c r="H1741" t="s">
        <v>494</v>
      </c>
      <c r="I1741" t="s">
        <v>464</v>
      </c>
      <c r="J1741" t="s">
        <v>576</v>
      </c>
      <c r="K1741" t="s">
        <v>503</v>
      </c>
      <c r="L1741" t="str">
        <f t="shared" si="81"/>
        <v>OK</v>
      </c>
      <c r="M1741" t="str">
        <f t="shared" si="82"/>
        <v>OK</v>
      </c>
      <c r="N1741" t="str">
        <f t="shared" si="83"/>
        <v>OK</v>
      </c>
    </row>
    <row r="1742" spans="1:14" x14ac:dyDescent="0.3">
      <c r="A1742">
        <v>81</v>
      </c>
      <c r="B1742">
        <v>2024</v>
      </c>
      <c r="C1742" s="2">
        <v>45632</v>
      </c>
      <c r="E1742" t="s">
        <v>58</v>
      </c>
      <c r="F1742" t="s">
        <v>40</v>
      </c>
      <c r="G1742" t="s">
        <v>503</v>
      </c>
      <c r="H1742" t="s">
        <v>503</v>
      </c>
      <c r="I1742" t="s">
        <v>464</v>
      </c>
      <c r="J1742" t="s">
        <v>577</v>
      </c>
      <c r="K1742" t="s">
        <v>496</v>
      </c>
      <c r="L1742" t="str">
        <f t="shared" si="81"/>
        <v>OK</v>
      </c>
      <c r="M1742" t="str">
        <f t="shared" si="82"/>
        <v>OK</v>
      </c>
      <c r="N1742" t="str">
        <f t="shared" si="83"/>
        <v>OK</v>
      </c>
    </row>
    <row r="1743" spans="1:14" x14ac:dyDescent="0.3">
      <c r="A1743">
        <v>81</v>
      </c>
      <c r="B1743">
        <v>2024</v>
      </c>
      <c r="C1743" s="2">
        <v>45632</v>
      </c>
      <c r="E1743" t="s">
        <v>59</v>
      </c>
      <c r="F1743" t="s">
        <v>45</v>
      </c>
      <c r="G1743" t="s">
        <v>503</v>
      </c>
      <c r="H1743" t="s">
        <v>503</v>
      </c>
      <c r="I1743" t="s">
        <v>499</v>
      </c>
      <c r="J1743" t="s">
        <v>546</v>
      </c>
      <c r="K1743" t="s">
        <v>503</v>
      </c>
      <c r="L1743" t="str">
        <f t="shared" si="81"/>
        <v>OK</v>
      </c>
      <c r="M1743" t="str">
        <f t="shared" si="82"/>
        <v>OK</v>
      </c>
      <c r="N1743" t="str">
        <f t="shared" si="83"/>
        <v>OK</v>
      </c>
    </row>
    <row r="1744" spans="1:14" x14ac:dyDescent="0.3">
      <c r="A1744">
        <v>81</v>
      </c>
      <c r="B1744">
        <v>2024</v>
      </c>
      <c r="C1744" s="2">
        <v>45632</v>
      </c>
      <c r="E1744" t="s">
        <v>60</v>
      </c>
      <c r="F1744" t="s">
        <v>61</v>
      </c>
      <c r="H1744" t="s">
        <v>476</v>
      </c>
      <c r="I1744" t="s">
        <v>507</v>
      </c>
      <c r="J1744" t="s">
        <v>575</v>
      </c>
      <c r="K1744" t="s">
        <v>511</v>
      </c>
      <c r="L1744" t="str">
        <f t="shared" si="81"/>
        <v>ERRO</v>
      </c>
      <c r="M1744" t="str">
        <f t="shared" si="82"/>
        <v>OK</v>
      </c>
      <c r="N1744" t="str">
        <f t="shared" si="83"/>
        <v>ERRO</v>
      </c>
    </row>
    <row r="1745" spans="1:14" x14ac:dyDescent="0.3">
      <c r="A1745">
        <v>81</v>
      </c>
      <c r="B1745">
        <v>2024</v>
      </c>
      <c r="C1745" s="2">
        <v>45632</v>
      </c>
      <c r="E1745" t="s">
        <v>63</v>
      </c>
      <c r="F1745" t="s">
        <v>40</v>
      </c>
      <c r="G1745" t="s">
        <v>503</v>
      </c>
      <c r="H1745" t="s">
        <v>503</v>
      </c>
      <c r="I1745" t="s">
        <v>464</v>
      </c>
      <c r="J1745" t="s">
        <v>578</v>
      </c>
      <c r="K1745" t="s">
        <v>499</v>
      </c>
      <c r="L1745" t="str">
        <f t="shared" si="81"/>
        <v>OK</v>
      </c>
      <c r="M1745" t="str">
        <f t="shared" si="82"/>
        <v>OK</v>
      </c>
      <c r="N1745" t="str">
        <f t="shared" si="83"/>
        <v>OK</v>
      </c>
    </row>
    <row r="1746" spans="1:14" x14ac:dyDescent="0.3">
      <c r="A1746">
        <v>81</v>
      </c>
      <c r="B1746">
        <v>2024</v>
      </c>
      <c r="C1746" s="2">
        <v>45632</v>
      </c>
      <c r="E1746" t="s">
        <v>64</v>
      </c>
      <c r="F1746" t="s">
        <v>40</v>
      </c>
      <c r="G1746" t="s">
        <v>464</v>
      </c>
      <c r="H1746" t="s">
        <v>499</v>
      </c>
      <c r="I1746" t="s">
        <v>464</v>
      </c>
      <c r="J1746" t="s">
        <v>502</v>
      </c>
      <c r="K1746" t="s">
        <v>502</v>
      </c>
      <c r="L1746" t="str">
        <f t="shared" si="81"/>
        <v>OK</v>
      </c>
      <c r="M1746" t="str">
        <f t="shared" si="82"/>
        <v>OK</v>
      </c>
      <c r="N1746" t="str">
        <f t="shared" si="83"/>
        <v>OK</v>
      </c>
    </row>
    <row r="1747" spans="1:14" x14ac:dyDescent="0.3">
      <c r="A1747">
        <v>81</v>
      </c>
      <c r="B1747">
        <v>2024</v>
      </c>
      <c r="C1747" s="2">
        <v>45632</v>
      </c>
      <c r="E1747" t="s">
        <v>66</v>
      </c>
      <c r="F1747" t="s">
        <v>45</v>
      </c>
      <c r="L1747" t="str">
        <f t="shared" si="81"/>
        <v>OK</v>
      </c>
      <c r="M1747" t="str">
        <f t="shared" si="82"/>
        <v>OK</v>
      </c>
      <c r="N1747" t="str">
        <f t="shared" si="83"/>
        <v>OK</v>
      </c>
    </row>
    <row r="1748" spans="1:14" x14ac:dyDescent="0.3">
      <c r="A1748">
        <v>81</v>
      </c>
      <c r="B1748">
        <v>2024</v>
      </c>
      <c r="C1748" s="2">
        <v>45632</v>
      </c>
      <c r="E1748" t="s">
        <v>67</v>
      </c>
      <c r="F1748" t="s">
        <v>45</v>
      </c>
      <c r="L1748" t="str">
        <f t="shared" si="81"/>
        <v>OK</v>
      </c>
      <c r="M1748" t="str">
        <f t="shared" si="82"/>
        <v>OK</v>
      </c>
      <c r="N1748" t="str">
        <f t="shared" si="83"/>
        <v>OK</v>
      </c>
    </row>
    <row r="1749" spans="1:14" x14ac:dyDescent="0.3">
      <c r="A1749">
        <v>81</v>
      </c>
      <c r="B1749">
        <v>2024</v>
      </c>
      <c r="C1749" s="2">
        <v>45632</v>
      </c>
      <c r="E1749" t="s">
        <v>68</v>
      </c>
      <c r="F1749" t="s">
        <v>45</v>
      </c>
      <c r="L1749" t="str">
        <f t="shared" si="81"/>
        <v>OK</v>
      </c>
      <c r="M1749" t="str">
        <f t="shared" si="82"/>
        <v>OK</v>
      </c>
      <c r="N1749" t="str">
        <f t="shared" si="83"/>
        <v>OK</v>
      </c>
    </row>
    <row r="1750" spans="1:14" x14ac:dyDescent="0.3">
      <c r="A1750">
        <v>81</v>
      </c>
      <c r="B1750">
        <v>2024</v>
      </c>
      <c r="C1750" s="2">
        <v>45632</v>
      </c>
      <c r="E1750" t="s">
        <v>69</v>
      </c>
      <c r="F1750" t="s">
        <v>45</v>
      </c>
      <c r="H1750" t="s">
        <v>502</v>
      </c>
      <c r="I1750" t="s">
        <v>502</v>
      </c>
      <c r="J1750" t="s">
        <v>502</v>
      </c>
      <c r="K1750" t="s">
        <v>502</v>
      </c>
      <c r="L1750" t="str">
        <f t="shared" si="81"/>
        <v>OK</v>
      </c>
      <c r="M1750" t="str">
        <f t="shared" si="82"/>
        <v>OK</v>
      </c>
      <c r="N1750" t="str">
        <f t="shared" si="83"/>
        <v>OK</v>
      </c>
    </row>
    <row r="1751" spans="1:14" x14ac:dyDescent="0.3">
      <c r="A1751">
        <v>81</v>
      </c>
      <c r="B1751">
        <v>2024</v>
      </c>
      <c r="C1751" s="2">
        <v>45632</v>
      </c>
      <c r="E1751" t="s">
        <v>70</v>
      </c>
      <c r="F1751" s="12" t="s">
        <v>71</v>
      </c>
      <c r="L1751" t="str">
        <f t="shared" si="81"/>
        <v>OK</v>
      </c>
      <c r="M1751" t="str">
        <f t="shared" si="82"/>
        <v>OK</v>
      </c>
      <c r="N1751" t="str">
        <f t="shared" si="83"/>
        <v>OK</v>
      </c>
    </row>
    <row r="1752" spans="1:14" x14ac:dyDescent="0.3">
      <c r="A1752">
        <v>82</v>
      </c>
      <c r="B1752">
        <v>2024</v>
      </c>
      <c r="C1752" s="2">
        <v>45639</v>
      </c>
      <c r="E1752" t="s">
        <v>12</v>
      </c>
      <c r="F1752" t="s">
        <v>13</v>
      </c>
      <c r="G1752" t="s">
        <v>536</v>
      </c>
      <c r="H1752" t="s">
        <v>466</v>
      </c>
      <c r="I1752" t="s">
        <v>466</v>
      </c>
      <c r="J1752" t="s">
        <v>565</v>
      </c>
      <c r="K1752" t="s">
        <v>464</v>
      </c>
      <c r="L1752" t="str">
        <f t="shared" si="81"/>
        <v>OK</v>
      </c>
      <c r="M1752" t="str">
        <f t="shared" si="82"/>
        <v>ERRO</v>
      </c>
      <c r="N1752" t="str">
        <f t="shared" si="83"/>
        <v>OK</v>
      </c>
    </row>
    <row r="1753" spans="1:14" x14ac:dyDescent="0.3">
      <c r="A1753">
        <v>82</v>
      </c>
      <c r="B1753">
        <v>2024</v>
      </c>
      <c r="C1753" s="2">
        <v>45639</v>
      </c>
      <c r="E1753" t="s">
        <v>14</v>
      </c>
      <c r="F1753" t="s">
        <v>13</v>
      </c>
      <c r="H1753" t="s">
        <v>463</v>
      </c>
      <c r="I1753" t="s">
        <v>579</v>
      </c>
      <c r="J1753" t="s">
        <v>580</v>
      </c>
      <c r="K1753" t="s">
        <v>581</v>
      </c>
      <c r="L1753" t="str">
        <f t="shared" si="81"/>
        <v>OK</v>
      </c>
      <c r="M1753" t="str">
        <f t="shared" si="82"/>
        <v>OK</v>
      </c>
      <c r="N1753" t="str">
        <f t="shared" si="83"/>
        <v>OK</v>
      </c>
    </row>
    <row r="1754" spans="1:14" x14ac:dyDescent="0.3">
      <c r="A1754">
        <v>82</v>
      </c>
      <c r="B1754">
        <v>2024</v>
      </c>
      <c r="C1754" s="2">
        <v>45639</v>
      </c>
      <c r="E1754" t="s">
        <v>15</v>
      </c>
      <c r="F1754" t="s">
        <v>13</v>
      </c>
      <c r="H1754" t="s">
        <v>464</v>
      </c>
      <c r="I1754" t="s">
        <v>463</v>
      </c>
      <c r="J1754" t="s">
        <v>463</v>
      </c>
      <c r="K1754" t="s">
        <v>463</v>
      </c>
      <c r="L1754" t="str">
        <f t="shared" si="81"/>
        <v>ERRO</v>
      </c>
      <c r="M1754" t="str">
        <f t="shared" si="82"/>
        <v>ERRO</v>
      </c>
      <c r="N1754" t="str">
        <f t="shared" si="83"/>
        <v>OK</v>
      </c>
    </row>
    <row r="1755" spans="1:14" x14ac:dyDescent="0.3">
      <c r="A1755">
        <v>82</v>
      </c>
      <c r="B1755">
        <v>2024</v>
      </c>
      <c r="C1755" s="2">
        <v>45639</v>
      </c>
      <c r="E1755" t="s">
        <v>16</v>
      </c>
      <c r="F1755" t="s">
        <v>13</v>
      </c>
      <c r="G1755" t="s">
        <v>536</v>
      </c>
      <c r="H1755" t="s">
        <v>536</v>
      </c>
      <c r="I1755" t="s">
        <v>536</v>
      </c>
      <c r="J1755" t="s">
        <v>472</v>
      </c>
      <c r="K1755" t="s">
        <v>582</v>
      </c>
      <c r="L1755" t="str">
        <f t="shared" si="81"/>
        <v>OK</v>
      </c>
      <c r="M1755" t="str">
        <f t="shared" si="82"/>
        <v>ERRO</v>
      </c>
      <c r="N1755" t="str">
        <f t="shared" si="83"/>
        <v>OK</v>
      </c>
    </row>
    <row r="1756" spans="1:14" x14ac:dyDescent="0.3">
      <c r="A1756">
        <v>82</v>
      </c>
      <c r="B1756">
        <v>2024</v>
      </c>
      <c r="C1756" s="2">
        <v>45639</v>
      </c>
      <c r="E1756" t="s">
        <v>17</v>
      </c>
      <c r="F1756" t="s">
        <v>13</v>
      </c>
      <c r="G1756" t="s">
        <v>468</v>
      </c>
      <c r="H1756" t="s">
        <v>525</v>
      </c>
      <c r="I1756" t="s">
        <v>536</v>
      </c>
      <c r="J1756" t="s">
        <v>583</v>
      </c>
      <c r="K1756" t="s">
        <v>468</v>
      </c>
      <c r="L1756" t="str">
        <f t="shared" si="81"/>
        <v>OK</v>
      </c>
      <c r="M1756" t="str">
        <f t="shared" si="82"/>
        <v>OK</v>
      </c>
      <c r="N1756" t="str">
        <f t="shared" si="83"/>
        <v>OK</v>
      </c>
    </row>
    <row r="1757" spans="1:14" x14ac:dyDescent="0.3">
      <c r="A1757">
        <v>82</v>
      </c>
      <c r="B1757">
        <v>2024</v>
      </c>
      <c r="C1757" s="2">
        <v>45639</v>
      </c>
      <c r="E1757" t="s">
        <v>18</v>
      </c>
      <c r="F1757" t="s">
        <v>13</v>
      </c>
      <c r="G1757" t="s">
        <v>464</v>
      </c>
      <c r="H1757" t="s">
        <v>464</v>
      </c>
      <c r="I1757" t="s">
        <v>522</v>
      </c>
      <c r="J1757" t="s">
        <v>581</v>
      </c>
      <c r="K1757" t="s">
        <v>464</v>
      </c>
      <c r="L1757" t="str">
        <f t="shared" si="81"/>
        <v>OK</v>
      </c>
      <c r="M1757" t="str">
        <f t="shared" si="82"/>
        <v>OK</v>
      </c>
      <c r="N1757" t="str">
        <f t="shared" si="83"/>
        <v>OK</v>
      </c>
    </row>
    <row r="1758" spans="1:14" x14ac:dyDescent="0.3">
      <c r="A1758">
        <v>82</v>
      </c>
      <c r="B1758">
        <v>2024</v>
      </c>
      <c r="C1758" s="2">
        <v>45639</v>
      </c>
      <c r="E1758" t="s">
        <v>19</v>
      </c>
      <c r="F1758" t="s">
        <v>13</v>
      </c>
      <c r="G1758" t="s">
        <v>464</v>
      </c>
      <c r="H1758" t="s">
        <v>464</v>
      </c>
      <c r="I1758" t="s">
        <v>465</v>
      </c>
      <c r="J1758" t="s">
        <v>564</v>
      </c>
      <c r="K1758" t="s">
        <v>464</v>
      </c>
      <c r="L1758" t="str">
        <f t="shared" si="81"/>
        <v>ERRO</v>
      </c>
      <c r="M1758" t="str">
        <f t="shared" si="82"/>
        <v>ERRO</v>
      </c>
      <c r="N1758" t="str">
        <f t="shared" si="83"/>
        <v>ERRO</v>
      </c>
    </row>
    <row r="1759" spans="1:14" x14ac:dyDescent="0.3">
      <c r="A1759">
        <v>82</v>
      </c>
      <c r="B1759">
        <v>2024</v>
      </c>
      <c r="C1759" s="2">
        <v>45639</v>
      </c>
      <c r="E1759" t="s">
        <v>20</v>
      </c>
      <c r="F1759" t="s">
        <v>13</v>
      </c>
      <c r="G1759" t="s">
        <v>466</v>
      </c>
      <c r="H1759" t="s">
        <v>466</v>
      </c>
      <c r="I1759" t="s">
        <v>466</v>
      </c>
      <c r="J1759" t="s">
        <v>466</v>
      </c>
      <c r="K1759" t="s">
        <v>466</v>
      </c>
      <c r="L1759" t="str">
        <f t="shared" si="81"/>
        <v>OK</v>
      </c>
      <c r="M1759" t="str">
        <f t="shared" si="82"/>
        <v>OK</v>
      </c>
      <c r="N1759" t="str">
        <f t="shared" si="83"/>
        <v>OK</v>
      </c>
    </row>
    <row r="1760" spans="1:14" x14ac:dyDescent="0.3">
      <c r="A1760">
        <v>82</v>
      </c>
      <c r="B1760">
        <v>2024</v>
      </c>
      <c r="C1760" s="2">
        <v>45639</v>
      </c>
      <c r="E1760" t="s">
        <v>21</v>
      </c>
      <c r="F1760" t="s">
        <v>13</v>
      </c>
      <c r="G1760" t="s">
        <v>488</v>
      </c>
      <c r="H1760" t="s">
        <v>472</v>
      </c>
      <c r="I1760" t="s">
        <v>473</v>
      </c>
      <c r="J1760" t="s">
        <v>584</v>
      </c>
      <c r="K1760" t="s">
        <v>488</v>
      </c>
      <c r="L1760" t="str">
        <f t="shared" si="81"/>
        <v>ERRO</v>
      </c>
      <c r="M1760" t="str">
        <f t="shared" si="82"/>
        <v>ERRO</v>
      </c>
      <c r="N1760" t="str">
        <f t="shared" si="83"/>
        <v>ERRO</v>
      </c>
    </row>
    <row r="1761" spans="1:14" x14ac:dyDescent="0.3">
      <c r="A1761">
        <v>82</v>
      </c>
      <c r="B1761">
        <v>2024</v>
      </c>
      <c r="C1761" s="2">
        <v>45639</v>
      </c>
      <c r="E1761" t="s">
        <v>73</v>
      </c>
      <c r="F1761" t="s">
        <v>13</v>
      </c>
      <c r="G1761" t="s">
        <v>467</v>
      </c>
      <c r="H1761" t="s">
        <v>466</v>
      </c>
      <c r="I1761" t="s">
        <v>467</v>
      </c>
      <c r="J1761" t="s">
        <v>560</v>
      </c>
      <c r="K1761" t="s">
        <v>492</v>
      </c>
      <c r="L1761" t="str">
        <f t="shared" si="81"/>
        <v>OK</v>
      </c>
      <c r="M1761" t="str">
        <f t="shared" si="82"/>
        <v>OK</v>
      </c>
      <c r="N1761" t="str">
        <f t="shared" si="83"/>
        <v>OK</v>
      </c>
    </row>
    <row r="1762" spans="1:14" x14ac:dyDescent="0.3">
      <c r="A1762">
        <v>82</v>
      </c>
      <c r="B1762">
        <v>2024</v>
      </c>
      <c r="C1762" s="2">
        <v>45639</v>
      </c>
      <c r="E1762" t="s">
        <v>23</v>
      </c>
      <c r="F1762" t="s">
        <v>13</v>
      </c>
      <c r="G1762" t="s">
        <v>468</v>
      </c>
      <c r="H1762" t="s">
        <v>468</v>
      </c>
      <c r="I1762" t="s">
        <v>536</v>
      </c>
      <c r="J1762" t="s">
        <v>471</v>
      </c>
      <c r="K1762" t="s">
        <v>471</v>
      </c>
      <c r="L1762" t="str">
        <f t="shared" si="81"/>
        <v>OK</v>
      </c>
      <c r="M1762" t="str">
        <f t="shared" si="82"/>
        <v>OK</v>
      </c>
      <c r="N1762" t="str">
        <f t="shared" si="83"/>
        <v>OK</v>
      </c>
    </row>
    <row r="1763" spans="1:14" x14ac:dyDescent="0.3">
      <c r="A1763">
        <v>82</v>
      </c>
      <c r="B1763">
        <v>2024</v>
      </c>
      <c r="C1763" s="2">
        <v>45639</v>
      </c>
      <c r="E1763" t="s">
        <v>24</v>
      </c>
      <c r="F1763" t="s">
        <v>13</v>
      </c>
      <c r="G1763" t="s">
        <v>464</v>
      </c>
      <c r="H1763" t="s">
        <v>464</v>
      </c>
      <c r="I1763" t="s">
        <v>464</v>
      </c>
      <c r="J1763" t="s">
        <v>464</v>
      </c>
      <c r="K1763" t="s">
        <v>464</v>
      </c>
      <c r="L1763" t="str">
        <f t="shared" si="81"/>
        <v>OK</v>
      </c>
      <c r="M1763" t="str">
        <f t="shared" si="82"/>
        <v>OK</v>
      </c>
      <c r="N1763" t="str">
        <f t="shared" si="83"/>
        <v>OK</v>
      </c>
    </row>
    <row r="1764" spans="1:14" x14ac:dyDescent="0.3">
      <c r="A1764">
        <v>82</v>
      </c>
      <c r="B1764">
        <v>2024</v>
      </c>
      <c r="C1764" s="2">
        <v>45639</v>
      </c>
      <c r="E1764" t="s">
        <v>25</v>
      </c>
      <c r="F1764" t="s">
        <v>26</v>
      </c>
      <c r="G1764" t="s">
        <v>464</v>
      </c>
      <c r="H1764" t="s">
        <v>464</v>
      </c>
      <c r="I1764" t="s">
        <v>463</v>
      </c>
      <c r="J1764" t="s">
        <v>464</v>
      </c>
      <c r="K1764" t="s">
        <v>585</v>
      </c>
      <c r="L1764" t="str">
        <f t="shared" si="81"/>
        <v>ERRO</v>
      </c>
      <c r="M1764" t="str">
        <f t="shared" si="82"/>
        <v>OK</v>
      </c>
      <c r="N1764" t="str">
        <f t="shared" si="83"/>
        <v>ERRO</v>
      </c>
    </row>
    <row r="1765" spans="1:14" x14ac:dyDescent="0.3">
      <c r="A1765">
        <v>82</v>
      </c>
      <c r="B1765">
        <v>2024</v>
      </c>
      <c r="C1765" s="2">
        <v>45639</v>
      </c>
      <c r="E1765" t="s">
        <v>27</v>
      </c>
      <c r="F1765" t="s">
        <v>13</v>
      </c>
      <c r="G1765" t="s">
        <v>511</v>
      </c>
      <c r="H1765" t="s">
        <v>463</v>
      </c>
      <c r="I1765" t="s">
        <v>463</v>
      </c>
      <c r="J1765" t="s">
        <v>524</v>
      </c>
      <c r="K1765" t="s">
        <v>524</v>
      </c>
      <c r="L1765" t="str">
        <f t="shared" si="81"/>
        <v>OK</v>
      </c>
      <c r="M1765" t="str">
        <f t="shared" si="82"/>
        <v>OK</v>
      </c>
      <c r="N1765" t="str">
        <f t="shared" si="83"/>
        <v>ERRO</v>
      </c>
    </row>
    <row r="1766" spans="1:14" x14ac:dyDescent="0.3">
      <c r="A1766">
        <v>82</v>
      </c>
      <c r="B1766">
        <v>2024</v>
      </c>
      <c r="C1766" s="2">
        <v>45639</v>
      </c>
      <c r="E1766" t="s">
        <v>28</v>
      </c>
      <c r="F1766" t="s">
        <v>13</v>
      </c>
      <c r="H1766" t="s">
        <v>468</v>
      </c>
      <c r="I1766" t="s">
        <v>536</v>
      </c>
      <c r="J1766" t="s">
        <v>586</v>
      </c>
      <c r="K1766" t="s">
        <v>536</v>
      </c>
      <c r="L1766" t="str">
        <f t="shared" si="81"/>
        <v>OK</v>
      </c>
      <c r="M1766" t="str">
        <f t="shared" si="82"/>
        <v>OK</v>
      </c>
      <c r="N1766" t="str">
        <f t="shared" si="83"/>
        <v>ERRO</v>
      </c>
    </row>
    <row r="1767" spans="1:14" x14ac:dyDescent="0.3">
      <c r="A1767">
        <v>82</v>
      </c>
      <c r="B1767">
        <v>2024</v>
      </c>
      <c r="C1767" s="2">
        <v>45639</v>
      </c>
      <c r="E1767" t="s">
        <v>29</v>
      </c>
      <c r="F1767" t="s">
        <v>13</v>
      </c>
      <c r="G1767" t="s">
        <v>464</v>
      </c>
      <c r="H1767" t="s">
        <v>463</v>
      </c>
      <c r="I1767" t="s">
        <v>463</v>
      </c>
      <c r="J1767" t="s">
        <v>587</v>
      </c>
      <c r="K1767" t="s">
        <v>463</v>
      </c>
      <c r="L1767" t="str">
        <f t="shared" si="81"/>
        <v>OK</v>
      </c>
      <c r="M1767" t="str">
        <f t="shared" si="82"/>
        <v>OK</v>
      </c>
      <c r="N1767" t="str">
        <f t="shared" si="83"/>
        <v>ERRO</v>
      </c>
    </row>
    <row r="1768" spans="1:14" x14ac:dyDescent="0.3">
      <c r="A1768">
        <v>82</v>
      </c>
      <c r="B1768">
        <v>2024</v>
      </c>
      <c r="C1768" s="2">
        <v>45639</v>
      </c>
      <c r="E1768" t="s">
        <v>31</v>
      </c>
      <c r="F1768" t="s">
        <v>32</v>
      </c>
      <c r="G1768" t="s">
        <v>567</v>
      </c>
      <c r="H1768" t="s">
        <v>484</v>
      </c>
      <c r="I1768" t="s">
        <v>484</v>
      </c>
      <c r="J1768" t="s">
        <v>588</v>
      </c>
      <c r="K1768" t="s">
        <v>484</v>
      </c>
      <c r="L1768" t="str">
        <f t="shared" si="81"/>
        <v>OK</v>
      </c>
      <c r="M1768" t="str">
        <f t="shared" si="82"/>
        <v>ERRO</v>
      </c>
      <c r="N1768" t="str">
        <f t="shared" si="83"/>
        <v>OK</v>
      </c>
    </row>
    <row r="1769" spans="1:14" x14ac:dyDescent="0.3">
      <c r="A1769">
        <v>82</v>
      </c>
      <c r="B1769">
        <v>2024</v>
      </c>
      <c r="C1769" s="2">
        <v>45639</v>
      </c>
      <c r="E1769" t="s">
        <v>34</v>
      </c>
      <c r="F1769" t="s">
        <v>35</v>
      </c>
      <c r="G1769" t="s">
        <v>488</v>
      </c>
      <c r="H1769" t="s">
        <v>485</v>
      </c>
      <c r="I1769" t="s">
        <v>485</v>
      </c>
      <c r="J1769" t="s">
        <v>589</v>
      </c>
      <c r="K1769" t="s">
        <v>485</v>
      </c>
      <c r="L1769" t="str">
        <f t="shared" si="81"/>
        <v>OK</v>
      </c>
      <c r="M1769" t="str">
        <f t="shared" si="82"/>
        <v>OK</v>
      </c>
      <c r="N1769" t="str">
        <f t="shared" si="83"/>
        <v>ERRO</v>
      </c>
    </row>
    <row r="1770" spans="1:14" x14ac:dyDescent="0.3">
      <c r="A1770">
        <v>82</v>
      </c>
      <c r="B1770">
        <v>2024</v>
      </c>
      <c r="C1770" s="2">
        <v>45639</v>
      </c>
      <c r="E1770" t="s">
        <v>36</v>
      </c>
      <c r="F1770" t="s">
        <v>35</v>
      </c>
      <c r="G1770" t="s">
        <v>468</v>
      </c>
      <c r="H1770" t="s">
        <v>488</v>
      </c>
      <c r="I1770" t="s">
        <v>488</v>
      </c>
      <c r="J1770" t="s">
        <v>566</v>
      </c>
      <c r="K1770" t="s">
        <v>488</v>
      </c>
      <c r="L1770" t="str">
        <f t="shared" si="81"/>
        <v>OK</v>
      </c>
      <c r="M1770" t="str">
        <f t="shared" si="82"/>
        <v>OK</v>
      </c>
      <c r="N1770" t="str">
        <f t="shared" si="83"/>
        <v>ERRO</v>
      </c>
    </row>
    <row r="1771" spans="1:14" x14ac:dyDescent="0.3">
      <c r="A1771">
        <v>82</v>
      </c>
      <c r="B1771">
        <v>2024</v>
      </c>
      <c r="C1771" s="2">
        <v>45639</v>
      </c>
      <c r="E1771" t="s">
        <v>153</v>
      </c>
      <c r="F1771" t="s">
        <v>154</v>
      </c>
      <c r="G1771" t="s">
        <v>491</v>
      </c>
      <c r="H1771" t="s">
        <v>491</v>
      </c>
      <c r="I1771" t="s">
        <v>500</v>
      </c>
      <c r="J1771" t="s">
        <v>590</v>
      </c>
      <c r="K1771" t="s">
        <v>491</v>
      </c>
      <c r="L1771" t="str">
        <f t="shared" si="81"/>
        <v>ERRO</v>
      </c>
      <c r="M1771" t="str">
        <f t="shared" si="82"/>
        <v>ERRO</v>
      </c>
      <c r="N1771" t="str">
        <f t="shared" si="83"/>
        <v>ERRO</v>
      </c>
    </row>
    <row r="1772" spans="1:14" x14ac:dyDescent="0.3">
      <c r="A1772">
        <v>82</v>
      </c>
      <c r="B1772">
        <v>2024</v>
      </c>
      <c r="C1772" s="2">
        <v>45639</v>
      </c>
      <c r="E1772" t="s">
        <v>39</v>
      </c>
      <c r="F1772" t="s">
        <v>40</v>
      </c>
      <c r="G1772" t="s">
        <v>464</v>
      </c>
      <c r="H1772" t="s">
        <v>464</v>
      </c>
      <c r="I1772" t="s">
        <v>492</v>
      </c>
      <c r="J1772" t="s">
        <v>524</v>
      </c>
      <c r="K1772" t="s">
        <v>476</v>
      </c>
      <c r="L1772" t="str">
        <f t="shared" si="81"/>
        <v>OK</v>
      </c>
      <c r="M1772" t="str">
        <f t="shared" si="82"/>
        <v>OK</v>
      </c>
      <c r="N1772" t="str">
        <f t="shared" si="83"/>
        <v>OK</v>
      </c>
    </row>
    <row r="1773" spans="1:14" x14ac:dyDescent="0.3">
      <c r="A1773">
        <v>82</v>
      </c>
      <c r="B1773">
        <v>2024</v>
      </c>
      <c r="C1773" s="2">
        <v>45639</v>
      </c>
      <c r="E1773" t="s">
        <v>42</v>
      </c>
      <c r="F1773" t="s">
        <v>43</v>
      </c>
      <c r="G1773" t="s">
        <v>476</v>
      </c>
      <c r="H1773" t="s">
        <v>496</v>
      </c>
      <c r="I1773" t="s">
        <v>476</v>
      </c>
      <c r="J1773" t="s">
        <v>464</v>
      </c>
      <c r="K1773" t="s">
        <v>500</v>
      </c>
      <c r="L1773" t="str">
        <f t="shared" si="81"/>
        <v>OK</v>
      </c>
      <c r="M1773" t="str">
        <f t="shared" si="82"/>
        <v>OK</v>
      </c>
      <c r="N1773" t="str">
        <f t="shared" si="83"/>
        <v>OK</v>
      </c>
    </row>
    <row r="1774" spans="1:14" x14ac:dyDescent="0.3">
      <c r="A1774">
        <v>82</v>
      </c>
      <c r="B1774">
        <v>2024</v>
      </c>
      <c r="C1774" s="2">
        <v>45639</v>
      </c>
      <c r="E1774" t="s">
        <v>44</v>
      </c>
      <c r="F1774" t="s">
        <v>45</v>
      </c>
      <c r="G1774" t="s">
        <v>499</v>
      </c>
      <c r="H1774" t="s">
        <v>499</v>
      </c>
      <c r="I1774" t="s">
        <v>499</v>
      </c>
      <c r="J1774" t="s">
        <v>499</v>
      </c>
      <c r="K1774" t="s">
        <v>499</v>
      </c>
      <c r="L1774" t="str">
        <f t="shared" si="81"/>
        <v>OK</v>
      </c>
      <c r="M1774" t="str">
        <f t="shared" si="82"/>
        <v>OK</v>
      </c>
      <c r="N1774" t="str">
        <f t="shared" si="83"/>
        <v>OK</v>
      </c>
    </row>
    <row r="1775" spans="1:14" x14ac:dyDescent="0.3">
      <c r="A1775">
        <v>82</v>
      </c>
      <c r="B1775">
        <v>2024</v>
      </c>
      <c r="C1775" s="2">
        <v>45639</v>
      </c>
      <c r="E1775" t="s">
        <v>48</v>
      </c>
      <c r="F1775" t="s">
        <v>45</v>
      </c>
      <c r="H1775" t="s">
        <v>491</v>
      </c>
      <c r="I1775" t="s">
        <v>491</v>
      </c>
      <c r="J1775" t="s">
        <v>491</v>
      </c>
      <c r="K1775" t="s">
        <v>491</v>
      </c>
      <c r="L1775" t="str">
        <f t="shared" si="81"/>
        <v>OK</v>
      </c>
      <c r="M1775" t="str">
        <f t="shared" si="82"/>
        <v>OK</v>
      </c>
      <c r="N1775" t="str">
        <f t="shared" si="83"/>
        <v>OK</v>
      </c>
    </row>
    <row r="1776" spans="1:14" x14ac:dyDescent="0.3">
      <c r="A1776">
        <v>82</v>
      </c>
      <c r="B1776">
        <v>2024</v>
      </c>
      <c r="C1776" s="2">
        <v>45639</v>
      </c>
      <c r="E1776" t="s">
        <v>49</v>
      </c>
      <c r="F1776" t="s">
        <v>50</v>
      </c>
      <c r="G1776" t="s">
        <v>476</v>
      </c>
      <c r="H1776" t="s">
        <v>499</v>
      </c>
      <c r="I1776" t="s">
        <v>499</v>
      </c>
      <c r="J1776" t="s">
        <v>565</v>
      </c>
      <c r="K1776" t="s">
        <v>502</v>
      </c>
      <c r="L1776" t="str">
        <f t="shared" si="81"/>
        <v>OK</v>
      </c>
      <c r="M1776" t="str">
        <f t="shared" si="82"/>
        <v>OK</v>
      </c>
      <c r="N1776" t="str">
        <f t="shared" si="83"/>
        <v>ERRO</v>
      </c>
    </row>
    <row r="1777" spans="1:14" x14ac:dyDescent="0.3">
      <c r="A1777">
        <v>82</v>
      </c>
      <c r="B1777">
        <v>2024</v>
      </c>
      <c r="C1777" s="2">
        <v>45639</v>
      </c>
      <c r="E1777" t="s">
        <v>52</v>
      </c>
      <c r="F1777" t="s">
        <v>43</v>
      </c>
      <c r="G1777" t="s">
        <v>476</v>
      </c>
      <c r="H1777" t="s">
        <v>503</v>
      </c>
      <c r="I1777" t="s">
        <v>499</v>
      </c>
      <c r="J1777" t="s">
        <v>465</v>
      </c>
      <c r="K1777" t="s">
        <v>499</v>
      </c>
      <c r="L1777" t="str">
        <f t="shared" si="81"/>
        <v>OK</v>
      </c>
      <c r="M1777" t="str">
        <f t="shared" si="82"/>
        <v>OK</v>
      </c>
      <c r="N1777" t="str">
        <f t="shared" si="83"/>
        <v>ERRO</v>
      </c>
    </row>
    <row r="1778" spans="1:14" x14ac:dyDescent="0.3">
      <c r="A1778">
        <v>82</v>
      </c>
      <c r="B1778">
        <v>2024</v>
      </c>
      <c r="C1778" s="2">
        <v>45639</v>
      </c>
      <c r="E1778" t="s">
        <v>53</v>
      </c>
      <c r="F1778" t="s">
        <v>43</v>
      </c>
      <c r="G1778" t="s">
        <v>499</v>
      </c>
      <c r="H1778" t="s">
        <v>503</v>
      </c>
      <c r="I1778" t="s">
        <v>464</v>
      </c>
      <c r="J1778" t="s">
        <v>499</v>
      </c>
      <c r="K1778" t="s">
        <v>499</v>
      </c>
      <c r="L1778" t="str">
        <f t="shared" si="81"/>
        <v>OK</v>
      </c>
      <c r="M1778" t="str">
        <f t="shared" si="82"/>
        <v>OK</v>
      </c>
      <c r="N1778" t="str">
        <f t="shared" si="83"/>
        <v>OK</v>
      </c>
    </row>
    <row r="1779" spans="1:14" x14ac:dyDescent="0.3">
      <c r="A1779">
        <v>82</v>
      </c>
      <c r="B1779">
        <v>2024</v>
      </c>
      <c r="C1779" s="2">
        <v>45639</v>
      </c>
      <c r="E1779" t="s">
        <v>54</v>
      </c>
      <c r="F1779" t="s">
        <v>40</v>
      </c>
      <c r="G1779" t="s">
        <v>511</v>
      </c>
      <c r="H1779" t="s">
        <v>492</v>
      </c>
      <c r="I1779" t="s">
        <v>492</v>
      </c>
      <c r="J1779" t="s">
        <v>591</v>
      </c>
      <c r="K1779" t="s">
        <v>591</v>
      </c>
      <c r="L1779" t="str">
        <f t="shared" si="81"/>
        <v>OK</v>
      </c>
      <c r="M1779" t="str">
        <f t="shared" si="82"/>
        <v>OK</v>
      </c>
      <c r="N1779" t="str">
        <f t="shared" si="83"/>
        <v>ERRO</v>
      </c>
    </row>
    <row r="1780" spans="1:14" x14ac:dyDescent="0.3">
      <c r="A1780">
        <v>82</v>
      </c>
      <c r="B1780">
        <v>2024</v>
      </c>
      <c r="C1780" s="2">
        <v>45639</v>
      </c>
      <c r="E1780" t="s">
        <v>56</v>
      </c>
      <c r="F1780" t="s">
        <v>43</v>
      </c>
      <c r="H1780" t="s">
        <v>492</v>
      </c>
      <c r="I1780" t="s">
        <v>476</v>
      </c>
      <c r="J1780" t="s">
        <v>491</v>
      </c>
      <c r="K1780" t="s">
        <v>491</v>
      </c>
      <c r="L1780" t="str">
        <f t="shared" si="81"/>
        <v>ERRO</v>
      </c>
      <c r="M1780" t="str">
        <f t="shared" si="82"/>
        <v>ERRO</v>
      </c>
      <c r="N1780" t="str">
        <f t="shared" si="83"/>
        <v>ERRO</v>
      </c>
    </row>
    <row r="1781" spans="1:14" x14ac:dyDescent="0.3">
      <c r="A1781">
        <v>82</v>
      </c>
      <c r="B1781">
        <v>2024</v>
      </c>
      <c r="C1781" s="2">
        <v>45639</v>
      </c>
      <c r="E1781" t="s">
        <v>57</v>
      </c>
      <c r="F1781" t="s">
        <v>40</v>
      </c>
      <c r="H1781" t="s">
        <v>464</v>
      </c>
      <c r="I1781" t="s">
        <v>503</v>
      </c>
      <c r="J1781" t="s">
        <v>499</v>
      </c>
      <c r="K1781" t="s">
        <v>499</v>
      </c>
      <c r="L1781" t="str">
        <f t="shared" si="81"/>
        <v>ERRO</v>
      </c>
      <c r="M1781" t="str">
        <f t="shared" si="82"/>
        <v>ERRO</v>
      </c>
      <c r="N1781" t="str">
        <f t="shared" si="83"/>
        <v>ERRO</v>
      </c>
    </row>
    <row r="1782" spans="1:14" x14ac:dyDescent="0.3">
      <c r="A1782">
        <v>82</v>
      </c>
      <c r="B1782">
        <v>2024</v>
      </c>
      <c r="C1782" s="2">
        <v>45639</v>
      </c>
      <c r="E1782" t="s">
        <v>58</v>
      </c>
      <c r="F1782" t="s">
        <v>40</v>
      </c>
      <c r="G1782" t="s">
        <v>492</v>
      </c>
      <c r="H1782" t="s">
        <v>476</v>
      </c>
      <c r="I1782" t="s">
        <v>496</v>
      </c>
      <c r="J1782" t="s">
        <v>581</v>
      </c>
      <c r="K1782" t="s">
        <v>476</v>
      </c>
      <c r="L1782" t="str">
        <f t="shared" si="81"/>
        <v>ERRO</v>
      </c>
      <c r="M1782" t="str">
        <f t="shared" si="82"/>
        <v>ERRO</v>
      </c>
      <c r="N1782" t="str">
        <f t="shared" si="83"/>
        <v>ERRO</v>
      </c>
    </row>
    <row r="1783" spans="1:14" x14ac:dyDescent="0.3">
      <c r="A1783">
        <v>82</v>
      </c>
      <c r="B1783">
        <v>2024</v>
      </c>
      <c r="C1783" s="2">
        <v>45639</v>
      </c>
      <c r="E1783" t="s">
        <v>59</v>
      </c>
      <c r="F1783" t="s">
        <v>45</v>
      </c>
      <c r="G1783" t="s">
        <v>499</v>
      </c>
      <c r="H1783" t="s">
        <v>499</v>
      </c>
      <c r="I1783" t="s">
        <v>503</v>
      </c>
      <c r="J1783" t="s">
        <v>592</v>
      </c>
      <c r="K1783" t="s">
        <v>496</v>
      </c>
      <c r="L1783" t="str">
        <f t="shared" si="81"/>
        <v>ERRO</v>
      </c>
      <c r="M1783" t="str">
        <f t="shared" si="82"/>
        <v>ERRO</v>
      </c>
      <c r="N1783" t="str">
        <f t="shared" si="83"/>
        <v>ERRO</v>
      </c>
    </row>
    <row r="1784" spans="1:14" x14ac:dyDescent="0.3">
      <c r="A1784">
        <v>82</v>
      </c>
      <c r="B1784">
        <v>2024</v>
      </c>
      <c r="C1784" s="2">
        <v>45639</v>
      </c>
      <c r="E1784" t="s">
        <v>60</v>
      </c>
      <c r="F1784" t="s">
        <v>61</v>
      </c>
      <c r="G1784" t="s">
        <v>521</v>
      </c>
      <c r="H1784" t="s">
        <v>591</v>
      </c>
      <c r="I1784" t="s">
        <v>521</v>
      </c>
      <c r="J1784" t="s">
        <v>518</v>
      </c>
      <c r="K1784" t="s">
        <v>521</v>
      </c>
      <c r="L1784" t="str">
        <f t="shared" si="81"/>
        <v>ERRO</v>
      </c>
      <c r="M1784" t="str">
        <f t="shared" si="82"/>
        <v>OK</v>
      </c>
      <c r="N1784" t="str">
        <f t="shared" si="83"/>
        <v>ERRO</v>
      </c>
    </row>
    <row r="1785" spans="1:14" x14ac:dyDescent="0.3">
      <c r="A1785">
        <v>82</v>
      </c>
      <c r="B1785">
        <v>2024</v>
      </c>
      <c r="C1785" s="2">
        <v>45639</v>
      </c>
      <c r="E1785" t="s">
        <v>63</v>
      </c>
      <c r="F1785" t="s">
        <v>40</v>
      </c>
      <c r="G1785" t="s">
        <v>499</v>
      </c>
      <c r="H1785" t="s">
        <v>499</v>
      </c>
      <c r="I1785" t="s">
        <v>476</v>
      </c>
      <c r="J1785" t="s">
        <v>565</v>
      </c>
      <c r="K1785" t="s">
        <v>502</v>
      </c>
      <c r="L1785" t="str">
        <f t="shared" si="81"/>
        <v>OK</v>
      </c>
      <c r="M1785" t="str">
        <f t="shared" si="82"/>
        <v>OK</v>
      </c>
      <c r="N1785" t="str">
        <f t="shared" si="83"/>
        <v>OK</v>
      </c>
    </row>
    <row r="1786" spans="1:14" x14ac:dyDescent="0.3">
      <c r="A1786">
        <v>82</v>
      </c>
      <c r="B1786">
        <v>2024</v>
      </c>
      <c r="C1786" s="2">
        <v>45639</v>
      </c>
      <c r="E1786" t="s">
        <v>64</v>
      </c>
      <c r="F1786" t="s">
        <v>40</v>
      </c>
      <c r="G1786" t="s">
        <v>476</v>
      </c>
      <c r="H1786" t="s">
        <v>476</v>
      </c>
      <c r="I1786" t="s">
        <v>464</v>
      </c>
      <c r="J1786" t="s">
        <v>522</v>
      </c>
      <c r="K1786" t="s">
        <v>476</v>
      </c>
      <c r="L1786" t="str">
        <f t="shared" si="81"/>
        <v>ERRO</v>
      </c>
      <c r="M1786" t="str">
        <f t="shared" si="82"/>
        <v>ERRO</v>
      </c>
      <c r="N1786" t="str">
        <f t="shared" si="83"/>
        <v>ERRO</v>
      </c>
    </row>
    <row r="1787" spans="1:14" x14ac:dyDescent="0.3">
      <c r="A1787">
        <v>82</v>
      </c>
      <c r="B1787">
        <v>2024</v>
      </c>
      <c r="C1787" s="2">
        <v>45639</v>
      </c>
      <c r="E1787" t="s">
        <v>66</v>
      </c>
      <c r="F1787" t="s">
        <v>45</v>
      </c>
      <c r="L1787" t="str">
        <f t="shared" si="81"/>
        <v>OK</v>
      </c>
      <c r="M1787" t="str">
        <f t="shared" si="82"/>
        <v>OK</v>
      </c>
      <c r="N1787" t="str">
        <f t="shared" si="83"/>
        <v>OK</v>
      </c>
    </row>
    <row r="1788" spans="1:14" x14ac:dyDescent="0.3">
      <c r="A1788">
        <v>82</v>
      </c>
      <c r="B1788">
        <v>2024</v>
      </c>
      <c r="C1788" s="2">
        <v>45639</v>
      </c>
      <c r="E1788" t="s">
        <v>67</v>
      </c>
      <c r="F1788" t="s">
        <v>45</v>
      </c>
      <c r="L1788" t="str">
        <f t="shared" si="81"/>
        <v>OK</v>
      </c>
      <c r="M1788" t="str">
        <f t="shared" si="82"/>
        <v>OK</v>
      </c>
      <c r="N1788" t="str">
        <f t="shared" si="83"/>
        <v>OK</v>
      </c>
    </row>
    <row r="1789" spans="1:14" x14ac:dyDescent="0.3">
      <c r="A1789">
        <v>82</v>
      </c>
      <c r="B1789">
        <v>2024</v>
      </c>
      <c r="C1789" s="2">
        <v>45639</v>
      </c>
      <c r="E1789" t="s">
        <v>68</v>
      </c>
      <c r="F1789" t="s">
        <v>45</v>
      </c>
      <c r="L1789" t="str">
        <f t="shared" si="81"/>
        <v>OK</v>
      </c>
      <c r="M1789" t="str">
        <f t="shared" si="82"/>
        <v>OK</v>
      </c>
      <c r="N1789" t="str">
        <f t="shared" si="83"/>
        <v>OK</v>
      </c>
    </row>
    <row r="1790" spans="1:14" x14ac:dyDescent="0.3">
      <c r="A1790">
        <v>82</v>
      </c>
      <c r="B1790">
        <v>2024</v>
      </c>
      <c r="C1790" s="2">
        <v>45639</v>
      </c>
      <c r="E1790" t="s">
        <v>69</v>
      </c>
      <c r="F1790" t="s">
        <v>45</v>
      </c>
      <c r="H1790" t="s">
        <v>464</v>
      </c>
      <c r="I1790" t="s">
        <v>464</v>
      </c>
      <c r="J1790" t="s">
        <v>464</v>
      </c>
      <c r="K1790" t="s">
        <v>464</v>
      </c>
      <c r="L1790" t="str">
        <f t="shared" si="81"/>
        <v>OK</v>
      </c>
      <c r="M1790" t="str">
        <f t="shared" si="82"/>
        <v>OK</v>
      </c>
      <c r="N1790" t="str">
        <f t="shared" si="83"/>
        <v>OK</v>
      </c>
    </row>
    <row r="1791" spans="1:14" x14ac:dyDescent="0.3">
      <c r="A1791">
        <v>82</v>
      </c>
      <c r="B1791">
        <v>2024</v>
      </c>
      <c r="C1791" s="2">
        <v>45639</v>
      </c>
      <c r="E1791" t="s">
        <v>70</v>
      </c>
      <c r="F1791" s="12" t="s">
        <v>71</v>
      </c>
      <c r="L1791" t="str">
        <f t="shared" si="81"/>
        <v>OK</v>
      </c>
      <c r="M1791" t="str">
        <f t="shared" si="82"/>
        <v>OK</v>
      </c>
      <c r="N1791" t="str">
        <f t="shared" si="83"/>
        <v>OK</v>
      </c>
    </row>
    <row r="1792" spans="1:14" x14ac:dyDescent="0.3">
      <c r="A1792">
        <v>83</v>
      </c>
      <c r="B1792">
        <v>2024</v>
      </c>
      <c r="C1792" s="2">
        <v>45646</v>
      </c>
      <c r="E1792" t="s">
        <v>12</v>
      </c>
      <c r="F1792" t="s">
        <v>13</v>
      </c>
      <c r="G1792" t="s">
        <v>464</v>
      </c>
      <c r="H1792" t="s">
        <v>466</v>
      </c>
      <c r="I1792" t="s">
        <v>466</v>
      </c>
      <c r="J1792" t="s">
        <v>535</v>
      </c>
      <c r="K1792" t="s">
        <v>466</v>
      </c>
      <c r="L1792" t="str">
        <f t="shared" si="81"/>
        <v>OK</v>
      </c>
      <c r="M1792" t="str">
        <f t="shared" si="82"/>
        <v>ERRO</v>
      </c>
      <c r="N1792" t="str">
        <f t="shared" si="83"/>
        <v>OK</v>
      </c>
    </row>
    <row r="1793" spans="1:14" x14ac:dyDescent="0.3">
      <c r="A1793">
        <v>83</v>
      </c>
      <c r="B1793">
        <v>2024</v>
      </c>
      <c r="C1793" s="2">
        <v>45646</v>
      </c>
      <c r="E1793" t="s">
        <v>14</v>
      </c>
      <c r="F1793" t="s">
        <v>13</v>
      </c>
      <c r="G1793" t="s">
        <v>466</v>
      </c>
      <c r="H1793" t="s">
        <v>467</v>
      </c>
      <c r="I1793" t="s">
        <v>467</v>
      </c>
      <c r="J1793" t="s">
        <v>492</v>
      </c>
      <c r="K1793" t="s">
        <v>467</v>
      </c>
      <c r="L1793" t="str">
        <f t="shared" si="81"/>
        <v>OK</v>
      </c>
      <c r="M1793" t="str">
        <f t="shared" si="82"/>
        <v>ERRO</v>
      </c>
      <c r="N1793" t="str">
        <f t="shared" si="83"/>
        <v>OK</v>
      </c>
    </row>
    <row r="1794" spans="1:14" x14ac:dyDescent="0.3">
      <c r="A1794">
        <v>83</v>
      </c>
      <c r="B1794">
        <v>2024</v>
      </c>
      <c r="C1794" s="2">
        <v>45646</v>
      </c>
      <c r="E1794" t="s">
        <v>15</v>
      </c>
      <c r="F1794" t="s">
        <v>13</v>
      </c>
      <c r="G1794" t="s">
        <v>536</v>
      </c>
      <c r="H1794" t="s">
        <v>496</v>
      </c>
      <c r="I1794" t="s">
        <v>464</v>
      </c>
      <c r="J1794" t="s">
        <v>593</v>
      </c>
      <c r="K1794" t="s">
        <v>496</v>
      </c>
      <c r="L1794" t="str">
        <f t="shared" si="81"/>
        <v>OK</v>
      </c>
      <c r="M1794" t="str">
        <f t="shared" si="82"/>
        <v>OK</v>
      </c>
      <c r="N1794" t="str">
        <f t="shared" si="83"/>
        <v>OK</v>
      </c>
    </row>
    <row r="1795" spans="1:14" x14ac:dyDescent="0.3">
      <c r="A1795">
        <v>83</v>
      </c>
      <c r="B1795">
        <v>2024</v>
      </c>
      <c r="C1795" s="2">
        <v>45646</v>
      </c>
      <c r="E1795" t="s">
        <v>16</v>
      </c>
      <c r="F1795" t="s">
        <v>13</v>
      </c>
      <c r="G1795" t="s">
        <v>472</v>
      </c>
      <c r="H1795" t="s">
        <v>468</v>
      </c>
      <c r="I1795" t="s">
        <v>468</v>
      </c>
      <c r="J1795" t="s">
        <v>537</v>
      </c>
      <c r="K1795" t="s">
        <v>490</v>
      </c>
      <c r="L1795" t="str">
        <f t="shared" ref="L1795:L1858" si="84">IF(H1795&gt;I1795,"ERRO","OK")</f>
        <v>OK</v>
      </c>
      <c r="M1795" t="str">
        <f t="shared" ref="M1795:M1858" si="85">IF(H1795&gt;J1795,"ERRO","OK")</f>
        <v>ERRO</v>
      </c>
      <c r="N1795" t="str">
        <f t="shared" ref="N1795:N1858" si="86">IF(I1795&lt;J1795,"ERRO","OK")</f>
        <v>OK</v>
      </c>
    </row>
    <row r="1796" spans="1:14" x14ac:dyDescent="0.3">
      <c r="A1796">
        <v>83</v>
      </c>
      <c r="B1796">
        <v>2024</v>
      </c>
      <c r="C1796" s="2">
        <v>45646</v>
      </c>
      <c r="E1796" t="s">
        <v>17</v>
      </c>
      <c r="F1796" t="s">
        <v>13</v>
      </c>
      <c r="G1796" t="s">
        <v>525</v>
      </c>
      <c r="H1796" t="s">
        <v>468</v>
      </c>
      <c r="I1796" t="s">
        <v>468</v>
      </c>
      <c r="J1796" t="s">
        <v>594</v>
      </c>
      <c r="K1796" t="s">
        <v>468</v>
      </c>
      <c r="L1796" t="str">
        <f t="shared" si="84"/>
        <v>OK</v>
      </c>
      <c r="M1796" t="str">
        <f t="shared" si="85"/>
        <v>ERRO</v>
      </c>
      <c r="N1796" t="str">
        <f t="shared" si="86"/>
        <v>OK</v>
      </c>
    </row>
    <row r="1797" spans="1:14" x14ac:dyDescent="0.3">
      <c r="A1797">
        <v>83</v>
      </c>
      <c r="B1797">
        <v>2024</v>
      </c>
      <c r="C1797" s="2">
        <v>45646</v>
      </c>
      <c r="E1797" t="s">
        <v>18</v>
      </c>
      <c r="F1797" t="s">
        <v>13</v>
      </c>
      <c r="G1797" t="s">
        <v>464</v>
      </c>
      <c r="H1797" t="s">
        <v>464</v>
      </c>
      <c r="I1797" t="s">
        <v>522</v>
      </c>
      <c r="J1797" t="s">
        <v>581</v>
      </c>
      <c r="K1797" t="s">
        <v>464</v>
      </c>
      <c r="L1797" t="str">
        <f t="shared" si="84"/>
        <v>OK</v>
      </c>
      <c r="M1797" t="str">
        <f t="shared" si="85"/>
        <v>OK</v>
      </c>
      <c r="N1797" t="str">
        <f t="shared" si="86"/>
        <v>OK</v>
      </c>
    </row>
    <row r="1798" spans="1:14" x14ac:dyDescent="0.3">
      <c r="A1798">
        <v>83</v>
      </c>
      <c r="B1798">
        <v>2024</v>
      </c>
      <c r="C1798" s="2">
        <v>45646</v>
      </c>
      <c r="E1798" t="s">
        <v>19</v>
      </c>
      <c r="F1798" t="s">
        <v>13</v>
      </c>
      <c r="G1798" t="s">
        <v>476</v>
      </c>
      <c r="H1798" t="s">
        <v>466</v>
      </c>
      <c r="I1798" t="s">
        <v>466</v>
      </c>
      <c r="J1798" t="s">
        <v>595</v>
      </c>
      <c r="K1798" t="s">
        <v>466</v>
      </c>
      <c r="L1798" t="str">
        <f t="shared" si="84"/>
        <v>OK</v>
      </c>
      <c r="M1798" t="str">
        <f t="shared" si="85"/>
        <v>ERRO</v>
      </c>
      <c r="N1798" t="str">
        <f t="shared" si="86"/>
        <v>OK</v>
      </c>
    </row>
    <row r="1799" spans="1:14" x14ac:dyDescent="0.3">
      <c r="A1799">
        <v>83</v>
      </c>
      <c r="B1799">
        <v>2024</v>
      </c>
      <c r="C1799" s="2">
        <v>45646</v>
      </c>
      <c r="E1799" t="s">
        <v>20</v>
      </c>
      <c r="F1799" t="s">
        <v>13</v>
      </c>
      <c r="G1799" t="s">
        <v>464</v>
      </c>
      <c r="H1799" t="s">
        <v>466</v>
      </c>
      <c r="I1799" t="s">
        <v>466</v>
      </c>
      <c r="J1799" t="s">
        <v>524</v>
      </c>
      <c r="K1799" t="s">
        <v>466</v>
      </c>
      <c r="L1799" t="str">
        <f t="shared" si="84"/>
        <v>OK</v>
      </c>
      <c r="M1799" t="str">
        <f t="shared" si="85"/>
        <v>ERRO</v>
      </c>
      <c r="N1799" t="str">
        <f t="shared" si="86"/>
        <v>OK</v>
      </c>
    </row>
    <row r="1800" spans="1:14" x14ac:dyDescent="0.3">
      <c r="A1800">
        <v>83</v>
      </c>
      <c r="B1800">
        <v>2024</v>
      </c>
      <c r="C1800" s="2">
        <v>45646</v>
      </c>
      <c r="E1800" t="s">
        <v>21</v>
      </c>
      <c r="F1800" t="s">
        <v>13</v>
      </c>
      <c r="G1800" t="s">
        <v>473</v>
      </c>
      <c r="H1800" t="s">
        <v>488</v>
      </c>
      <c r="I1800" t="s">
        <v>472</v>
      </c>
      <c r="J1800" t="s">
        <v>596</v>
      </c>
      <c r="K1800" t="s">
        <v>488</v>
      </c>
      <c r="L1800" t="str">
        <f t="shared" si="84"/>
        <v>OK</v>
      </c>
      <c r="M1800" t="str">
        <f t="shared" si="85"/>
        <v>OK</v>
      </c>
      <c r="N1800" t="str">
        <f t="shared" si="86"/>
        <v>OK</v>
      </c>
    </row>
    <row r="1801" spans="1:14" x14ac:dyDescent="0.3">
      <c r="A1801">
        <v>83</v>
      </c>
      <c r="B1801">
        <v>2024</v>
      </c>
      <c r="C1801" s="2">
        <v>45646</v>
      </c>
      <c r="E1801" t="s">
        <v>73</v>
      </c>
      <c r="F1801" t="s">
        <v>13</v>
      </c>
      <c r="G1801" t="s">
        <v>464</v>
      </c>
      <c r="H1801" t="s">
        <v>467</v>
      </c>
      <c r="I1801" t="s">
        <v>467</v>
      </c>
      <c r="J1801" t="s">
        <v>597</v>
      </c>
      <c r="K1801" t="s">
        <v>467</v>
      </c>
      <c r="L1801" t="str">
        <f t="shared" si="84"/>
        <v>OK</v>
      </c>
      <c r="M1801" t="str">
        <f t="shared" si="85"/>
        <v>ERRO</v>
      </c>
      <c r="N1801" t="str">
        <f t="shared" si="86"/>
        <v>OK</v>
      </c>
    </row>
    <row r="1802" spans="1:14" x14ac:dyDescent="0.3">
      <c r="A1802">
        <v>83</v>
      </c>
      <c r="B1802">
        <v>2024</v>
      </c>
      <c r="C1802" s="2">
        <v>45646</v>
      </c>
      <c r="E1802" t="s">
        <v>23</v>
      </c>
      <c r="F1802" t="s">
        <v>13</v>
      </c>
      <c r="G1802" t="s">
        <v>472</v>
      </c>
      <c r="H1802" t="s">
        <v>468</v>
      </c>
      <c r="I1802" t="s">
        <v>468</v>
      </c>
      <c r="J1802" t="s">
        <v>537</v>
      </c>
      <c r="K1802" t="s">
        <v>490</v>
      </c>
      <c r="L1802" t="str">
        <f t="shared" si="84"/>
        <v>OK</v>
      </c>
      <c r="M1802" t="str">
        <f t="shared" si="85"/>
        <v>ERRO</v>
      </c>
      <c r="N1802" t="str">
        <f t="shared" si="86"/>
        <v>OK</v>
      </c>
    </row>
    <row r="1803" spans="1:14" x14ac:dyDescent="0.3">
      <c r="A1803">
        <v>83</v>
      </c>
      <c r="B1803">
        <v>2024</v>
      </c>
      <c r="C1803" s="2">
        <v>45646</v>
      </c>
      <c r="E1803" t="s">
        <v>24</v>
      </c>
      <c r="F1803" t="s">
        <v>13</v>
      </c>
      <c r="G1803" t="s">
        <v>464</v>
      </c>
      <c r="H1803" t="s">
        <v>464</v>
      </c>
      <c r="I1803" t="s">
        <v>464</v>
      </c>
      <c r="J1803" t="s">
        <v>464</v>
      </c>
      <c r="K1803" t="s">
        <v>464</v>
      </c>
      <c r="L1803" t="str">
        <f t="shared" si="84"/>
        <v>OK</v>
      </c>
      <c r="M1803" t="str">
        <f t="shared" si="85"/>
        <v>OK</v>
      </c>
      <c r="N1803" t="str">
        <f t="shared" si="86"/>
        <v>OK</v>
      </c>
    </row>
    <row r="1804" spans="1:14" x14ac:dyDescent="0.3">
      <c r="A1804">
        <v>83</v>
      </c>
      <c r="B1804">
        <v>2024</v>
      </c>
      <c r="C1804" s="2">
        <v>45646</v>
      </c>
      <c r="E1804" t="s">
        <v>25</v>
      </c>
      <c r="F1804" t="s">
        <v>26</v>
      </c>
      <c r="G1804" t="s">
        <v>464</v>
      </c>
      <c r="H1804" t="s">
        <v>464</v>
      </c>
      <c r="I1804" t="s">
        <v>464</v>
      </c>
      <c r="J1804" t="s">
        <v>464</v>
      </c>
      <c r="K1804" t="s">
        <v>464</v>
      </c>
      <c r="L1804" t="str">
        <f t="shared" si="84"/>
        <v>OK</v>
      </c>
      <c r="M1804" t="str">
        <f t="shared" si="85"/>
        <v>OK</v>
      </c>
      <c r="N1804" t="str">
        <f t="shared" si="86"/>
        <v>OK</v>
      </c>
    </row>
    <row r="1805" spans="1:14" x14ac:dyDescent="0.3">
      <c r="A1805">
        <v>83</v>
      </c>
      <c r="B1805">
        <v>2024</v>
      </c>
      <c r="C1805" s="2">
        <v>45646</v>
      </c>
      <c r="E1805" t="s">
        <v>27</v>
      </c>
      <c r="F1805" t="s">
        <v>13</v>
      </c>
      <c r="G1805" t="s">
        <v>499</v>
      </c>
      <c r="H1805" t="s">
        <v>598</v>
      </c>
      <c r="I1805" t="s">
        <v>466</v>
      </c>
      <c r="J1805" t="s">
        <v>465</v>
      </c>
      <c r="K1805" t="s">
        <v>464</v>
      </c>
      <c r="L1805" t="str">
        <f t="shared" si="84"/>
        <v>OK</v>
      </c>
      <c r="M1805" t="str">
        <f t="shared" si="85"/>
        <v>ERRO</v>
      </c>
      <c r="N1805" t="str">
        <f t="shared" si="86"/>
        <v>OK</v>
      </c>
    </row>
    <row r="1806" spans="1:14" x14ac:dyDescent="0.3">
      <c r="A1806">
        <v>83</v>
      </c>
      <c r="B1806">
        <v>2024</v>
      </c>
      <c r="C1806" s="2">
        <v>45646</v>
      </c>
      <c r="E1806" t="s">
        <v>28</v>
      </c>
      <c r="F1806" t="s">
        <v>13</v>
      </c>
      <c r="G1806" t="s">
        <v>536</v>
      </c>
      <c r="H1806" t="s">
        <v>561</v>
      </c>
      <c r="I1806" t="s">
        <v>463</v>
      </c>
      <c r="J1806" t="s">
        <v>536</v>
      </c>
      <c r="K1806" t="s">
        <v>536</v>
      </c>
      <c r="L1806" t="str">
        <f t="shared" si="84"/>
        <v>OK</v>
      </c>
      <c r="M1806" t="str">
        <f t="shared" si="85"/>
        <v>ERRO</v>
      </c>
      <c r="N1806" t="str">
        <f t="shared" si="86"/>
        <v>OK</v>
      </c>
    </row>
    <row r="1807" spans="1:14" x14ac:dyDescent="0.3">
      <c r="A1807">
        <v>83</v>
      </c>
      <c r="B1807">
        <v>2024</v>
      </c>
      <c r="C1807" s="2">
        <v>45646</v>
      </c>
      <c r="E1807" t="s">
        <v>29</v>
      </c>
      <c r="F1807" t="s">
        <v>13</v>
      </c>
      <c r="G1807" t="s">
        <v>469</v>
      </c>
      <c r="H1807" t="s">
        <v>463</v>
      </c>
      <c r="I1807" t="s">
        <v>463</v>
      </c>
      <c r="J1807" t="s">
        <v>592</v>
      </c>
      <c r="K1807" t="s">
        <v>463</v>
      </c>
      <c r="L1807" t="str">
        <f t="shared" si="84"/>
        <v>OK</v>
      </c>
      <c r="M1807" t="str">
        <f t="shared" si="85"/>
        <v>ERRO</v>
      </c>
      <c r="N1807" t="str">
        <f t="shared" si="86"/>
        <v>OK</v>
      </c>
    </row>
    <row r="1808" spans="1:14" x14ac:dyDescent="0.3">
      <c r="A1808">
        <v>83</v>
      </c>
      <c r="B1808">
        <v>2024</v>
      </c>
      <c r="C1808" s="2">
        <v>45646</v>
      </c>
      <c r="E1808" t="s">
        <v>31</v>
      </c>
      <c r="F1808" t="s">
        <v>32</v>
      </c>
      <c r="G1808" t="s">
        <v>484</v>
      </c>
      <c r="H1808" t="s">
        <v>484</v>
      </c>
      <c r="I1808" t="s">
        <v>484</v>
      </c>
      <c r="J1808" t="s">
        <v>484</v>
      </c>
      <c r="K1808" t="s">
        <v>484</v>
      </c>
      <c r="L1808" t="str">
        <f t="shared" si="84"/>
        <v>OK</v>
      </c>
      <c r="M1808" t="str">
        <f t="shared" si="85"/>
        <v>OK</v>
      </c>
      <c r="N1808" t="str">
        <f t="shared" si="86"/>
        <v>OK</v>
      </c>
    </row>
    <row r="1809" spans="1:14" x14ac:dyDescent="0.3">
      <c r="A1809">
        <v>83</v>
      </c>
      <c r="B1809">
        <v>2024</v>
      </c>
      <c r="C1809" s="2">
        <v>45646</v>
      </c>
      <c r="E1809" t="s">
        <v>34</v>
      </c>
      <c r="F1809" t="s">
        <v>35</v>
      </c>
      <c r="G1809" t="s">
        <v>485</v>
      </c>
      <c r="H1809" t="s">
        <v>485</v>
      </c>
      <c r="I1809" t="s">
        <v>473</v>
      </c>
      <c r="J1809" t="s">
        <v>599</v>
      </c>
      <c r="K1809" t="s">
        <v>485</v>
      </c>
      <c r="L1809" t="str">
        <f t="shared" si="84"/>
        <v>OK</v>
      </c>
      <c r="M1809" t="str">
        <f t="shared" si="85"/>
        <v>OK</v>
      </c>
      <c r="N1809" t="str">
        <f t="shared" si="86"/>
        <v>OK</v>
      </c>
    </row>
    <row r="1810" spans="1:14" x14ac:dyDescent="0.3">
      <c r="A1810">
        <v>83</v>
      </c>
      <c r="B1810">
        <v>2024</v>
      </c>
      <c r="C1810" s="2">
        <v>45646</v>
      </c>
      <c r="E1810" t="s">
        <v>36</v>
      </c>
      <c r="F1810" t="s">
        <v>35</v>
      </c>
      <c r="G1810" t="s">
        <v>488</v>
      </c>
      <c r="H1810" t="s">
        <v>525</v>
      </c>
      <c r="I1810" t="s">
        <v>468</v>
      </c>
      <c r="J1810" t="s">
        <v>525</v>
      </c>
      <c r="K1810" t="s">
        <v>525</v>
      </c>
      <c r="L1810" t="str">
        <f t="shared" si="84"/>
        <v>OK</v>
      </c>
      <c r="M1810" t="str">
        <f t="shared" si="85"/>
        <v>OK</v>
      </c>
      <c r="N1810" t="str">
        <f t="shared" si="86"/>
        <v>OK</v>
      </c>
    </row>
    <row r="1811" spans="1:14" x14ac:dyDescent="0.3">
      <c r="A1811">
        <v>83</v>
      </c>
      <c r="B1811">
        <v>2024</v>
      </c>
      <c r="C1811" s="2">
        <v>45646</v>
      </c>
      <c r="E1811" t="s">
        <v>153</v>
      </c>
      <c r="F1811" t="s">
        <v>154</v>
      </c>
      <c r="G1811" t="s">
        <v>500</v>
      </c>
      <c r="H1811" t="s">
        <v>491</v>
      </c>
      <c r="I1811" t="s">
        <v>492</v>
      </c>
      <c r="J1811" t="s">
        <v>512</v>
      </c>
      <c r="K1811" t="s">
        <v>491</v>
      </c>
      <c r="L1811" t="str">
        <f t="shared" si="84"/>
        <v>OK</v>
      </c>
      <c r="M1811" t="str">
        <f t="shared" si="85"/>
        <v>ERRO</v>
      </c>
      <c r="N1811" t="str">
        <f t="shared" si="86"/>
        <v>OK</v>
      </c>
    </row>
    <row r="1812" spans="1:14" x14ac:dyDescent="0.3">
      <c r="A1812">
        <v>83</v>
      </c>
      <c r="B1812">
        <v>2024</v>
      </c>
      <c r="C1812" s="2">
        <v>45646</v>
      </c>
      <c r="E1812" t="s">
        <v>39</v>
      </c>
      <c r="F1812" t="s">
        <v>40</v>
      </c>
      <c r="G1812" t="s">
        <v>494</v>
      </c>
      <c r="H1812" t="s">
        <v>499</v>
      </c>
      <c r="I1812" t="s">
        <v>464</v>
      </c>
      <c r="J1812" t="s">
        <v>499</v>
      </c>
      <c r="K1812" t="s">
        <v>499</v>
      </c>
      <c r="L1812" t="str">
        <f t="shared" si="84"/>
        <v>OK</v>
      </c>
      <c r="M1812" t="str">
        <f t="shared" si="85"/>
        <v>OK</v>
      </c>
      <c r="N1812" t="str">
        <f t="shared" si="86"/>
        <v>OK</v>
      </c>
    </row>
    <row r="1813" spans="1:14" x14ac:dyDescent="0.3">
      <c r="A1813">
        <v>83</v>
      </c>
      <c r="B1813">
        <v>2024</v>
      </c>
      <c r="C1813" s="2">
        <v>45646</v>
      </c>
      <c r="E1813" t="s">
        <v>42</v>
      </c>
      <c r="F1813" t="s">
        <v>43</v>
      </c>
      <c r="G1813" t="s">
        <v>496</v>
      </c>
      <c r="H1813" t="s">
        <v>476</v>
      </c>
      <c r="I1813" t="s">
        <v>476</v>
      </c>
      <c r="J1813" t="s">
        <v>600</v>
      </c>
      <c r="K1813" t="s">
        <v>540</v>
      </c>
      <c r="L1813" t="str">
        <f t="shared" si="84"/>
        <v>OK</v>
      </c>
      <c r="M1813" t="str">
        <f t="shared" si="85"/>
        <v>ERRO</v>
      </c>
      <c r="N1813" t="str">
        <f t="shared" si="86"/>
        <v>OK</v>
      </c>
    </row>
    <row r="1814" spans="1:14" x14ac:dyDescent="0.3">
      <c r="A1814">
        <v>83</v>
      </c>
      <c r="B1814">
        <v>2024</v>
      </c>
      <c r="C1814" s="2">
        <v>45646</v>
      </c>
      <c r="E1814" t="s">
        <v>44</v>
      </c>
      <c r="F1814" t="s">
        <v>45</v>
      </c>
      <c r="G1814" t="s">
        <v>496</v>
      </c>
      <c r="H1814" t="s">
        <v>499</v>
      </c>
      <c r="I1814" t="s">
        <v>499</v>
      </c>
      <c r="J1814" t="s">
        <v>601</v>
      </c>
      <c r="K1814" t="s">
        <v>499</v>
      </c>
      <c r="L1814" t="str">
        <f t="shared" si="84"/>
        <v>OK</v>
      </c>
      <c r="M1814" t="str">
        <f t="shared" si="85"/>
        <v>ERRO</v>
      </c>
      <c r="N1814" t="str">
        <f t="shared" si="86"/>
        <v>OK</v>
      </c>
    </row>
    <row r="1815" spans="1:14" x14ac:dyDescent="0.3">
      <c r="A1815">
        <v>83</v>
      </c>
      <c r="B1815">
        <v>2024</v>
      </c>
      <c r="C1815" s="2">
        <v>45646</v>
      </c>
      <c r="E1815" t="s">
        <v>48</v>
      </c>
      <c r="F1815" t="s">
        <v>45</v>
      </c>
      <c r="G1815" t="s">
        <v>464</v>
      </c>
      <c r="H1815" t="s">
        <v>476</v>
      </c>
      <c r="I1815" t="s">
        <v>492</v>
      </c>
      <c r="J1815" t="s">
        <v>476</v>
      </c>
      <c r="K1815" t="s">
        <v>476</v>
      </c>
      <c r="L1815" t="str">
        <f t="shared" si="84"/>
        <v>OK</v>
      </c>
      <c r="M1815" t="str">
        <f t="shared" si="85"/>
        <v>OK</v>
      </c>
      <c r="N1815" t="str">
        <f t="shared" si="86"/>
        <v>OK</v>
      </c>
    </row>
    <row r="1816" spans="1:14" x14ac:dyDescent="0.3">
      <c r="A1816">
        <v>83</v>
      </c>
      <c r="B1816">
        <v>2024</v>
      </c>
      <c r="C1816" s="2">
        <v>45646</v>
      </c>
      <c r="E1816" t="s">
        <v>49</v>
      </c>
      <c r="F1816" t="s">
        <v>50</v>
      </c>
      <c r="G1816" t="s">
        <v>494</v>
      </c>
      <c r="H1816" t="s">
        <v>499</v>
      </c>
      <c r="I1816" t="s">
        <v>464</v>
      </c>
      <c r="J1816" t="s">
        <v>602</v>
      </c>
      <c r="K1816" t="s">
        <v>506</v>
      </c>
      <c r="L1816" t="str">
        <f t="shared" si="84"/>
        <v>OK</v>
      </c>
      <c r="M1816" t="str">
        <f t="shared" si="85"/>
        <v>OK</v>
      </c>
      <c r="N1816" t="str">
        <f t="shared" si="86"/>
        <v>OK</v>
      </c>
    </row>
    <row r="1817" spans="1:14" x14ac:dyDescent="0.3">
      <c r="A1817">
        <v>83</v>
      </c>
      <c r="B1817">
        <v>2024</v>
      </c>
      <c r="C1817" s="2">
        <v>45646</v>
      </c>
      <c r="E1817" t="s">
        <v>52</v>
      </c>
      <c r="F1817" t="s">
        <v>43</v>
      </c>
      <c r="G1817" t="s">
        <v>496</v>
      </c>
      <c r="H1817" t="s">
        <v>499</v>
      </c>
      <c r="I1817" t="s">
        <v>492</v>
      </c>
      <c r="J1817" t="s">
        <v>464</v>
      </c>
      <c r="K1817" t="s">
        <v>502</v>
      </c>
      <c r="L1817" t="str">
        <f t="shared" si="84"/>
        <v>OK</v>
      </c>
      <c r="M1817" t="str">
        <f t="shared" si="85"/>
        <v>OK</v>
      </c>
      <c r="N1817" t="str">
        <f t="shared" si="86"/>
        <v>OK</v>
      </c>
    </row>
    <row r="1818" spans="1:14" x14ac:dyDescent="0.3">
      <c r="A1818">
        <v>83</v>
      </c>
      <c r="B1818">
        <v>2024</v>
      </c>
      <c r="C1818" s="2">
        <v>45646</v>
      </c>
      <c r="E1818" t="s">
        <v>53</v>
      </c>
      <c r="F1818" t="s">
        <v>43</v>
      </c>
      <c r="G1818" t="s">
        <v>494</v>
      </c>
      <c r="H1818" t="s">
        <v>503</v>
      </c>
      <c r="I1818" t="s">
        <v>464</v>
      </c>
      <c r="J1818" t="s">
        <v>603</v>
      </c>
      <c r="K1818" t="s">
        <v>503</v>
      </c>
      <c r="L1818" t="str">
        <f t="shared" si="84"/>
        <v>OK</v>
      </c>
      <c r="M1818" t="str">
        <f t="shared" si="85"/>
        <v>OK</v>
      </c>
      <c r="N1818" t="str">
        <f t="shared" si="86"/>
        <v>OK</v>
      </c>
    </row>
    <row r="1819" spans="1:14" x14ac:dyDescent="0.3">
      <c r="A1819">
        <v>83</v>
      </c>
      <c r="B1819">
        <v>2024</v>
      </c>
      <c r="C1819" s="2">
        <v>45646</v>
      </c>
      <c r="E1819" t="s">
        <v>54</v>
      </c>
      <c r="F1819" t="s">
        <v>40</v>
      </c>
      <c r="G1819" t="s">
        <v>476</v>
      </c>
      <c r="H1819" t="s">
        <v>492</v>
      </c>
      <c r="I1819" t="s">
        <v>509</v>
      </c>
      <c r="J1819" t="s">
        <v>604</v>
      </c>
      <c r="K1819" t="s">
        <v>492</v>
      </c>
      <c r="L1819" t="str">
        <f t="shared" si="84"/>
        <v>ERRO</v>
      </c>
      <c r="M1819" t="str">
        <f t="shared" si="85"/>
        <v>OK</v>
      </c>
      <c r="N1819" t="str">
        <f t="shared" si="86"/>
        <v>ERRO</v>
      </c>
    </row>
    <row r="1820" spans="1:14" x14ac:dyDescent="0.3">
      <c r="A1820">
        <v>83</v>
      </c>
      <c r="B1820">
        <v>2024</v>
      </c>
      <c r="C1820" s="2">
        <v>45646</v>
      </c>
      <c r="E1820" t="s">
        <v>56</v>
      </c>
      <c r="F1820" t="s">
        <v>43</v>
      </c>
      <c r="G1820" t="s">
        <v>491</v>
      </c>
      <c r="H1820" t="s">
        <v>491</v>
      </c>
      <c r="I1820" t="s">
        <v>491</v>
      </c>
      <c r="J1820" t="s">
        <v>491</v>
      </c>
      <c r="K1820" t="s">
        <v>491</v>
      </c>
      <c r="L1820" t="str">
        <f t="shared" si="84"/>
        <v>OK</v>
      </c>
      <c r="M1820" t="str">
        <f t="shared" si="85"/>
        <v>OK</v>
      </c>
      <c r="N1820" t="str">
        <f t="shared" si="86"/>
        <v>OK</v>
      </c>
    </row>
    <row r="1821" spans="1:14" x14ac:dyDescent="0.3">
      <c r="A1821">
        <v>83</v>
      </c>
      <c r="B1821">
        <v>2024</v>
      </c>
      <c r="C1821" s="2">
        <v>45646</v>
      </c>
      <c r="E1821" t="s">
        <v>57</v>
      </c>
      <c r="F1821" t="s">
        <v>40</v>
      </c>
      <c r="G1821" t="s">
        <v>496</v>
      </c>
      <c r="H1821" t="s">
        <v>499</v>
      </c>
      <c r="I1821" t="s">
        <v>464</v>
      </c>
      <c r="J1821" t="s">
        <v>605</v>
      </c>
      <c r="K1821" t="s">
        <v>499</v>
      </c>
      <c r="L1821" t="str">
        <f t="shared" si="84"/>
        <v>OK</v>
      </c>
      <c r="M1821" t="str">
        <f t="shared" si="85"/>
        <v>OK</v>
      </c>
      <c r="N1821" t="str">
        <f t="shared" si="86"/>
        <v>OK</v>
      </c>
    </row>
    <row r="1822" spans="1:14" x14ac:dyDescent="0.3">
      <c r="A1822">
        <v>83</v>
      </c>
      <c r="B1822">
        <v>2024</v>
      </c>
      <c r="C1822" s="2">
        <v>45646</v>
      </c>
      <c r="E1822" t="s">
        <v>58</v>
      </c>
      <c r="F1822" t="s">
        <v>40</v>
      </c>
      <c r="G1822" t="s">
        <v>492</v>
      </c>
      <c r="H1822" t="s">
        <v>492</v>
      </c>
      <c r="I1822" t="s">
        <v>511</v>
      </c>
      <c r="J1822" t="s">
        <v>591</v>
      </c>
      <c r="K1822" t="s">
        <v>591</v>
      </c>
      <c r="L1822" t="str">
        <f t="shared" si="84"/>
        <v>OK</v>
      </c>
      <c r="M1822" t="str">
        <f t="shared" si="85"/>
        <v>OK</v>
      </c>
      <c r="N1822" t="str">
        <f t="shared" si="86"/>
        <v>OK</v>
      </c>
    </row>
    <row r="1823" spans="1:14" x14ac:dyDescent="0.3">
      <c r="A1823">
        <v>83</v>
      </c>
      <c r="B1823">
        <v>2024</v>
      </c>
      <c r="C1823" s="2">
        <v>45646</v>
      </c>
      <c r="E1823" t="s">
        <v>59</v>
      </c>
      <c r="F1823" t="s">
        <v>45</v>
      </c>
      <c r="G1823" t="s">
        <v>468</v>
      </c>
      <c r="H1823" t="s">
        <v>503</v>
      </c>
      <c r="I1823" t="s">
        <v>499</v>
      </c>
      <c r="J1823" t="s">
        <v>546</v>
      </c>
      <c r="K1823" t="s">
        <v>546</v>
      </c>
      <c r="L1823" t="str">
        <f t="shared" si="84"/>
        <v>OK</v>
      </c>
      <c r="M1823" t="str">
        <f t="shared" si="85"/>
        <v>OK</v>
      </c>
      <c r="N1823" t="str">
        <f t="shared" si="86"/>
        <v>OK</v>
      </c>
    </row>
    <row r="1824" spans="1:14" x14ac:dyDescent="0.3">
      <c r="A1824">
        <v>83</v>
      </c>
      <c r="B1824">
        <v>2024</v>
      </c>
      <c r="C1824" s="2">
        <v>45646</v>
      </c>
      <c r="E1824" t="s">
        <v>60</v>
      </c>
      <c r="F1824" t="s">
        <v>61</v>
      </c>
      <c r="G1824" t="s">
        <v>511</v>
      </c>
      <c r="H1824" t="s">
        <v>507</v>
      </c>
      <c r="I1824" t="s">
        <v>606</v>
      </c>
      <c r="J1824" t="s">
        <v>607</v>
      </c>
      <c r="K1824" t="s">
        <v>507</v>
      </c>
      <c r="L1824" t="str">
        <f t="shared" si="84"/>
        <v>OK</v>
      </c>
      <c r="M1824" t="str">
        <f t="shared" si="85"/>
        <v>ERRO</v>
      </c>
      <c r="N1824" t="str">
        <f t="shared" si="86"/>
        <v>OK</v>
      </c>
    </row>
    <row r="1825" spans="1:14" x14ac:dyDescent="0.3">
      <c r="A1825">
        <v>83</v>
      </c>
      <c r="B1825">
        <v>2024</v>
      </c>
      <c r="C1825" s="2">
        <v>45646</v>
      </c>
      <c r="E1825" t="s">
        <v>63</v>
      </c>
      <c r="F1825" t="s">
        <v>40</v>
      </c>
      <c r="G1825" t="s">
        <v>464</v>
      </c>
      <c r="H1825" t="s">
        <v>464</v>
      </c>
      <c r="I1825" t="s">
        <v>492</v>
      </c>
      <c r="J1825" t="s">
        <v>540</v>
      </c>
      <c r="K1825" t="s">
        <v>540</v>
      </c>
      <c r="L1825" t="str">
        <f t="shared" si="84"/>
        <v>OK</v>
      </c>
      <c r="M1825" t="str">
        <f t="shared" si="85"/>
        <v>OK</v>
      </c>
      <c r="N1825" t="str">
        <f t="shared" si="86"/>
        <v>OK</v>
      </c>
    </row>
    <row r="1826" spans="1:14" x14ac:dyDescent="0.3">
      <c r="A1826">
        <v>83</v>
      </c>
      <c r="B1826">
        <v>2024</v>
      </c>
      <c r="C1826" s="2">
        <v>45646</v>
      </c>
      <c r="E1826" t="s">
        <v>64</v>
      </c>
      <c r="F1826" t="s">
        <v>40</v>
      </c>
      <c r="G1826" t="s">
        <v>509</v>
      </c>
      <c r="H1826" t="s">
        <v>606</v>
      </c>
      <c r="I1826" t="s">
        <v>517</v>
      </c>
      <c r="J1826" t="s">
        <v>608</v>
      </c>
      <c r="K1826" t="s">
        <v>606</v>
      </c>
      <c r="L1826" t="str">
        <f t="shared" si="84"/>
        <v>OK</v>
      </c>
      <c r="M1826" t="str">
        <f t="shared" si="85"/>
        <v>ERRO</v>
      </c>
      <c r="N1826" t="str">
        <f t="shared" si="86"/>
        <v>OK</v>
      </c>
    </row>
    <row r="1827" spans="1:14" x14ac:dyDescent="0.3">
      <c r="A1827">
        <v>83</v>
      </c>
      <c r="B1827">
        <v>2024</v>
      </c>
      <c r="C1827" s="2">
        <v>45646</v>
      </c>
      <c r="E1827" t="s">
        <v>66</v>
      </c>
      <c r="F1827" t="s">
        <v>45</v>
      </c>
      <c r="L1827" t="str">
        <f t="shared" si="84"/>
        <v>OK</v>
      </c>
      <c r="M1827" t="str">
        <f t="shared" si="85"/>
        <v>OK</v>
      </c>
      <c r="N1827" t="str">
        <f t="shared" si="86"/>
        <v>OK</v>
      </c>
    </row>
    <row r="1828" spans="1:14" x14ac:dyDescent="0.3">
      <c r="A1828">
        <v>83</v>
      </c>
      <c r="B1828">
        <v>2024</v>
      </c>
      <c r="C1828" s="2">
        <v>45646</v>
      </c>
      <c r="E1828" t="s">
        <v>67</v>
      </c>
      <c r="F1828" t="s">
        <v>45</v>
      </c>
      <c r="L1828" t="str">
        <f t="shared" si="84"/>
        <v>OK</v>
      </c>
      <c r="M1828" t="str">
        <f t="shared" si="85"/>
        <v>OK</v>
      </c>
      <c r="N1828" t="str">
        <f t="shared" si="86"/>
        <v>OK</v>
      </c>
    </row>
    <row r="1829" spans="1:14" x14ac:dyDescent="0.3">
      <c r="A1829">
        <v>83</v>
      </c>
      <c r="B1829">
        <v>2024</v>
      </c>
      <c r="C1829" s="2">
        <v>45646</v>
      </c>
      <c r="E1829" t="s">
        <v>68</v>
      </c>
      <c r="F1829" t="s">
        <v>45</v>
      </c>
      <c r="L1829" t="str">
        <f t="shared" si="84"/>
        <v>OK</v>
      </c>
      <c r="M1829" t="str">
        <f t="shared" si="85"/>
        <v>OK</v>
      </c>
      <c r="N1829" t="str">
        <f t="shared" si="86"/>
        <v>OK</v>
      </c>
    </row>
    <row r="1830" spans="1:14" x14ac:dyDescent="0.3">
      <c r="A1830">
        <v>83</v>
      </c>
      <c r="B1830">
        <v>2024</v>
      </c>
      <c r="C1830" s="2">
        <v>45646</v>
      </c>
      <c r="E1830" t="s">
        <v>69</v>
      </c>
      <c r="F1830" t="s">
        <v>45</v>
      </c>
      <c r="G1830" t="s">
        <v>464</v>
      </c>
      <c r="H1830" t="s">
        <v>464</v>
      </c>
      <c r="I1830" t="s">
        <v>464</v>
      </c>
      <c r="J1830" t="s">
        <v>464</v>
      </c>
      <c r="K1830" t="s">
        <v>464</v>
      </c>
      <c r="L1830" t="str">
        <f t="shared" si="84"/>
        <v>OK</v>
      </c>
      <c r="M1830" t="str">
        <f t="shared" si="85"/>
        <v>OK</v>
      </c>
      <c r="N1830" t="str">
        <f t="shared" si="86"/>
        <v>OK</v>
      </c>
    </row>
    <row r="1831" spans="1:14" x14ac:dyDescent="0.3">
      <c r="A1831">
        <v>83</v>
      </c>
      <c r="B1831">
        <v>2024</v>
      </c>
      <c r="C1831" s="2">
        <v>45646</v>
      </c>
      <c r="E1831" t="s">
        <v>70</v>
      </c>
      <c r="F1831" s="12" t="s">
        <v>71</v>
      </c>
      <c r="L1831" t="str">
        <f t="shared" si="84"/>
        <v>OK</v>
      </c>
      <c r="M1831" t="str">
        <f t="shared" si="85"/>
        <v>OK</v>
      </c>
      <c r="N1831" t="str">
        <f t="shared" si="86"/>
        <v>OK</v>
      </c>
    </row>
    <row r="1832" spans="1:14" x14ac:dyDescent="0.3">
      <c r="A1832">
        <v>84</v>
      </c>
      <c r="B1832">
        <v>2024</v>
      </c>
      <c r="C1832" s="2">
        <v>45653</v>
      </c>
      <c r="E1832" t="s">
        <v>12</v>
      </c>
      <c r="F1832" t="s">
        <v>13</v>
      </c>
      <c r="G1832" t="s">
        <v>463</v>
      </c>
      <c r="H1832" t="s">
        <v>463</v>
      </c>
      <c r="I1832" t="s">
        <v>466</v>
      </c>
      <c r="J1832" t="s">
        <v>464</v>
      </c>
      <c r="K1832" t="s">
        <v>464</v>
      </c>
      <c r="L1832" t="str">
        <f t="shared" si="84"/>
        <v>OK</v>
      </c>
      <c r="M1832" t="str">
        <f t="shared" si="85"/>
        <v>OK</v>
      </c>
      <c r="N1832" t="str">
        <f t="shared" si="86"/>
        <v>OK</v>
      </c>
    </row>
    <row r="1833" spans="1:14" x14ac:dyDescent="0.3">
      <c r="A1833">
        <v>84</v>
      </c>
      <c r="B1833">
        <v>2024</v>
      </c>
      <c r="C1833" s="2">
        <v>45653</v>
      </c>
      <c r="E1833" t="s">
        <v>14</v>
      </c>
      <c r="F1833" t="s">
        <v>13</v>
      </c>
      <c r="G1833" t="s">
        <v>466</v>
      </c>
      <c r="H1833" t="s">
        <v>466</v>
      </c>
      <c r="I1833" t="s">
        <v>579</v>
      </c>
      <c r="J1833" t="s">
        <v>609</v>
      </c>
      <c r="K1833" t="s">
        <v>523</v>
      </c>
      <c r="L1833" t="str">
        <f t="shared" si="84"/>
        <v>OK</v>
      </c>
      <c r="M1833" t="str">
        <f t="shared" si="85"/>
        <v>OK</v>
      </c>
      <c r="N1833" t="str">
        <f t="shared" si="86"/>
        <v>OK</v>
      </c>
    </row>
    <row r="1834" spans="1:14" x14ac:dyDescent="0.3">
      <c r="A1834">
        <v>84</v>
      </c>
      <c r="B1834">
        <v>2024</v>
      </c>
      <c r="C1834" s="2">
        <v>45653</v>
      </c>
      <c r="E1834" t="s">
        <v>15</v>
      </c>
      <c r="F1834" t="s">
        <v>13</v>
      </c>
      <c r="G1834" t="s">
        <v>536</v>
      </c>
      <c r="H1834" t="s">
        <v>463</v>
      </c>
      <c r="I1834" t="s">
        <v>464</v>
      </c>
      <c r="J1834" t="s">
        <v>610</v>
      </c>
      <c r="K1834" t="s">
        <v>463</v>
      </c>
      <c r="L1834" t="str">
        <f t="shared" si="84"/>
        <v>OK</v>
      </c>
      <c r="M1834" t="str">
        <f t="shared" si="85"/>
        <v>ERRO</v>
      </c>
      <c r="N1834" t="str">
        <f t="shared" si="86"/>
        <v>OK</v>
      </c>
    </row>
    <row r="1835" spans="1:14" x14ac:dyDescent="0.3">
      <c r="A1835">
        <v>84</v>
      </c>
      <c r="B1835">
        <v>2024</v>
      </c>
      <c r="C1835" s="2">
        <v>45653</v>
      </c>
      <c r="E1835" t="s">
        <v>16</v>
      </c>
      <c r="F1835" t="s">
        <v>13</v>
      </c>
      <c r="G1835" t="s">
        <v>472</v>
      </c>
      <c r="H1835" t="s">
        <v>468</v>
      </c>
      <c r="I1835" t="s">
        <v>536</v>
      </c>
      <c r="J1835" t="s">
        <v>468</v>
      </c>
      <c r="K1835" t="s">
        <v>468</v>
      </c>
      <c r="L1835" t="str">
        <f t="shared" si="84"/>
        <v>OK</v>
      </c>
      <c r="M1835" t="str">
        <f t="shared" si="85"/>
        <v>OK</v>
      </c>
      <c r="N1835" t="str">
        <f t="shared" si="86"/>
        <v>OK</v>
      </c>
    </row>
    <row r="1836" spans="1:14" x14ac:dyDescent="0.3">
      <c r="A1836">
        <v>84</v>
      </c>
      <c r="B1836">
        <v>2024</v>
      </c>
      <c r="C1836" s="2">
        <v>45653</v>
      </c>
      <c r="E1836" t="s">
        <v>17</v>
      </c>
      <c r="F1836" t="s">
        <v>13</v>
      </c>
      <c r="G1836" t="s">
        <v>525</v>
      </c>
      <c r="H1836" t="s">
        <v>468</v>
      </c>
      <c r="I1836" t="s">
        <v>536</v>
      </c>
      <c r="J1836" t="s">
        <v>583</v>
      </c>
      <c r="K1836" t="s">
        <v>468</v>
      </c>
      <c r="L1836" t="str">
        <f t="shared" si="84"/>
        <v>OK</v>
      </c>
      <c r="M1836" t="str">
        <f t="shared" si="85"/>
        <v>OK</v>
      </c>
      <c r="N1836" t="str">
        <f t="shared" si="86"/>
        <v>OK</v>
      </c>
    </row>
    <row r="1837" spans="1:14" x14ac:dyDescent="0.3">
      <c r="A1837">
        <v>84</v>
      </c>
      <c r="B1837">
        <v>2024</v>
      </c>
      <c r="C1837" s="2">
        <v>45653</v>
      </c>
      <c r="E1837" t="s">
        <v>18</v>
      </c>
      <c r="F1837" t="s">
        <v>13</v>
      </c>
      <c r="G1837" t="s">
        <v>464</v>
      </c>
      <c r="H1837" t="s">
        <v>464</v>
      </c>
      <c r="I1837" t="s">
        <v>464</v>
      </c>
      <c r="J1837" t="s">
        <v>464</v>
      </c>
      <c r="K1837" t="s">
        <v>464</v>
      </c>
      <c r="L1837" t="str">
        <f t="shared" si="84"/>
        <v>OK</v>
      </c>
      <c r="M1837" t="str">
        <f t="shared" si="85"/>
        <v>OK</v>
      </c>
      <c r="N1837" t="str">
        <f t="shared" si="86"/>
        <v>OK</v>
      </c>
    </row>
    <row r="1838" spans="1:14" x14ac:dyDescent="0.3">
      <c r="A1838">
        <v>84</v>
      </c>
      <c r="B1838">
        <v>2024</v>
      </c>
      <c r="C1838" s="2">
        <v>45653</v>
      </c>
      <c r="E1838" t="s">
        <v>19</v>
      </c>
      <c r="F1838" t="s">
        <v>13</v>
      </c>
      <c r="G1838" t="s">
        <v>466</v>
      </c>
      <c r="H1838" t="s">
        <v>466</v>
      </c>
      <c r="I1838" t="s">
        <v>466</v>
      </c>
      <c r="J1838" t="s">
        <v>466</v>
      </c>
      <c r="K1838" t="s">
        <v>466</v>
      </c>
      <c r="L1838" t="str">
        <f t="shared" si="84"/>
        <v>OK</v>
      </c>
      <c r="M1838" t="str">
        <f t="shared" si="85"/>
        <v>OK</v>
      </c>
      <c r="N1838" t="str">
        <f t="shared" si="86"/>
        <v>OK</v>
      </c>
    </row>
    <row r="1839" spans="1:14" x14ac:dyDescent="0.3">
      <c r="A1839">
        <v>84</v>
      </c>
      <c r="B1839">
        <v>2024</v>
      </c>
      <c r="C1839" s="2">
        <v>45653</v>
      </c>
      <c r="E1839" t="s">
        <v>20</v>
      </c>
      <c r="F1839" t="s">
        <v>13</v>
      </c>
      <c r="G1839" t="s">
        <v>464</v>
      </c>
      <c r="H1839" t="s">
        <v>466</v>
      </c>
      <c r="I1839" t="s">
        <v>466</v>
      </c>
      <c r="J1839" t="s">
        <v>611</v>
      </c>
      <c r="K1839" t="s">
        <v>466</v>
      </c>
      <c r="L1839" t="str">
        <f t="shared" si="84"/>
        <v>OK</v>
      </c>
      <c r="M1839" t="str">
        <f t="shared" si="85"/>
        <v>ERRO</v>
      </c>
      <c r="N1839" t="str">
        <f t="shared" si="86"/>
        <v>OK</v>
      </c>
    </row>
    <row r="1840" spans="1:14" x14ac:dyDescent="0.3">
      <c r="A1840">
        <v>84</v>
      </c>
      <c r="B1840">
        <v>2024</v>
      </c>
      <c r="C1840" s="2">
        <v>45653</v>
      </c>
      <c r="E1840" t="s">
        <v>21</v>
      </c>
      <c r="F1840" t="s">
        <v>13</v>
      </c>
      <c r="G1840" t="s">
        <v>473</v>
      </c>
      <c r="H1840" t="s">
        <v>488</v>
      </c>
      <c r="I1840" t="s">
        <v>472</v>
      </c>
      <c r="J1840" t="s">
        <v>584</v>
      </c>
      <c r="K1840" t="s">
        <v>488</v>
      </c>
      <c r="L1840" t="str">
        <f t="shared" si="84"/>
        <v>OK</v>
      </c>
      <c r="M1840" t="str">
        <f t="shared" si="85"/>
        <v>OK</v>
      </c>
      <c r="N1840" t="str">
        <f t="shared" si="86"/>
        <v>OK</v>
      </c>
    </row>
    <row r="1841" spans="1:14" x14ac:dyDescent="0.3">
      <c r="A1841">
        <v>84</v>
      </c>
      <c r="B1841">
        <v>2024</v>
      </c>
      <c r="C1841" s="2">
        <v>45653</v>
      </c>
      <c r="E1841" t="s">
        <v>73</v>
      </c>
      <c r="F1841" t="s">
        <v>13</v>
      </c>
      <c r="G1841" t="s">
        <v>464</v>
      </c>
      <c r="H1841" t="s">
        <v>492</v>
      </c>
      <c r="I1841" t="s">
        <v>579</v>
      </c>
      <c r="J1841" t="s">
        <v>492</v>
      </c>
      <c r="K1841" t="s">
        <v>612</v>
      </c>
      <c r="L1841" t="str">
        <f t="shared" si="84"/>
        <v>OK</v>
      </c>
      <c r="M1841" t="str">
        <f t="shared" si="85"/>
        <v>OK</v>
      </c>
      <c r="N1841" t="str">
        <f t="shared" si="86"/>
        <v>OK</v>
      </c>
    </row>
    <row r="1842" spans="1:14" x14ac:dyDescent="0.3">
      <c r="A1842">
        <v>84</v>
      </c>
      <c r="B1842">
        <v>2024</v>
      </c>
      <c r="C1842" s="2">
        <v>45653</v>
      </c>
      <c r="E1842" t="s">
        <v>23</v>
      </c>
      <c r="F1842" t="s">
        <v>13</v>
      </c>
      <c r="G1842" t="s">
        <v>468</v>
      </c>
      <c r="H1842" t="s">
        <v>472</v>
      </c>
      <c r="I1842" t="s">
        <v>536</v>
      </c>
      <c r="J1842" t="s">
        <v>613</v>
      </c>
      <c r="K1842" t="s">
        <v>468</v>
      </c>
      <c r="L1842" t="str">
        <f t="shared" si="84"/>
        <v>OK</v>
      </c>
      <c r="M1842" t="str">
        <f t="shared" si="85"/>
        <v>OK</v>
      </c>
      <c r="N1842" t="str">
        <f t="shared" si="86"/>
        <v>OK</v>
      </c>
    </row>
    <row r="1843" spans="1:14" x14ac:dyDescent="0.3">
      <c r="A1843">
        <v>84</v>
      </c>
      <c r="B1843">
        <v>2024</v>
      </c>
      <c r="C1843" s="2">
        <v>45653</v>
      </c>
      <c r="E1843" t="s">
        <v>24</v>
      </c>
      <c r="F1843" t="s">
        <v>13</v>
      </c>
      <c r="G1843" t="s">
        <v>464</v>
      </c>
      <c r="H1843" t="s">
        <v>464</v>
      </c>
      <c r="I1843" t="s">
        <v>466</v>
      </c>
      <c r="J1843" t="s">
        <v>481</v>
      </c>
      <c r="K1843" t="s">
        <v>464</v>
      </c>
      <c r="L1843" t="str">
        <f t="shared" si="84"/>
        <v>OK</v>
      </c>
      <c r="M1843" t="str">
        <f t="shared" si="85"/>
        <v>OK</v>
      </c>
      <c r="N1843" t="str">
        <f t="shared" si="86"/>
        <v>OK</v>
      </c>
    </row>
    <row r="1844" spans="1:14" x14ac:dyDescent="0.3">
      <c r="A1844">
        <v>84</v>
      </c>
      <c r="B1844">
        <v>2024</v>
      </c>
      <c r="C1844" s="2">
        <v>45653</v>
      </c>
      <c r="E1844" t="s">
        <v>25</v>
      </c>
      <c r="F1844" t="s">
        <v>26</v>
      </c>
      <c r="G1844" t="s">
        <v>464</v>
      </c>
      <c r="H1844" t="s">
        <v>463</v>
      </c>
      <c r="I1844" t="s">
        <v>464</v>
      </c>
      <c r="J1844" t="s">
        <v>585</v>
      </c>
      <c r="K1844" t="s">
        <v>464</v>
      </c>
      <c r="L1844" t="str">
        <f t="shared" si="84"/>
        <v>OK</v>
      </c>
      <c r="M1844" t="str">
        <f t="shared" si="85"/>
        <v>OK</v>
      </c>
      <c r="N1844" t="str">
        <f t="shared" si="86"/>
        <v>OK</v>
      </c>
    </row>
    <row r="1845" spans="1:14" x14ac:dyDescent="0.3">
      <c r="A1845">
        <v>84</v>
      </c>
      <c r="B1845">
        <v>2024</v>
      </c>
      <c r="C1845" s="2">
        <v>45653</v>
      </c>
      <c r="E1845" t="s">
        <v>27</v>
      </c>
      <c r="F1845" t="s">
        <v>13</v>
      </c>
      <c r="G1845" t="s">
        <v>464</v>
      </c>
      <c r="H1845" t="s">
        <v>466</v>
      </c>
      <c r="I1845" t="s">
        <v>466</v>
      </c>
      <c r="J1845" t="s">
        <v>614</v>
      </c>
      <c r="K1845" t="s">
        <v>615</v>
      </c>
      <c r="L1845" t="str">
        <f t="shared" si="84"/>
        <v>OK</v>
      </c>
      <c r="M1845" t="str">
        <f t="shared" si="85"/>
        <v>ERRO</v>
      </c>
      <c r="N1845" t="str">
        <f t="shared" si="86"/>
        <v>OK</v>
      </c>
    </row>
    <row r="1846" spans="1:14" x14ac:dyDescent="0.3">
      <c r="A1846">
        <v>84</v>
      </c>
      <c r="B1846">
        <v>2024</v>
      </c>
      <c r="C1846" s="2">
        <v>45653</v>
      </c>
      <c r="E1846" t="s">
        <v>28</v>
      </c>
      <c r="F1846" t="s">
        <v>13</v>
      </c>
      <c r="G1846" t="s">
        <v>494</v>
      </c>
      <c r="H1846" t="s">
        <v>536</v>
      </c>
      <c r="I1846" t="s">
        <v>464</v>
      </c>
      <c r="J1846" t="s">
        <v>616</v>
      </c>
      <c r="K1846" t="s">
        <v>536</v>
      </c>
      <c r="L1846" t="str">
        <f t="shared" si="84"/>
        <v>OK</v>
      </c>
      <c r="M1846" t="str">
        <f t="shared" si="85"/>
        <v>ERRO</v>
      </c>
      <c r="N1846" t="str">
        <f t="shared" si="86"/>
        <v>OK</v>
      </c>
    </row>
    <row r="1847" spans="1:14" x14ac:dyDescent="0.3">
      <c r="A1847">
        <v>84</v>
      </c>
      <c r="B1847">
        <v>2024</v>
      </c>
      <c r="C1847" s="2">
        <v>45653</v>
      </c>
      <c r="E1847" t="s">
        <v>29</v>
      </c>
      <c r="F1847" t="s">
        <v>13</v>
      </c>
      <c r="G1847" t="s">
        <v>469</v>
      </c>
      <c r="H1847" t="s">
        <v>464</v>
      </c>
      <c r="I1847" t="s">
        <v>464</v>
      </c>
      <c r="J1847" t="s">
        <v>617</v>
      </c>
      <c r="K1847" t="s">
        <v>464</v>
      </c>
      <c r="L1847" t="str">
        <f t="shared" si="84"/>
        <v>OK</v>
      </c>
      <c r="M1847" t="str">
        <f t="shared" si="85"/>
        <v>ERRO</v>
      </c>
      <c r="N1847" t="str">
        <f t="shared" si="86"/>
        <v>OK</v>
      </c>
    </row>
    <row r="1848" spans="1:14" x14ac:dyDescent="0.3">
      <c r="A1848">
        <v>84</v>
      </c>
      <c r="B1848">
        <v>2024</v>
      </c>
      <c r="C1848" s="2">
        <v>45653</v>
      </c>
      <c r="E1848" t="s">
        <v>31</v>
      </c>
      <c r="F1848" t="s">
        <v>32</v>
      </c>
      <c r="G1848" t="s">
        <v>484</v>
      </c>
      <c r="H1848" t="s">
        <v>484</v>
      </c>
      <c r="I1848" t="s">
        <v>484</v>
      </c>
      <c r="J1848" t="s">
        <v>484</v>
      </c>
      <c r="K1848" t="s">
        <v>484</v>
      </c>
      <c r="L1848" t="str">
        <f t="shared" si="84"/>
        <v>OK</v>
      </c>
      <c r="M1848" t="str">
        <f t="shared" si="85"/>
        <v>OK</v>
      </c>
      <c r="N1848" t="str">
        <f t="shared" si="86"/>
        <v>OK</v>
      </c>
    </row>
    <row r="1849" spans="1:14" x14ac:dyDescent="0.3">
      <c r="A1849">
        <v>84</v>
      </c>
      <c r="B1849">
        <v>2024</v>
      </c>
      <c r="C1849" s="2">
        <v>45653</v>
      </c>
      <c r="E1849" t="s">
        <v>34</v>
      </c>
      <c r="F1849" t="s">
        <v>35</v>
      </c>
      <c r="G1849" t="s">
        <v>488</v>
      </c>
      <c r="H1849" t="s">
        <v>473</v>
      </c>
      <c r="I1849" t="s">
        <v>488</v>
      </c>
      <c r="J1849" t="s">
        <v>618</v>
      </c>
      <c r="K1849" t="s">
        <v>488</v>
      </c>
      <c r="L1849" t="str">
        <f t="shared" si="84"/>
        <v>OK</v>
      </c>
      <c r="M1849" t="str">
        <f t="shared" si="85"/>
        <v>OK</v>
      </c>
      <c r="N1849" t="str">
        <f t="shared" si="86"/>
        <v>OK</v>
      </c>
    </row>
    <row r="1850" spans="1:14" x14ac:dyDescent="0.3">
      <c r="A1850">
        <v>84</v>
      </c>
      <c r="B1850">
        <v>2024</v>
      </c>
      <c r="C1850" s="2">
        <v>45653</v>
      </c>
      <c r="E1850" t="s">
        <v>36</v>
      </c>
      <c r="F1850" t="s">
        <v>35</v>
      </c>
      <c r="G1850" t="s">
        <v>525</v>
      </c>
      <c r="H1850" t="s">
        <v>488</v>
      </c>
      <c r="I1850" t="s">
        <v>468</v>
      </c>
      <c r="J1850" t="s">
        <v>525</v>
      </c>
      <c r="K1850" t="s">
        <v>525</v>
      </c>
      <c r="L1850" t="str">
        <f t="shared" si="84"/>
        <v>OK</v>
      </c>
      <c r="M1850" t="str">
        <f t="shared" si="85"/>
        <v>OK</v>
      </c>
      <c r="N1850" t="str">
        <f t="shared" si="86"/>
        <v>OK</v>
      </c>
    </row>
    <row r="1851" spans="1:14" x14ac:dyDescent="0.3">
      <c r="A1851">
        <v>84</v>
      </c>
      <c r="B1851">
        <v>2024</v>
      </c>
      <c r="C1851" s="2">
        <v>45653</v>
      </c>
      <c r="E1851" t="s">
        <v>153</v>
      </c>
      <c r="F1851" t="s">
        <v>154</v>
      </c>
      <c r="G1851" t="s">
        <v>492</v>
      </c>
      <c r="H1851" t="s">
        <v>492</v>
      </c>
      <c r="I1851" t="s">
        <v>492</v>
      </c>
      <c r="J1851" t="s">
        <v>492</v>
      </c>
      <c r="K1851" t="s">
        <v>492</v>
      </c>
      <c r="L1851" t="str">
        <f t="shared" si="84"/>
        <v>OK</v>
      </c>
      <c r="M1851" t="str">
        <f t="shared" si="85"/>
        <v>OK</v>
      </c>
      <c r="N1851" t="str">
        <f t="shared" si="86"/>
        <v>OK</v>
      </c>
    </row>
    <row r="1852" spans="1:14" x14ac:dyDescent="0.3">
      <c r="A1852">
        <v>84</v>
      </c>
      <c r="B1852">
        <v>2024</v>
      </c>
      <c r="C1852" s="2">
        <v>45653</v>
      </c>
      <c r="E1852" t="s">
        <v>39</v>
      </c>
      <c r="F1852" t="s">
        <v>40</v>
      </c>
      <c r="G1852" t="s">
        <v>496</v>
      </c>
      <c r="H1852" t="s">
        <v>499</v>
      </c>
      <c r="I1852" t="s">
        <v>499</v>
      </c>
      <c r="J1852" t="s">
        <v>504</v>
      </c>
      <c r="K1852" t="s">
        <v>499</v>
      </c>
      <c r="L1852" t="str">
        <f t="shared" si="84"/>
        <v>OK</v>
      </c>
      <c r="M1852" t="str">
        <f t="shared" si="85"/>
        <v>ERRO</v>
      </c>
      <c r="N1852" t="str">
        <f t="shared" si="86"/>
        <v>OK</v>
      </c>
    </row>
    <row r="1853" spans="1:14" x14ac:dyDescent="0.3">
      <c r="A1853">
        <v>84</v>
      </c>
      <c r="B1853">
        <v>2024</v>
      </c>
      <c r="C1853" s="2">
        <v>45653</v>
      </c>
      <c r="E1853" t="s">
        <v>42</v>
      </c>
      <c r="F1853" t="s">
        <v>43</v>
      </c>
      <c r="G1853" t="s">
        <v>496</v>
      </c>
      <c r="H1853" t="s">
        <v>505</v>
      </c>
      <c r="I1853" t="s">
        <v>476</v>
      </c>
      <c r="J1853" t="s">
        <v>505</v>
      </c>
      <c r="K1853" t="s">
        <v>505</v>
      </c>
      <c r="L1853" t="str">
        <f t="shared" si="84"/>
        <v>OK</v>
      </c>
      <c r="M1853" t="str">
        <f t="shared" si="85"/>
        <v>OK</v>
      </c>
      <c r="N1853" t="str">
        <f t="shared" si="86"/>
        <v>OK</v>
      </c>
    </row>
    <row r="1854" spans="1:14" x14ac:dyDescent="0.3">
      <c r="A1854">
        <v>84</v>
      </c>
      <c r="B1854">
        <v>2024</v>
      </c>
      <c r="C1854" s="2">
        <v>45653</v>
      </c>
      <c r="E1854" t="s">
        <v>44</v>
      </c>
      <c r="F1854" t="s">
        <v>45</v>
      </c>
      <c r="G1854" t="s">
        <v>499</v>
      </c>
      <c r="H1854" t="s">
        <v>499</v>
      </c>
      <c r="I1854" t="s">
        <v>502</v>
      </c>
      <c r="J1854" t="s">
        <v>605</v>
      </c>
      <c r="K1854" t="s">
        <v>499</v>
      </c>
      <c r="L1854" t="str">
        <f t="shared" si="84"/>
        <v>OK</v>
      </c>
      <c r="M1854" t="str">
        <f t="shared" si="85"/>
        <v>OK</v>
      </c>
      <c r="N1854" t="str">
        <f t="shared" si="86"/>
        <v>OK</v>
      </c>
    </row>
    <row r="1855" spans="1:14" x14ac:dyDescent="0.3">
      <c r="A1855">
        <v>84</v>
      </c>
      <c r="B1855">
        <v>2024</v>
      </c>
      <c r="C1855" s="2">
        <v>45653</v>
      </c>
      <c r="E1855" t="s">
        <v>48</v>
      </c>
      <c r="F1855" t="s">
        <v>45</v>
      </c>
      <c r="G1855" t="s">
        <v>492</v>
      </c>
      <c r="H1855" t="s">
        <v>492</v>
      </c>
      <c r="I1855" t="s">
        <v>492</v>
      </c>
      <c r="J1855" t="s">
        <v>492</v>
      </c>
      <c r="K1855" t="s">
        <v>492</v>
      </c>
      <c r="L1855" t="str">
        <f t="shared" si="84"/>
        <v>OK</v>
      </c>
      <c r="M1855" t="str">
        <f t="shared" si="85"/>
        <v>OK</v>
      </c>
      <c r="N1855" t="str">
        <f t="shared" si="86"/>
        <v>OK</v>
      </c>
    </row>
    <row r="1856" spans="1:14" x14ac:dyDescent="0.3">
      <c r="A1856">
        <v>84</v>
      </c>
      <c r="B1856">
        <v>2024</v>
      </c>
      <c r="C1856" s="2">
        <v>45653</v>
      </c>
      <c r="E1856" t="s">
        <v>49</v>
      </c>
      <c r="F1856" t="s">
        <v>50</v>
      </c>
      <c r="G1856" t="s">
        <v>502</v>
      </c>
      <c r="H1856" t="s">
        <v>464</v>
      </c>
      <c r="I1856" t="s">
        <v>500</v>
      </c>
      <c r="J1856" t="s">
        <v>464</v>
      </c>
      <c r="K1856" t="s">
        <v>464</v>
      </c>
      <c r="L1856" t="str">
        <f t="shared" si="84"/>
        <v>OK</v>
      </c>
      <c r="M1856" t="str">
        <f t="shared" si="85"/>
        <v>OK</v>
      </c>
      <c r="N1856" t="str">
        <f t="shared" si="86"/>
        <v>OK</v>
      </c>
    </row>
    <row r="1857" spans="1:14" x14ac:dyDescent="0.3">
      <c r="A1857">
        <v>84</v>
      </c>
      <c r="B1857">
        <v>2024</v>
      </c>
      <c r="C1857" s="2">
        <v>45653</v>
      </c>
      <c r="E1857" t="s">
        <v>52</v>
      </c>
      <c r="F1857" t="s">
        <v>43</v>
      </c>
      <c r="G1857" t="s">
        <v>499</v>
      </c>
      <c r="H1857" t="s">
        <v>591</v>
      </c>
      <c r="I1857" t="s">
        <v>500</v>
      </c>
      <c r="J1857" t="s">
        <v>500</v>
      </c>
      <c r="K1857" t="s">
        <v>497</v>
      </c>
      <c r="L1857" t="str">
        <f t="shared" si="84"/>
        <v>ERRO</v>
      </c>
      <c r="M1857" t="str">
        <f t="shared" si="85"/>
        <v>ERRO</v>
      </c>
      <c r="N1857" t="str">
        <f t="shared" si="86"/>
        <v>OK</v>
      </c>
    </row>
    <row r="1858" spans="1:14" x14ac:dyDescent="0.3">
      <c r="A1858">
        <v>84</v>
      </c>
      <c r="B1858">
        <v>2024</v>
      </c>
      <c r="C1858" s="2">
        <v>45653</v>
      </c>
      <c r="E1858" t="s">
        <v>53</v>
      </c>
      <c r="F1858" t="s">
        <v>43</v>
      </c>
      <c r="G1858" t="s">
        <v>464</v>
      </c>
      <c r="H1858" t="s">
        <v>468</v>
      </c>
      <c r="I1858" t="s">
        <v>464</v>
      </c>
      <c r="J1858" t="s">
        <v>504</v>
      </c>
      <c r="K1858" t="s">
        <v>506</v>
      </c>
      <c r="L1858" t="str">
        <f t="shared" si="84"/>
        <v>OK</v>
      </c>
      <c r="M1858" t="str">
        <f t="shared" si="85"/>
        <v>OK</v>
      </c>
      <c r="N1858" t="str">
        <f t="shared" si="86"/>
        <v>OK</v>
      </c>
    </row>
    <row r="1859" spans="1:14" x14ac:dyDescent="0.3">
      <c r="A1859">
        <v>84</v>
      </c>
      <c r="B1859">
        <v>2024</v>
      </c>
      <c r="C1859" s="2">
        <v>45653</v>
      </c>
      <c r="E1859" t="s">
        <v>54</v>
      </c>
      <c r="F1859" t="s">
        <v>40</v>
      </c>
      <c r="G1859" t="s">
        <v>476</v>
      </c>
      <c r="H1859" t="s">
        <v>476</v>
      </c>
      <c r="I1859" t="s">
        <v>509</v>
      </c>
      <c r="J1859" t="s">
        <v>591</v>
      </c>
      <c r="K1859" t="s">
        <v>492</v>
      </c>
      <c r="L1859" t="str">
        <f t="shared" ref="L1859:L1922" si="87">IF(H1859&gt;I1859,"ERRO","OK")</f>
        <v>ERRO</v>
      </c>
      <c r="M1859" t="str">
        <f t="shared" ref="M1859:M1922" si="88">IF(H1859&gt;J1859,"ERRO","OK")</f>
        <v>OK</v>
      </c>
      <c r="N1859" t="str">
        <f t="shared" ref="N1859:N1922" si="89">IF(I1859&lt;J1859,"ERRO","OK")</f>
        <v>ERRO</v>
      </c>
    </row>
    <row r="1860" spans="1:14" x14ac:dyDescent="0.3">
      <c r="A1860">
        <v>84</v>
      </c>
      <c r="B1860">
        <v>2024</v>
      </c>
      <c r="C1860" s="2">
        <v>45653</v>
      </c>
      <c r="E1860" t="s">
        <v>56</v>
      </c>
      <c r="F1860" t="s">
        <v>43</v>
      </c>
      <c r="G1860" t="s">
        <v>500</v>
      </c>
      <c r="H1860" t="s">
        <v>500</v>
      </c>
      <c r="I1860" t="s">
        <v>500</v>
      </c>
      <c r="J1860" t="s">
        <v>500</v>
      </c>
      <c r="K1860" t="s">
        <v>500</v>
      </c>
      <c r="L1860" t="str">
        <f t="shared" si="87"/>
        <v>OK</v>
      </c>
      <c r="M1860" t="str">
        <f t="shared" si="88"/>
        <v>OK</v>
      </c>
      <c r="N1860" t="str">
        <f t="shared" si="89"/>
        <v>OK</v>
      </c>
    </row>
    <row r="1861" spans="1:14" x14ac:dyDescent="0.3">
      <c r="A1861">
        <v>84</v>
      </c>
      <c r="B1861">
        <v>2024</v>
      </c>
      <c r="C1861" s="2">
        <v>45653</v>
      </c>
      <c r="E1861" t="s">
        <v>57</v>
      </c>
      <c r="F1861" t="s">
        <v>40</v>
      </c>
      <c r="G1861" t="s">
        <v>496</v>
      </c>
      <c r="H1861" t="s">
        <v>476</v>
      </c>
      <c r="I1861" t="s">
        <v>476</v>
      </c>
      <c r="J1861" t="s">
        <v>619</v>
      </c>
      <c r="K1861" t="s">
        <v>476</v>
      </c>
      <c r="L1861" t="str">
        <f t="shared" si="87"/>
        <v>OK</v>
      </c>
      <c r="M1861" t="str">
        <f t="shared" si="88"/>
        <v>ERRO</v>
      </c>
      <c r="N1861" t="str">
        <f t="shared" si="89"/>
        <v>OK</v>
      </c>
    </row>
    <row r="1862" spans="1:14" x14ac:dyDescent="0.3">
      <c r="A1862">
        <v>84</v>
      </c>
      <c r="B1862">
        <v>2024</v>
      </c>
      <c r="C1862" s="2">
        <v>45653</v>
      </c>
      <c r="E1862" t="s">
        <v>58</v>
      </c>
      <c r="F1862" t="s">
        <v>40</v>
      </c>
      <c r="G1862" t="s">
        <v>492</v>
      </c>
      <c r="H1862" t="s">
        <v>492</v>
      </c>
      <c r="I1862" t="s">
        <v>518</v>
      </c>
      <c r="J1862" t="s">
        <v>620</v>
      </c>
      <c r="K1862" t="s">
        <v>492</v>
      </c>
      <c r="L1862" t="str">
        <f t="shared" si="87"/>
        <v>OK</v>
      </c>
      <c r="M1862" t="str">
        <f t="shared" si="88"/>
        <v>OK</v>
      </c>
      <c r="N1862" t="str">
        <f t="shared" si="89"/>
        <v>OK</v>
      </c>
    </row>
    <row r="1863" spans="1:14" x14ac:dyDescent="0.3">
      <c r="A1863">
        <v>84</v>
      </c>
      <c r="B1863">
        <v>2024</v>
      </c>
      <c r="C1863" s="2">
        <v>45653</v>
      </c>
      <c r="E1863" t="s">
        <v>59</v>
      </c>
      <c r="F1863" t="s">
        <v>45</v>
      </c>
      <c r="G1863" t="s">
        <v>494</v>
      </c>
      <c r="H1863" t="s">
        <v>502</v>
      </c>
      <c r="I1863" t="s">
        <v>513</v>
      </c>
      <c r="J1863" t="s">
        <v>510</v>
      </c>
      <c r="K1863" t="s">
        <v>510</v>
      </c>
      <c r="L1863" t="str">
        <f t="shared" si="87"/>
        <v>ERRO</v>
      </c>
      <c r="M1863" t="str">
        <f t="shared" si="88"/>
        <v>ERRO</v>
      </c>
      <c r="N1863" t="str">
        <f t="shared" si="89"/>
        <v>ERRO</v>
      </c>
    </row>
    <row r="1864" spans="1:14" x14ac:dyDescent="0.3">
      <c r="A1864">
        <v>84</v>
      </c>
      <c r="B1864">
        <v>2024</v>
      </c>
      <c r="C1864" s="2">
        <v>45653</v>
      </c>
      <c r="E1864" t="s">
        <v>60</v>
      </c>
      <c r="F1864" t="s">
        <v>61</v>
      </c>
      <c r="G1864" t="s">
        <v>511</v>
      </c>
      <c r="H1864" t="s">
        <v>511</v>
      </c>
      <c r="I1864" t="s">
        <v>521</v>
      </c>
      <c r="J1864" t="s">
        <v>518</v>
      </c>
      <c r="K1864" t="s">
        <v>518</v>
      </c>
      <c r="L1864" t="str">
        <f t="shared" si="87"/>
        <v>ERRO</v>
      </c>
      <c r="M1864" t="str">
        <f t="shared" si="88"/>
        <v>OK</v>
      </c>
      <c r="N1864" t="str">
        <f t="shared" si="89"/>
        <v>ERRO</v>
      </c>
    </row>
    <row r="1865" spans="1:14" x14ac:dyDescent="0.3">
      <c r="A1865">
        <v>84</v>
      </c>
      <c r="B1865">
        <v>2024</v>
      </c>
      <c r="C1865" s="2">
        <v>45653</v>
      </c>
      <c r="E1865" t="s">
        <v>63</v>
      </c>
      <c r="F1865" t="s">
        <v>40</v>
      </c>
      <c r="G1865" t="s">
        <v>591</v>
      </c>
      <c r="H1865" t="s">
        <v>507</v>
      </c>
      <c r="I1865" t="s">
        <v>507</v>
      </c>
      <c r="J1865" t="s">
        <v>621</v>
      </c>
      <c r="K1865" t="s">
        <v>509</v>
      </c>
      <c r="L1865" t="str">
        <f t="shared" si="87"/>
        <v>OK</v>
      </c>
      <c r="M1865" t="str">
        <f t="shared" si="88"/>
        <v>ERRO</v>
      </c>
      <c r="N1865" t="str">
        <f t="shared" si="89"/>
        <v>OK</v>
      </c>
    </row>
    <row r="1866" spans="1:14" x14ac:dyDescent="0.3">
      <c r="A1866">
        <v>84</v>
      </c>
      <c r="B1866">
        <v>2024</v>
      </c>
      <c r="C1866" s="2">
        <v>45653</v>
      </c>
      <c r="E1866" t="s">
        <v>64</v>
      </c>
      <c r="F1866" t="s">
        <v>40</v>
      </c>
      <c r="G1866" t="s">
        <v>507</v>
      </c>
      <c r="H1866" t="s">
        <v>531</v>
      </c>
      <c r="I1866" t="s">
        <v>622</v>
      </c>
      <c r="J1866" t="s">
        <v>515</v>
      </c>
      <c r="K1866" t="s">
        <v>515</v>
      </c>
      <c r="L1866" t="str">
        <f t="shared" si="87"/>
        <v>ERRO</v>
      </c>
      <c r="M1866" t="str">
        <f t="shared" si="88"/>
        <v>ERRO</v>
      </c>
      <c r="N1866" t="str">
        <f t="shared" si="89"/>
        <v>ERRO</v>
      </c>
    </row>
    <row r="1867" spans="1:14" x14ac:dyDescent="0.3">
      <c r="A1867">
        <v>84</v>
      </c>
      <c r="B1867">
        <v>2024</v>
      </c>
      <c r="C1867" s="2">
        <v>45653</v>
      </c>
      <c r="E1867" t="s">
        <v>66</v>
      </c>
      <c r="F1867" t="s">
        <v>45</v>
      </c>
      <c r="L1867" t="str">
        <f t="shared" si="87"/>
        <v>OK</v>
      </c>
      <c r="M1867" t="str">
        <f t="shared" si="88"/>
        <v>OK</v>
      </c>
      <c r="N1867" t="str">
        <f t="shared" si="89"/>
        <v>OK</v>
      </c>
    </row>
    <row r="1868" spans="1:14" x14ac:dyDescent="0.3">
      <c r="A1868">
        <v>84</v>
      </c>
      <c r="B1868">
        <v>2024</v>
      </c>
      <c r="C1868" s="2">
        <v>45653</v>
      </c>
      <c r="E1868" t="s">
        <v>67</v>
      </c>
      <c r="F1868" t="s">
        <v>45</v>
      </c>
      <c r="L1868" t="str">
        <f t="shared" si="87"/>
        <v>OK</v>
      </c>
      <c r="M1868" t="str">
        <f t="shared" si="88"/>
        <v>OK</v>
      </c>
      <c r="N1868" t="str">
        <f t="shared" si="89"/>
        <v>OK</v>
      </c>
    </row>
    <row r="1869" spans="1:14" x14ac:dyDescent="0.3">
      <c r="A1869">
        <v>84</v>
      </c>
      <c r="B1869">
        <v>2024</v>
      </c>
      <c r="C1869" s="2">
        <v>45653</v>
      </c>
      <c r="E1869" t="s">
        <v>68</v>
      </c>
      <c r="F1869" t="s">
        <v>45</v>
      </c>
      <c r="L1869" t="str">
        <f t="shared" si="87"/>
        <v>OK</v>
      </c>
      <c r="M1869" t="str">
        <f t="shared" si="88"/>
        <v>OK</v>
      </c>
      <c r="N1869" t="str">
        <f t="shared" si="89"/>
        <v>OK</v>
      </c>
    </row>
    <row r="1870" spans="1:14" x14ac:dyDescent="0.3">
      <c r="A1870">
        <v>84</v>
      </c>
      <c r="B1870">
        <v>2024</v>
      </c>
      <c r="C1870" s="2">
        <v>45653</v>
      </c>
      <c r="E1870" t="s">
        <v>69</v>
      </c>
      <c r="F1870" t="s">
        <v>45</v>
      </c>
      <c r="G1870" t="s">
        <v>464</v>
      </c>
      <c r="H1870" t="s">
        <v>464</v>
      </c>
      <c r="I1870" t="s">
        <v>464</v>
      </c>
      <c r="J1870" t="s">
        <v>464</v>
      </c>
      <c r="K1870" t="s">
        <v>464</v>
      </c>
      <c r="L1870" t="str">
        <f t="shared" si="87"/>
        <v>OK</v>
      </c>
      <c r="M1870" t="str">
        <f t="shared" si="88"/>
        <v>OK</v>
      </c>
      <c r="N1870" t="str">
        <f t="shared" si="89"/>
        <v>OK</v>
      </c>
    </row>
    <row r="1871" spans="1:14" x14ac:dyDescent="0.3">
      <c r="A1871">
        <v>84</v>
      </c>
      <c r="B1871">
        <v>2024</v>
      </c>
      <c r="C1871" s="2">
        <v>45653</v>
      </c>
      <c r="E1871" t="s">
        <v>70</v>
      </c>
      <c r="F1871" s="12" t="s">
        <v>71</v>
      </c>
      <c r="L1871" t="str">
        <f t="shared" si="87"/>
        <v>OK</v>
      </c>
      <c r="M1871" t="str">
        <f t="shared" si="88"/>
        <v>OK</v>
      </c>
      <c r="N1871" t="str">
        <f t="shared" si="89"/>
        <v>OK</v>
      </c>
    </row>
    <row r="1872" spans="1:14" x14ac:dyDescent="0.3">
      <c r="A1872">
        <v>85</v>
      </c>
      <c r="B1872">
        <v>2024</v>
      </c>
      <c r="C1872" s="2">
        <v>45681</v>
      </c>
      <c r="E1872" s="11" t="s">
        <v>12</v>
      </c>
      <c r="F1872" s="12" t="s">
        <v>13</v>
      </c>
      <c r="G1872" s="12"/>
      <c r="H1872" s="13">
        <v>36</v>
      </c>
      <c r="I1872" s="13">
        <v>72</v>
      </c>
      <c r="J1872" s="13">
        <v>54</v>
      </c>
      <c r="K1872" s="13">
        <v>54</v>
      </c>
      <c r="L1872" t="str">
        <f t="shared" si="87"/>
        <v>OK</v>
      </c>
      <c r="M1872" t="str">
        <f t="shared" si="88"/>
        <v>OK</v>
      </c>
      <c r="N1872" t="str">
        <f t="shared" si="89"/>
        <v>OK</v>
      </c>
    </row>
    <row r="1873" spans="1:14" x14ac:dyDescent="0.3">
      <c r="A1873">
        <v>85</v>
      </c>
      <c r="B1873">
        <v>2024</v>
      </c>
      <c r="C1873" s="2">
        <v>45681</v>
      </c>
      <c r="E1873" s="11" t="s">
        <v>14</v>
      </c>
      <c r="F1873" s="12" t="s">
        <v>13</v>
      </c>
      <c r="G1873" s="13">
        <v>96</v>
      </c>
      <c r="H1873" s="13">
        <v>54</v>
      </c>
      <c r="I1873" s="13">
        <v>96</v>
      </c>
      <c r="J1873" s="13" t="s">
        <v>168</v>
      </c>
      <c r="K1873" s="13">
        <v>90</v>
      </c>
      <c r="L1873" t="str">
        <f t="shared" si="87"/>
        <v>OK</v>
      </c>
      <c r="M1873" t="str">
        <f t="shared" si="88"/>
        <v>OK</v>
      </c>
      <c r="N1873" t="str">
        <f t="shared" si="89"/>
        <v>ERRO</v>
      </c>
    </row>
    <row r="1874" spans="1:14" x14ac:dyDescent="0.3">
      <c r="A1874">
        <v>85</v>
      </c>
      <c r="B1874">
        <v>2024</v>
      </c>
      <c r="C1874" s="2">
        <v>45681</v>
      </c>
      <c r="E1874" s="11" t="s">
        <v>15</v>
      </c>
      <c r="F1874" s="12" t="s">
        <v>13</v>
      </c>
      <c r="G1874" s="12"/>
      <c r="H1874" s="13">
        <v>40</v>
      </c>
      <c r="I1874" s="13">
        <v>60</v>
      </c>
      <c r="J1874" s="13" t="s">
        <v>461</v>
      </c>
      <c r="K1874" s="13" t="s">
        <v>174</v>
      </c>
      <c r="L1874" t="str">
        <f t="shared" si="87"/>
        <v>OK</v>
      </c>
      <c r="M1874" t="str">
        <f t="shared" si="88"/>
        <v>OK</v>
      </c>
      <c r="N1874" t="str">
        <f t="shared" si="89"/>
        <v>ERRO</v>
      </c>
    </row>
    <row r="1875" spans="1:14" x14ac:dyDescent="0.3">
      <c r="A1875">
        <v>85</v>
      </c>
      <c r="B1875">
        <v>2024</v>
      </c>
      <c r="C1875" s="2">
        <v>45681</v>
      </c>
      <c r="E1875" s="11" t="s">
        <v>16</v>
      </c>
      <c r="F1875" s="12" t="s">
        <v>13</v>
      </c>
      <c r="G1875" s="13">
        <v>30</v>
      </c>
      <c r="H1875" s="13">
        <v>25</v>
      </c>
      <c r="I1875" s="13">
        <v>50</v>
      </c>
      <c r="J1875" s="13" t="s">
        <v>213</v>
      </c>
      <c r="K1875" s="13">
        <v>30</v>
      </c>
      <c r="L1875" t="str">
        <f t="shared" si="87"/>
        <v>OK</v>
      </c>
      <c r="M1875" t="str">
        <f t="shared" si="88"/>
        <v>OK</v>
      </c>
      <c r="N1875" t="str">
        <f t="shared" si="89"/>
        <v>ERRO</v>
      </c>
    </row>
    <row r="1876" spans="1:14" x14ac:dyDescent="0.3">
      <c r="A1876">
        <v>85</v>
      </c>
      <c r="B1876">
        <v>2024</v>
      </c>
      <c r="C1876" s="2">
        <v>45681</v>
      </c>
      <c r="E1876" s="11" t="s">
        <v>17</v>
      </c>
      <c r="F1876" s="12" t="s">
        <v>13</v>
      </c>
      <c r="G1876" s="13">
        <v>30</v>
      </c>
      <c r="H1876" s="13">
        <v>25</v>
      </c>
      <c r="I1876" s="13">
        <v>50</v>
      </c>
      <c r="J1876" s="13" t="s">
        <v>213</v>
      </c>
      <c r="K1876" s="13">
        <v>30</v>
      </c>
      <c r="L1876" t="str">
        <f t="shared" si="87"/>
        <v>OK</v>
      </c>
      <c r="M1876" t="str">
        <f t="shared" si="88"/>
        <v>OK</v>
      </c>
      <c r="N1876" t="str">
        <f t="shared" si="89"/>
        <v>ERRO</v>
      </c>
    </row>
    <row r="1877" spans="1:14" x14ac:dyDescent="0.3">
      <c r="A1877">
        <v>85</v>
      </c>
      <c r="B1877">
        <v>2024</v>
      </c>
      <c r="C1877" s="2">
        <v>45681</v>
      </c>
      <c r="E1877" s="11" t="s">
        <v>18</v>
      </c>
      <c r="F1877" s="12" t="s">
        <v>13</v>
      </c>
      <c r="G1877" s="13">
        <v>60</v>
      </c>
      <c r="H1877" s="13">
        <v>60</v>
      </c>
      <c r="I1877" s="13">
        <v>120</v>
      </c>
      <c r="J1877" s="13" t="s">
        <v>462</v>
      </c>
      <c r="K1877" s="13">
        <v>63</v>
      </c>
      <c r="L1877" t="str">
        <f t="shared" si="87"/>
        <v>OK</v>
      </c>
      <c r="M1877" t="str">
        <f t="shared" si="88"/>
        <v>OK</v>
      </c>
      <c r="N1877" t="str">
        <f t="shared" si="89"/>
        <v>ERRO</v>
      </c>
    </row>
    <row r="1878" spans="1:14" ht="28.8" x14ac:dyDescent="0.3">
      <c r="A1878">
        <v>85</v>
      </c>
      <c r="B1878">
        <v>2024</v>
      </c>
      <c r="C1878" s="2">
        <v>45681</v>
      </c>
      <c r="E1878" s="11" t="s">
        <v>19</v>
      </c>
      <c r="F1878" s="12" t="s">
        <v>13</v>
      </c>
      <c r="G1878" s="13">
        <v>84</v>
      </c>
      <c r="H1878" s="13">
        <v>78</v>
      </c>
      <c r="I1878" s="13">
        <v>84</v>
      </c>
      <c r="J1878" s="13">
        <v>81</v>
      </c>
      <c r="K1878" s="13">
        <v>81</v>
      </c>
      <c r="L1878" t="str">
        <f t="shared" si="87"/>
        <v>OK</v>
      </c>
      <c r="M1878" t="str">
        <f t="shared" si="88"/>
        <v>OK</v>
      </c>
      <c r="N1878" t="str">
        <f t="shared" si="89"/>
        <v>OK</v>
      </c>
    </row>
    <row r="1879" spans="1:14" x14ac:dyDescent="0.3">
      <c r="A1879">
        <v>85</v>
      </c>
      <c r="B1879">
        <v>2024</v>
      </c>
      <c r="C1879" s="2">
        <v>45681</v>
      </c>
      <c r="E1879" s="11" t="s">
        <v>20</v>
      </c>
      <c r="F1879" s="12" t="s">
        <v>13</v>
      </c>
      <c r="G1879" s="13">
        <v>84</v>
      </c>
      <c r="H1879" s="13">
        <v>72</v>
      </c>
      <c r="I1879" s="13">
        <v>96</v>
      </c>
      <c r="J1879" s="13">
        <v>84</v>
      </c>
      <c r="K1879" s="13">
        <v>84</v>
      </c>
      <c r="L1879" t="str">
        <f t="shared" si="87"/>
        <v>OK</v>
      </c>
      <c r="M1879" t="str">
        <f t="shared" si="88"/>
        <v>OK</v>
      </c>
      <c r="N1879" t="str">
        <f t="shared" si="89"/>
        <v>OK</v>
      </c>
    </row>
    <row r="1880" spans="1:14" x14ac:dyDescent="0.3">
      <c r="A1880">
        <v>85</v>
      </c>
      <c r="B1880">
        <v>2024</v>
      </c>
      <c r="C1880" s="2">
        <v>45681</v>
      </c>
      <c r="E1880" s="11" t="s">
        <v>21</v>
      </c>
      <c r="F1880" s="12" t="s">
        <v>13</v>
      </c>
      <c r="G1880" s="13">
        <v>24</v>
      </c>
      <c r="H1880" s="13">
        <v>24</v>
      </c>
      <c r="I1880" s="13">
        <v>30</v>
      </c>
      <c r="J1880" s="13" t="s">
        <v>276</v>
      </c>
      <c r="K1880" s="13">
        <v>24</v>
      </c>
      <c r="L1880" t="str">
        <f t="shared" si="87"/>
        <v>OK</v>
      </c>
      <c r="M1880" t="str">
        <f t="shared" si="88"/>
        <v>OK</v>
      </c>
      <c r="N1880" t="str">
        <f t="shared" si="89"/>
        <v>ERRO</v>
      </c>
    </row>
    <row r="1881" spans="1:14" x14ac:dyDescent="0.3">
      <c r="A1881">
        <v>85</v>
      </c>
      <c r="B1881">
        <v>2024</v>
      </c>
      <c r="C1881" s="2">
        <v>45681</v>
      </c>
      <c r="E1881" s="11" t="s">
        <v>73</v>
      </c>
      <c r="F1881" s="12" t="s">
        <v>13</v>
      </c>
      <c r="G1881" s="13">
        <v>96</v>
      </c>
      <c r="H1881" s="13">
        <v>72</v>
      </c>
      <c r="I1881" s="13">
        <v>96</v>
      </c>
      <c r="J1881" s="13">
        <v>87</v>
      </c>
      <c r="K1881" s="13">
        <v>90</v>
      </c>
      <c r="L1881" t="str">
        <f t="shared" si="87"/>
        <v>OK</v>
      </c>
      <c r="M1881" t="str">
        <f t="shared" si="88"/>
        <v>OK</v>
      </c>
      <c r="N1881" t="str">
        <f t="shared" si="89"/>
        <v>OK</v>
      </c>
    </row>
    <row r="1882" spans="1:14" x14ac:dyDescent="0.3">
      <c r="A1882">
        <v>85</v>
      </c>
      <c r="B1882">
        <v>2024</v>
      </c>
      <c r="C1882" s="2">
        <v>45681</v>
      </c>
      <c r="E1882" s="11" t="s">
        <v>23</v>
      </c>
      <c r="F1882" s="12" t="s">
        <v>13</v>
      </c>
      <c r="G1882" s="13">
        <v>30</v>
      </c>
      <c r="H1882" s="13">
        <v>25</v>
      </c>
      <c r="I1882" s="13">
        <v>36</v>
      </c>
      <c r="J1882" s="13" t="s">
        <v>335</v>
      </c>
      <c r="K1882" s="13">
        <v>30</v>
      </c>
      <c r="L1882" t="str">
        <f t="shared" si="87"/>
        <v>OK</v>
      </c>
      <c r="M1882" t="str">
        <f t="shared" si="88"/>
        <v>OK</v>
      </c>
      <c r="N1882" t="str">
        <f t="shared" si="89"/>
        <v>ERRO</v>
      </c>
    </row>
    <row r="1883" spans="1:14" x14ac:dyDescent="0.3">
      <c r="A1883">
        <v>85</v>
      </c>
      <c r="B1883">
        <v>2024</v>
      </c>
      <c r="C1883" s="2">
        <v>45681</v>
      </c>
      <c r="E1883" s="11" t="s">
        <v>24</v>
      </c>
      <c r="F1883" s="12" t="s">
        <v>13</v>
      </c>
      <c r="G1883" s="13">
        <v>72</v>
      </c>
      <c r="H1883" s="13">
        <v>60</v>
      </c>
      <c r="I1883" s="13">
        <v>84</v>
      </c>
      <c r="J1883" s="13">
        <v>72</v>
      </c>
      <c r="K1883" s="13">
        <v>72</v>
      </c>
      <c r="L1883" t="str">
        <f t="shared" si="87"/>
        <v>OK</v>
      </c>
      <c r="M1883" t="str">
        <f t="shared" si="88"/>
        <v>OK</v>
      </c>
      <c r="N1883" t="str">
        <f t="shared" si="89"/>
        <v>OK</v>
      </c>
    </row>
    <row r="1884" spans="1:14" x14ac:dyDescent="0.3">
      <c r="A1884">
        <v>85</v>
      </c>
      <c r="B1884">
        <v>2024</v>
      </c>
      <c r="C1884" s="2">
        <v>45681</v>
      </c>
      <c r="E1884" s="11" t="s">
        <v>25</v>
      </c>
      <c r="F1884" s="12" t="s">
        <v>26</v>
      </c>
      <c r="G1884" s="13">
        <v>72</v>
      </c>
      <c r="H1884" s="13">
        <v>60</v>
      </c>
      <c r="I1884" s="13">
        <v>96</v>
      </c>
      <c r="J1884" s="13">
        <v>75</v>
      </c>
      <c r="K1884" s="13">
        <v>72</v>
      </c>
      <c r="L1884" t="str">
        <f t="shared" si="87"/>
        <v>OK</v>
      </c>
      <c r="M1884" t="str">
        <f t="shared" si="88"/>
        <v>OK</v>
      </c>
      <c r="N1884" t="str">
        <f t="shared" si="89"/>
        <v>OK</v>
      </c>
    </row>
    <row r="1885" spans="1:14" x14ac:dyDescent="0.3">
      <c r="A1885">
        <v>85</v>
      </c>
      <c r="B1885">
        <v>2024</v>
      </c>
      <c r="C1885" s="2">
        <v>45681</v>
      </c>
      <c r="E1885" s="11" t="s">
        <v>27</v>
      </c>
      <c r="F1885" s="12" t="s">
        <v>13</v>
      </c>
      <c r="G1885" s="13">
        <v>60</v>
      </c>
      <c r="H1885" s="13">
        <v>54</v>
      </c>
      <c r="I1885" s="13">
        <v>72</v>
      </c>
      <c r="J1885" s="13" t="s">
        <v>141</v>
      </c>
      <c r="K1885" s="13">
        <v>60</v>
      </c>
      <c r="L1885" t="str">
        <f t="shared" si="87"/>
        <v>OK</v>
      </c>
      <c r="M1885" t="str">
        <f t="shared" si="88"/>
        <v>OK</v>
      </c>
      <c r="N1885" t="str">
        <f t="shared" si="89"/>
        <v>ERRO</v>
      </c>
    </row>
    <row r="1886" spans="1:14" x14ac:dyDescent="0.3">
      <c r="A1886">
        <v>85</v>
      </c>
      <c r="B1886">
        <v>2024</v>
      </c>
      <c r="C1886" s="2">
        <v>45681</v>
      </c>
      <c r="E1886" s="11" t="s">
        <v>28</v>
      </c>
      <c r="F1886" s="12" t="s">
        <v>13</v>
      </c>
      <c r="G1886" s="13">
        <v>48</v>
      </c>
      <c r="H1886" s="13">
        <v>36</v>
      </c>
      <c r="I1886" s="13">
        <v>48</v>
      </c>
      <c r="J1886" s="13">
        <v>42</v>
      </c>
      <c r="K1886" s="13">
        <v>42</v>
      </c>
      <c r="L1886" t="str">
        <f t="shared" si="87"/>
        <v>OK</v>
      </c>
      <c r="M1886" t="str">
        <f t="shared" si="88"/>
        <v>OK</v>
      </c>
      <c r="N1886" t="str">
        <f t="shared" si="89"/>
        <v>OK</v>
      </c>
    </row>
    <row r="1887" spans="1:14" x14ac:dyDescent="0.3">
      <c r="A1887">
        <v>85</v>
      </c>
      <c r="B1887">
        <v>2024</v>
      </c>
      <c r="C1887" s="2">
        <v>45681</v>
      </c>
      <c r="E1887" s="11" t="s">
        <v>29</v>
      </c>
      <c r="F1887" s="12" t="s">
        <v>13</v>
      </c>
      <c r="G1887" s="13">
        <v>54</v>
      </c>
      <c r="H1887" s="13">
        <v>48</v>
      </c>
      <c r="I1887" s="13">
        <v>60</v>
      </c>
      <c r="J1887" s="13">
        <v>54</v>
      </c>
      <c r="K1887" s="13">
        <v>54</v>
      </c>
      <c r="L1887" t="str">
        <f t="shared" si="87"/>
        <v>OK</v>
      </c>
      <c r="M1887" t="str">
        <f t="shared" si="88"/>
        <v>OK</v>
      </c>
      <c r="N1887" t="str">
        <f t="shared" si="89"/>
        <v>OK</v>
      </c>
    </row>
    <row r="1888" spans="1:14" x14ac:dyDescent="0.3">
      <c r="A1888">
        <v>85</v>
      </c>
      <c r="B1888">
        <v>2024</v>
      </c>
      <c r="C1888" s="2">
        <v>45681</v>
      </c>
      <c r="E1888" s="11" t="s">
        <v>31</v>
      </c>
      <c r="F1888" s="12" t="s">
        <v>32</v>
      </c>
      <c r="G1888" s="13">
        <v>5</v>
      </c>
      <c r="H1888" s="13">
        <v>5</v>
      </c>
      <c r="I1888" s="13">
        <v>5</v>
      </c>
      <c r="J1888" s="13">
        <v>5</v>
      </c>
      <c r="K1888" s="13">
        <v>5</v>
      </c>
      <c r="L1888" t="str">
        <f t="shared" si="87"/>
        <v>OK</v>
      </c>
      <c r="M1888" t="str">
        <f t="shared" si="88"/>
        <v>OK</v>
      </c>
      <c r="N1888" t="str">
        <f t="shared" si="89"/>
        <v>OK</v>
      </c>
    </row>
    <row r="1889" spans="1:14" x14ac:dyDescent="0.3">
      <c r="A1889">
        <v>85</v>
      </c>
      <c r="B1889">
        <v>2024</v>
      </c>
      <c r="C1889" s="2">
        <v>45681</v>
      </c>
      <c r="E1889" s="11" t="s">
        <v>34</v>
      </c>
      <c r="F1889" s="12" t="s">
        <v>35</v>
      </c>
      <c r="G1889" s="13">
        <v>20</v>
      </c>
      <c r="H1889" s="13">
        <v>20</v>
      </c>
      <c r="I1889" s="13">
        <v>25</v>
      </c>
      <c r="J1889" s="13" t="s">
        <v>37</v>
      </c>
      <c r="K1889" s="13" t="s">
        <v>37</v>
      </c>
      <c r="L1889" t="str">
        <f t="shared" si="87"/>
        <v>OK</v>
      </c>
      <c r="M1889" t="str">
        <f t="shared" si="88"/>
        <v>OK</v>
      </c>
      <c r="N1889" t="str">
        <f t="shared" si="89"/>
        <v>ERRO</v>
      </c>
    </row>
    <row r="1890" spans="1:14" x14ac:dyDescent="0.3">
      <c r="A1890">
        <v>85</v>
      </c>
      <c r="B1890">
        <v>2024</v>
      </c>
      <c r="C1890" s="2">
        <v>45681</v>
      </c>
      <c r="E1890" s="11" t="s">
        <v>36</v>
      </c>
      <c r="F1890" s="12" t="s">
        <v>35</v>
      </c>
      <c r="G1890" s="13">
        <v>25</v>
      </c>
      <c r="H1890" s="13">
        <v>25</v>
      </c>
      <c r="I1890" s="13">
        <v>30</v>
      </c>
      <c r="J1890" s="13" t="s">
        <v>257</v>
      </c>
      <c r="K1890" s="13" t="s">
        <v>257</v>
      </c>
      <c r="L1890" t="str">
        <f t="shared" si="87"/>
        <v>OK</v>
      </c>
      <c r="M1890" t="str">
        <f t="shared" si="88"/>
        <v>OK</v>
      </c>
      <c r="N1890" t="str">
        <f t="shared" si="89"/>
        <v>ERRO</v>
      </c>
    </row>
    <row r="1891" spans="1:14" x14ac:dyDescent="0.3">
      <c r="A1891">
        <v>85</v>
      </c>
      <c r="B1891">
        <v>2024</v>
      </c>
      <c r="C1891" s="2">
        <v>45681</v>
      </c>
      <c r="E1891" s="11" t="s">
        <v>352</v>
      </c>
      <c r="F1891" s="12" t="s">
        <v>154</v>
      </c>
      <c r="G1891" s="13">
        <v>70</v>
      </c>
      <c r="H1891" s="13">
        <v>70</v>
      </c>
      <c r="I1891" s="13">
        <v>75</v>
      </c>
      <c r="J1891" s="13" t="s">
        <v>279</v>
      </c>
      <c r="K1891" s="13">
        <v>70</v>
      </c>
      <c r="L1891" t="str">
        <f t="shared" si="87"/>
        <v>OK</v>
      </c>
      <c r="M1891" t="str">
        <f t="shared" si="88"/>
        <v>OK</v>
      </c>
      <c r="N1891" t="str">
        <f t="shared" si="89"/>
        <v>ERRO</v>
      </c>
    </row>
    <row r="1892" spans="1:14" x14ac:dyDescent="0.3">
      <c r="A1892">
        <v>85</v>
      </c>
      <c r="B1892">
        <v>2024</v>
      </c>
      <c r="C1892" s="2">
        <v>45681</v>
      </c>
      <c r="E1892" s="11" t="s">
        <v>39</v>
      </c>
      <c r="F1892" s="12" t="s">
        <v>40</v>
      </c>
      <c r="G1892" s="13">
        <v>50</v>
      </c>
      <c r="H1892" s="13">
        <v>50</v>
      </c>
      <c r="I1892" s="13">
        <v>60</v>
      </c>
      <c r="J1892" s="13" t="s">
        <v>242</v>
      </c>
      <c r="K1892" s="13">
        <v>50</v>
      </c>
      <c r="L1892" t="str">
        <f t="shared" si="87"/>
        <v>OK</v>
      </c>
      <c r="M1892" t="str">
        <f t="shared" si="88"/>
        <v>OK</v>
      </c>
      <c r="N1892" t="str">
        <f t="shared" si="89"/>
        <v>ERRO</v>
      </c>
    </row>
    <row r="1893" spans="1:14" x14ac:dyDescent="0.3">
      <c r="A1893">
        <v>85</v>
      </c>
      <c r="B1893">
        <v>2024</v>
      </c>
      <c r="C1893" s="2">
        <v>45681</v>
      </c>
      <c r="E1893" s="11" t="s">
        <v>42</v>
      </c>
      <c r="F1893" s="12" t="s">
        <v>43</v>
      </c>
      <c r="G1893" s="13">
        <v>70</v>
      </c>
      <c r="H1893" s="13">
        <v>45</v>
      </c>
      <c r="I1893" s="13">
        <v>70</v>
      </c>
      <c r="J1893" s="13" t="s">
        <v>80</v>
      </c>
      <c r="K1893" s="13" t="s">
        <v>84</v>
      </c>
      <c r="L1893" t="str">
        <f t="shared" si="87"/>
        <v>OK</v>
      </c>
      <c r="M1893" t="str">
        <f t="shared" si="88"/>
        <v>OK</v>
      </c>
      <c r="N1893" t="str">
        <f t="shared" si="89"/>
        <v>ERRO</v>
      </c>
    </row>
    <row r="1894" spans="1:14" x14ac:dyDescent="0.3">
      <c r="A1894">
        <v>85</v>
      </c>
      <c r="B1894">
        <v>2024</v>
      </c>
      <c r="C1894" s="2">
        <v>45681</v>
      </c>
      <c r="E1894" s="11" t="s">
        <v>44</v>
      </c>
      <c r="F1894" s="12" t="s">
        <v>45</v>
      </c>
      <c r="G1894" s="12"/>
      <c r="H1894" s="13">
        <v>40</v>
      </c>
      <c r="I1894" s="13">
        <v>65</v>
      </c>
      <c r="J1894" s="13" t="s">
        <v>92</v>
      </c>
      <c r="K1894" s="13">
        <v>55</v>
      </c>
      <c r="L1894" t="str">
        <f t="shared" si="87"/>
        <v>OK</v>
      </c>
      <c r="M1894" t="str">
        <f t="shared" si="88"/>
        <v>OK</v>
      </c>
      <c r="N1894" t="str">
        <f t="shared" si="89"/>
        <v>ERRO</v>
      </c>
    </row>
    <row r="1895" spans="1:14" x14ac:dyDescent="0.3">
      <c r="A1895">
        <v>85</v>
      </c>
      <c r="B1895">
        <v>2024</v>
      </c>
      <c r="C1895" s="2">
        <v>45681</v>
      </c>
      <c r="E1895" s="11" t="s">
        <v>48</v>
      </c>
      <c r="F1895" s="12" t="s">
        <v>45</v>
      </c>
      <c r="G1895" s="12"/>
      <c r="H1895" s="13">
        <v>65</v>
      </c>
      <c r="I1895" s="13">
        <v>75</v>
      </c>
      <c r="J1895" s="13">
        <v>70</v>
      </c>
      <c r="K1895" s="13">
        <v>70</v>
      </c>
      <c r="L1895" t="str">
        <f t="shared" si="87"/>
        <v>OK</v>
      </c>
      <c r="M1895" t="str">
        <f t="shared" si="88"/>
        <v>OK</v>
      </c>
      <c r="N1895" t="str">
        <f t="shared" si="89"/>
        <v>OK</v>
      </c>
    </row>
    <row r="1896" spans="1:14" x14ac:dyDescent="0.3">
      <c r="A1896">
        <v>85</v>
      </c>
      <c r="B1896">
        <v>2024</v>
      </c>
      <c r="C1896" s="2">
        <v>45681</v>
      </c>
      <c r="E1896" s="11" t="s">
        <v>49</v>
      </c>
      <c r="F1896" s="12" t="s">
        <v>50</v>
      </c>
      <c r="G1896" s="13">
        <v>60</v>
      </c>
      <c r="H1896" s="13">
        <v>50</v>
      </c>
      <c r="I1896" s="13">
        <v>60</v>
      </c>
      <c r="J1896" s="13">
        <v>55</v>
      </c>
      <c r="K1896" s="13">
        <v>55</v>
      </c>
      <c r="L1896" t="str">
        <f t="shared" si="87"/>
        <v>OK</v>
      </c>
      <c r="M1896" t="str">
        <f t="shared" si="88"/>
        <v>OK</v>
      </c>
      <c r="N1896" t="str">
        <f t="shared" si="89"/>
        <v>OK</v>
      </c>
    </row>
    <row r="1897" spans="1:14" x14ac:dyDescent="0.3">
      <c r="A1897">
        <v>85</v>
      </c>
      <c r="B1897">
        <v>2024</v>
      </c>
      <c r="C1897" s="2">
        <v>45681</v>
      </c>
      <c r="E1897" s="11" t="s">
        <v>52</v>
      </c>
      <c r="F1897" s="12" t="s">
        <v>43</v>
      </c>
      <c r="G1897" s="12"/>
      <c r="H1897" s="13">
        <v>60</v>
      </c>
      <c r="I1897" s="13">
        <v>100</v>
      </c>
      <c r="J1897" s="13">
        <v>80</v>
      </c>
      <c r="K1897" s="13">
        <v>80</v>
      </c>
      <c r="L1897" t="str">
        <f t="shared" si="87"/>
        <v>OK</v>
      </c>
      <c r="M1897" t="str">
        <f t="shared" si="88"/>
        <v>OK</v>
      </c>
      <c r="N1897" t="str">
        <f t="shared" si="89"/>
        <v>OK</v>
      </c>
    </row>
    <row r="1898" spans="1:14" x14ac:dyDescent="0.3">
      <c r="A1898">
        <v>85</v>
      </c>
      <c r="B1898">
        <v>2024</v>
      </c>
      <c r="C1898" s="2">
        <v>45681</v>
      </c>
      <c r="E1898" s="11" t="s">
        <v>53</v>
      </c>
      <c r="F1898" s="12" t="s">
        <v>43</v>
      </c>
      <c r="G1898" s="12"/>
      <c r="H1898" s="13">
        <v>45</v>
      </c>
      <c r="I1898" s="13">
        <v>90</v>
      </c>
      <c r="J1898" s="13" t="s">
        <v>286</v>
      </c>
      <c r="K1898" s="13">
        <v>60</v>
      </c>
      <c r="L1898" t="str">
        <f t="shared" si="87"/>
        <v>OK</v>
      </c>
      <c r="M1898" t="str">
        <f t="shared" si="88"/>
        <v>OK</v>
      </c>
      <c r="N1898" t="str">
        <f t="shared" si="89"/>
        <v>ERRO</v>
      </c>
    </row>
    <row r="1899" spans="1:14" x14ac:dyDescent="0.3">
      <c r="A1899">
        <v>85</v>
      </c>
      <c r="B1899">
        <v>2024</v>
      </c>
      <c r="C1899" s="2">
        <v>45681</v>
      </c>
      <c r="E1899" s="11" t="s">
        <v>54</v>
      </c>
      <c r="F1899" s="12" t="s">
        <v>40</v>
      </c>
      <c r="G1899" s="12"/>
      <c r="H1899" s="13">
        <v>70</v>
      </c>
      <c r="I1899" s="13">
        <v>100</v>
      </c>
      <c r="J1899" s="13">
        <v>85</v>
      </c>
      <c r="K1899" s="13">
        <v>85</v>
      </c>
      <c r="L1899" t="str">
        <f t="shared" si="87"/>
        <v>OK</v>
      </c>
      <c r="M1899" t="str">
        <f t="shared" si="88"/>
        <v>OK</v>
      </c>
      <c r="N1899" t="str">
        <f t="shared" si="89"/>
        <v>OK</v>
      </c>
    </row>
    <row r="1900" spans="1:14" x14ac:dyDescent="0.3">
      <c r="A1900">
        <v>85</v>
      </c>
      <c r="B1900">
        <v>2024</v>
      </c>
      <c r="C1900" s="2">
        <v>45681</v>
      </c>
      <c r="E1900" s="11" t="s">
        <v>56</v>
      </c>
      <c r="F1900" s="12" t="s">
        <v>43</v>
      </c>
      <c r="G1900" s="12"/>
      <c r="H1900" s="13">
        <v>50</v>
      </c>
      <c r="I1900" s="13">
        <v>75</v>
      </c>
      <c r="J1900" s="13" t="s">
        <v>80</v>
      </c>
      <c r="K1900" s="13" t="s">
        <v>80</v>
      </c>
      <c r="L1900" t="str">
        <f t="shared" si="87"/>
        <v>OK</v>
      </c>
      <c r="M1900" t="str">
        <f t="shared" si="88"/>
        <v>OK</v>
      </c>
      <c r="N1900" t="str">
        <f t="shared" si="89"/>
        <v>ERRO</v>
      </c>
    </row>
    <row r="1901" spans="1:14" x14ac:dyDescent="0.3">
      <c r="A1901">
        <v>85</v>
      </c>
      <c r="B1901">
        <v>2024</v>
      </c>
      <c r="C1901" s="2">
        <v>45681</v>
      </c>
      <c r="E1901" s="11" t="s">
        <v>57</v>
      </c>
      <c r="F1901" s="12" t="s">
        <v>40</v>
      </c>
      <c r="G1901" s="13">
        <v>80</v>
      </c>
      <c r="H1901" s="13">
        <v>45</v>
      </c>
      <c r="I1901" s="13">
        <v>80</v>
      </c>
      <c r="J1901" s="13" t="s">
        <v>62</v>
      </c>
      <c r="K1901" s="13">
        <v>80</v>
      </c>
      <c r="L1901" t="str">
        <f t="shared" si="87"/>
        <v>OK</v>
      </c>
      <c r="M1901" t="str">
        <f t="shared" si="88"/>
        <v>OK</v>
      </c>
      <c r="N1901" t="str">
        <f t="shared" si="89"/>
        <v>ERRO</v>
      </c>
    </row>
    <row r="1902" spans="1:14" x14ac:dyDescent="0.3">
      <c r="A1902">
        <v>85</v>
      </c>
      <c r="B1902">
        <v>2024</v>
      </c>
      <c r="C1902" s="2">
        <v>45681</v>
      </c>
      <c r="E1902" s="11" t="s">
        <v>58</v>
      </c>
      <c r="F1902" s="12" t="s">
        <v>40</v>
      </c>
      <c r="G1902" s="13">
        <v>90</v>
      </c>
      <c r="H1902" s="13">
        <v>80</v>
      </c>
      <c r="I1902" s="13">
        <v>120</v>
      </c>
      <c r="J1902" s="13">
        <v>95</v>
      </c>
      <c r="K1902" s="13">
        <v>90</v>
      </c>
      <c r="L1902" t="str">
        <f t="shared" si="87"/>
        <v>OK</v>
      </c>
      <c r="M1902" t="str">
        <f t="shared" si="88"/>
        <v>OK</v>
      </c>
      <c r="N1902" t="str">
        <f t="shared" si="89"/>
        <v>OK</v>
      </c>
    </row>
    <row r="1903" spans="1:14" x14ac:dyDescent="0.3">
      <c r="A1903">
        <v>85</v>
      </c>
      <c r="B1903">
        <v>2024</v>
      </c>
      <c r="C1903" s="2">
        <v>45681</v>
      </c>
      <c r="E1903" s="11" t="s">
        <v>59</v>
      </c>
      <c r="F1903" s="12" t="s">
        <v>45</v>
      </c>
      <c r="G1903" s="13">
        <v>30</v>
      </c>
      <c r="H1903" s="13">
        <v>20</v>
      </c>
      <c r="I1903" s="13">
        <v>40</v>
      </c>
      <c r="J1903" s="13">
        <v>30</v>
      </c>
      <c r="K1903" s="13">
        <v>30</v>
      </c>
      <c r="L1903" t="str">
        <f t="shared" si="87"/>
        <v>OK</v>
      </c>
      <c r="M1903" t="str">
        <f t="shared" si="88"/>
        <v>OK</v>
      </c>
      <c r="N1903" t="str">
        <f t="shared" si="89"/>
        <v>OK</v>
      </c>
    </row>
    <row r="1904" spans="1:14" x14ac:dyDescent="0.3">
      <c r="A1904">
        <v>85</v>
      </c>
      <c r="B1904">
        <v>2024</v>
      </c>
      <c r="C1904" s="2">
        <v>45681</v>
      </c>
      <c r="E1904" s="11" t="s">
        <v>60</v>
      </c>
      <c r="F1904" s="12" t="s">
        <v>61</v>
      </c>
      <c r="G1904" s="13">
        <v>90</v>
      </c>
      <c r="H1904" s="13">
        <v>50</v>
      </c>
      <c r="I1904" s="13">
        <v>90</v>
      </c>
      <c r="J1904" s="13" t="s">
        <v>155</v>
      </c>
      <c r="K1904" s="13" t="s">
        <v>239</v>
      </c>
      <c r="L1904" t="str">
        <f t="shared" si="87"/>
        <v>OK</v>
      </c>
      <c r="M1904" t="str">
        <f t="shared" si="88"/>
        <v>OK</v>
      </c>
      <c r="N1904" t="str">
        <f t="shared" si="89"/>
        <v>ERRO</v>
      </c>
    </row>
    <row r="1905" spans="1:14" x14ac:dyDescent="0.3">
      <c r="A1905">
        <v>85</v>
      </c>
      <c r="B1905">
        <v>2024</v>
      </c>
      <c r="C1905" s="2">
        <v>45681</v>
      </c>
      <c r="E1905" s="11" t="s">
        <v>63</v>
      </c>
      <c r="F1905" s="12" t="s">
        <v>40</v>
      </c>
      <c r="G1905" s="12"/>
      <c r="H1905" s="13">
        <v>60</v>
      </c>
      <c r="I1905" s="13">
        <v>120</v>
      </c>
      <c r="J1905" s="13" t="s">
        <v>307</v>
      </c>
      <c r="K1905" s="13">
        <v>95</v>
      </c>
      <c r="L1905" t="str">
        <f t="shared" si="87"/>
        <v>OK</v>
      </c>
      <c r="M1905" t="str">
        <f t="shared" si="88"/>
        <v>OK</v>
      </c>
      <c r="N1905" t="str">
        <f t="shared" si="89"/>
        <v>ERRO</v>
      </c>
    </row>
    <row r="1906" spans="1:14" x14ac:dyDescent="0.3">
      <c r="A1906">
        <v>85</v>
      </c>
      <c r="B1906">
        <v>2024</v>
      </c>
      <c r="C1906" s="2">
        <v>45681</v>
      </c>
      <c r="E1906" s="11" t="s">
        <v>64</v>
      </c>
      <c r="F1906" s="12" t="s">
        <v>40</v>
      </c>
      <c r="G1906" s="13">
        <v>50</v>
      </c>
      <c r="H1906" s="13">
        <v>50</v>
      </c>
      <c r="I1906" s="13">
        <v>70</v>
      </c>
      <c r="J1906" s="13" t="s">
        <v>55</v>
      </c>
      <c r="K1906" s="13">
        <v>50</v>
      </c>
      <c r="L1906" t="str">
        <f t="shared" si="87"/>
        <v>OK</v>
      </c>
      <c r="M1906" t="str">
        <f t="shared" si="88"/>
        <v>OK</v>
      </c>
      <c r="N1906" t="str">
        <f t="shared" si="89"/>
        <v>ERRO</v>
      </c>
    </row>
    <row r="1907" spans="1:14" x14ac:dyDescent="0.3">
      <c r="A1907">
        <v>85</v>
      </c>
      <c r="B1907">
        <v>2024</v>
      </c>
      <c r="C1907" s="2">
        <v>45681</v>
      </c>
      <c r="E1907" s="11" t="s">
        <v>66</v>
      </c>
      <c r="F1907" s="12" t="s">
        <v>45</v>
      </c>
      <c r="G1907" s="12"/>
      <c r="H1907" s="12"/>
      <c r="I1907" s="12"/>
      <c r="J1907" s="12"/>
      <c r="K1907" s="12"/>
      <c r="L1907" t="str">
        <f t="shared" si="87"/>
        <v>OK</v>
      </c>
      <c r="M1907" t="str">
        <f t="shared" si="88"/>
        <v>OK</v>
      </c>
      <c r="N1907" t="str">
        <f t="shared" si="89"/>
        <v>OK</v>
      </c>
    </row>
    <row r="1908" spans="1:14" x14ac:dyDescent="0.3">
      <c r="A1908">
        <v>85</v>
      </c>
      <c r="B1908">
        <v>2024</v>
      </c>
      <c r="C1908" s="2">
        <v>45681</v>
      </c>
      <c r="E1908" s="11" t="s">
        <v>67</v>
      </c>
      <c r="F1908" s="12" t="s">
        <v>45</v>
      </c>
      <c r="G1908" s="12"/>
      <c r="H1908" s="12"/>
      <c r="I1908" s="12"/>
      <c r="J1908" s="12"/>
      <c r="K1908" s="12"/>
      <c r="L1908" t="str">
        <f t="shared" si="87"/>
        <v>OK</v>
      </c>
      <c r="M1908" t="str">
        <f t="shared" si="88"/>
        <v>OK</v>
      </c>
      <c r="N1908" t="str">
        <f t="shared" si="89"/>
        <v>OK</v>
      </c>
    </row>
    <row r="1909" spans="1:14" x14ac:dyDescent="0.3">
      <c r="A1909">
        <v>85</v>
      </c>
      <c r="B1909">
        <v>2024</v>
      </c>
      <c r="C1909" s="2">
        <v>45681</v>
      </c>
      <c r="E1909" s="11" t="s">
        <v>68</v>
      </c>
      <c r="F1909" s="12" t="s">
        <v>45</v>
      </c>
      <c r="G1909" s="12"/>
      <c r="H1909" s="12"/>
      <c r="I1909" s="12"/>
      <c r="J1909" s="12"/>
      <c r="K1909" s="12"/>
      <c r="L1909" t="str">
        <f t="shared" si="87"/>
        <v>OK</v>
      </c>
      <c r="M1909" t="str">
        <f t="shared" si="88"/>
        <v>OK</v>
      </c>
      <c r="N1909" t="str">
        <f t="shared" si="89"/>
        <v>OK</v>
      </c>
    </row>
    <row r="1910" spans="1:14" x14ac:dyDescent="0.3">
      <c r="A1910">
        <v>85</v>
      </c>
      <c r="B1910">
        <v>2024</v>
      </c>
      <c r="C1910" s="2">
        <v>45681</v>
      </c>
      <c r="E1910" s="11" t="s">
        <v>69</v>
      </c>
      <c r="F1910" s="12" t="s">
        <v>45</v>
      </c>
      <c r="G1910" s="12"/>
      <c r="H1910" s="12"/>
      <c r="I1910" s="12"/>
      <c r="J1910" s="12"/>
      <c r="K1910" s="12"/>
      <c r="L1910" t="str">
        <f t="shared" si="87"/>
        <v>OK</v>
      </c>
      <c r="M1910" t="str">
        <f t="shared" si="88"/>
        <v>OK</v>
      </c>
      <c r="N1910" t="str">
        <f t="shared" si="89"/>
        <v>OK</v>
      </c>
    </row>
    <row r="1911" spans="1:14" x14ac:dyDescent="0.3">
      <c r="A1911">
        <v>85</v>
      </c>
      <c r="B1911">
        <v>2024</v>
      </c>
      <c r="C1911" s="2">
        <v>45681</v>
      </c>
      <c r="E1911" s="11" t="s">
        <v>70</v>
      </c>
      <c r="F1911" s="12" t="s">
        <v>71</v>
      </c>
      <c r="G1911" s="12"/>
      <c r="H1911" s="12"/>
      <c r="I1911" s="12"/>
      <c r="J1911" s="12"/>
      <c r="K1911" s="12"/>
      <c r="L1911" t="str">
        <f t="shared" si="87"/>
        <v>OK</v>
      </c>
      <c r="M1911" t="str">
        <f t="shared" si="88"/>
        <v>OK</v>
      </c>
      <c r="N1911" t="str">
        <f t="shared" si="89"/>
        <v>OK</v>
      </c>
    </row>
    <row r="1912" spans="1:14" x14ac:dyDescent="0.3">
      <c r="A1912">
        <v>86</v>
      </c>
      <c r="B1912">
        <v>2024</v>
      </c>
      <c r="C1912" s="2">
        <v>45667</v>
      </c>
      <c r="E1912" t="s">
        <v>12</v>
      </c>
      <c r="F1912" t="s">
        <v>13</v>
      </c>
      <c r="G1912" t="s">
        <v>536</v>
      </c>
      <c r="H1912" t="s">
        <v>466</v>
      </c>
      <c r="I1912" t="s">
        <v>466</v>
      </c>
      <c r="J1912" t="s">
        <v>464</v>
      </c>
      <c r="K1912" t="s">
        <v>565</v>
      </c>
      <c r="L1912" t="str">
        <f t="shared" si="87"/>
        <v>OK</v>
      </c>
      <c r="M1912" t="str">
        <f t="shared" si="88"/>
        <v>ERRO</v>
      </c>
      <c r="N1912" t="str">
        <f t="shared" si="89"/>
        <v>OK</v>
      </c>
    </row>
    <row r="1913" spans="1:14" x14ac:dyDescent="0.3">
      <c r="A1913">
        <v>86</v>
      </c>
      <c r="B1913">
        <v>2024</v>
      </c>
      <c r="C1913" s="2">
        <v>45667</v>
      </c>
      <c r="E1913" t="s">
        <v>14</v>
      </c>
      <c r="F1913" t="s">
        <v>13</v>
      </c>
      <c r="G1913" t="s">
        <v>467</v>
      </c>
      <c r="H1913" t="s">
        <v>467</v>
      </c>
      <c r="I1913" t="s">
        <v>579</v>
      </c>
      <c r="J1913" t="s">
        <v>467</v>
      </c>
      <c r="K1913" t="s">
        <v>623</v>
      </c>
      <c r="L1913" t="str">
        <f t="shared" si="87"/>
        <v>OK</v>
      </c>
      <c r="M1913" t="str">
        <f t="shared" si="88"/>
        <v>OK</v>
      </c>
      <c r="N1913" t="str">
        <f t="shared" si="89"/>
        <v>OK</v>
      </c>
    </row>
    <row r="1914" spans="1:14" x14ac:dyDescent="0.3">
      <c r="A1914">
        <v>86</v>
      </c>
      <c r="B1914">
        <v>2024</v>
      </c>
      <c r="C1914" s="2">
        <v>45667</v>
      </c>
      <c r="E1914" t="s">
        <v>15</v>
      </c>
      <c r="F1914" t="s">
        <v>13</v>
      </c>
      <c r="G1914" t="s">
        <v>496</v>
      </c>
      <c r="H1914" t="s">
        <v>536</v>
      </c>
      <c r="I1914" t="s">
        <v>464</v>
      </c>
      <c r="J1914" t="s">
        <v>624</v>
      </c>
      <c r="K1914" t="s">
        <v>496</v>
      </c>
      <c r="L1914" t="str">
        <f t="shared" si="87"/>
        <v>OK</v>
      </c>
      <c r="M1914" t="str">
        <f t="shared" si="88"/>
        <v>OK</v>
      </c>
      <c r="N1914" t="str">
        <f t="shared" si="89"/>
        <v>OK</v>
      </c>
    </row>
    <row r="1915" spans="1:14" x14ac:dyDescent="0.3">
      <c r="A1915">
        <v>86</v>
      </c>
      <c r="B1915">
        <v>2024</v>
      </c>
      <c r="C1915" s="2">
        <v>45667</v>
      </c>
      <c r="E1915" t="s">
        <v>16</v>
      </c>
      <c r="F1915" t="s">
        <v>13</v>
      </c>
      <c r="G1915" t="s">
        <v>468</v>
      </c>
      <c r="H1915" t="s">
        <v>472</v>
      </c>
      <c r="I1915" t="s">
        <v>463</v>
      </c>
      <c r="J1915" t="s">
        <v>625</v>
      </c>
      <c r="K1915" t="s">
        <v>468</v>
      </c>
      <c r="L1915" t="str">
        <f t="shared" si="87"/>
        <v>OK</v>
      </c>
      <c r="M1915" t="str">
        <f t="shared" si="88"/>
        <v>OK</v>
      </c>
      <c r="N1915" t="str">
        <f t="shared" si="89"/>
        <v>OK</v>
      </c>
    </row>
    <row r="1916" spans="1:14" x14ac:dyDescent="0.3">
      <c r="A1916">
        <v>86</v>
      </c>
      <c r="B1916">
        <v>2024</v>
      </c>
      <c r="C1916" s="2">
        <v>45667</v>
      </c>
      <c r="E1916" t="s">
        <v>17</v>
      </c>
      <c r="F1916" t="s">
        <v>13</v>
      </c>
      <c r="H1916" t="s">
        <v>472</v>
      </c>
      <c r="I1916" t="s">
        <v>463</v>
      </c>
      <c r="J1916" t="s">
        <v>626</v>
      </c>
      <c r="K1916" t="s">
        <v>490</v>
      </c>
      <c r="L1916" t="str">
        <f t="shared" si="87"/>
        <v>OK</v>
      </c>
      <c r="M1916" t="str">
        <f t="shared" si="88"/>
        <v>OK</v>
      </c>
      <c r="N1916" t="str">
        <f t="shared" si="89"/>
        <v>OK</v>
      </c>
    </row>
    <row r="1917" spans="1:14" x14ac:dyDescent="0.3">
      <c r="A1917">
        <v>86</v>
      </c>
      <c r="B1917">
        <v>2024</v>
      </c>
      <c r="C1917" s="2">
        <v>45667</v>
      </c>
      <c r="E1917" t="s">
        <v>18</v>
      </c>
      <c r="F1917" t="s">
        <v>13</v>
      </c>
      <c r="G1917" t="s">
        <v>464</v>
      </c>
      <c r="H1917" t="s">
        <v>464</v>
      </c>
      <c r="I1917" t="s">
        <v>522</v>
      </c>
      <c r="J1917" t="s">
        <v>563</v>
      </c>
      <c r="K1917" t="s">
        <v>464</v>
      </c>
      <c r="L1917" t="str">
        <f t="shared" si="87"/>
        <v>OK</v>
      </c>
      <c r="M1917" t="str">
        <f t="shared" si="88"/>
        <v>OK</v>
      </c>
      <c r="N1917" t="str">
        <f t="shared" si="89"/>
        <v>OK</v>
      </c>
    </row>
    <row r="1918" spans="1:14" x14ac:dyDescent="0.3">
      <c r="A1918">
        <v>86</v>
      </c>
      <c r="B1918">
        <v>2024</v>
      </c>
      <c r="C1918" s="2">
        <v>45667</v>
      </c>
      <c r="E1918" t="s">
        <v>19</v>
      </c>
      <c r="F1918" t="s">
        <v>13</v>
      </c>
      <c r="H1918" t="s">
        <v>463</v>
      </c>
      <c r="I1918" t="s">
        <v>523</v>
      </c>
      <c r="J1918" t="s">
        <v>563</v>
      </c>
      <c r="K1918" t="s">
        <v>464</v>
      </c>
      <c r="L1918" t="str">
        <f t="shared" si="87"/>
        <v>OK</v>
      </c>
      <c r="M1918" t="str">
        <f t="shared" si="88"/>
        <v>OK</v>
      </c>
      <c r="N1918" t="str">
        <f t="shared" si="89"/>
        <v>OK</v>
      </c>
    </row>
    <row r="1919" spans="1:14" x14ac:dyDescent="0.3">
      <c r="A1919">
        <v>86</v>
      </c>
      <c r="B1919">
        <v>2024</v>
      </c>
      <c r="C1919" s="2">
        <v>45667</v>
      </c>
      <c r="E1919" t="s">
        <v>20</v>
      </c>
      <c r="F1919" t="s">
        <v>13</v>
      </c>
      <c r="G1919" t="s">
        <v>468</v>
      </c>
      <c r="H1919" t="s">
        <v>466</v>
      </c>
      <c r="I1919" t="s">
        <v>467</v>
      </c>
      <c r="J1919" t="s">
        <v>466</v>
      </c>
      <c r="K1919" t="s">
        <v>627</v>
      </c>
      <c r="L1919" t="str">
        <f t="shared" si="87"/>
        <v>OK</v>
      </c>
      <c r="M1919" t="str">
        <f t="shared" si="88"/>
        <v>OK</v>
      </c>
      <c r="N1919" t="str">
        <f t="shared" si="89"/>
        <v>OK</v>
      </c>
    </row>
    <row r="1920" spans="1:14" x14ac:dyDescent="0.3">
      <c r="A1920">
        <v>86</v>
      </c>
      <c r="B1920">
        <v>2024</v>
      </c>
      <c r="C1920" s="2">
        <v>45667</v>
      </c>
      <c r="E1920" t="s">
        <v>21</v>
      </c>
      <c r="F1920" t="s">
        <v>13</v>
      </c>
      <c r="G1920" t="s">
        <v>472</v>
      </c>
      <c r="H1920" t="s">
        <v>472</v>
      </c>
      <c r="I1920" t="s">
        <v>468</v>
      </c>
      <c r="J1920" t="s">
        <v>628</v>
      </c>
      <c r="K1920" t="s">
        <v>472</v>
      </c>
      <c r="L1920" t="str">
        <f t="shared" si="87"/>
        <v>OK</v>
      </c>
      <c r="M1920" t="str">
        <f t="shared" si="88"/>
        <v>OK</v>
      </c>
      <c r="N1920" t="str">
        <f t="shared" si="89"/>
        <v>OK</v>
      </c>
    </row>
    <row r="1921" spans="1:14" x14ac:dyDescent="0.3">
      <c r="A1921">
        <v>86</v>
      </c>
      <c r="B1921">
        <v>2024</v>
      </c>
      <c r="C1921" s="2">
        <v>45667</v>
      </c>
      <c r="E1921" t="s">
        <v>73</v>
      </c>
      <c r="F1921" t="s">
        <v>13</v>
      </c>
      <c r="G1921" t="s">
        <v>467</v>
      </c>
      <c r="H1921" t="s">
        <v>466</v>
      </c>
      <c r="I1921" t="s">
        <v>579</v>
      </c>
      <c r="J1921" t="s">
        <v>467</v>
      </c>
      <c r="K1921" t="s">
        <v>467</v>
      </c>
      <c r="L1921" t="str">
        <f t="shared" si="87"/>
        <v>OK</v>
      </c>
      <c r="M1921" t="str">
        <f t="shared" si="88"/>
        <v>OK</v>
      </c>
      <c r="N1921" t="str">
        <f t="shared" si="89"/>
        <v>OK</v>
      </c>
    </row>
    <row r="1922" spans="1:14" x14ac:dyDescent="0.3">
      <c r="A1922">
        <v>86</v>
      </c>
      <c r="B1922">
        <v>2024</v>
      </c>
      <c r="C1922" s="2">
        <v>45667</v>
      </c>
      <c r="E1922" t="s">
        <v>23</v>
      </c>
      <c r="F1922" t="s">
        <v>13</v>
      </c>
      <c r="H1922" t="s">
        <v>472</v>
      </c>
      <c r="I1922" t="s">
        <v>464</v>
      </c>
      <c r="J1922" t="s">
        <v>468</v>
      </c>
      <c r="K1922" t="s">
        <v>494</v>
      </c>
      <c r="L1922" t="str">
        <f t="shared" si="87"/>
        <v>OK</v>
      </c>
      <c r="M1922" t="str">
        <f t="shared" si="88"/>
        <v>OK</v>
      </c>
      <c r="N1922" t="str">
        <f t="shared" si="89"/>
        <v>OK</v>
      </c>
    </row>
    <row r="1923" spans="1:14" x14ac:dyDescent="0.3">
      <c r="A1923">
        <v>86</v>
      </c>
      <c r="B1923">
        <v>2024</v>
      </c>
      <c r="C1923" s="2">
        <v>45667</v>
      </c>
      <c r="E1923" t="s">
        <v>24</v>
      </c>
      <c r="F1923" t="s">
        <v>13</v>
      </c>
      <c r="G1923" t="s">
        <v>466</v>
      </c>
      <c r="H1923" t="s">
        <v>464</v>
      </c>
      <c r="I1923" t="s">
        <v>467</v>
      </c>
      <c r="J1923" t="s">
        <v>466</v>
      </c>
      <c r="K1923" t="s">
        <v>466</v>
      </c>
      <c r="L1923" t="str">
        <f t="shared" ref="L1923:L1986" si="90">IF(H1923&gt;I1923,"ERRO","OK")</f>
        <v>OK</v>
      </c>
      <c r="M1923" t="str">
        <f t="shared" ref="M1923:M1986" si="91">IF(H1923&gt;J1923,"ERRO","OK")</f>
        <v>OK</v>
      </c>
      <c r="N1923" t="str">
        <f t="shared" ref="N1923:N1986" si="92">IF(I1923&lt;J1923,"ERRO","OK")</f>
        <v>OK</v>
      </c>
    </row>
    <row r="1924" spans="1:14" x14ac:dyDescent="0.3">
      <c r="A1924">
        <v>86</v>
      </c>
      <c r="B1924">
        <v>2024</v>
      </c>
      <c r="C1924" s="2">
        <v>45667</v>
      </c>
      <c r="E1924" t="s">
        <v>25</v>
      </c>
      <c r="F1924" t="s">
        <v>26</v>
      </c>
      <c r="G1924" t="s">
        <v>463</v>
      </c>
      <c r="H1924" t="s">
        <v>466</v>
      </c>
      <c r="I1924" t="s">
        <v>466</v>
      </c>
      <c r="J1924" t="s">
        <v>629</v>
      </c>
      <c r="K1924" t="s">
        <v>464</v>
      </c>
      <c r="L1924" t="str">
        <f t="shared" si="90"/>
        <v>OK</v>
      </c>
      <c r="M1924" t="str">
        <f t="shared" si="91"/>
        <v>ERRO</v>
      </c>
      <c r="N1924" t="str">
        <f t="shared" si="92"/>
        <v>OK</v>
      </c>
    </row>
    <row r="1925" spans="1:14" x14ac:dyDescent="0.3">
      <c r="A1925">
        <v>86</v>
      </c>
      <c r="B1925">
        <v>2024</v>
      </c>
      <c r="C1925" s="2">
        <v>45667</v>
      </c>
      <c r="E1925" t="s">
        <v>27</v>
      </c>
      <c r="F1925" t="s">
        <v>13</v>
      </c>
      <c r="G1925" t="s">
        <v>499</v>
      </c>
      <c r="H1925" t="s">
        <v>464</v>
      </c>
      <c r="I1925" t="s">
        <v>466</v>
      </c>
      <c r="J1925" t="s">
        <v>499</v>
      </c>
      <c r="K1925" t="s">
        <v>630</v>
      </c>
      <c r="L1925" t="str">
        <f t="shared" si="90"/>
        <v>OK</v>
      </c>
      <c r="M1925" t="str">
        <f t="shared" si="91"/>
        <v>ERRO</v>
      </c>
      <c r="N1925" t="str">
        <f t="shared" si="92"/>
        <v>OK</v>
      </c>
    </row>
    <row r="1926" spans="1:14" x14ac:dyDescent="0.3">
      <c r="A1926">
        <v>86</v>
      </c>
      <c r="B1926">
        <v>2024</v>
      </c>
      <c r="C1926" s="2">
        <v>45667</v>
      </c>
      <c r="E1926" t="s">
        <v>28</v>
      </c>
      <c r="F1926" t="s">
        <v>13</v>
      </c>
      <c r="G1926" t="s">
        <v>496</v>
      </c>
      <c r="H1926" t="s">
        <v>536</v>
      </c>
      <c r="I1926" t="s">
        <v>463</v>
      </c>
      <c r="J1926" t="s">
        <v>469</v>
      </c>
      <c r="K1926" t="s">
        <v>496</v>
      </c>
      <c r="L1926" t="str">
        <f t="shared" si="90"/>
        <v>OK</v>
      </c>
      <c r="M1926" t="str">
        <f t="shared" si="91"/>
        <v>OK</v>
      </c>
      <c r="N1926" t="str">
        <f t="shared" si="92"/>
        <v>OK</v>
      </c>
    </row>
    <row r="1927" spans="1:14" x14ac:dyDescent="0.3">
      <c r="A1927">
        <v>86</v>
      </c>
      <c r="B1927">
        <v>2024</v>
      </c>
      <c r="C1927" s="2">
        <v>45667</v>
      </c>
      <c r="E1927" t="s">
        <v>29</v>
      </c>
      <c r="F1927" t="s">
        <v>13</v>
      </c>
      <c r="G1927" t="s">
        <v>463</v>
      </c>
      <c r="H1927" t="s">
        <v>465</v>
      </c>
      <c r="I1927" t="s">
        <v>464</v>
      </c>
      <c r="J1927" t="s">
        <v>617</v>
      </c>
      <c r="K1927" t="s">
        <v>465</v>
      </c>
      <c r="L1927" t="str">
        <f t="shared" si="90"/>
        <v>OK</v>
      </c>
      <c r="M1927" t="str">
        <f t="shared" si="91"/>
        <v>OK</v>
      </c>
      <c r="N1927" t="str">
        <f t="shared" si="92"/>
        <v>OK</v>
      </c>
    </row>
    <row r="1928" spans="1:14" x14ac:dyDescent="0.3">
      <c r="A1928">
        <v>86</v>
      </c>
      <c r="B1928">
        <v>2024</v>
      </c>
      <c r="C1928" s="2">
        <v>45667</v>
      </c>
      <c r="E1928" t="s">
        <v>31</v>
      </c>
      <c r="F1928" t="s">
        <v>32</v>
      </c>
      <c r="G1928" t="s">
        <v>567</v>
      </c>
      <c r="H1928" t="s">
        <v>484</v>
      </c>
      <c r="I1928" t="s">
        <v>484</v>
      </c>
      <c r="J1928" t="s">
        <v>484</v>
      </c>
      <c r="K1928" t="s">
        <v>588</v>
      </c>
      <c r="L1928" t="str">
        <f t="shared" si="90"/>
        <v>OK</v>
      </c>
      <c r="M1928" t="str">
        <f t="shared" si="91"/>
        <v>OK</v>
      </c>
      <c r="N1928" t="str">
        <f t="shared" si="92"/>
        <v>OK</v>
      </c>
    </row>
    <row r="1929" spans="1:14" x14ac:dyDescent="0.3">
      <c r="A1929">
        <v>86</v>
      </c>
      <c r="B1929">
        <v>2024</v>
      </c>
      <c r="C1929" s="2">
        <v>45667</v>
      </c>
      <c r="E1929" t="s">
        <v>34</v>
      </c>
      <c r="F1929" t="s">
        <v>35</v>
      </c>
      <c r="G1929" t="s">
        <v>488</v>
      </c>
      <c r="H1929" t="s">
        <v>488</v>
      </c>
      <c r="I1929" t="s">
        <v>525</v>
      </c>
      <c r="J1929" t="s">
        <v>479</v>
      </c>
      <c r="K1929" t="s">
        <v>488</v>
      </c>
      <c r="L1929" t="str">
        <f t="shared" si="90"/>
        <v>OK</v>
      </c>
      <c r="M1929" t="str">
        <f t="shared" si="91"/>
        <v>OK</v>
      </c>
      <c r="N1929" t="str">
        <f t="shared" si="92"/>
        <v>OK</v>
      </c>
    </row>
    <row r="1930" spans="1:14" x14ac:dyDescent="0.3">
      <c r="A1930">
        <v>86</v>
      </c>
      <c r="B1930">
        <v>2024</v>
      </c>
      <c r="C1930" s="2">
        <v>45667</v>
      </c>
      <c r="E1930" t="s">
        <v>36</v>
      </c>
      <c r="F1930" t="s">
        <v>35</v>
      </c>
      <c r="G1930" t="s">
        <v>525</v>
      </c>
      <c r="H1930" t="s">
        <v>468</v>
      </c>
      <c r="I1930" t="s">
        <v>468</v>
      </c>
      <c r="J1930" t="s">
        <v>468</v>
      </c>
      <c r="K1930" t="s">
        <v>631</v>
      </c>
      <c r="L1930" t="str">
        <f t="shared" si="90"/>
        <v>OK</v>
      </c>
      <c r="M1930" t="str">
        <f t="shared" si="91"/>
        <v>OK</v>
      </c>
      <c r="N1930" t="str">
        <f t="shared" si="92"/>
        <v>OK</v>
      </c>
    </row>
    <row r="1931" spans="1:14" x14ac:dyDescent="0.3">
      <c r="A1931">
        <v>86</v>
      </c>
      <c r="B1931">
        <v>2024</v>
      </c>
      <c r="C1931" s="2">
        <v>45667</v>
      </c>
      <c r="E1931" t="s">
        <v>153</v>
      </c>
      <c r="F1931" t="s">
        <v>154</v>
      </c>
      <c r="G1931" t="s">
        <v>476</v>
      </c>
      <c r="H1931" t="s">
        <v>476</v>
      </c>
      <c r="I1931" t="s">
        <v>476</v>
      </c>
      <c r="J1931" t="s">
        <v>476</v>
      </c>
      <c r="K1931" t="s">
        <v>476</v>
      </c>
      <c r="L1931" t="str">
        <f t="shared" si="90"/>
        <v>OK</v>
      </c>
      <c r="M1931" t="str">
        <f t="shared" si="91"/>
        <v>OK</v>
      </c>
      <c r="N1931" t="str">
        <f t="shared" si="92"/>
        <v>OK</v>
      </c>
    </row>
    <row r="1932" spans="1:14" x14ac:dyDescent="0.3">
      <c r="A1932">
        <v>86</v>
      </c>
      <c r="B1932">
        <v>2024</v>
      </c>
      <c r="C1932" s="2">
        <v>45667</v>
      </c>
      <c r="E1932" t="s">
        <v>39</v>
      </c>
      <c r="F1932" t="s">
        <v>40</v>
      </c>
      <c r="G1932" t="s">
        <v>511</v>
      </c>
      <c r="H1932" t="s">
        <v>521</v>
      </c>
      <c r="I1932" t="s">
        <v>521</v>
      </c>
      <c r="J1932" t="s">
        <v>521</v>
      </c>
      <c r="K1932" t="s">
        <v>632</v>
      </c>
      <c r="L1932" t="str">
        <f t="shared" si="90"/>
        <v>OK</v>
      </c>
      <c r="M1932" t="str">
        <f t="shared" si="91"/>
        <v>OK</v>
      </c>
      <c r="N1932" t="str">
        <f t="shared" si="92"/>
        <v>OK</v>
      </c>
    </row>
    <row r="1933" spans="1:14" x14ac:dyDescent="0.3">
      <c r="A1933">
        <v>86</v>
      </c>
      <c r="B1933">
        <v>2024</v>
      </c>
      <c r="C1933" s="2">
        <v>45667</v>
      </c>
      <c r="E1933" t="s">
        <v>42</v>
      </c>
      <c r="F1933" t="s">
        <v>43</v>
      </c>
      <c r="H1933" t="s">
        <v>496</v>
      </c>
      <c r="I1933" t="s">
        <v>476</v>
      </c>
      <c r="J1933" t="s">
        <v>505</v>
      </c>
      <c r="K1933" t="s">
        <v>505</v>
      </c>
      <c r="L1933" t="str">
        <f t="shared" si="90"/>
        <v>OK</v>
      </c>
      <c r="M1933" t="str">
        <f t="shared" si="91"/>
        <v>OK</v>
      </c>
      <c r="N1933" t="str">
        <f t="shared" si="92"/>
        <v>OK</v>
      </c>
    </row>
    <row r="1934" spans="1:14" x14ac:dyDescent="0.3">
      <c r="A1934">
        <v>86</v>
      </c>
      <c r="B1934">
        <v>2024</v>
      </c>
      <c r="C1934" s="2">
        <v>45667</v>
      </c>
      <c r="E1934" t="s">
        <v>44</v>
      </c>
      <c r="F1934" t="s">
        <v>45</v>
      </c>
      <c r="G1934" t="s">
        <v>499</v>
      </c>
      <c r="H1934" t="s">
        <v>503</v>
      </c>
      <c r="I1934" t="s">
        <v>499</v>
      </c>
      <c r="J1934" t="s">
        <v>510</v>
      </c>
      <c r="K1934" t="s">
        <v>499</v>
      </c>
      <c r="L1934" t="str">
        <f t="shared" si="90"/>
        <v>OK</v>
      </c>
      <c r="M1934" t="str">
        <f t="shared" si="91"/>
        <v>OK</v>
      </c>
      <c r="N1934" t="str">
        <f t="shared" si="92"/>
        <v>OK</v>
      </c>
    </row>
    <row r="1935" spans="1:14" x14ac:dyDescent="0.3">
      <c r="A1935">
        <v>86</v>
      </c>
      <c r="B1935">
        <v>2024</v>
      </c>
      <c r="C1935" s="2">
        <v>45667</v>
      </c>
      <c r="E1935" t="s">
        <v>48</v>
      </c>
      <c r="F1935" t="s">
        <v>45</v>
      </c>
      <c r="L1935" t="str">
        <f t="shared" si="90"/>
        <v>OK</v>
      </c>
      <c r="M1935" t="str">
        <f t="shared" si="91"/>
        <v>OK</v>
      </c>
      <c r="N1935" t="str">
        <f t="shared" si="92"/>
        <v>OK</v>
      </c>
    </row>
    <row r="1936" spans="1:14" x14ac:dyDescent="0.3">
      <c r="A1936">
        <v>86</v>
      </c>
      <c r="B1936">
        <v>2024</v>
      </c>
      <c r="C1936" s="2">
        <v>45667</v>
      </c>
      <c r="E1936" t="s">
        <v>49</v>
      </c>
      <c r="F1936" t="s">
        <v>50</v>
      </c>
      <c r="G1936" t="s">
        <v>499</v>
      </c>
      <c r="H1936" t="s">
        <v>476</v>
      </c>
      <c r="I1936" t="s">
        <v>476</v>
      </c>
      <c r="J1936" t="s">
        <v>500</v>
      </c>
      <c r="K1936" t="s">
        <v>497</v>
      </c>
      <c r="L1936" t="str">
        <f t="shared" si="90"/>
        <v>OK</v>
      </c>
      <c r="M1936" t="str">
        <f t="shared" si="91"/>
        <v>ERRO</v>
      </c>
      <c r="N1936" t="str">
        <f t="shared" si="92"/>
        <v>OK</v>
      </c>
    </row>
    <row r="1937" spans="1:14" x14ac:dyDescent="0.3">
      <c r="A1937">
        <v>86</v>
      </c>
      <c r="B1937">
        <v>2024</v>
      </c>
      <c r="C1937" s="2">
        <v>45667</v>
      </c>
      <c r="E1937" t="s">
        <v>52</v>
      </c>
      <c r="F1937" t="s">
        <v>43</v>
      </c>
      <c r="H1937" t="s">
        <v>464</v>
      </c>
      <c r="I1937" t="s">
        <v>553</v>
      </c>
      <c r="J1937" t="s">
        <v>493</v>
      </c>
      <c r="K1937" t="s">
        <v>633</v>
      </c>
      <c r="L1937" t="str">
        <f t="shared" si="90"/>
        <v>ERRO</v>
      </c>
      <c r="M1937" t="str">
        <f t="shared" si="91"/>
        <v>OK</v>
      </c>
      <c r="N1937" t="str">
        <f t="shared" si="92"/>
        <v>ERRO</v>
      </c>
    </row>
    <row r="1938" spans="1:14" x14ac:dyDescent="0.3">
      <c r="A1938">
        <v>86</v>
      </c>
      <c r="B1938">
        <v>2024</v>
      </c>
      <c r="C1938" s="2">
        <v>45667</v>
      </c>
      <c r="E1938" t="s">
        <v>53</v>
      </c>
      <c r="F1938" t="s">
        <v>43</v>
      </c>
      <c r="G1938" t="s">
        <v>464</v>
      </c>
      <c r="H1938" t="s">
        <v>499</v>
      </c>
      <c r="I1938" t="s">
        <v>476</v>
      </c>
      <c r="J1938" t="s">
        <v>464</v>
      </c>
      <c r="K1938" t="s">
        <v>464</v>
      </c>
      <c r="L1938" t="str">
        <f t="shared" si="90"/>
        <v>OK</v>
      </c>
      <c r="M1938" t="str">
        <f t="shared" si="91"/>
        <v>OK</v>
      </c>
      <c r="N1938" t="str">
        <f t="shared" si="92"/>
        <v>OK</v>
      </c>
    </row>
    <row r="1939" spans="1:14" x14ac:dyDescent="0.3">
      <c r="A1939">
        <v>86</v>
      </c>
      <c r="B1939">
        <v>2024</v>
      </c>
      <c r="C1939" s="2">
        <v>45667</v>
      </c>
      <c r="E1939" t="s">
        <v>54</v>
      </c>
      <c r="F1939" t="s">
        <v>40</v>
      </c>
      <c r="G1939" t="s">
        <v>464</v>
      </c>
      <c r="H1939" t="s">
        <v>464</v>
      </c>
      <c r="I1939" t="s">
        <v>492</v>
      </c>
      <c r="J1939" t="s">
        <v>464</v>
      </c>
      <c r="K1939" t="s">
        <v>634</v>
      </c>
      <c r="L1939" t="str">
        <f t="shared" si="90"/>
        <v>OK</v>
      </c>
      <c r="M1939" t="str">
        <f t="shared" si="91"/>
        <v>OK</v>
      </c>
      <c r="N1939" t="str">
        <f t="shared" si="92"/>
        <v>OK</v>
      </c>
    </row>
    <row r="1940" spans="1:14" x14ac:dyDescent="0.3">
      <c r="A1940">
        <v>86</v>
      </c>
      <c r="B1940">
        <v>2024</v>
      </c>
      <c r="C1940" s="2">
        <v>45667</v>
      </c>
      <c r="E1940" t="s">
        <v>56</v>
      </c>
      <c r="F1940" t="s">
        <v>43</v>
      </c>
      <c r="H1940" t="s">
        <v>464</v>
      </c>
      <c r="I1940" t="s">
        <v>464</v>
      </c>
      <c r="J1940" t="s">
        <v>464</v>
      </c>
      <c r="K1940" t="s">
        <v>464</v>
      </c>
      <c r="L1940" t="str">
        <f t="shared" si="90"/>
        <v>OK</v>
      </c>
      <c r="M1940" t="str">
        <f t="shared" si="91"/>
        <v>OK</v>
      </c>
      <c r="N1940" t="str">
        <f t="shared" si="92"/>
        <v>OK</v>
      </c>
    </row>
    <row r="1941" spans="1:14" x14ac:dyDescent="0.3">
      <c r="A1941">
        <v>86</v>
      </c>
      <c r="B1941">
        <v>2024</v>
      </c>
      <c r="C1941" s="2">
        <v>45667</v>
      </c>
      <c r="E1941" t="s">
        <v>57</v>
      </c>
      <c r="F1941" t="s">
        <v>40</v>
      </c>
      <c r="G1941" t="s">
        <v>476</v>
      </c>
      <c r="H1941" t="s">
        <v>511</v>
      </c>
      <c r="I1941" t="s">
        <v>492</v>
      </c>
      <c r="J1941" t="s">
        <v>511</v>
      </c>
      <c r="K1941" t="s">
        <v>591</v>
      </c>
      <c r="L1941" t="str">
        <f t="shared" si="90"/>
        <v>ERRO</v>
      </c>
      <c r="M1941" t="str">
        <f t="shared" si="91"/>
        <v>OK</v>
      </c>
      <c r="N1941" t="str">
        <f t="shared" si="92"/>
        <v>ERRO</v>
      </c>
    </row>
    <row r="1942" spans="1:14" x14ac:dyDescent="0.3">
      <c r="A1942">
        <v>86</v>
      </c>
      <c r="B1942">
        <v>2024</v>
      </c>
      <c r="C1942" s="2">
        <v>45667</v>
      </c>
      <c r="E1942" t="s">
        <v>58</v>
      </c>
      <c r="F1942" t="s">
        <v>40</v>
      </c>
      <c r="H1942" t="s">
        <v>511</v>
      </c>
      <c r="I1942" t="s">
        <v>511</v>
      </c>
      <c r="J1942" t="s">
        <v>511</v>
      </c>
      <c r="K1942" t="s">
        <v>511</v>
      </c>
      <c r="L1942" t="str">
        <f t="shared" si="90"/>
        <v>OK</v>
      </c>
      <c r="M1942" t="str">
        <f t="shared" si="91"/>
        <v>OK</v>
      </c>
      <c r="N1942" t="str">
        <f t="shared" si="92"/>
        <v>OK</v>
      </c>
    </row>
    <row r="1943" spans="1:14" x14ac:dyDescent="0.3">
      <c r="A1943">
        <v>86</v>
      </c>
      <c r="B1943">
        <v>2024</v>
      </c>
      <c r="C1943" s="2">
        <v>45667</v>
      </c>
      <c r="E1943" t="s">
        <v>59</v>
      </c>
      <c r="F1943" t="s">
        <v>45</v>
      </c>
      <c r="G1943" t="s">
        <v>468</v>
      </c>
      <c r="H1943" t="s">
        <v>468</v>
      </c>
      <c r="I1943" t="s">
        <v>496</v>
      </c>
      <c r="J1943" t="s">
        <v>635</v>
      </c>
      <c r="K1943" t="s">
        <v>494</v>
      </c>
      <c r="L1943" t="str">
        <f t="shared" si="90"/>
        <v>OK</v>
      </c>
      <c r="M1943" t="str">
        <f t="shared" si="91"/>
        <v>OK</v>
      </c>
      <c r="N1943" t="str">
        <f t="shared" si="92"/>
        <v>OK</v>
      </c>
    </row>
    <row r="1944" spans="1:14" x14ac:dyDescent="0.3">
      <c r="A1944">
        <v>86</v>
      </c>
      <c r="B1944">
        <v>2024</v>
      </c>
      <c r="C1944" s="2">
        <v>45667</v>
      </c>
      <c r="E1944" t="s">
        <v>60</v>
      </c>
      <c r="F1944" t="s">
        <v>61</v>
      </c>
      <c r="G1944" t="s">
        <v>521</v>
      </c>
      <c r="H1944" t="s">
        <v>491</v>
      </c>
      <c r="I1944" t="s">
        <v>521</v>
      </c>
      <c r="J1944" t="s">
        <v>511</v>
      </c>
      <c r="K1944" t="s">
        <v>636</v>
      </c>
      <c r="L1944" t="str">
        <f t="shared" si="90"/>
        <v>ERRO</v>
      </c>
      <c r="M1944" t="str">
        <f t="shared" si="91"/>
        <v>OK</v>
      </c>
      <c r="N1944" t="str">
        <f t="shared" si="92"/>
        <v>ERRO</v>
      </c>
    </row>
    <row r="1945" spans="1:14" x14ac:dyDescent="0.3">
      <c r="A1945">
        <v>86</v>
      </c>
      <c r="B1945">
        <v>2024</v>
      </c>
      <c r="C1945" s="2">
        <v>45667</v>
      </c>
      <c r="E1945" t="s">
        <v>63</v>
      </c>
      <c r="F1945" t="s">
        <v>40</v>
      </c>
      <c r="G1945" t="s">
        <v>476</v>
      </c>
      <c r="H1945" t="s">
        <v>499</v>
      </c>
      <c r="I1945" t="s">
        <v>476</v>
      </c>
      <c r="J1945" t="s">
        <v>497</v>
      </c>
      <c r="K1945" t="s">
        <v>500</v>
      </c>
      <c r="L1945" t="str">
        <f t="shared" si="90"/>
        <v>OK</v>
      </c>
      <c r="M1945" t="str">
        <f t="shared" si="91"/>
        <v>OK</v>
      </c>
      <c r="N1945" t="str">
        <f t="shared" si="92"/>
        <v>OK</v>
      </c>
    </row>
    <row r="1946" spans="1:14" x14ac:dyDescent="0.3">
      <c r="A1946">
        <v>86</v>
      </c>
      <c r="B1946">
        <v>2024</v>
      </c>
      <c r="C1946" s="2">
        <v>45667</v>
      </c>
      <c r="E1946" t="s">
        <v>64</v>
      </c>
      <c r="F1946" t="s">
        <v>40</v>
      </c>
      <c r="H1946" t="s">
        <v>499</v>
      </c>
      <c r="I1946" t="s">
        <v>492</v>
      </c>
      <c r="J1946" t="s">
        <v>634</v>
      </c>
      <c r="K1946" t="s">
        <v>476</v>
      </c>
      <c r="L1946" t="str">
        <f t="shared" si="90"/>
        <v>OK</v>
      </c>
      <c r="M1946" t="str">
        <f t="shared" si="91"/>
        <v>OK</v>
      </c>
      <c r="N1946" t="str">
        <f t="shared" si="92"/>
        <v>OK</v>
      </c>
    </row>
    <row r="1947" spans="1:14" x14ac:dyDescent="0.3">
      <c r="A1947">
        <v>86</v>
      </c>
      <c r="B1947">
        <v>2024</v>
      </c>
      <c r="C1947" s="2">
        <v>45667</v>
      </c>
      <c r="E1947" s="11" t="s">
        <v>66</v>
      </c>
      <c r="F1947" s="12" t="s">
        <v>45</v>
      </c>
      <c r="L1947" t="str">
        <f t="shared" si="90"/>
        <v>OK</v>
      </c>
      <c r="M1947" t="str">
        <f t="shared" si="91"/>
        <v>OK</v>
      </c>
      <c r="N1947" t="str">
        <f t="shared" si="92"/>
        <v>OK</v>
      </c>
    </row>
    <row r="1948" spans="1:14" x14ac:dyDescent="0.3">
      <c r="A1948">
        <v>86</v>
      </c>
      <c r="B1948">
        <v>2024</v>
      </c>
      <c r="C1948" s="2">
        <v>45667</v>
      </c>
      <c r="E1948" s="11" t="s">
        <v>67</v>
      </c>
      <c r="F1948" s="12" t="s">
        <v>45</v>
      </c>
      <c r="L1948" t="str">
        <f t="shared" si="90"/>
        <v>OK</v>
      </c>
      <c r="M1948" t="str">
        <f t="shared" si="91"/>
        <v>OK</v>
      </c>
      <c r="N1948" t="str">
        <f t="shared" si="92"/>
        <v>OK</v>
      </c>
    </row>
    <row r="1949" spans="1:14" x14ac:dyDescent="0.3">
      <c r="A1949">
        <v>86</v>
      </c>
      <c r="B1949">
        <v>2024</v>
      </c>
      <c r="C1949" s="2">
        <v>45667</v>
      </c>
      <c r="E1949" s="11" t="s">
        <v>68</v>
      </c>
      <c r="F1949" s="12" t="s">
        <v>45</v>
      </c>
      <c r="L1949" t="str">
        <f t="shared" si="90"/>
        <v>OK</v>
      </c>
      <c r="M1949" t="str">
        <f t="shared" si="91"/>
        <v>OK</v>
      </c>
      <c r="N1949" t="str">
        <f t="shared" si="92"/>
        <v>OK</v>
      </c>
    </row>
    <row r="1950" spans="1:14" x14ac:dyDescent="0.3">
      <c r="A1950">
        <v>86</v>
      </c>
      <c r="B1950">
        <v>2024</v>
      </c>
      <c r="C1950" s="2">
        <v>45667</v>
      </c>
      <c r="E1950" s="11" t="s">
        <v>69</v>
      </c>
      <c r="F1950" s="12" t="s">
        <v>45</v>
      </c>
      <c r="L1950" t="str">
        <f t="shared" si="90"/>
        <v>OK</v>
      </c>
      <c r="M1950" t="str">
        <f t="shared" si="91"/>
        <v>OK</v>
      </c>
      <c r="N1950" t="str">
        <f t="shared" si="92"/>
        <v>OK</v>
      </c>
    </row>
    <row r="1951" spans="1:14" x14ac:dyDescent="0.3">
      <c r="A1951">
        <v>86</v>
      </c>
      <c r="B1951">
        <v>2024</v>
      </c>
      <c r="C1951" s="2">
        <v>45667</v>
      </c>
      <c r="E1951" s="11" t="s">
        <v>70</v>
      </c>
      <c r="F1951" s="12" t="s">
        <v>71</v>
      </c>
      <c r="L1951" t="str">
        <f t="shared" si="90"/>
        <v>OK</v>
      </c>
      <c r="M1951" t="str">
        <f t="shared" si="91"/>
        <v>OK</v>
      </c>
      <c r="N1951" t="str">
        <f t="shared" si="92"/>
        <v>OK</v>
      </c>
    </row>
    <row r="1952" spans="1:14" x14ac:dyDescent="0.3">
      <c r="A1952">
        <v>87</v>
      </c>
      <c r="B1952">
        <v>2025</v>
      </c>
      <c r="C1952" s="2">
        <v>45674</v>
      </c>
      <c r="E1952" t="s">
        <v>12</v>
      </c>
      <c r="F1952" t="s">
        <v>13</v>
      </c>
      <c r="H1952" t="s">
        <v>536</v>
      </c>
      <c r="I1952" t="s">
        <v>466</v>
      </c>
      <c r="J1952" t="s">
        <v>465</v>
      </c>
      <c r="K1952" t="s">
        <v>465</v>
      </c>
      <c r="L1952" t="str">
        <f t="shared" si="90"/>
        <v>OK</v>
      </c>
      <c r="M1952" t="str">
        <f t="shared" si="91"/>
        <v>OK</v>
      </c>
      <c r="N1952" t="str">
        <f t="shared" si="92"/>
        <v>OK</v>
      </c>
    </row>
    <row r="1953" spans="1:14" x14ac:dyDescent="0.3">
      <c r="A1953">
        <v>87</v>
      </c>
      <c r="B1953">
        <v>2025</v>
      </c>
      <c r="C1953" s="2">
        <v>45674</v>
      </c>
      <c r="E1953" t="s">
        <v>14</v>
      </c>
      <c r="F1953" t="s">
        <v>13</v>
      </c>
      <c r="G1953" t="s">
        <v>579</v>
      </c>
      <c r="H1953" t="s">
        <v>465</v>
      </c>
      <c r="I1953" t="s">
        <v>507</v>
      </c>
      <c r="J1953" t="s">
        <v>637</v>
      </c>
      <c r="K1953" t="s">
        <v>579</v>
      </c>
      <c r="L1953" t="str">
        <f t="shared" si="90"/>
        <v>ERRO</v>
      </c>
      <c r="M1953" t="str">
        <f t="shared" si="91"/>
        <v>OK</v>
      </c>
      <c r="N1953" t="str">
        <f t="shared" si="92"/>
        <v>ERRO</v>
      </c>
    </row>
    <row r="1954" spans="1:14" x14ac:dyDescent="0.3">
      <c r="A1954">
        <v>87</v>
      </c>
      <c r="B1954">
        <v>2025</v>
      </c>
      <c r="C1954" s="2">
        <v>45674</v>
      </c>
      <c r="E1954" t="s">
        <v>15</v>
      </c>
      <c r="F1954" t="s">
        <v>13</v>
      </c>
      <c r="G1954" t="s">
        <v>463</v>
      </c>
      <c r="H1954" t="s">
        <v>469</v>
      </c>
      <c r="I1954" t="s">
        <v>464</v>
      </c>
      <c r="J1954" t="s">
        <v>638</v>
      </c>
      <c r="K1954" t="s">
        <v>463</v>
      </c>
      <c r="L1954" t="str">
        <f t="shared" si="90"/>
        <v>OK</v>
      </c>
      <c r="M1954" t="str">
        <f t="shared" si="91"/>
        <v>OK</v>
      </c>
      <c r="N1954" t="str">
        <f t="shared" si="92"/>
        <v>OK</v>
      </c>
    </row>
    <row r="1955" spans="1:14" x14ac:dyDescent="0.3">
      <c r="A1955">
        <v>87</v>
      </c>
      <c r="B1955">
        <v>2025</v>
      </c>
      <c r="C1955" s="2">
        <v>45674</v>
      </c>
      <c r="E1955" t="s">
        <v>16</v>
      </c>
      <c r="F1955" t="s">
        <v>13</v>
      </c>
      <c r="G1955" t="s">
        <v>472</v>
      </c>
      <c r="H1955" t="s">
        <v>499</v>
      </c>
      <c r="I1955" t="s">
        <v>472</v>
      </c>
      <c r="J1955" t="s">
        <v>639</v>
      </c>
      <c r="K1955" t="s">
        <v>468</v>
      </c>
      <c r="L1955" t="str">
        <f t="shared" si="90"/>
        <v>ERRO</v>
      </c>
      <c r="M1955" t="str">
        <f t="shared" si="91"/>
        <v>ERRO</v>
      </c>
      <c r="N1955" t="str">
        <f t="shared" si="92"/>
        <v>ERRO</v>
      </c>
    </row>
    <row r="1956" spans="1:14" x14ac:dyDescent="0.3">
      <c r="A1956">
        <v>87</v>
      </c>
      <c r="B1956">
        <v>2025</v>
      </c>
      <c r="C1956" s="2">
        <v>45674</v>
      </c>
      <c r="E1956" t="s">
        <v>17</v>
      </c>
      <c r="F1956" t="s">
        <v>13</v>
      </c>
      <c r="G1956" t="s">
        <v>468</v>
      </c>
      <c r="H1956" t="s">
        <v>468</v>
      </c>
      <c r="I1956" t="s">
        <v>472</v>
      </c>
      <c r="J1956" t="s">
        <v>640</v>
      </c>
      <c r="K1956" t="s">
        <v>468</v>
      </c>
      <c r="L1956" t="str">
        <f t="shared" si="90"/>
        <v>ERRO</v>
      </c>
      <c r="M1956" t="str">
        <f t="shared" si="91"/>
        <v>ERRO</v>
      </c>
      <c r="N1956" t="str">
        <f t="shared" si="92"/>
        <v>ERRO</v>
      </c>
    </row>
    <row r="1957" spans="1:14" x14ac:dyDescent="0.3">
      <c r="A1957">
        <v>87</v>
      </c>
      <c r="B1957">
        <v>2025</v>
      </c>
      <c r="C1957" s="2">
        <v>45674</v>
      </c>
      <c r="E1957" t="s">
        <v>18</v>
      </c>
      <c r="F1957" t="s">
        <v>13</v>
      </c>
      <c r="G1957" t="s">
        <v>464</v>
      </c>
      <c r="H1957" t="s">
        <v>464</v>
      </c>
      <c r="I1957" t="s">
        <v>522</v>
      </c>
      <c r="J1957" t="s">
        <v>563</v>
      </c>
      <c r="K1957" t="s">
        <v>464</v>
      </c>
      <c r="L1957" t="str">
        <f t="shared" si="90"/>
        <v>OK</v>
      </c>
      <c r="M1957" t="str">
        <f t="shared" si="91"/>
        <v>OK</v>
      </c>
      <c r="N1957" t="str">
        <f t="shared" si="92"/>
        <v>OK</v>
      </c>
    </row>
    <row r="1958" spans="1:14" x14ac:dyDescent="0.3">
      <c r="A1958">
        <v>87</v>
      </c>
      <c r="B1958">
        <v>2025</v>
      </c>
      <c r="C1958" s="2">
        <v>45674</v>
      </c>
      <c r="E1958" t="s">
        <v>19</v>
      </c>
      <c r="F1958" t="s">
        <v>13</v>
      </c>
      <c r="G1958" t="s">
        <v>464</v>
      </c>
      <c r="H1958" t="s">
        <v>464</v>
      </c>
      <c r="I1958" t="s">
        <v>466</v>
      </c>
      <c r="J1958" t="s">
        <v>522</v>
      </c>
      <c r="K1958" t="s">
        <v>522</v>
      </c>
      <c r="L1958" t="str">
        <f t="shared" si="90"/>
        <v>OK</v>
      </c>
      <c r="M1958" t="str">
        <f t="shared" si="91"/>
        <v>OK</v>
      </c>
      <c r="N1958" t="str">
        <f t="shared" si="92"/>
        <v>OK</v>
      </c>
    </row>
    <row r="1959" spans="1:14" x14ac:dyDescent="0.3">
      <c r="A1959">
        <v>87</v>
      </c>
      <c r="B1959">
        <v>2025</v>
      </c>
      <c r="C1959" s="2">
        <v>45674</v>
      </c>
      <c r="E1959" t="s">
        <v>20</v>
      </c>
      <c r="F1959" t="s">
        <v>13</v>
      </c>
      <c r="G1959" t="s">
        <v>467</v>
      </c>
      <c r="H1959" t="s">
        <v>579</v>
      </c>
      <c r="I1959" t="s">
        <v>466</v>
      </c>
      <c r="J1959" t="s">
        <v>641</v>
      </c>
      <c r="K1959" t="s">
        <v>467</v>
      </c>
      <c r="L1959" t="str">
        <f t="shared" si="90"/>
        <v>ERRO</v>
      </c>
      <c r="M1959" t="str">
        <f t="shared" si="91"/>
        <v>ERRO</v>
      </c>
      <c r="N1959" t="str">
        <f t="shared" si="92"/>
        <v>ERRO</v>
      </c>
    </row>
    <row r="1960" spans="1:14" x14ac:dyDescent="0.3">
      <c r="A1960">
        <v>87</v>
      </c>
      <c r="B1960">
        <v>2025</v>
      </c>
      <c r="C1960" s="2">
        <v>45674</v>
      </c>
      <c r="E1960" t="s">
        <v>21</v>
      </c>
      <c r="F1960" t="s">
        <v>13</v>
      </c>
      <c r="G1960" t="s">
        <v>472</v>
      </c>
      <c r="H1960" t="s">
        <v>488</v>
      </c>
      <c r="I1960" t="s">
        <v>468</v>
      </c>
      <c r="J1960" t="s">
        <v>642</v>
      </c>
      <c r="K1960" t="s">
        <v>472</v>
      </c>
      <c r="L1960" t="str">
        <f t="shared" si="90"/>
        <v>OK</v>
      </c>
      <c r="M1960" t="str">
        <f t="shared" si="91"/>
        <v>OK</v>
      </c>
      <c r="N1960" t="str">
        <f t="shared" si="92"/>
        <v>OK</v>
      </c>
    </row>
    <row r="1961" spans="1:14" x14ac:dyDescent="0.3">
      <c r="A1961">
        <v>87</v>
      </c>
      <c r="B1961">
        <v>2025</v>
      </c>
      <c r="C1961" s="2">
        <v>45674</v>
      </c>
      <c r="E1961" t="s">
        <v>73</v>
      </c>
      <c r="F1961" t="s">
        <v>13</v>
      </c>
      <c r="G1961" t="s">
        <v>579</v>
      </c>
      <c r="H1961" t="s">
        <v>511</v>
      </c>
      <c r="I1961" t="s">
        <v>521</v>
      </c>
      <c r="J1961" t="s">
        <v>643</v>
      </c>
      <c r="K1961" t="s">
        <v>579</v>
      </c>
      <c r="L1961" t="str">
        <f t="shared" si="90"/>
        <v>ERRO</v>
      </c>
      <c r="M1961" t="str">
        <f t="shared" si="91"/>
        <v>OK</v>
      </c>
      <c r="N1961" t="str">
        <f t="shared" si="92"/>
        <v>ERRO</v>
      </c>
    </row>
    <row r="1962" spans="1:14" x14ac:dyDescent="0.3">
      <c r="A1962">
        <v>87</v>
      </c>
      <c r="B1962">
        <v>2025</v>
      </c>
      <c r="C1962" s="2">
        <v>45674</v>
      </c>
      <c r="E1962" t="s">
        <v>23</v>
      </c>
      <c r="F1962" t="s">
        <v>13</v>
      </c>
      <c r="G1962" t="s">
        <v>472</v>
      </c>
      <c r="H1962" t="s">
        <v>499</v>
      </c>
      <c r="I1962" t="s">
        <v>472</v>
      </c>
      <c r="J1962" t="s">
        <v>639</v>
      </c>
      <c r="K1962" t="s">
        <v>468</v>
      </c>
      <c r="L1962" t="str">
        <f t="shared" si="90"/>
        <v>ERRO</v>
      </c>
      <c r="M1962" t="str">
        <f t="shared" si="91"/>
        <v>ERRO</v>
      </c>
      <c r="N1962" t="str">
        <f t="shared" si="92"/>
        <v>ERRO</v>
      </c>
    </row>
    <row r="1963" spans="1:14" x14ac:dyDescent="0.3">
      <c r="A1963">
        <v>87</v>
      </c>
      <c r="B1963">
        <v>2025</v>
      </c>
      <c r="C1963" s="2">
        <v>45674</v>
      </c>
      <c r="E1963" t="s">
        <v>24</v>
      </c>
      <c r="F1963" t="s">
        <v>13</v>
      </c>
      <c r="G1963" t="s">
        <v>464</v>
      </c>
      <c r="H1963" t="s">
        <v>464</v>
      </c>
      <c r="I1963" t="s">
        <v>579</v>
      </c>
      <c r="J1963" t="s">
        <v>466</v>
      </c>
      <c r="K1963" t="s">
        <v>522</v>
      </c>
      <c r="L1963" t="str">
        <f t="shared" si="90"/>
        <v>OK</v>
      </c>
      <c r="M1963" t="str">
        <f t="shared" si="91"/>
        <v>OK</v>
      </c>
      <c r="N1963" t="str">
        <f t="shared" si="92"/>
        <v>OK</v>
      </c>
    </row>
    <row r="1964" spans="1:14" x14ac:dyDescent="0.3">
      <c r="A1964">
        <v>87</v>
      </c>
      <c r="B1964">
        <v>2025</v>
      </c>
      <c r="C1964" s="2">
        <v>45674</v>
      </c>
      <c r="E1964" t="s">
        <v>25</v>
      </c>
      <c r="F1964" t="s">
        <v>26</v>
      </c>
      <c r="G1964" t="s">
        <v>464</v>
      </c>
      <c r="H1964" t="s">
        <v>463</v>
      </c>
      <c r="I1964" t="s">
        <v>466</v>
      </c>
      <c r="J1964" t="s">
        <v>585</v>
      </c>
      <c r="K1964" t="s">
        <v>464</v>
      </c>
      <c r="L1964" t="str">
        <f t="shared" si="90"/>
        <v>OK</v>
      </c>
      <c r="M1964" t="str">
        <f t="shared" si="91"/>
        <v>OK</v>
      </c>
      <c r="N1964" t="str">
        <f t="shared" si="92"/>
        <v>OK</v>
      </c>
    </row>
    <row r="1965" spans="1:14" x14ac:dyDescent="0.3">
      <c r="A1965">
        <v>87</v>
      </c>
      <c r="B1965">
        <v>2025</v>
      </c>
      <c r="C1965" s="2">
        <v>45674</v>
      </c>
      <c r="E1965" t="s">
        <v>27</v>
      </c>
      <c r="F1965" t="s">
        <v>13</v>
      </c>
      <c r="H1965" t="s">
        <v>463</v>
      </c>
      <c r="I1965" t="s">
        <v>491</v>
      </c>
      <c r="J1965" t="s">
        <v>644</v>
      </c>
      <c r="K1965" t="s">
        <v>534</v>
      </c>
      <c r="L1965" t="str">
        <f t="shared" si="90"/>
        <v>OK</v>
      </c>
      <c r="M1965" t="str">
        <f t="shared" si="91"/>
        <v>OK</v>
      </c>
      <c r="N1965" t="str">
        <f t="shared" si="92"/>
        <v>OK</v>
      </c>
    </row>
    <row r="1966" spans="1:14" x14ac:dyDescent="0.3">
      <c r="A1966">
        <v>87</v>
      </c>
      <c r="B1966">
        <v>2025</v>
      </c>
      <c r="C1966" s="2">
        <v>45674</v>
      </c>
      <c r="E1966" t="s">
        <v>28</v>
      </c>
      <c r="F1966" t="s">
        <v>13</v>
      </c>
      <c r="G1966" t="s">
        <v>469</v>
      </c>
      <c r="H1966" t="s">
        <v>463</v>
      </c>
      <c r="I1966" t="s">
        <v>536</v>
      </c>
      <c r="J1966" t="s">
        <v>645</v>
      </c>
      <c r="K1966" t="s">
        <v>469</v>
      </c>
      <c r="L1966" t="str">
        <f t="shared" si="90"/>
        <v>ERRO</v>
      </c>
      <c r="M1966" t="str">
        <f t="shared" si="91"/>
        <v>ERRO</v>
      </c>
      <c r="N1966" t="str">
        <f t="shared" si="92"/>
        <v>ERRO</v>
      </c>
    </row>
    <row r="1967" spans="1:14" x14ac:dyDescent="0.3">
      <c r="A1967">
        <v>87</v>
      </c>
      <c r="B1967">
        <v>2025</v>
      </c>
      <c r="C1967" s="2">
        <v>45674</v>
      </c>
      <c r="E1967" t="s">
        <v>29</v>
      </c>
      <c r="F1967" t="s">
        <v>13</v>
      </c>
      <c r="G1967" t="s">
        <v>464</v>
      </c>
      <c r="H1967" t="s">
        <v>464</v>
      </c>
      <c r="I1967" t="s">
        <v>463</v>
      </c>
      <c r="J1967" t="s">
        <v>646</v>
      </c>
      <c r="K1967" t="s">
        <v>565</v>
      </c>
      <c r="L1967" t="str">
        <f t="shared" si="90"/>
        <v>ERRO</v>
      </c>
      <c r="M1967" t="str">
        <f t="shared" si="91"/>
        <v>ERRO</v>
      </c>
      <c r="N1967" t="str">
        <f t="shared" si="92"/>
        <v>ERRO</v>
      </c>
    </row>
    <row r="1968" spans="1:14" x14ac:dyDescent="0.3">
      <c r="A1968">
        <v>87</v>
      </c>
      <c r="B1968">
        <v>2025</v>
      </c>
      <c r="C1968" s="2">
        <v>45674</v>
      </c>
      <c r="E1968" t="s">
        <v>31</v>
      </c>
      <c r="F1968" t="s">
        <v>32</v>
      </c>
      <c r="G1968" t="s">
        <v>484</v>
      </c>
      <c r="H1968" t="s">
        <v>567</v>
      </c>
      <c r="I1968" t="s">
        <v>484</v>
      </c>
      <c r="J1968" t="s">
        <v>588</v>
      </c>
      <c r="K1968" t="s">
        <v>484</v>
      </c>
      <c r="L1968" t="str">
        <f t="shared" si="90"/>
        <v>OK</v>
      </c>
      <c r="M1968" t="str">
        <f t="shared" si="91"/>
        <v>OK</v>
      </c>
      <c r="N1968" t="str">
        <f t="shared" si="92"/>
        <v>OK</v>
      </c>
    </row>
    <row r="1969" spans="1:14" x14ac:dyDescent="0.3">
      <c r="A1969">
        <v>87</v>
      </c>
      <c r="B1969">
        <v>2025</v>
      </c>
      <c r="C1969" s="2">
        <v>45674</v>
      </c>
      <c r="E1969" t="s">
        <v>34</v>
      </c>
      <c r="F1969" t="s">
        <v>35</v>
      </c>
      <c r="G1969" t="s">
        <v>525</v>
      </c>
      <c r="H1969" t="s">
        <v>488</v>
      </c>
      <c r="I1969" t="s">
        <v>525</v>
      </c>
      <c r="J1969" t="s">
        <v>566</v>
      </c>
      <c r="K1969" t="s">
        <v>525</v>
      </c>
      <c r="L1969" t="str">
        <f t="shared" si="90"/>
        <v>OK</v>
      </c>
      <c r="M1969" t="str">
        <f t="shared" si="91"/>
        <v>OK</v>
      </c>
      <c r="N1969" t="str">
        <f t="shared" si="92"/>
        <v>OK</v>
      </c>
    </row>
    <row r="1970" spans="1:14" x14ac:dyDescent="0.3">
      <c r="A1970">
        <v>87</v>
      </c>
      <c r="B1970">
        <v>2025</v>
      </c>
      <c r="C1970" s="2">
        <v>45674</v>
      </c>
      <c r="E1970" t="s">
        <v>36</v>
      </c>
      <c r="F1970" t="s">
        <v>35</v>
      </c>
      <c r="G1970" t="s">
        <v>525</v>
      </c>
      <c r="H1970" t="s">
        <v>488</v>
      </c>
      <c r="I1970" t="s">
        <v>468</v>
      </c>
      <c r="J1970" t="s">
        <v>525</v>
      </c>
      <c r="K1970" t="s">
        <v>525</v>
      </c>
      <c r="L1970" t="str">
        <f t="shared" si="90"/>
        <v>OK</v>
      </c>
      <c r="M1970" t="str">
        <f t="shared" si="91"/>
        <v>OK</v>
      </c>
      <c r="N1970" t="str">
        <f t="shared" si="92"/>
        <v>OK</v>
      </c>
    </row>
    <row r="1971" spans="1:14" x14ac:dyDescent="0.3">
      <c r="A1971">
        <v>87</v>
      </c>
      <c r="B1971">
        <v>2025</v>
      </c>
      <c r="C1971" s="2">
        <v>45674</v>
      </c>
      <c r="E1971" t="s">
        <v>153</v>
      </c>
      <c r="F1971" t="s">
        <v>154</v>
      </c>
      <c r="H1971" t="s">
        <v>476</v>
      </c>
      <c r="I1971" t="s">
        <v>476</v>
      </c>
      <c r="J1971" t="s">
        <v>476</v>
      </c>
      <c r="K1971" t="s">
        <v>476</v>
      </c>
      <c r="L1971" t="str">
        <f t="shared" si="90"/>
        <v>OK</v>
      </c>
      <c r="M1971" t="str">
        <f t="shared" si="91"/>
        <v>OK</v>
      </c>
      <c r="N1971" t="str">
        <f t="shared" si="92"/>
        <v>OK</v>
      </c>
    </row>
    <row r="1972" spans="1:14" x14ac:dyDescent="0.3">
      <c r="A1972">
        <v>87</v>
      </c>
      <c r="B1972">
        <v>2025</v>
      </c>
      <c r="C1972" s="2">
        <v>45674</v>
      </c>
      <c r="E1972" t="s">
        <v>39</v>
      </c>
      <c r="F1972" t="s">
        <v>40</v>
      </c>
      <c r="H1972" t="s">
        <v>476</v>
      </c>
      <c r="I1972" t="s">
        <v>511</v>
      </c>
      <c r="J1972" t="s">
        <v>492</v>
      </c>
      <c r="K1972" t="s">
        <v>492</v>
      </c>
      <c r="L1972" t="str">
        <f t="shared" si="90"/>
        <v>OK</v>
      </c>
      <c r="M1972" t="str">
        <f t="shared" si="91"/>
        <v>OK</v>
      </c>
      <c r="N1972" t="str">
        <f t="shared" si="92"/>
        <v>OK</v>
      </c>
    </row>
    <row r="1973" spans="1:14" x14ac:dyDescent="0.3">
      <c r="A1973">
        <v>87</v>
      </c>
      <c r="B1973">
        <v>2025</v>
      </c>
      <c r="C1973" s="2">
        <v>45674</v>
      </c>
      <c r="E1973" t="s">
        <v>42</v>
      </c>
      <c r="F1973" t="s">
        <v>43</v>
      </c>
      <c r="H1973" t="s">
        <v>500</v>
      </c>
      <c r="I1973" t="s">
        <v>496</v>
      </c>
      <c r="J1973" t="s">
        <v>547</v>
      </c>
      <c r="K1973" t="s">
        <v>499</v>
      </c>
      <c r="L1973" t="str">
        <f t="shared" si="90"/>
        <v>ERRO</v>
      </c>
      <c r="M1973" t="str">
        <f t="shared" si="91"/>
        <v>ERRO</v>
      </c>
      <c r="N1973" t="str">
        <f t="shared" si="92"/>
        <v>ERRO</v>
      </c>
    </row>
    <row r="1974" spans="1:14" x14ac:dyDescent="0.3">
      <c r="A1974">
        <v>87</v>
      </c>
      <c r="B1974">
        <v>2025</v>
      </c>
      <c r="C1974" s="2">
        <v>45674</v>
      </c>
      <c r="E1974" t="s">
        <v>44</v>
      </c>
      <c r="F1974" t="s">
        <v>45</v>
      </c>
      <c r="G1974" t="s">
        <v>499</v>
      </c>
      <c r="H1974" t="s">
        <v>499</v>
      </c>
      <c r="I1974" t="s">
        <v>499</v>
      </c>
      <c r="J1974" t="s">
        <v>499</v>
      </c>
      <c r="K1974" t="s">
        <v>499</v>
      </c>
      <c r="L1974" t="str">
        <f t="shared" si="90"/>
        <v>OK</v>
      </c>
      <c r="M1974" t="str">
        <f t="shared" si="91"/>
        <v>OK</v>
      </c>
      <c r="N1974" t="str">
        <f t="shared" si="92"/>
        <v>OK</v>
      </c>
    </row>
    <row r="1975" spans="1:14" x14ac:dyDescent="0.3">
      <c r="A1975">
        <v>87</v>
      </c>
      <c r="B1975">
        <v>2025</v>
      </c>
      <c r="C1975" s="2">
        <v>45674</v>
      </c>
      <c r="E1975" t="s">
        <v>48</v>
      </c>
      <c r="F1975" t="s">
        <v>45</v>
      </c>
      <c r="L1975" t="str">
        <f t="shared" si="90"/>
        <v>OK</v>
      </c>
      <c r="M1975" t="str">
        <f t="shared" si="91"/>
        <v>OK</v>
      </c>
      <c r="N1975" t="str">
        <f t="shared" si="92"/>
        <v>OK</v>
      </c>
    </row>
    <row r="1976" spans="1:14" x14ac:dyDescent="0.3">
      <c r="A1976">
        <v>87</v>
      </c>
      <c r="B1976">
        <v>2025</v>
      </c>
      <c r="C1976" s="2">
        <v>45674</v>
      </c>
      <c r="E1976" t="s">
        <v>49</v>
      </c>
      <c r="F1976" t="s">
        <v>50</v>
      </c>
      <c r="G1976" t="s">
        <v>500</v>
      </c>
      <c r="H1976" t="s">
        <v>500</v>
      </c>
      <c r="I1976" t="s">
        <v>476</v>
      </c>
      <c r="J1976" t="s">
        <v>634</v>
      </c>
      <c r="K1976" t="s">
        <v>500</v>
      </c>
      <c r="L1976" t="str">
        <f t="shared" si="90"/>
        <v>OK</v>
      </c>
      <c r="M1976" t="str">
        <f t="shared" si="91"/>
        <v>OK</v>
      </c>
      <c r="N1976" t="str">
        <f t="shared" si="92"/>
        <v>OK</v>
      </c>
    </row>
    <row r="1977" spans="1:14" x14ac:dyDescent="0.3">
      <c r="A1977">
        <v>87</v>
      </c>
      <c r="B1977">
        <v>2025</v>
      </c>
      <c r="C1977" s="2">
        <v>45674</v>
      </c>
      <c r="E1977" t="s">
        <v>52</v>
      </c>
      <c r="F1977" t="s">
        <v>43</v>
      </c>
      <c r="H1977" t="s">
        <v>500</v>
      </c>
      <c r="I1977" t="s">
        <v>511</v>
      </c>
      <c r="J1977" t="s">
        <v>491</v>
      </c>
      <c r="K1977" t="s">
        <v>476</v>
      </c>
      <c r="L1977" t="str">
        <f t="shared" si="90"/>
        <v>OK</v>
      </c>
      <c r="M1977" t="str">
        <f t="shared" si="91"/>
        <v>OK</v>
      </c>
      <c r="N1977" t="str">
        <f t="shared" si="92"/>
        <v>OK</v>
      </c>
    </row>
    <row r="1978" spans="1:14" x14ac:dyDescent="0.3">
      <c r="A1978">
        <v>87</v>
      </c>
      <c r="B1978">
        <v>2025</v>
      </c>
      <c r="C1978" s="2">
        <v>45674</v>
      </c>
      <c r="E1978" t="s">
        <v>53</v>
      </c>
      <c r="F1978" t="s">
        <v>43</v>
      </c>
      <c r="H1978" t="s">
        <v>492</v>
      </c>
      <c r="I1978" t="s">
        <v>521</v>
      </c>
      <c r="J1978" t="s">
        <v>511</v>
      </c>
      <c r="K1978" t="s">
        <v>511</v>
      </c>
      <c r="L1978" t="str">
        <f t="shared" si="90"/>
        <v>ERRO</v>
      </c>
      <c r="M1978" t="str">
        <f t="shared" si="91"/>
        <v>OK</v>
      </c>
      <c r="N1978" t="str">
        <f t="shared" si="92"/>
        <v>ERRO</v>
      </c>
    </row>
    <row r="1979" spans="1:14" x14ac:dyDescent="0.3">
      <c r="A1979">
        <v>87</v>
      </c>
      <c r="B1979">
        <v>2025</v>
      </c>
      <c r="C1979" s="2">
        <v>45674</v>
      </c>
      <c r="E1979" t="s">
        <v>54</v>
      </c>
      <c r="F1979" t="s">
        <v>40</v>
      </c>
      <c r="G1979" t="s">
        <v>476</v>
      </c>
      <c r="H1979" t="s">
        <v>476</v>
      </c>
      <c r="I1979" t="s">
        <v>476</v>
      </c>
      <c r="J1979" t="s">
        <v>476</v>
      </c>
      <c r="K1979" t="s">
        <v>476</v>
      </c>
      <c r="L1979" t="str">
        <f t="shared" si="90"/>
        <v>OK</v>
      </c>
      <c r="M1979" t="str">
        <f t="shared" si="91"/>
        <v>OK</v>
      </c>
      <c r="N1979" t="str">
        <f t="shared" si="92"/>
        <v>OK</v>
      </c>
    </row>
    <row r="1980" spans="1:14" x14ac:dyDescent="0.3">
      <c r="A1980">
        <v>87</v>
      </c>
      <c r="B1980">
        <v>2025</v>
      </c>
      <c r="C1980" s="2">
        <v>45674</v>
      </c>
      <c r="E1980" t="s">
        <v>56</v>
      </c>
      <c r="F1980" t="s">
        <v>43</v>
      </c>
      <c r="H1980" t="s">
        <v>491</v>
      </c>
      <c r="I1980" t="s">
        <v>491</v>
      </c>
      <c r="J1980" t="s">
        <v>491</v>
      </c>
      <c r="K1980" t="s">
        <v>491</v>
      </c>
      <c r="L1980" t="str">
        <f t="shared" si="90"/>
        <v>OK</v>
      </c>
      <c r="M1980" t="str">
        <f t="shared" si="91"/>
        <v>OK</v>
      </c>
      <c r="N1980" t="str">
        <f t="shared" si="92"/>
        <v>OK</v>
      </c>
    </row>
    <row r="1981" spans="1:14" x14ac:dyDescent="0.3">
      <c r="A1981">
        <v>87</v>
      </c>
      <c r="B1981">
        <v>2025</v>
      </c>
      <c r="C1981" s="2">
        <v>45674</v>
      </c>
      <c r="E1981" t="s">
        <v>57</v>
      </c>
      <c r="F1981" t="s">
        <v>40</v>
      </c>
      <c r="H1981" t="s">
        <v>492</v>
      </c>
      <c r="I1981" t="s">
        <v>492</v>
      </c>
      <c r="J1981" t="s">
        <v>492</v>
      </c>
      <c r="K1981" t="s">
        <v>492</v>
      </c>
      <c r="L1981" t="str">
        <f t="shared" si="90"/>
        <v>OK</v>
      </c>
      <c r="M1981" t="str">
        <f t="shared" si="91"/>
        <v>OK</v>
      </c>
      <c r="N1981" t="str">
        <f t="shared" si="92"/>
        <v>OK</v>
      </c>
    </row>
    <row r="1982" spans="1:14" x14ac:dyDescent="0.3">
      <c r="A1982">
        <v>87</v>
      </c>
      <c r="B1982">
        <v>2025</v>
      </c>
      <c r="C1982" s="2">
        <v>45674</v>
      </c>
      <c r="E1982" t="s">
        <v>58</v>
      </c>
      <c r="F1982" t="s">
        <v>40</v>
      </c>
      <c r="H1982" t="s">
        <v>591</v>
      </c>
      <c r="I1982" t="s">
        <v>507</v>
      </c>
      <c r="J1982" t="s">
        <v>647</v>
      </c>
      <c r="K1982" t="s">
        <v>521</v>
      </c>
      <c r="L1982" t="str">
        <f t="shared" si="90"/>
        <v>ERRO</v>
      </c>
      <c r="M1982" t="str">
        <f t="shared" si="91"/>
        <v>ERRO</v>
      </c>
      <c r="N1982" t="str">
        <f t="shared" si="92"/>
        <v>OK</v>
      </c>
    </row>
    <row r="1983" spans="1:14" x14ac:dyDescent="0.3">
      <c r="A1983">
        <v>87</v>
      </c>
      <c r="B1983">
        <v>2025</v>
      </c>
      <c r="C1983" s="2">
        <v>45674</v>
      </c>
      <c r="E1983" t="s">
        <v>59</v>
      </c>
      <c r="F1983" t="s">
        <v>45</v>
      </c>
      <c r="H1983" t="s">
        <v>468</v>
      </c>
      <c r="I1983" t="s">
        <v>499</v>
      </c>
      <c r="J1983" t="s">
        <v>503</v>
      </c>
      <c r="K1983" t="s">
        <v>503</v>
      </c>
      <c r="L1983" t="str">
        <f t="shared" si="90"/>
        <v>OK</v>
      </c>
      <c r="M1983" t="str">
        <f t="shared" si="91"/>
        <v>OK</v>
      </c>
      <c r="N1983" t="str">
        <f t="shared" si="92"/>
        <v>OK</v>
      </c>
    </row>
    <row r="1984" spans="1:14" x14ac:dyDescent="0.3">
      <c r="A1984">
        <v>87</v>
      </c>
      <c r="B1984">
        <v>2025</v>
      </c>
      <c r="C1984" s="2">
        <v>45674</v>
      </c>
      <c r="E1984" t="s">
        <v>60</v>
      </c>
      <c r="F1984" t="s">
        <v>61</v>
      </c>
      <c r="G1984" t="s">
        <v>558</v>
      </c>
      <c r="H1984" t="s">
        <v>509</v>
      </c>
      <c r="I1984" t="s">
        <v>558</v>
      </c>
      <c r="J1984" t="s">
        <v>520</v>
      </c>
      <c r="K1984" t="s">
        <v>558</v>
      </c>
      <c r="L1984" t="str">
        <f t="shared" si="90"/>
        <v>OK</v>
      </c>
      <c r="M1984" t="str">
        <f t="shared" si="91"/>
        <v>OK</v>
      </c>
      <c r="N1984" t="str">
        <f t="shared" si="92"/>
        <v>OK</v>
      </c>
    </row>
    <row r="1985" spans="1:14" x14ac:dyDescent="0.3">
      <c r="A1985">
        <v>87</v>
      </c>
      <c r="B1985">
        <v>2025</v>
      </c>
      <c r="C1985" s="2">
        <v>45674</v>
      </c>
      <c r="E1985" t="s">
        <v>63</v>
      </c>
      <c r="F1985" t="s">
        <v>40</v>
      </c>
      <c r="G1985" t="s">
        <v>464</v>
      </c>
      <c r="H1985" t="s">
        <v>464</v>
      </c>
      <c r="I1985" t="s">
        <v>492</v>
      </c>
      <c r="J1985" t="s">
        <v>634</v>
      </c>
      <c r="K1985" t="s">
        <v>464</v>
      </c>
      <c r="L1985" t="str">
        <f t="shared" si="90"/>
        <v>OK</v>
      </c>
      <c r="M1985" t="str">
        <f t="shared" si="91"/>
        <v>OK</v>
      </c>
      <c r="N1985" t="str">
        <f t="shared" si="92"/>
        <v>OK</v>
      </c>
    </row>
    <row r="1986" spans="1:14" x14ac:dyDescent="0.3">
      <c r="A1986">
        <v>87</v>
      </c>
      <c r="B1986">
        <v>2025</v>
      </c>
      <c r="C1986" s="2">
        <v>45674</v>
      </c>
      <c r="E1986" t="s">
        <v>64</v>
      </c>
      <c r="F1986" t="s">
        <v>40</v>
      </c>
      <c r="H1986" t="s">
        <v>517</v>
      </c>
      <c r="I1986" t="s">
        <v>511</v>
      </c>
      <c r="J1986" t="s">
        <v>607</v>
      </c>
      <c r="K1986" t="s">
        <v>521</v>
      </c>
      <c r="L1986" t="str">
        <f t="shared" si="90"/>
        <v>OK</v>
      </c>
      <c r="M1986" t="str">
        <f t="shared" si="91"/>
        <v>ERRO</v>
      </c>
      <c r="N1986" t="str">
        <f t="shared" si="92"/>
        <v>OK</v>
      </c>
    </row>
    <row r="1987" spans="1:14" x14ac:dyDescent="0.3">
      <c r="A1987">
        <v>87</v>
      </c>
      <c r="B1987">
        <v>2025</v>
      </c>
      <c r="C1987" s="2">
        <v>45674</v>
      </c>
      <c r="E1987" s="11" t="s">
        <v>66</v>
      </c>
      <c r="F1987" s="12" t="s">
        <v>45</v>
      </c>
      <c r="L1987" t="str">
        <f t="shared" ref="L1987:L2050" si="93">IF(H1987&gt;I1987,"ERRO","OK")</f>
        <v>OK</v>
      </c>
      <c r="M1987" t="str">
        <f t="shared" ref="M1987:M2050" si="94">IF(H1987&gt;J1987,"ERRO","OK")</f>
        <v>OK</v>
      </c>
      <c r="N1987" t="str">
        <f t="shared" ref="N1987:N2050" si="95">IF(I1987&lt;J1987,"ERRO","OK")</f>
        <v>OK</v>
      </c>
    </row>
    <row r="1988" spans="1:14" x14ac:dyDescent="0.3">
      <c r="A1988">
        <v>87</v>
      </c>
      <c r="B1988">
        <v>2025</v>
      </c>
      <c r="C1988" s="2">
        <v>45674</v>
      </c>
      <c r="E1988" s="11" t="s">
        <v>67</v>
      </c>
      <c r="F1988" s="12" t="s">
        <v>45</v>
      </c>
      <c r="L1988" t="str">
        <f t="shared" si="93"/>
        <v>OK</v>
      </c>
      <c r="M1988" t="str">
        <f t="shared" si="94"/>
        <v>OK</v>
      </c>
      <c r="N1988" t="str">
        <f t="shared" si="95"/>
        <v>OK</v>
      </c>
    </row>
    <row r="1989" spans="1:14" x14ac:dyDescent="0.3">
      <c r="A1989">
        <v>87</v>
      </c>
      <c r="B1989">
        <v>2025</v>
      </c>
      <c r="C1989" s="2">
        <v>45674</v>
      </c>
      <c r="E1989" s="11" t="s">
        <v>68</v>
      </c>
      <c r="F1989" s="12" t="s">
        <v>45</v>
      </c>
      <c r="L1989" t="str">
        <f t="shared" si="93"/>
        <v>OK</v>
      </c>
      <c r="M1989" t="str">
        <f t="shared" si="94"/>
        <v>OK</v>
      </c>
      <c r="N1989" t="str">
        <f t="shared" si="95"/>
        <v>OK</v>
      </c>
    </row>
    <row r="1990" spans="1:14" x14ac:dyDescent="0.3">
      <c r="A1990">
        <v>87</v>
      </c>
      <c r="B1990">
        <v>2025</v>
      </c>
      <c r="C1990" s="2">
        <v>45674</v>
      </c>
      <c r="E1990" s="11" t="s">
        <v>69</v>
      </c>
      <c r="F1990" s="12" t="s">
        <v>45</v>
      </c>
      <c r="L1990" t="str">
        <f t="shared" si="93"/>
        <v>OK</v>
      </c>
      <c r="M1990" t="str">
        <f t="shared" si="94"/>
        <v>OK</v>
      </c>
      <c r="N1990" t="str">
        <f t="shared" si="95"/>
        <v>OK</v>
      </c>
    </row>
    <row r="1991" spans="1:14" x14ac:dyDescent="0.3">
      <c r="A1991">
        <v>87</v>
      </c>
      <c r="B1991">
        <v>2025</v>
      </c>
      <c r="C1991" s="2">
        <v>45674</v>
      </c>
      <c r="E1991" s="11" t="s">
        <v>70</v>
      </c>
      <c r="F1991" s="12" t="s">
        <v>71</v>
      </c>
      <c r="L1991" t="str">
        <f t="shared" si="93"/>
        <v>OK</v>
      </c>
      <c r="M1991" t="str">
        <f t="shared" si="94"/>
        <v>OK</v>
      </c>
      <c r="N1991" t="str">
        <f t="shared" si="95"/>
        <v>OK</v>
      </c>
    </row>
    <row r="1992" spans="1:14" x14ac:dyDescent="0.3">
      <c r="A1992">
        <v>88</v>
      </c>
      <c r="B1992">
        <v>2025</v>
      </c>
      <c r="C1992" s="2">
        <v>45681</v>
      </c>
      <c r="E1992" s="11" t="s">
        <v>12</v>
      </c>
      <c r="F1992" s="12" t="s">
        <v>13</v>
      </c>
      <c r="G1992" s="12"/>
      <c r="H1992" s="13">
        <v>36</v>
      </c>
      <c r="I1992" s="13">
        <v>72</v>
      </c>
      <c r="J1992" s="13">
        <v>54</v>
      </c>
      <c r="K1992" s="13">
        <v>54</v>
      </c>
      <c r="L1992" t="str">
        <f t="shared" si="93"/>
        <v>OK</v>
      </c>
      <c r="M1992" t="str">
        <f t="shared" si="94"/>
        <v>OK</v>
      </c>
      <c r="N1992" t="str">
        <f t="shared" si="95"/>
        <v>OK</v>
      </c>
    </row>
    <row r="1993" spans="1:14" x14ac:dyDescent="0.3">
      <c r="A1993">
        <v>88</v>
      </c>
      <c r="B1993">
        <v>2025</v>
      </c>
      <c r="C1993" s="2">
        <v>45681</v>
      </c>
      <c r="E1993" s="11" t="s">
        <v>14</v>
      </c>
      <c r="F1993" s="12" t="s">
        <v>13</v>
      </c>
      <c r="G1993" s="13">
        <v>96</v>
      </c>
      <c r="H1993" s="13">
        <v>54</v>
      </c>
      <c r="I1993" s="13">
        <v>96</v>
      </c>
      <c r="J1993" s="13" t="s">
        <v>168</v>
      </c>
      <c r="K1993" s="13">
        <v>90</v>
      </c>
      <c r="L1993" t="str">
        <f t="shared" si="93"/>
        <v>OK</v>
      </c>
      <c r="M1993" t="str">
        <f t="shared" si="94"/>
        <v>OK</v>
      </c>
      <c r="N1993" t="str">
        <f t="shared" si="95"/>
        <v>ERRO</v>
      </c>
    </row>
    <row r="1994" spans="1:14" x14ac:dyDescent="0.3">
      <c r="A1994">
        <v>88</v>
      </c>
      <c r="B1994">
        <v>2025</v>
      </c>
      <c r="C1994" s="2">
        <v>45681</v>
      </c>
      <c r="E1994" s="11" t="s">
        <v>15</v>
      </c>
      <c r="F1994" s="12" t="s">
        <v>13</v>
      </c>
      <c r="G1994" s="12"/>
      <c r="H1994" s="13">
        <v>40</v>
      </c>
      <c r="I1994" s="13">
        <v>60</v>
      </c>
      <c r="J1994" s="13" t="s">
        <v>461</v>
      </c>
      <c r="K1994" s="13" t="s">
        <v>174</v>
      </c>
      <c r="L1994" t="str">
        <f t="shared" si="93"/>
        <v>OK</v>
      </c>
      <c r="M1994" t="str">
        <f t="shared" si="94"/>
        <v>OK</v>
      </c>
      <c r="N1994" t="str">
        <f t="shared" si="95"/>
        <v>ERRO</v>
      </c>
    </row>
    <row r="1995" spans="1:14" x14ac:dyDescent="0.3">
      <c r="A1995">
        <v>88</v>
      </c>
      <c r="B1995">
        <v>2025</v>
      </c>
      <c r="C1995" s="2">
        <v>45681</v>
      </c>
      <c r="E1995" s="11" t="s">
        <v>16</v>
      </c>
      <c r="F1995" s="12" t="s">
        <v>13</v>
      </c>
      <c r="G1995" s="13">
        <v>30</v>
      </c>
      <c r="H1995" s="13">
        <v>25</v>
      </c>
      <c r="I1995" s="13">
        <v>50</v>
      </c>
      <c r="J1995" s="13" t="s">
        <v>213</v>
      </c>
      <c r="K1995" s="13">
        <v>30</v>
      </c>
      <c r="L1995" t="str">
        <f t="shared" si="93"/>
        <v>OK</v>
      </c>
      <c r="M1995" t="str">
        <f t="shared" si="94"/>
        <v>OK</v>
      </c>
      <c r="N1995" t="str">
        <f t="shared" si="95"/>
        <v>ERRO</v>
      </c>
    </row>
    <row r="1996" spans="1:14" x14ac:dyDescent="0.3">
      <c r="A1996">
        <v>88</v>
      </c>
      <c r="B1996">
        <v>2025</v>
      </c>
      <c r="C1996" s="2">
        <v>45681</v>
      </c>
      <c r="E1996" s="11" t="s">
        <v>17</v>
      </c>
      <c r="F1996" s="12" t="s">
        <v>13</v>
      </c>
      <c r="G1996" s="13">
        <v>30</v>
      </c>
      <c r="H1996" s="13">
        <v>25</v>
      </c>
      <c r="I1996" s="13">
        <v>50</v>
      </c>
      <c r="J1996" s="13" t="s">
        <v>213</v>
      </c>
      <c r="K1996" s="13">
        <v>30</v>
      </c>
      <c r="L1996" t="str">
        <f t="shared" si="93"/>
        <v>OK</v>
      </c>
      <c r="M1996" t="str">
        <f t="shared" si="94"/>
        <v>OK</v>
      </c>
      <c r="N1996" t="str">
        <f t="shared" si="95"/>
        <v>ERRO</v>
      </c>
    </row>
    <row r="1997" spans="1:14" x14ac:dyDescent="0.3">
      <c r="A1997">
        <v>88</v>
      </c>
      <c r="B1997">
        <v>2025</v>
      </c>
      <c r="C1997" s="2">
        <v>45681</v>
      </c>
      <c r="E1997" s="11" t="s">
        <v>18</v>
      </c>
      <c r="F1997" s="12" t="s">
        <v>13</v>
      </c>
      <c r="G1997" s="13">
        <v>60</v>
      </c>
      <c r="H1997" s="13">
        <v>60</v>
      </c>
      <c r="I1997" s="13">
        <v>120</v>
      </c>
      <c r="J1997" s="13" t="s">
        <v>462</v>
      </c>
      <c r="K1997" s="13">
        <v>63</v>
      </c>
      <c r="L1997" t="str">
        <f t="shared" si="93"/>
        <v>OK</v>
      </c>
      <c r="M1997" t="str">
        <f t="shared" si="94"/>
        <v>OK</v>
      </c>
      <c r="N1997" t="str">
        <f t="shared" si="95"/>
        <v>ERRO</v>
      </c>
    </row>
    <row r="1998" spans="1:14" ht="28.8" x14ac:dyDescent="0.3">
      <c r="A1998">
        <v>88</v>
      </c>
      <c r="B1998">
        <v>2025</v>
      </c>
      <c r="C1998" s="2">
        <v>45681</v>
      </c>
      <c r="E1998" s="11" t="s">
        <v>19</v>
      </c>
      <c r="F1998" s="12" t="s">
        <v>13</v>
      </c>
      <c r="G1998" s="13">
        <v>84</v>
      </c>
      <c r="H1998" s="13">
        <v>78</v>
      </c>
      <c r="I1998" s="13">
        <v>84</v>
      </c>
      <c r="J1998" s="13">
        <v>81</v>
      </c>
      <c r="K1998" s="13">
        <v>81</v>
      </c>
      <c r="L1998" t="str">
        <f t="shared" si="93"/>
        <v>OK</v>
      </c>
      <c r="M1998" t="str">
        <f t="shared" si="94"/>
        <v>OK</v>
      </c>
      <c r="N1998" t="str">
        <f t="shared" si="95"/>
        <v>OK</v>
      </c>
    </row>
    <row r="1999" spans="1:14" x14ac:dyDescent="0.3">
      <c r="A1999">
        <v>88</v>
      </c>
      <c r="B1999">
        <v>2025</v>
      </c>
      <c r="C1999" s="2">
        <v>45681</v>
      </c>
      <c r="E1999" s="11" t="s">
        <v>20</v>
      </c>
      <c r="F1999" s="12" t="s">
        <v>13</v>
      </c>
      <c r="G1999" s="13">
        <v>84</v>
      </c>
      <c r="H1999" s="13">
        <v>72</v>
      </c>
      <c r="I1999" s="13">
        <v>96</v>
      </c>
      <c r="J1999" s="13">
        <v>84</v>
      </c>
      <c r="K1999" s="13">
        <v>84</v>
      </c>
      <c r="L1999" t="str">
        <f t="shared" si="93"/>
        <v>OK</v>
      </c>
      <c r="M1999" t="str">
        <f t="shared" si="94"/>
        <v>OK</v>
      </c>
      <c r="N1999" t="str">
        <f t="shared" si="95"/>
        <v>OK</v>
      </c>
    </row>
    <row r="2000" spans="1:14" x14ac:dyDescent="0.3">
      <c r="A2000">
        <v>88</v>
      </c>
      <c r="B2000">
        <v>2025</v>
      </c>
      <c r="C2000" s="2">
        <v>45681</v>
      </c>
      <c r="E2000" s="11" t="s">
        <v>21</v>
      </c>
      <c r="F2000" s="12" t="s">
        <v>13</v>
      </c>
      <c r="G2000" s="13">
        <v>24</v>
      </c>
      <c r="H2000" s="13">
        <v>24</v>
      </c>
      <c r="I2000" s="13">
        <v>30</v>
      </c>
      <c r="J2000" s="13" t="s">
        <v>276</v>
      </c>
      <c r="K2000" s="13">
        <v>24</v>
      </c>
      <c r="L2000" t="str">
        <f t="shared" si="93"/>
        <v>OK</v>
      </c>
      <c r="M2000" t="str">
        <f t="shared" si="94"/>
        <v>OK</v>
      </c>
      <c r="N2000" t="str">
        <f t="shared" si="95"/>
        <v>ERRO</v>
      </c>
    </row>
    <row r="2001" spans="1:14" x14ac:dyDescent="0.3">
      <c r="A2001">
        <v>88</v>
      </c>
      <c r="B2001">
        <v>2025</v>
      </c>
      <c r="C2001" s="2">
        <v>45681</v>
      </c>
      <c r="E2001" s="11" t="s">
        <v>73</v>
      </c>
      <c r="F2001" s="12" t="s">
        <v>13</v>
      </c>
      <c r="G2001" s="13">
        <v>96</v>
      </c>
      <c r="H2001" s="13">
        <v>72</v>
      </c>
      <c r="I2001" s="13">
        <v>96</v>
      </c>
      <c r="J2001" s="13">
        <v>87</v>
      </c>
      <c r="K2001" s="13">
        <v>90</v>
      </c>
      <c r="L2001" t="str">
        <f t="shared" si="93"/>
        <v>OK</v>
      </c>
      <c r="M2001" t="str">
        <f t="shared" si="94"/>
        <v>OK</v>
      </c>
      <c r="N2001" t="str">
        <f t="shared" si="95"/>
        <v>OK</v>
      </c>
    </row>
    <row r="2002" spans="1:14" x14ac:dyDescent="0.3">
      <c r="A2002">
        <v>88</v>
      </c>
      <c r="B2002">
        <v>2025</v>
      </c>
      <c r="C2002" s="2">
        <v>45681</v>
      </c>
      <c r="E2002" s="11" t="s">
        <v>23</v>
      </c>
      <c r="F2002" s="12" t="s">
        <v>13</v>
      </c>
      <c r="G2002" s="13">
        <v>30</v>
      </c>
      <c r="H2002" s="13">
        <v>25</v>
      </c>
      <c r="I2002" s="13">
        <v>36</v>
      </c>
      <c r="J2002" s="13" t="s">
        <v>335</v>
      </c>
      <c r="K2002" s="13">
        <v>30</v>
      </c>
      <c r="L2002" t="str">
        <f t="shared" si="93"/>
        <v>OK</v>
      </c>
      <c r="M2002" t="str">
        <f t="shared" si="94"/>
        <v>OK</v>
      </c>
      <c r="N2002" t="str">
        <f t="shared" si="95"/>
        <v>ERRO</v>
      </c>
    </row>
    <row r="2003" spans="1:14" x14ac:dyDescent="0.3">
      <c r="A2003">
        <v>88</v>
      </c>
      <c r="B2003">
        <v>2025</v>
      </c>
      <c r="C2003" s="2">
        <v>45681</v>
      </c>
      <c r="E2003" s="11" t="s">
        <v>24</v>
      </c>
      <c r="F2003" s="12" t="s">
        <v>13</v>
      </c>
      <c r="G2003" s="13">
        <v>72</v>
      </c>
      <c r="H2003" s="13">
        <v>60</v>
      </c>
      <c r="I2003" s="13">
        <v>84</v>
      </c>
      <c r="J2003" s="13">
        <v>72</v>
      </c>
      <c r="K2003" s="13">
        <v>72</v>
      </c>
      <c r="L2003" t="str">
        <f t="shared" si="93"/>
        <v>OK</v>
      </c>
      <c r="M2003" t="str">
        <f t="shared" si="94"/>
        <v>OK</v>
      </c>
      <c r="N2003" t="str">
        <f t="shared" si="95"/>
        <v>OK</v>
      </c>
    </row>
    <row r="2004" spans="1:14" x14ac:dyDescent="0.3">
      <c r="A2004">
        <v>88</v>
      </c>
      <c r="B2004">
        <v>2025</v>
      </c>
      <c r="C2004" s="2">
        <v>45681</v>
      </c>
      <c r="E2004" s="11" t="s">
        <v>25</v>
      </c>
      <c r="F2004" s="12" t="s">
        <v>26</v>
      </c>
      <c r="G2004" s="13">
        <v>72</v>
      </c>
      <c r="H2004" s="13">
        <v>60</v>
      </c>
      <c r="I2004" s="13">
        <v>96</v>
      </c>
      <c r="J2004" s="13">
        <v>75</v>
      </c>
      <c r="K2004" s="13">
        <v>72</v>
      </c>
      <c r="L2004" t="str">
        <f t="shared" si="93"/>
        <v>OK</v>
      </c>
      <c r="M2004" t="str">
        <f t="shared" si="94"/>
        <v>OK</v>
      </c>
      <c r="N2004" t="str">
        <f t="shared" si="95"/>
        <v>OK</v>
      </c>
    </row>
    <row r="2005" spans="1:14" x14ac:dyDescent="0.3">
      <c r="A2005">
        <v>88</v>
      </c>
      <c r="B2005">
        <v>2025</v>
      </c>
      <c r="C2005" s="2">
        <v>45681</v>
      </c>
      <c r="E2005" s="11" t="s">
        <v>27</v>
      </c>
      <c r="F2005" s="12" t="s">
        <v>13</v>
      </c>
      <c r="G2005" s="13">
        <v>60</v>
      </c>
      <c r="H2005" s="13">
        <v>54</v>
      </c>
      <c r="I2005" s="13">
        <v>72</v>
      </c>
      <c r="J2005" s="13" t="s">
        <v>141</v>
      </c>
      <c r="K2005" s="13">
        <v>60</v>
      </c>
      <c r="L2005" t="str">
        <f t="shared" si="93"/>
        <v>OK</v>
      </c>
      <c r="M2005" t="str">
        <f t="shared" si="94"/>
        <v>OK</v>
      </c>
      <c r="N2005" t="str">
        <f t="shared" si="95"/>
        <v>ERRO</v>
      </c>
    </row>
    <row r="2006" spans="1:14" x14ac:dyDescent="0.3">
      <c r="A2006">
        <v>88</v>
      </c>
      <c r="B2006">
        <v>2025</v>
      </c>
      <c r="C2006" s="2">
        <v>45681</v>
      </c>
      <c r="E2006" s="11" t="s">
        <v>28</v>
      </c>
      <c r="F2006" s="12" t="s">
        <v>13</v>
      </c>
      <c r="G2006" s="13">
        <v>48</v>
      </c>
      <c r="H2006" s="13">
        <v>36</v>
      </c>
      <c r="I2006" s="13">
        <v>48</v>
      </c>
      <c r="J2006" s="13">
        <v>42</v>
      </c>
      <c r="K2006" s="13">
        <v>42</v>
      </c>
      <c r="L2006" t="str">
        <f t="shared" si="93"/>
        <v>OK</v>
      </c>
      <c r="M2006" t="str">
        <f t="shared" si="94"/>
        <v>OK</v>
      </c>
      <c r="N2006" t="str">
        <f t="shared" si="95"/>
        <v>OK</v>
      </c>
    </row>
    <row r="2007" spans="1:14" x14ac:dyDescent="0.3">
      <c r="A2007">
        <v>88</v>
      </c>
      <c r="B2007">
        <v>2025</v>
      </c>
      <c r="C2007" s="2">
        <v>45681</v>
      </c>
      <c r="E2007" s="11" t="s">
        <v>29</v>
      </c>
      <c r="F2007" s="12" t="s">
        <v>13</v>
      </c>
      <c r="G2007" s="13">
        <v>54</v>
      </c>
      <c r="H2007" s="13">
        <v>48</v>
      </c>
      <c r="I2007" s="13">
        <v>60</v>
      </c>
      <c r="J2007" s="13">
        <v>54</v>
      </c>
      <c r="K2007" s="13">
        <v>54</v>
      </c>
      <c r="L2007" t="str">
        <f t="shared" si="93"/>
        <v>OK</v>
      </c>
      <c r="M2007" t="str">
        <f t="shared" si="94"/>
        <v>OK</v>
      </c>
      <c r="N2007" t="str">
        <f t="shared" si="95"/>
        <v>OK</v>
      </c>
    </row>
    <row r="2008" spans="1:14" x14ac:dyDescent="0.3">
      <c r="A2008">
        <v>88</v>
      </c>
      <c r="B2008">
        <v>2025</v>
      </c>
      <c r="C2008" s="2">
        <v>45681</v>
      </c>
      <c r="E2008" s="11" t="s">
        <v>31</v>
      </c>
      <c r="F2008" s="12" t="s">
        <v>32</v>
      </c>
      <c r="G2008" s="13">
        <v>5</v>
      </c>
      <c r="H2008" s="13">
        <v>5</v>
      </c>
      <c r="I2008" s="13">
        <v>5</v>
      </c>
      <c r="J2008" s="13">
        <v>5</v>
      </c>
      <c r="K2008" s="13">
        <v>5</v>
      </c>
      <c r="L2008" t="str">
        <f t="shared" si="93"/>
        <v>OK</v>
      </c>
      <c r="M2008" t="str">
        <f t="shared" si="94"/>
        <v>OK</v>
      </c>
      <c r="N2008" t="str">
        <f t="shared" si="95"/>
        <v>OK</v>
      </c>
    </row>
    <row r="2009" spans="1:14" x14ac:dyDescent="0.3">
      <c r="A2009">
        <v>88</v>
      </c>
      <c r="B2009">
        <v>2025</v>
      </c>
      <c r="C2009" s="2">
        <v>45681</v>
      </c>
      <c r="E2009" s="11" t="s">
        <v>34</v>
      </c>
      <c r="F2009" s="12" t="s">
        <v>35</v>
      </c>
      <c r="G2009" s="13">
        <v>20</v>
      </c>
      <c r="H2009" s="13">
        <v>20</v>
      </c>
      <c r="I2009" s="13">
        <v>25</v>
      </c>
      <c r="J2009" s="13" t="s">
        <v>37</v>
      </c>
      <c r="K2009" s="13" t="s">
        <v>37</v>
      </c>
      <c r="L2009" t="str">
        <f t="shared" si="93"/>
        <v>OK</v>
      </c>
      <c r="M2009" t="str">
        <f t="shared" si="94"/>
        <v>OK</v>
      </c>
      <c r="N2009" t="str">
        <f t="shared" si="95"/>
        <v>ERRO</v>
      </c>
    </row>
    <row r="2010" spans="1:14" x14ac:dyDescent="0.3">
      <c r="A2010">
        <v>88</v>
      </c>
      <c r="B2010">
        <v>2025</v>
      </c>
      <c r="C2010" s="2">
        <v>45681</v>
      </c>
      <c r="E2010" s="11" t="s">
        <v>36</v>
      </c>
      <c r="F2010" s="12" t="s">
        <v>35</v>
      </c>
      <c r="G2010" s="13">
        <v>25</v>
      </c>
      <c r="H2010" s="13">
        <v>25</v>
      </c>
      <c r="I2010" s="13">
        <v>30</v>
      </c>
      <c r="J2010" s="13" t="s">
        <v>257</v>
      </c>
      <c r="K2010" s="13" t="s">
        <v>257</v>
      </c>
      <c r="L2010" t="str">
        <f t="shared" si="93"/>
        <v>OK</v>
      </c>
      <c r="M2010" t="str">
        <f t="shared" si="94"/>
        <v>OK</v>
      </c>
      <c r="N2010" t="str">
        <f t="shared" si="95"/>
        <v>ERRO</v>
      </c>
    </row>
    <row r="2011" spans="1:14" x14ac:dyDescent="0.3">
      <c r="A2011">
        <v>88</v>
      </c>
      <c r="B2011">
        <v>2025</v>
      </c>
      <c r="C2011" s="2">
        <v>45681</v>
      </c>
      <c r="E2011" s="11" t="s">
        <v>352</v>
      </c>
      <c r="F2011" s="12" t="s">
        <v>154</v>
      </c>
      <c r="G2011" s="13">
        <v>70</v>
      </c>
      <c r="H2011" s="13">
        <v>70</v>
      </c>
      <c r="I2011" s="13">
        <v>75</v>
      </c>
      <c r="J2011" s="13" t="s">
        <v>279</v>
      </c>
      <c r="K2011" s="13">
        <v>70</v>
      </c>
      <c r="L2011" t="str">
        <f t="shared" si="93"/>
        <v>OK</v>
      </c>
      <c r="M2011" t="str">
        <f t="shared" si="94"/>
        <v>OK</v>
      </c>
      <c r="N2011" t="str">
        <f t="shared" si="95"/>
        <v>ERRO</v>
      </c>
    </row>
    <row r="2012" spans="1:14" x14ac:dyDescent="0.3">
      <c r="A2012">
        <v>88</v>
      </c>
      <c r="B2012">
        <v>2025</v>
      </c>
      <c r="C2012" s="2">
        <v>45681</v>
      </c>
      <c r="E2012" s="11" t="s">
        <v>39</v>
      </c>
      <c r="F2012" s="12" t="s">
        <v>40</v>
      </c>
      <c r="G2012" s="13">
        <v>50</v>
      </c>
      <c r="H2012" s="13">
        <v>50</v>
      </c>
      <c r="I2012" s="13">
        <v>60</v>
      </c>
      <c r="J2012" s="13" t="s">
        <v>242</v>
      </c>
      <c r="K2012" s="13">
        <v>50</v>
      </c>
      <c r="L2012" t="str">
        <f t="shared" si="93"/>
        <v>OK</v>
      </c>
      <c r="M2012" t="str">
        <f t="shared" si="94"/>
        <v>OK</v>
      </c>
      <c r="N2012" t="str">
        <f t="shared" si="95"/>
        <v>ERRO</v>
      </c>
    </row>
    <row r="2013" spans="1:14" x14ac:dyDescent="0.3">
      <c r="A2013">
        <v>88</v>
      </c>
      <c r="B2013">
        <v>2025</v>
      </c>
      <c r="C2013" s="2">
        <v>45681</v>
      </c>
      <c r="E2013" s="11" t="s">
        <v>42</v>
      </c>
      <c r="F2013" s="12" t="s">
        <v>43</v>
      </c>
      <c r="G2013" s="13">
        <v>70</v>
      </c>
      <c r="H2013" s="13">
        <v>45</v>
      </c>
      <c r="I2013" s="13">
        <v>70</v>
      </c>
      <c r="J2013" s="13" t="s">
        <v>80</v>
      </c>
      <c r="K2013" s="13" t="s">
        <v>84</v>
      </c>
      <c r="L2013" t="str">
        <f t="shared" si="93"/>
        <v>OK</v>
      </c>
      <c r="M2013" t="str">
        <f t="shared" si="94"/>
        <v>OK</v>
      </c>
      <c r="N2013" t="str">
        <f t="shared" si="95"/>
        <v>ERRO</v>
      </c>
    </row>
    <row r="2014" spans="1:14" x14ac:dyDescent="0.3">
      <c r="A2014">
        <v>88</v>
      </c>
      <c r="B2014">
        <v>2025</v>
      </c>
      <c r="C2014" s="2">
        <v>45681</v>
      </c>
      <c r="E2014" s="11" t="s">
        <v>44</v>
      </c>
      <c r="F2014" s="12" t="s">
        <v>45</v>
      </c>
      <c r="G2014" s="12"/>
      <c r="H2014" s="13">
        <v>40</v>
      </c>
      <c r="I2014" s="13">
        <v>65</v>
      </c>
      <c r="J2014" s="13" t="s">
        <v>92</v>
      </c>
      <c r="K2014" s="13">
        <v>55</v>
      </c>
      <c r="L2014" t="str">
        <f t="shared" si="93"/>
        <v>OK</v>
      </c>
      <c r="M2014" t="str">
        <f t="shared" si="94"/>
        <v>OK</v>
      </c>
      <c r="N2014" t="str">
        <f t="shared" si="95"/>
        <v>ERRO</v>
      </c>
    </row>
    <row r="2015" spans="1:14" x14ac:dyDescent="0.3">
      <c r="A2015">
        <v>88</v>
      </c>
      <c r="B2015">
        <v>2025</v>
      </c>
      <c r="C2015" s="2">
        <v>45681</v>
      </c>
      <c r="E2015" s="11" t="s">
        <v>48</v>
      </c>
      <c r="F2015" s="12" t="s">
        <v>45</v>
      </c>
      <c r="G2015" s="12"/>
      <c r="H2015" s="13">
        <v>65</v>
      </c>
      <c r="I2015" s="13">
        <v>75</v>
      </c>
      <c r="J2015" s="13">
        <v>70</v>
      </c>
      <c r="K2015" s="13">
        <v>70</v>
      </c>
      <c r="L2015" t="str">
        <f t="shared" si="93"/>
        <v>OK</v>
      </c>
      <c r="M2015" t="str">
        <f t="shared" si="94"/>
        <v>OK</v>
      </c>
      <c r="N2015" t="str">
        <f t="shared" si="95"/>
        <v>OK</v>
      </c>
    </row>
    <row r="2016" spans="1:14" x14ac:dyDescent="0.3">
      <c r="A2016">
        <v>88</v>
      </c>
      <c r="B2016">
        <v>2025</v>
      </c>
      <c r="C2016" s="2">
        <v>45681</v>
      </c>
      <c r="E2016" s="11" t="s">
        <v>49</v>
      </c>
      <c r="F2016" s="12" t="s">
        <v>50</v>
      </c>
      <c r="G2016" s="13">
        <v>60</v>
      </c>
      <c r="H2016" s="13">
        <v>50</v>
      </c>
      <c r="I2016" s="13">
        <v>60</v>
      </c>
      <c r="J2016" s="13">
        <v>55</v>
      </c>
      <c r="K2016" s="13">
        <v>55</v>
      </c>
      <c r="L2016" t="str">
        <f t="shared" si="93"/>
        <v>OK</v>
      </c>
      <c r="M2016" t="str">
        <f t="shared" si="94"/>
        <v>OK</v>
      </c>
      <c r="N2016" t="str">
        <f t="shared" si="95"/>
        <v>OK</v>
      </c>
    </row>
    <row r="2017" spans="1:14" x14ac:dyDescent="0.3">
      <c r="A2017">
        <v>88</v>
      </c>
      <c r="B2017">
        <v>2025</v>
      </c>
      <c r="C2017" s="2">
        <v>45681</v>
      </c>
      <c r="E2017" s="11" t="s">
        <v>52</v>
      </c>
      <c r="F2017" s="12" t="s">
        <v>43</v>
      </c>
      <c r="G2017" s="12"/>
      <c r="H2017" s="13">
        <v>60</v>
      </c>
      <c r="I2017" s="13">
        <v>100</v>
      </c>
      <c r="J2017" s="13">
        <v>80</v>
      </c>
      <c r="K2017" s="13">
        <v>80</v>
      </c>
      <c r="L2017" t="str">
        <f t="shared" si="93"/>
        <v>OK</v>
      </c>
      <c r="M2017" t="str">
        <f t="shared" si="94"/>
        <v>OK</v>
      </c>
      <c r="N2017" t="str">
        <f t="shared" si="95"/>
        <v>OK</v>
      </c>
    </row>
    <row r="2018" spans="1:14" x14ac:dyDescent="0.3">
      <c r="A2018">
        <v>88</v>
      </c>
      <c r="B2018">
        <v>2025</v>
      </c>
      <c r="C2018" s="2">
        <v>45681</v>
      </c>
      <c r="E2018" s="11" t="s">
        <v>53</v>
      </c>
      <c r="F2018" s="12" t="s">
        <v>43</v>
      </c>
      <c r="G2018" s="12"/>
      <c r="H2018" s="13">
        <v>45</v>
      </c>
      <c r="I2018" s="13">
        <v>90</v>
      </c>
      <c r="J2018" s="13" t="s">
        <v>286</v>
      </c>
      <c r="K2018" s="13">
        <v>60</v>
      </c>
      <c r="L2018" t="str">
        <f t="shared" si="93"/>
        <v>OK</v>
      </c>
      <c r="M2018" t="str">
        <f t="shared" si="94"/>
        <v>OK</v>
      </c>
      <c r="N2018" t="str">
        <f t="shared" si="95"/>
        <v>ERRO</v>
      </c>
    </row>
    <row r="2019" spans="1:14" x14ac:dyDescent="0.3">
      <c r="A2019">
        <v>88</v>
      </c>
      <c r="B2019">
        <v>2025</v>
      </c>
      <c r="C2019" s="2">
        <v>45681</v>
      </c>
      <c r="E2019" s="11" t="s">
        <v>54</v>
      </c>
      <c r="F2019" s="12" t="s">
        <v>40</v>
      </c>
      <c r="G2019" s="12"/>
      <c r="H2019" s="13">
        <v>70</v>
      </c>
      <c r="I2019" s="13">
        <v>100</v>
      </c>
      <c r="J2019" s="13">
        <v>85</v>
      </c>
      <c r="K2019" s="13">
        <v>85</v>
      </c>
      <c r="L2019" t="str">
        <f t="shared" si="93"/>
        <v>OK</v>
      </c>
      <c r="M2019" t="str">
        <f t="shared" si="94"/>
        <v>OK</v>
      </c>
      <c r="N2019" t="str">
        <f t="shared" si="95"/>
        <v>OK</v>
      </c>
    </row>
    <row r="2020" spans="1:14" x14ac:dyDescent="0.3">
      <c r="A2020">
        <v>88</v>
      </c>
      <c r="B2020">
        <v>2025</v>
      </c>
      <c r="C2020" s="2">
        <v>45681</v>
      </c>
      <c r="E2020" s="11" t="s">
        <v>56</v>
      </c>
      <c r="F2020" s="12" t="s">
        <v>43</v>
      </c>
      <c r="G2020" s="12"/>
      <c r="H2020" s="13">
        <v>50</v>
      </c>
      <c r="I2020" s="13">
        <v>75</v>
      </c>
      <c r="J2020" s="13" t="s">
        <v>80</v>
      </c>
      <c r="K2020" s="13" t="s">
        <v>80</v>
      </c>
      <c r="L2020" t="str">
        <f t="shared" si="93"/>
        <v>OK</v>
      </c>
      <c r="M2020" t="str">
        <f t="shared" si="94"/>
        <v>OK</v>
      </c>
      <c r="N2020" t="str">
        <f t="shared" si="95"/>
        <v>ERRO</v>
      </c>
    </row>
    <row r="2021" spans="1:14" x14ac:dyDescent="0.3">
      <c r="A2021">
        <v>88</v>
      </c>
      <c r="B2021">
        <v>2025</v>
      </c>
      <c r="C2021" s="2">
        <v>45681</v>
      </c>
      <c r="E2021" s="11" t="s">
        <v>57</v>
      </c>
      <c r="F2021" s="12" t="s">
        <v>40</v>
      </c>
      <c r="G2021" s="13">
        <v>80</v>
      </c>
      <c r="H2021" s="13">
        <v>45</v>
      </c>
      <c r="I2021" s="13">
        <v>80</v>
      </c>
      <c r="J2021" s="13" t="s">
        <v>62</v>
      </c>
      <c r="K2021" s="13">
        <v>80</v>
      </c>
      <c r="L2021" t="str">
        <f t="shared" si="93"/>
        <v>OK</v>
      </c>
      <c r="M2021" t="str">
        <f t="shared" si="94"/>
        <v>OK</v>
      </c>
      <c r="N2021" t="str">
        <f t="shared" si="95"/>
        <v>ERRO</v>
      </c>
    </row>
    <row r="2022" spans="1:14" x14ac:dyDescent="0.3">
      <c r="A2022">
        <v>88</v>
      </c>
      <c r="B2022">
        <v>2025</v>
      </c>
      <c r="C2022" s="2">
        <v>45681</v>
      </c>
      <c r="E2022" s="11" t="s">
        <v>58</v>
      </c>
      <c r="F2022" s="12" t="s">
        <v>40</v>
      </c>
      <c r="G2022" s="13">
        <v>90</v>
      </c>
      <c r="H2022" s="13">
        <v>80</v>
      </c>
      <c r="I2022" s="13">
        <v>120</v>
      </c>
      <c r="J2022" s="13">
        <v>95</v>
      </c>
      <c r="K2022" s="13">
        <v>90</v>
      </c>
      <c r="L2022" t="str">
        <f t="shared" si="93"/>
        <v>OK</v>
      </c>
      <c r="M2022" t="str">
        <f t="shared" si="94"/>
        <v>OK</v>
      </c>
      <c r="N2022" t="str">
        <f t="shared" si="95"/>
        <v>OK</v>
      </c>
    </row>
    <row r="2023" spans="1:14" x14ac:dyDescent="0.3">
      <c r="A2023">
        <v>88</v>
      </c>
      <c r="B2023">
        <v>2025</v>
      </c>
      <c r="C2023" s="2">
        <v>45681</v>
      </c>
      <c r="E2023" s="11" t="s">
        <v>59</v>
      </c>
      <c r="F2023" s="12" t="s">
        <v>45</v>
      </c>
      <c r="G2023" s="13">
        <v>30</v>
      </c>
      <c r="H2023" s="13">
        <v>20</v>
      </c>
      <c r="I2023" s="13">
        <v>40</v>
      </c>
      <c r="J2023" s="13">
        <v>30</v>
      </c>
      <c r="K2023" s="13">
        <v>30</v>
      </c>
      <c r="L2023" t="str">
        <f t="shared" si="93"/>
        <v>OK</v>
      </c>
      <c r="M2023" t="str">
        <f t="shared" si="94"/>
        <v>OK</v>
      </c>
      <c r="N2023" t="str">
        <f t="shared" si="95"/>
        <v>OK</v>
      </c>
    </row>
    <row r="2024" spans="1:14" x14ac:dyDescent="0.3">
      <c r="A2024">
        <v>88</v>
      </c>
      <c r="B2024">
        <v>2025</v>
      </c>
      <c r="C2024" s="2">
        <v>45681</v>
      </c>
      <c r="E2024" s="11" t="s">
        <v>60</v>
      </c>
      <c r="F2024" s="12" t="s">
        <v>61</v>
      </c>
      <c r="G2024" s="13">
        <v>90</v>
      </c>
      <c r="H2024" s="13">
        <v>50</v>
      </c>
      <c r="I2024" s="13">
        <v>90</v>
      </c>
      <c r="J2024" s="13" t="s">
        <v>155</v>
      </c>
      <c r="K2024" s="13" t="s">
        <v>239</v>
      </c>
      <c r="L2024" t="str">
        <f t="shared" si="93"/>
        <v>OK</v>
      </c>
      <c r="M2024" t="str">
        <f t="shared" si="94"/>
        <v>OK</v>
      </c>
      <c r="N2024" t="str">
        <f t="shared" si="95"/>
        <v>ERRO</v>
      </c>
    </row>
    <row r="2025" spans="1:14" x14ac:dyDescent="0.3">
      <c r="A2025">
        <v>88</v>
      </c>
      <c r="B2025">
        <v>2025</v>
      </c>
      <c r="C2025" s="2">
        <v>45681</v>
      </c>
      <c r="E2025" s="11" t="s">
        <v>63</v>
      </c>
      <c r="F2025" s="12" t="s">
        <v>40</v>
      </c>
      <c r="G2025" s="12" t="s">
        <v>353</v>
      </c>
      <c r="H2025" s="13">
        <v>60</v>
      </c>
      <c r="I2025" s="13">
        <v>120</v>
      </c>
      <c r="J2025" s="13" t="s">
        <v>307</v>
      </c>
      <c r="K2025" s="13">
        <v>95</v>
      </c>
      <c r="L2025" t="str">
        <f t="shared" si="93"/>
        <v>OK</v>
      </c>
      <c r="M2025" t="str">
        <f t="shared" si="94"/>
        <v>OK</v>
      </c>
      <c r="N2025" t="str">
        <f t="shared" si="95"/>
        <v>ERRO</v>
      </c>
    </row>
    <row r="2026" spans="1:14" x14ac:dyDescent="0.3">
      <c r="A2026">
        <v>88</v>
      </c>
      <c r="B2026">
        <v>2025</v>
      </c>
      <c r="C2026" s="2">
        <v>45681</v>
      </c>
      <c r="E2026" s="11" t="s">
        <v>64</v>
      </c>
      <c r="F2026" s="12" t="s">
        <v>40</v>
      </c>
      <c r="G2026" s="13">
        <v>50</v>
      </c>
      <c r="H2026" s="13">
        <v>50</v>
      </c>
      <c r="I2026" s="13">
        <v>70</v>
      </c>
      <c r="J2026" s="13" t="s">
        <v>55</v>
      </c>
      <c r="K2026" s="13">
        <v>50</v>
      </c>
      <c r="L2026" t="str">
        <f t="shared" si="93"/>
        <v>OK</v>
      </c>
      <c r="M2026" t="str">
        <f t="shared" si="94"/>
        <v>OK</v>
      </c>
      <c r="N2026" t="str">
        <f t="shared" si="95"/>
        <v>ERRO</v>
      </c>
    </row>
    <row r="2027" spans="1:14" x14ac:dyDescent="0.3">
      <c r="A2027">
        <v>88</v>
      </c>
      <c r="B2027">
        <v>2025</v>
      </c>
      <c r="C2027" s="2">
        <v>45681</v>
      </c>
      <c r="E2027" s="11" t="s">
        <v>66</v>
      </c>
      <c r="F2027" s="12" t="s">
        <v>45</v>
      </c>
      <c r="G2027" s="13"/>
      <c r="H2027" s="13"/>
      <c r="I2027" s="13"/>
      <c r="J2027" s="13"/>
      <c r="K2027" s="13"/>
      <c r="L2027" t="str">
        <f t="shared" si="93"/>
        <v>OK</v>
      </c>
      <c r="M2027" t="str">
        <f t="shared" si="94"/>
        <v>OK</v>
      </c>
      <c r="N2027" t="str">
        <f t="shared" si="95"/>
        <v>OK</v>
      </c>
    </row>
    <row r="2028" spans="1:14" x14ac:dyDescent="0.3">
      <c r="A2028">
        <v>88</v>
      </c>
      <c r="B2028">
        <v>2025</v>
      </c>
      <c r="C2028" s="2">
        <v>45681</v>
      </c>
      <c r="E2028" s="11" t="s">
        <v>67</v>
      </c>
      <c r="F2028" s="12" t="s">
        <v>45</v>
      </c>
      <c r="G2028" s="13"/>
      <c r="H2028" s="13"/>
      <c r="I2028" s="13"/>
      <c r="J2028" s="13"/>
      <c r="K2028" s="13"/>
      <c r="L2028" t="str">
        <f t="shared" si="93"/>
        <v>OK</v>
      </c>
      <c r="M2028" t="str">
        <f t="shared" si="94"/>
        <v>OK</v>
      </c>
      <c r="N2028" t="str">
        <f t="shared" si="95"/>
        <v>OK</v>
      </c>
    </row>
    <row r="2029" spans="1:14" x14ac:dyDescent="0.3">
      <c r="A2029">
        <v>88</v>
      </c>
      <c r="B2029">
        <v>2025</v>
      </c>
      <c r="C2029" s="2">
        <v>45681</v>
      </c>
      <c r="E2029" s="11" t="s">
        <v>68</v>
      </c>
      <c r="F2029" s="12" t="s">
        <v>45</v>
      </c>
      <c r="G2029" s="13"/>
      <c r="H2029" s="13"/>
      <c r="I2029" s="13"/>
      <c r="J2029" s="13"/>
      <c r="K2029" s="13"/>
      <c r="L2029" t="str">
        <f t="shared" si="93"/>
        <v>OK</v>
      </c>
      <c r="M2029" t="str">
        <f t="shared" si="94"/>
        <v>OK</v>
      </c>
      <c r="N2029" t="str">
        <f t="shared" si="95"/>
        <v>OK</v>
      </c>
    </row>
    <row r="2030" spans="1:14" x14ac:dyDescent="0.3">
      <c r="A2030">
        <v>88</v>
      </c>
      <c r="B2030">
        <v>2025</v>
      </c>
      <c r="C2030" s="2">
        <v>45681</v>
      </c>
      <c r="E2030" s="11" t="s">
        <v>69</v>
      </c>
      <c r="F2030" s="12" t="s">
        <v>45</v>
      </c>
      <c r="G2030" s="13"/>
      <c r="H2030" s="13"/>
      <c r="I2030" s="13"/>
      <c r="J2030" s="13"/>
      <c r="K2030" s="13"/>
      <c r="L2030" t="str">
        <f t="shared" si="93"/>
        <v>OK</v>
      </c>
      <c r="M2030" t="str">
        <f t="shared" si="94"/>
        <v>OK</v>
      </c>
      <c r="N2030" t="str">
        <f t="shared" si="95"/>
        <v>OK</v>
      </c>
    </row>
    <row r="2031" spans="1:14" x14ac:dyDescent="0.3">
      <c r="A2031">
        <v>88</v>
      </c>
      <c r="B2031">
        <v>2025</v>
      </c>
      <c r="C2031" s="2">
        <v>45681</v>
      </c>
      <c r="E2031" s="11" t="s">
        <v>70</v>
      </c>
      <c r="F2031" s="12" t="s">
        <v>71</v>
      </c>
      <c r="G2031" s="13"/>
      <c r="H2031" s="13"/>
      <c r="I2031" s="13"/>
      <c r="J2031" s="13"/>
      <c r="K2031" s="13"/>
      <c r="L2031" t="str">
        <f t="shared" si="93"/>
        <v>OK</v>
      </c>
      <c r="M2031" t="str">
        <f t="shared" si="94"/>
        <v>OK</v>
      </c>
      <c r="N2031" t="str">
        <f t="shared" si="95"/>
        <v>OK</v>
      </c>
    </row>
    <row r="2032" spans="1:14" x14ac:dyDescent="0.3">
      <c r="A2032">
        <v>89</v>
      </c>
      <c r="B2032">
        <v>2025</v>
      </c>
      <c r="C2032" s="2">
        <v>45688</v>
      </c>
      <c r="E2032" t="s">
        <v>12</v>
      </c>
      <c r="F2032" t="s">
        <v>13</v>
      </c>
      <c r="G2032" t="s">
        <v>464</v>
      </c>
      <c r="H2032" t="s">
        <v>464</v>
      </c>
      <c r="I2032" t="s">
        <v>466</v>
      </c>
      <c r="J2032" t="s">
        <v>475</v>
      </c>
      <c r="K2032" t="s">
        <v>464</v>
      </c>
      <c r="L2032" t="str">
        <f t="shared" si="93"/>
        <v>OK</v>
      </c>
      <c r="M2032" t="str">
        <f t="shared" si="94"/>
        <v>OK</v>
      </c>
      <c r="N2032" t="str">
        <f t="shared" si="95"/>
        <v>OK</v>
      </c>
    </row>
    <row r="2033" spans="1:14" x14ac:dyDescent="0.3">
      <c r="A2033">
        <v>89</v>
      </c>
      <c r="B2033">
        <v>2025</v>
      </c>
      <c r="C2033" s="2">
        <v>45688</v>
      </c>
      <c r="E2033" t="s">
        <v>14</v>
      </c>
      <c r="F2033" t="s">
        <v>13</v>
      </c>
      <c r="G2033" t="s">
        <v>467</v>
      </c>
      <c r="H2033" t="s">
        <v>467</v>
      </c>
      <c r="I2033" t="s">
        <v>579</v>
      </c>
      <c r="J2033" t="s">
        <v>648</v>
      </c>
      <c r="K2033" t="s">
        <v>467</v>
      </c>
      <c r="L2033" t="str">
        <f t="shared" si="93"/>
        <v>OK</v>
      </c>
      <c r="M2033" t="str">
        <f t="shared" si="94"/>
        <v>OK</v>
      </c>
      <c r="N2033" t="str">
        <f t="shared" si="95"/>
        <v>OK</v>
      </c>
    </row>
    <row r="2034" spans="1:14" x14ac:dyDescent="0.3">
      <c r="A2034">
        <v>89</v>
      </c>
      <c r="B2034">
        <v>2025</v>
      </c>
      <c r="C2034" s="2">
        <v>45688</v>
      </c>
      <c r="E2034" t="s">
        <v>15</v>
      </c>
      <c r="F2034" t="s">
        <v>13</v>
      </c>
      <c r="H2034" t="s">
        <v>503</v>
      </c>
      <c r="I2034" t="s">
        <v>464</v>
      </c>
      <c r="J2034" t="s">
        <v>649</v>
      </c>
      <c r="K2034" t="s">
        <v>650</v>
      </c>
      <c r="L2034" t="str">
        <f t="shared" si="93"/>
        <v>OK</v>
      </c>
      <c r="M2034" t="str">
        <f t="shared" si="94"/>
        <v>OK</v>
      </c>
      <c r="N2034" t="str">
        <f t="shared" si="95"/>
        <v>OK</v>
      </c>
    </row>
    <row r="2035" spans="1:14" x14ac:dyDescent="0.3">
      <c r="A2035">
        <v>89</v>
      </c>
      <c r="B2035">
        <v>2025</v>
      </c>
      <c r="C2035" s="2">
        <v>45688</v>
      </c>
      <c r="E2035" t="s">
        <v>16</v>
      </c>
      <c r="F2035" t="s">
        <v>13</v>
      </c>
      <c r="H2035" t="s">
        <v>488</v>
      </c>
      <c r="I2035" t="s">
        <v>463</v>
      </c>
      <c r="J2035" t="s">
        <v>651</v>
      </c>
      <c r="K2035" t="s">
        <v>652</v>
      </c>
      <c r="L2035" t="str">
        <f t="shared" si="93"/>
        <v>OK</v>
      </c>
      <c r="M2035" t="str">
        <f t="shared" si="94"/>
        <v>OK</v>
      </c>
      <c r="N2035" t="str">
        <f t="shared" si="95"/>
        <v>OK</v>
      </c>
    </row>
    <row r="2036" spans="1:14" x14ac:dyDescent="0.3">
      <c r="A2036">
        <v>89</v>
      </c>
      <c r="B2036">
        <v>2025</v>
      </c>
      <c r="C2036" s="2">
        <v>45688</v>
      </c>
      <c r="E2036" t="s">
        <v>17</v>
      </c>
      <c r="F2036" t="s">
        <v>13</v>
      </c>
      <c r="H2036" t="s">
        <v>488</v>
      </c>
      <c r="I2036" t="s">
        <v>463</v>
      </c>
      <c r="J2036" t="s">
        <v>651</v>
      </c>
      <c r="K2036" t="s">
        <v>652</v>
      </c>
      <c r="L2036" t="str">
        <f t="shared" si="93"/>
        <v>OK</v>
      </c>
      <c r="M2036" t="str">
        <f t="shared" si="94"/>
        <v>OK</v>
      </c>
      <c r="N2036" t="str">
        <f t="shared" si="95"/>
        <v>OK</v>
      </c>
    </row>
    <row r="2037" spans="1:14" x14ac:dyDescent="0.3">
      <c r="A2037">
        <v>89</v>
      </c>
      <c r="B2037">
        <v>2025</v>
      </c>
      <c r="C2037" s="2">
        <v>45688</v>
      </c>
      <c r="E2037" t="s">
        <v>18</v>
      </c>
      <c r="F2037" t="s">
        <v>13</v>
      </c>
      <c r="G2037" t="s">
        <v>464</v>
      </c>
      <c r="H2037" t="s">
        <v>464</v>
      </c>
      <c r="I2037" t="s">
        <v>522</v>
      </c>
      <c r="J2037" t="s">
        <v>581</v>
      </c>
      <c r="K2037" t="s">
        <v>464</v>
      </c>
      <c r="L2037" t="str">
        <f t="shared" si="93"/>
        <v>OK</v>
      </c>
      <c r="M2037" t="str">
        <f t="shared" si="94"/>
        <v>OK</v>
      </c>
      <c r="N2037" t="str">
        <f t="shared" si="95"/>
        <v>OK</v>
      </c>
    </row>
    <row r="2038" spans="1:14" x14ac:dyDescent="0.3">
      <c r="A2038">
        <v>89</v>
      </c>
      <c r="B2038">
        <v>2025</v>
      </c>
      <c r="C2038" s="2">
        <v>45688</v>
      </c>
      <c r="E2038" t="s">
        <v>19</v>
      </c>
      <c r="F2038" t="s">
        <v>13</v>
      </c>
      <c r="G2038" t="s">
        <v>523</v>
      </c>
      <c r="H2038" t="s">
        <v>466</v>
      </c>
      <c r="I2038" t="s">
        <v>523</v>
      </c>
      <c r="J2038" t="s">
        <v>597</v>
      </c>
      <c r="K2038" t="s">
        <v>523</v>
      </c>
      <c r="L2038" t="str">
        <f t="shared" si="93"/>
        <v>OK</v>
      </c>
      <c r="M2038" t="str">
        <f t="shared" si="94"/>
        <v>OK</v>
      </c>
      <c r="N2038" t="str">
        <f t="shared" si="95"/>
        <v>OK</v>
      </c>
    </row>
    <row r="2039" spans="1:14" x14ac:dyDescent="0.3">
      <c r="A2039">
        <v>89</v>
      </c>
      <c r="B2039">
        <v>2025</v>
      </c>
      <c r="C2039" s="2">
        <v>45688</v>
      </c>
      <c r="E2039" t="s">
        <v>20</v>
      </c>
      <c r="F2039" t="s">
        <v>13</v>
      </c>
      <c r="G2039" t="s">
        <v>467</v>
      </c>
      <c r="H2039" t="s">
        <v>467</v>
      </c>
      <c r="I2039" t="s">
        <v>467</v>
      </c>
      <c r="J2039" t="s">
        <v>467</v>
      </c>
      <c r="K2039" t="s">
        <v>467</v>
      </c>
      <c r="L2039" t="str">
        <f t="shared" si="93"/>
        <v>OK</v>
      </c>
      <c r="M2039" t="str">
        <f t="shared" si="94"/>
        <v>OK</v>
      </c>
      <c r="N2039" t="str">
        <f t="shared" si="95"/>
        <v>OK</v>
      </c>
    </row>
    <row r="2040" spans="1:14" x14ac:dyDescent="0.3">
      <c r="A2040">
        <v>89</v>
      </c>
      <c r="B2040">
        <v>2025</v>
      </c>
      <c r="C2040" s="2">
        <v>45688</v>
      </c>
      <c r="E2040" t="s">
        <v>21</v>
      </c>
      <c r="F2040" t="s">
        <v>13</v>
      </c>
      <c r="G2040" t="s">
        <v>472</v>
      </c>
      <c r="H2040" t="s">
        <v>472</v>
      </c>
      <c r="I2040" t="s">
        <v>468</v>
      </c>
      <c r="J2040" t="s">
        <v>653</v>
      </c>
      <c r="K2040" t="s">
        <v>542</v>
      </c>
      <c r="L2040" t="str">
        <f t="shared" si="93"/>
        <v>OK</v>
      </c>
      <c r="M2040" t="str">
        <f t="shared" si="94"/>
        <v>OK</v>
      </c>
      <c r="N2040" t="str">
        <f t="shared" si="95"/>
        <v>OK</v>
      </c>
    </row>
    <row r="2041" spans="1:14" x14ac:dyDescent="0.3">
      <c r="A2041">
        <v>89</v>
      </c>
      <c r="B2041">
        <v>2025</v>
      </c>
      <c r="C2041" s="2">
        <v>45688</v>
      </c>
      <c r="E2041" t="s">
        <v>73</v>
      </c>
      <c r="F2041" t="s">
        <v>13</v>
      </c>
      <c r="H2041" t="s">
        <v>466</v>
      </c>
      <c r="I2041" t="s">
        <v>511</v>
      </c>
      <c r="J2041" t="s">
        <v>612</v>
      </c>
      <c r="K2041" t="s">
        <v>467</v>
      </c>
      <c r="L2041" t="str">
        <f t="shared" si="93"/>
        <v>OK</v>
      </c>
      <c r="M2041" t="str">
        <f t="shared" si="94"/>
        <v>OK</v>
      </c>
      <c r="N2041" t="str">
        <f t="shared" si="95"/>
        <v>OK</v>
      </c>
    </row>
    <row r="2042" spans="1:14" x14ac:dyDescent="0.3">
      <c r="A2042">
        <v>89</v>
      </c>
      <c r="B2042">
        <v>2025</v>
      </c>
      <c r="C2042" s="2">
        <v>45688</v>
      </c>
      <c r="E2042" t="s">
        <v>23</v>
      </c>
      <c r="F2042" t="s">
        <v>13</v>
      </c>
      <c r="G2042" t="s">
        <v>488</v>
      </c>
      <c r="H2042" t="s">
        <v>472</v>
      </c>
      <c r="I2042" t="s">
        <v>468</v>
      </c>
      <c r="J2042" t="s">
        <v>542</v>
      </c>
      <c r="K2042" t="s">
        <v>472</v>
      </c>
      <c r="L2042" t="str">
        <f t="shared" si="93"/>
        <v>OK</v>
      </c>
      <c r="M2042" t="str">
        <f t="shared" si="94"/>
        <v>OK</v>
      </c>
      <c r="N2042" t="str">
        <f t="shared" si="95"/>
        <v>OK</v>
      </c>
    </row>
    <row r="2043" spans="1:14" x14ac:dyDescent="0.3">
      <c r="A2043">
        <v>89</v>
      </c>
      <c r="B2043">
        <v>2025</v>
      </c>
      <c r="C2043" s="2">
        <v>45688</v>
      </c>
      <c r="E2043" t="s">
        <v>24</v>
      </c>
      <c r="F2043" t="s">
        <v>13</v>
      </c>
      <c r="G2043" t="s">
        <v>464</v>
      </c>
      <c r="H2043" t="s">
        <v>466</v>
      </c>
      <c r="I2043" t="s">
        <v>466</v>
      </c>
      <c r="J2043" t="s">
        <v>535</v>
      </c>
      <c r="K2043" t="s">
        <v>466</v>
      </c>
      <c r="L2043" t="str">
        <f t="shared" si="93"/>
        <v>OK</v>
      </c>
      <c r="M2043" t="str">
        <f t="shared" si="94"/>
        <v>ERRO</v>
      </c>
      <c r="N2043" t="str">
        <f t="shared" si="95"/>
        <v>OK</v>
      </c>
    </row>
    <row r="2044" spans="1:14" x14ac:dyDescent="0.3">
      <c r="A2044">
        <v>89</v>
      </c>
      <c r="B2044">
        <v>2025</v>
      </c>
      <c r="C2044" s="2">
        <v>45688</v>
      </c>
      <c r="E2044" t="s">
        <v>25</v>
      </c>
      <c r="F2044" t="s">
        <v>26</v>
      </c>
      <c r="G2044" t="s">
        <v>466</v>
      </c>
      <c r="H2044" t="s">
        <v>466</v>
      </c>
      <c r="I2044" t="s">
        <v>466</v>
      </c>
      <c r="J2044" t="s">
        <v>466</v>
      </c>
      <c r="K2044" t="s">
        <v>466</v>
      </c>
      <c r="L2044" t="str">
        <f t="shared" si="93"/>
        <v>OK</v>
      </c>
      <c r="M2044" t="str">
        <f t="shared" si="94"/>
        <v>OK</v>
      </c>
      <c r="N2044" t="str">
        <f t="shared" si="95"/>
        <v>OK</v>
      </c>
    </row>
    <row r="2045" spans="1:14" x14ac:dyDescent="0.3">
      <c r="A2045">
        <v>89</v>
      </c>
      <c r="B2045">
        <v>2025</v>
      </c>
      <c r="C2045" s="2">
        <v>45688</v>
      </c>
      <c r="E2045" t="s">
        <v>27</v>
      </c>
      <c r="F2045" t="s">
        <v>13</v>
      </c>
      <c r="H2045" t="s">
        <v>464</v>
      </c>
      <c r="I2045" t="s">
        <v>523</v>
      </c>
      <c r="J2045" t="s">
        <v>654</v>
      </c>
      <c r="K2045" t="s">
        <v>500</v>
      </c>
      <c r="L2045" t="str">
        <f t="shared" si="93"/>
        <v>OK</v>
      </c>
      <c r="M2045" t="str">
        <f t="shared" si="94"/>
        <v>OK</v>
      </c>
      <c r="N2045" t="str">
        <f t="shared" si="95"/>
        <v>OK</v>
      </c>
    </row>
    <row r="2046" spans="1:14" x14ac:dyDescent="0.3">
      <c r="A2046">
        <v>89</v>
      </c>
      <c r="B2046">
        <v>2025</v>
      </c>
      <c r="C2046" s="2">
        <v>45688</v>
      </c>
      <c r="E2046" t="s">
        <v>28</v>
      </c>
      <c r="F2046" t="s">
        <v>13</v>
      </c>
      <c r="G2046" t="s">
        <v>496</v>
      </c>
      <c r="H2046" t="s">
        <v>496</v>
      </c>
      <c r="I2046" t="s">
        <v>463</v>
      </c>
      <c r="J2046" t="s">
        <v>592</v>
      </c>
      <c r="K2046" t="s">
        <v>496</v>
      </c>
      <c r="L2046" t="str">
        <f t="shared" si="93"/>
        <v>OK</v>
      </c>
      <c r="M2046" t="str">
        <f t="shared" si="94"/>
        <v>OK</v>
      </c>
      <c r="N2046" t="str">
        <f t="shared" si="95"/>
        <v>OK</v>
      </c>
    </row>
    <row r="2047" spans="1:14" x14ac:dyDescent="0.3">
      <c r="A2047">
        <v>89</v>
      </c>
      <c r="B2047">
        <v>2025</v>
      </c>
      <c r="C2047" s="2">
        <v>45688</v>
      </c>
      <c r="E2047" t="s">
        <v>29</v>
      </c>
      <c r="F2047" t="s">
        <v>13</v>
      </c>
      <c r="G2047" t="s">
        <v>463</v>
      </c>
      <c r="H2047" t="s">
        <v>465</v>
      </c>
      <c r="I2047" t="s">
        <v>464</v>
      </c>
      <c r="J2047" t="s">
        <v>465</v>
      </c>
      <c r="K2047" t="s">
        <v>465</v>
      </c>
      <c r="L2047" t="str">
        <f t="shared" si="93"/>
        <v>OK</v>
      </c>
      <c r="M2047" t="str">
        <f t="shared" si="94"/>
        <v>OK</v>
      </c>
      <c r="N2047" t="str">
        <f t="shared" si="95"/>
        <v>OK</v>
      </c>
    </row>
    <row r="2048" spans="1:14" x14ac:dyDescent="0.3">
      <c r="A2048">
        <v>89</v>
      </c>
      <c r="B2048">
        <v>2025</v>
      </c>
      <c r="C2048" s="2">
        <v>45688</v>
      </c>
      <c r="E2048" t="s">
        <v>31</v>
      </c>
      <c r="F2048" t="s">
        <v>32</v>
      </c>
      <c r="G2048" t="s">
        <v>484</v>
      </c>
      <c r="H2048" t="s">
        <v>484</v>
      </c>
      <c r="I2048" t="s">
        <v>484</v>
      </c>
      <c r="J2048" t="s">
        <v>484</v>
      </c>
      <c r="K2048" t="s">
        <v>484</v>
      </c>
      <c r="L2048" t="str">
        <f t="shared" si="93"/>
        <v>OK</v>
      </c>
      <c r="M2048" t="str">
        <f t="shared" si="94"/>
        <v>OK</v>
      </c>
      <c r="N2048" t="str">
        <f t="shared" si="95"/>
        <v>OK</v>
      </c>
    </row>
    <row r="2049" spans="1:14" x14ac:dyDescent="0.3">
      <c r="A2049">
        <v>89</v>
      </c>
      <c r="B2049">
        <v>2025</v>
      </c>
      <c r="C2049" s="2">
        <v>45688</v>
      </c>
      <c r="E2049" t="s">
        <v>34</v>
      </c>
      <c r="F2049" t="s">
        <v>35</v>
      </c>
      <c r="G2049" t="s">
        <v>488</v>
      </c>
      <c r="H2049" t="s">
        <v>525</v>
      </c>
      <c r="I2049" t="s">
        <v>525</v>
      </c>
      <c r="J2049" t="s">
        <v>474</v>
      </c>
      <c r="K2049" t="s">
        <v>474</v>
      </c>
      <c r="L2049" t="str">
        <f t="shared" si="93"/>
        <v>OK</v>
      </c>
      <c r="M2049" t="str">
        <f t="shared" si="94"/>
        <v>ERRO</v>
      </c>
      <c r="N2049" t="str">
        <f t="shared" si="95"/>
        <v>OK</v>
      </c>
    </row>
    <row r="2050" spans="1:14" x14ac:dyDescent="0.3">
      <c r="A2050">
        <v>89</v>
      </c>
      <c r="B2050">
        <v>2025</v>
      </c>
      <c r="C2050" s="2">
        <v>45688</v>
      </c>
      <c r="E2050" t="s">
        <v>36</v>
      </c>
      <c r="F2050" t="s">
        <v>35</v>
      </c>
      <c r="G2050" t="s">
        <v>525</v>
      </c>
      <c r="H2050" t="s">
        <v>525</v>
      </c>
      <c r="I2050" t="s">
        <v>494</v>
      </c>
      <c r="J2050" t="s">
        <v>655</v>
      </c>
      <c r="K2050" t="s">
        <v>490</v>
      </c>
      <c r="L2050" t="str">
        <f t="shared" si="93"/>
        <v>OK</v>
      </c>
      <c r="M2050" t="str">
        <f t="shared" si="94"/>
        <v>OK</v>
      </c>
      <c r="N2050" t="str">
        <f t="shared" si="95"/>
        <v>OK</v>
      </c>
    </row>
    <row r="2051" spans="1:14" x14ac:dyDescent="0.3">
      <c r="A2051">
        <v>89</v>
      </c>
      <c r="B2051">
        <v>2025</v>
      </c>
      <c r="C2051" s="2">
        <v>45688</v>
      </c>
      <c r="E2051" t="s">
        <v>153</v>
      </c>
      <c r="F2051" t="s">
        <v>154</v>
      </c>
      <c r="H2051" t="s">
        <v>464</v>
      </c>
      <c r="I2051" t="s">
        <v>500</v>
      </c>
      <c r="J2051" t="s">
        <v>497</v>
      </c>
      <c r="K2051" t="s">
        <v>497</v>
      </c>
      <c r="L2051" t="str">
        <f t="shared" ref="L2051:L2114" si="96">IF(H2051&gt;I2051,"ERRO","OK")</f>
        <v>OK</v>
      </c>
      <c r="M2051" t="str">
        <f t="shared" ref="M2051:M2114" si="97">IF(H2051&gt;J2051,"ERRO","OK")</f>
        <v>OK</v>
      </c>
      <c r="N2051" t="str">
        <f t="shared" ref="N2051:N2114" si="98">IF(I2051&lt;J2051,"ERRO","OK")</f>
        <v>OK</v>
      </c>
    </row>
    <row r="2052" spans="1:14" x14ac:dyDescent="0.3">
      <c r="A2052">
        <v>89</v>
      </c>
      <c r="B2052">
        <v>2025</v>
      </c>
      <c r="C2052" s="2">
        <v>45688</v>
      </c>
      <c r="E2052" t="s">
        <v>39</v>
      </c>
      <c r="F2052" t="s">
        <v>40</v>
      </c>
      <c r="G2052" t="s">
        <v>499</v>
      </c>
      <c r="H2052" t="s">
        <v>499</v>
      </c>
      <c r="I2052" t="s">
        <v>500</v>
      </c>
      <c r="J2052" t="s">
        <v>656</v>
      </c>
      <c r="K2052" t="s">
        <v>499</v>
      </c>
      <c r="L2052" t="str">
        <f t="shared" si="96"/>
        <v>OK</v>
      </c>
      <c r="M2052" t="str">
        <f t="shared" si="97"/>
        <v>OK</v>
      </c>
      <c r="N2052" t="str">
        <f t="shared" si="98"/>
        <v>OK</v>
      </c>
    </row>
    <row r="2053" spans="1:14" x14ac:dyDescent="0.3">
      <c r="A2053">
        <v>89</v>
      </c>
      <c r="B2053">
        <v>2025</v>
      </c>
      <c r="C2053" s="2">
        <v>45688</v>
      </c>
      <c r="E2053" t="s">
        <v>42</v>
      </c>
      <c r="F2053" t="s">
        <v>43</v>
      </c>
      <c r="G2053" t="s">
        <v>500</v>
      </c>
      <c r="H2053" t="s">
        <v>496</v>
      </c>
      <c r="I2053" t="s">
        <v>500</v>
      </c>
      <c r="J2053" t="s">
        <v>505</v>
      </c>
      <c r="K2053" t="s">
        <v>464</v>
      </c>
      <c r="L2053" t="str">
        <f t="shared" si="96"/>
        <v>OK</v>
      </c>
      <c r="M2053" t="str">
        <f t="shared" si="97"/>
        <v>OK</v>
      </c>
      <c r="N2053" t="str">
        <f t="shared" si="98"/>
        <v>OK</v>
      </c>
    </row>
    <row r="2054" spans="1:14" x14ac:dyDescent="0.3">
      <c r="A2054">
        <v>89</v>
      </c>
      <c r="B2054">
        <v>2025</v>
      </c>
      <c r="C2054" s="2">
        <v>45688</v>
      </c>
      <c r="E2054" t="s">
        <v>44</v>
      </c>
      <c r="F2054" t="s">
        <v>45</v>
      </c>
      <c r="G2054" t="s">
        <v>499</v>
      </c>
      <c r="H2054" t="s">
        <v>499</v>
      </c>
      <c r="I2054" t="s">
        <v>499</v>
      </c>
      <c r="J2054" t="s">
        <v>499</v>
      </c>
      <c r="K2054" t="s">
        <v>499</v>
      </c>
      <c r="L2054" t="str">
        <f t="shared" si="96"/>
        <v>OK</v>
      </c>
      <c r="M2054" t="str">
        <f t="shared" si="97"/>
        <v>OK</v>
      </c>
      <c r="N2054" t="str">
        <f t="shared" si="98"/>
        <v>OK</v>
      </c>
    </row>
    <row r="2055" spans="1:14" x14ac:dyDescent="0.3">
      <c r="A2055">
        <v>89</v>
      </c>
      <c r="B2055">
        <v>2025</v>
      </c>
      <c r="C2055" s="2">
        <v>45688</v>
      </c>
      <c r="E2055" t="s">
        <v>48</v>
      </c>
      <c r="F2055" t="s">
        <v>45</v>
      </c>
      <c r="H2055" t="s">
        <v>492</v>
      </c>
      <c r="I2055" t="s">
        <v>492</v>
      </c>
      <c r="J2055" t="s">
        <v>492</v>
      </c>
      <c r="K2055" t="s">
        <v>492</v>
      </c>
      <c r="L2055" t="str">
        <f t="shared" si="96"/>
        <v>OK</v>
      </c>
      <c r="M2055" t="str">
        <f t="shared" si="97"/>
        <v>OK</v>
      </c>
      <c r="N2055" t="str">
        <f t="shared" si="98"/>
        <v>OK</v>
      </c>
    </row>
    <row r="2056" spans="1:14" x14ac:dyDescent="0.3">
      <c r="A2056">
        <v>89</v>
      </c>
      <c r="B2056">
        <v>2025</v>
      </c>
      <c r="C2056" s="2">
        <v>45688</v>
      </c>
      <c r="E2056" t="s">
        <v>49</v>
      </c>
      <c r="F2056" t="s">
        <v>50</v>
      </c>
      <c r="G2056" t="s">
        <v>499</v>
      </c>
      <c r="H2056" t="s">
        <v>464</v>
      </c>
      <c r="I2056" t="s">
        <v>464</v>
      </c>
      <c r="J2056" t="s">
        <v>505</v>
      </c>
      <c r="K2056" t="s">
        <v>464</v>
      </c>
      <c r="L2056" t="str">
        <f t="shared" si="96"/>
        <v>OK</v>
      </c>
      <c r="M2056" t="str">
        <f t="shared" si="97"/>
        <v>ERRO</v>
      </c>
      <c r="N2056" t="str">
        <f t="shared" si="98"/>
        <v>OK</v>
      </c>
    </row>
    <row r="2057" spans="1:14" x14ac:dyDescent="0.3">
      <c r="A2057">
        <v>89</v>
      </c>
      <c r="B2057">
        <v>2025</v>
      </c>
      <c r="C2057" s="2">
        <v>45688</v>
      </c>
      <c r="E2057" t="s">
        <v>52</v>
      </c>
      <c r="F2057" t="s">
        <v>43</v>
      </c>
      <c r="G2057" t="s">
        <v>464</v>
      </c>
      <c r="H2057" t="s">
        <v>464</v>
      </c>
      <c r="I2057" t="s">
        <v>492</v>
      </c>
      <c r="J2057" t="s">
        <v>540</v>
      </c>
      <c r="K2057" t="s">
        <v>500</v>
      </c>
      <c r="L2057" t="str">
        <f t="shared" si="96"/>
        <v>OK</v>
      </c>
      <c r="M2057" t="str">
        <f t="shared" si="97"/>
        <v>OK</v>
      </c>
      <c r="N2057" t="str">
        <f t="shared" si="98"/>
        <v>OK</v>
      </c>
    </row>
    <row r="2058" spans="1:14" x14ac:dyDescent="0.3">
      <c r="A2058">
        <v>89</v>
      </c>
      <c r="B2058">
        <v>2025</v>
      </c>
      <c r="C2058" s="2">
        <v>45688</v>
      </c>
      <c r="E2058" t="s">
        <v>53</v>
      </c>
      <c r="F2058" t="s">
        <v>43</v>
      </c>
      <c r="H2058" t="s">
        <v>464</v>
      </c>
      <c r="I2058" t="s">
        <v>492</v>
      </c>
      <c r="J2058" t="s">
        <v>476</v>
      </c>
      <c r="K2058" t="s">
        <v>476</v>
      </c>
      <c r="L2058" t="str">
        <f t="shared" si="96"/>
        <v>OK</v>
      </c>
      <c r="M2058" t="str">
        <f t="shared" si="97"/>
        <v>OK</v>
      </c>
      <c r="N2058" t="str">
        <f t="shared" si="98"/>
        <v>OK</v>
      </c>
    </row>
    <row r="2059" spans="1:14" x14ac:dyDescent="0.3">
      <c r="A2059">
        <v>89</v>
      </c>
      <c r="B2059">
        <v>2025</v>
      </c>
      <c r="C2059" s="2">
        <v>45688</v>
      </c>
      <c r="E2059" t="s">
        <v>54</v>
      </c>
      <c r="F2059" t="s">
        <v>40</v>
      </c>
      <c r="G2059" t="s">
        <v>464</v>
      </c>
      <c r="H2059" t="s">
        <v>464</v>
      </c>
      <c r="I2059" t="s">
        <v>476</v>
      </c>
      <c r="J2059" t="s">
        <v>480</v>
      </c>
      <c r="K2059" t="s">
        <v>464</v>
      </c>
      <c r="L2059" t="str">
        <f t="shared" si="96"/>
        <v>OK</v>
      </c>
      <c r="M2059" t="str">
        <f t="shared" si="97"/>
        <v>OK</v>
      </c>
      <c r="N2059" t="str">
        <f t="shared" si="98"/>
        <v>OK</v>
      </c>
    </row>
    <row r="2060" spans="1:14" x14ac:dyDescent="0.3">
      <c r="A2060">
        <v>89</v>
      </c>
      <c r="B2060">
        <v>2025</v>
      </c>
      <c r="C2060" s="2">
        <v>45688</v>
      </c>
      <c r="E2060" t="s">
        <v>56</v>
      </c>
      <c r="F2060" t="s">
        <v>43</v>
      </c>
      <c r="H2060" t="s">
        <v>492</v>
      </c>
      <c r="I2060" t="s">
        <v>492</v>
      </c>
      <c r="J2060" t="s">
        <v>492</v>
      </c>
      <c r="K2060" t="s">
        <v>492</v>
      </c>
      <c r="L2060" t="str">
        <f t="shared" si="96"/>
        <v>OK</v>
      </c>
      <c r="M2060" t="str">
        <f t="shared" si="97"/>
        <v>OK</v>
      </c>
      <c r="N2060" t="str">
        <f t="shared" si="98"/>
        <v>OK</v>
      </c>
    </row>
    <row r="2061" spans="1:14" x14ac:dyDescent="0.3">
      <c r="A2061">
        <v>89</v>
      </c>
      <c r="B2061">
        <v>2025</v>
      </c>
      <c r="C2061" s="2">
        <v>45688</v>
      </c>
      <c r="E2061" t="s">
        <v>57</v>
      </c>
      <c r="F2061" t="s">
        <v>40</v>
      </c>
      <c r="G2061" t="s">
        <v>500</v>
      </c>
      <c r="H2061" t="s">
        <v>500</v>
      </c>
      <c r="I2061" t="s">
        <v>500</v>
      </c>
      <c r="J2061" t="s">
        <v>500</v>
      </c>
      <c r="K2061" t="s">
        <v>500</v>
      </c>
      <c r="L2061" t="str">
        <f t="shared" si="96"/>
        <v>OK</v>
      </c>
      <c r="M2061" t="str">
        <f t="shared" si="97"/>
        <v>OK</v>
      </c>
      <c r="N2061" t="str">
        <f t="shared" si="98"/>
        <v>OK</v>
      </c>
    </row>
    <row r="2062" spans="1:14" x14ac:dyDescent="0.3">
      <c r="A2062">
        <v>89</v>
      </c>
      <c r="B2062">
        <v>2025</v>
      </c>
      <c r="C2062" s="2">
        <v>45688</v>
      </c>
      <c r="E2062" t="s">
        <v>58</v>
      </c>
      <c r="F2062" t="s">
        <v>40</v>
      </c>
      <c r="H2062" t="s">
        <v>491</v>
      </c>
      <c r="I2062" t="s">
        <v>507</v>
      </c>
      <c r="J2062" t="s">
        <v>657</v>
      </c>
      <c r="K2062" t="s">
        <v>518</v>
      </c>
      <c r="L2062" t="str">
        <f t="shared" si="96"/>
        <v>ERRO</v>
      </c>
      <c r="M2062" t="str">
        <f t="shared" si="97"/>
        <v>OK</v>
      </c>
      <c r="N2062" t="str">
        <f t="shared" si="98"/>
        <v>ERRO</v>
      </c>
    </row>
    <row r="2063" spans="1:14" x14ac:dyDescent="0.3">
      <c r="A2063">
        <v>89</v>
      </c>
      <c r="B2063">
        <v>2025</v>
      </c>
      <c r="C2063" s="2">
        <v>45688</v>
      </c>
      <c r="E2063" t="s">
        <v>59</v>
      </c>
      <c r="F2063" t="s">
        <v>45</v>
      </c>
      <c r="H2063" t="s">
        <v>525</v>
      </c>
      <c r="I2063" t="s">
        <v>591</v>
      </c>
      <c r="J2063" t="s">
        <v>496</v>
      </c>
      <c r="K2063" t="s">
        <v>494</v>
      </c>
      <c r="L2063" t="str">
        <f t="shared" si="96"/>
        <v>OK</v>
      </c>
      <c r="M2063" t="str">
        <f t="shared" si="97"/>
        <v>OK</v>
      </c>
      <c r="N2063" t="str">
        <f t="shared" si="98"/>
        <v>OK</v>
      </c>
    </row>
    <row r="2064" spans="1:14" x14ac:dyDescent="0.3">
      <c r="A2064">
        <v>89</v>
      </c>
      <c r="B2064">
        <v>2025</v>
      </c>
      <c r="C2064" s="2">
        <v>45688</v>
      </c>
      <c r="E2064" t="s">
        <v>60</v>
      </c>
      <c r="F2064" t="s">
        <v>61</v>
      </c>
      <c r="G2064" t="s">
        <v>499</v>
      </c>
      <c r="H2064" t="s">
        <v>499</v>
      </c>
      <c r="I2064" t="s">
        <v>464</v>
      </c>
      <c r="J2064" t="s">
        <v>502</v>
      </c>
      <c r="K2064" t="s">
        <v>502</v>
      </c>
      <c r="L2064" t="str">
        <f t="shared" si="96"/>
        <v>OK</v>
      </c>
      <c r="M2064" t="str">
        <f t="shared" si="97"/>
        <v>OK</v>
      </c>
      <c r="N2064" t="str">
        <f t="shared" si="98"/>
        <v>OK</v>
      </c>
    </row>
    <row r="2065" spans="1:14" x14ac:dyDescent="0.3">
      <c r="A2065">
        <v>89</v>
      </c>
      <c r="B2065">
        <v>2025</v>
      </c>
      <c r="C2065" s="2">
        <v>45688</v>
      </c>
      <c r="E2065" t="s">
        <v>63</v>
      </c>
      <c r="F2065" t="s">
        <v>40</v>
      </c>
      <c r="G2065" t="s">
        <v>511</v>
      </c>
      <c r="H2065" t="s">
        <v>464</v>
      </c>
      <c r="I2065" t="s">
        <v>511</v>
      </c>
      <c r="J2065" t="s">
        <v>658</v>
      </c>
      <c r="K2065" t="s">
        <v>493</v>
      </c>
      <c r="L2065" t="str">
        <f t="shared" si="96"/>
        <v>OK</v>
      </c>
      <c r="M2065" t="str">
        <f t="shared" si="97"/>
        <v>OK</v>
      </c>
      <c r="N2065" t="str">
        <f t="shared" si="98"/>
        <v>OK</v>
      </c>
    </row>
    <row r="2066" spans="1:14" x14ac:dyDescent="0.3">
      <c r="A2066">
        <v>89</v>
      </c>
      <c r="B2066">
        <v>2025</v>
      </c>
      <c r="C2066" s="2">
        <v>45688</v>
      </c>
      <c r="E2066" t="s">
        <v>64</v>
      </c>
      <c r="F2066" t="s">
        <v>40</v>
      </c>
      <c r="H2066" t="s">
        <v>464</v>
      </c>
      <c r="I2066" t="s">
        <v>521</v>
      </c>
      <c r="J2066" t="s">
        <v>492</v>
      </c>
      <c r="K2066" t="s">
        <v>492</v>
      </c>
      <c r="L2066" t="str">
        <f t="shared" si="96"/>
        <v>ERRO</v>
      </c>
      <c r="M2066" t="str">
        <f t="shared" si="97"/>
        <v>OK</v>
      </c>
      <c r="N2066" t="str">
        <f t="shared" si="98"/>
        <v>ERRO</v>
      </c>
    </row>
    <row r="2067" spans="1:14" x14ac:dyDescent="0.3">
      <c r="A2067">
        <v>89</v>
      </c>
      <c r="B2067">
        <v>2025</v>
      </c>
      <c r="C2067" s="2">
        <v>45688</v>
      </c>
      <c r="E2067" s="11" t="s">
        <v>66</v>
      </c>
      <c r="F2067" s="12" t="s">
        <v>45</v>
      </c>
      <c r="L2067" t="str">
        <f t="shared" si="96"/>
        <v>OK</v>
      </c>
      <c r="M2067" t="str">
        <f t="shared" si="97"/>
        <v>OK</v>
      </c>
      <c r="N2067" t="str">
        <f t="shared" si="98"/>
        <v>OK</v>
      </c>
    </row>
    <row r="2068" spans="1:14" x14ac:dyDescent="0.3">
      <c r="A2068">
        <v>89</v>
      </c>
      <c r="B2068">
        <v>2025</v>
      </c>
      <c r="C2068" s="2">
        <v>45688</v>
      </c>
      <c r="E2068" s="11" t="s">
        <v>67</v>
      </c>
      <c r="F2068" s="12" t="s">
        <v>45</v>
      </c>
      <c r="L2068" t="str">
        <f t="shared" si="96"/>
        <v>OK</v>
      </c>
      <c r="M2068" t="str">
        <f t="shared" si="97"/>
        <v>OK</v>
      </c>
      <c r="N2068" t="str">
        <f t="shared" si="98"/>
        <v>OK</v>
      </c>
    </row>
    <row r="2069" spans="1:14" x14ac:dyDescent="0.3">
      <c r="A2069">
        <v>89</v>
      </c>
      <c r="B2069">
        <v>2025</v>
      </c>
      <c r="C2069" s="2">
        <v>45688</v>
      </c>
      <c r="E2069" s="11" t="s">
        <v>68</v>
      </c>
      <c r="F2069" s="12" t="s">
        <v>45</v>
      </c>
      <c r="L2069" t="str">
        <f t="shared" si="96"/>
        <v>OK</v>
      </c>
      <c r="M2069" t="str">
        <f t="shared" si="97"/>
        <v>OK</v>
      </c>
      <c r="N2069" t="str">
        <f t="shared" si="98"/>
        <v>OK</v>
      </c>
    </row>
    <row r="2070" spans="1:14" x14ac:dyDescent="0.3">
      <c r="A2070">
        <v>89</v>
      </c>
      <c r="B2070">
        <v>2025</v>
      </c>
      <c r="C2070" s="2">
        <v>45688</v>
      </c>
      <c r="E2070" s="11" t="s">
        <v>69</v>
      </c>
      <c r="F2070" s="12" t="s">
        <v>45</v>
      </c>
      <c r="L2070" t="str">
        <f t="shared" si="96"/>
        <v>OK</v>
      </c>
      <c r="M2070" t="str">
        <f t="shared" si="97"/>
        <v>OK</v>
      </c>
      <c r="N2070" t="str">
        <f t="shared" si="98"/>
        <v>OK</v>
      </c>
    </row>
    <row r="2071" spans="1:14" x14ac:dyDescent="0.3">
      <c r="A2071">
        <v>89</v>
      </c>
      <c r="B2071">
        <v>2025</v>
      </c>
      <c r="C2071" s="2">
        <v>45688</v>
      </c>
      <c r="E2071" s="11" t="s">
        <v>70</v>
      </c>
      <c r="F2071" s="12" t="s">
        <v>71</v>
      </c>
      <c r="L2071" t="str">
        <f t="shared" si="96"/>
        <v>OK</v>
      </c>
      <c r="M2071" t="str">
        <f t="shared" si="97"/>
        <v>OK</v>
      </c>
      <c r="N2071" t="str">
        <f t="shared" si="98"/>
        <v>OK</v>
      </c>
    </row>
    <row r="2072" spans="1:14" x14ac:dyDescent="0.3">
      <c r="A2072">
        <v>90</v>
      </c>
      <c r="B2072">
        <v>2025</v>
      </c>
      <c r="C2072" s="2">
        <v>45695</v>
      </c>
      <c r="E2072" t="s">
        <v>12</v>
      </c>
      <c r="F2072" t="s">
        <v>13</v>
      </c>
      <c r="H2072" t="s">
        <v>469</v>
      </c>
      <c r="I2072" t="s">
        <v>466</v>
      </c>
      <c r="J2072" t="s">
        <v>465</v>
      </c>
      <c r="K2072" t="s">
        <v>483</v>
      </c>
      <c r="L2072" t="str">
        <f t="shared" si="96"/>
        <v>OK</v>
      </c>
      <c r="M2072" t="str">
        <f t="shared" si="97"/>
        <v>OK</v>
      </c>
      <c r="N2072" t="str">
        <f t="shared" si="98"/>
        <v>OK</v>
      </c>
    </row>
    <row r="2073" spans="1:14" x14ac:dyDescent="0.3">
      <c r="A2073">
        <v>90</v>
      </c>
      <c r="B2073">
        <v>2025</v>
      </c>
      <c r="C2073" s="2">
        <v>45695</v>
      </c>
      <c r="E2073" t="s">
        <v>14</v>
      </c>
      <c r="F2073" t="s">
        <v>13</v>
      </c>
      <c r="G2073" t="s">
        <v>467</v>
      </c>
      <c r="H2073" t="s">
        <v>467</v>
      </c>
      <c r="I2073" t="s">
        <v>579</v>
      </c>
      <c r="J2073" t="s">
        <v>511</v>
      </c>
      <c r="K2073" t="s">
        <v>511</v>
      </c>
      <c r="L2073" t="str">
        <f t="shared" si="96"/>
        <v>OK</v>
      </c>
      <c r="M2073" t="str">
        <f t="shared" si="97"/>
        <v>OK</v>
      </c>
      <c r="N2073" t="str">
        <f t="shared" si="98"/>
        <v>OK</v>
      </c>
    </row>
    <row r="2074" spans="1:14" x14ac:dyDescent="0.3">
      <c r="A2074">
        <v>90</v>
      </c>
      <c r="B2074">
        <v>2025</v>
      </c>
      <c r="C2074" s="2">
        <v>45695</v>
      </c>
      <c r="E2074" t="s">
        <v>15</v>
      </c>
      <c r="F2074" t="s">
        <v>13</v>
      </c>
      <c r="H2074" t="s">
        <v>503</v>
      </c>
      <c r="I2074" t="s">
        <v>464</v>
      </c>
      <c r="J2074" t="s">
        <v>659</v>
      </c>
      <c r="K2074" t="s">
        <v>593</v>
      </c>
      <c r="L2074" t="str">
        <f t="shared" si="96"/>
        <v>OK</v>
      </c>
      <c r="M2074" t="str">
        <f t="shared" si="97"/>
        <v>OK</v>
      </c>
      <c r="N2074" t="str">
        <f t="shared" si="98"/>
        <v>OK</v>
      </c>
    </row>
    <row r="2075" spans="1:14" x14ac:dyDescent="0.3">
      <c r="A2075">
        <v>90</v>
      </c>
      <c r="B2075">
        <v>2025</v>
      </c>
      <c r="C2075" s="2">
        <v>45695</v>
      </c>
      <c r="E2075" t="s">
        <v>16</v>
      </c>
      <c r="F2075" t="s">
        <v>13</v>
      </c>
      <c r="G2075" t="s">
        <v>471</v>
      </c>
      <c r="H2075" t="s">
        <v>468</v>
      </c>
      <c r="I2075" t="s">
        <v>464</v>
      </c>
      <c r="J2075" t="s">
        <v>561</v>
      </c>
      <c r="K2075" t="s">
        <v>471</v>
      </c>
      <c r="L2075" t="str">
        <f t="shared" si="96"/>
        <v>OK</v>
      </c>
      <c r="M2075" t="str">
        <f t="shared" si="97"/>
        <v>OK</v>
      </c>
      <c r="N2075" t="str">
        <f t="shared" si="98"/>
        <v>OK</v>
      </c>
    </row>
    <row r="2076" spans="1:14" x14ac:dyDescent="0.3">
      <c r="A2076">
        <v>90</v>
      </c>
      <c r="B2076">
        <v>2025</v>
      </c>
      <c r="C2076" s="2">
        <v>45695</v>
      </c>
      <c r="E2076" t="s">
        <v>17</v>
      </c>
      <c r="F2076" t="s">
        <v>13</v>
      </c>
      <c r="G2076" t="s">
        <v>471</v>
      </c>
      <c r="H2076" t="s">
        <v>468</v>
      </c>
      <c r="I2076" t="s">
        <v>464</v>
      </c>
      <c r="J2076" t="s">
        <v>561</v>
      </c>
      <c r="K2076" t="s">
        <v>471</v>
      </c>
      <c r="L2076" t="str">
        <f t="shared" si="96"/>
        <v>OK</v>
      </c>
      <c r="M2076" t="str">
        <f t="shared" si="97"/>
        <v>OK</v>
      </c>
      <c r="N2076" t="str">
        <f t="shared" si="98"/>
        <v>OK</v>
      </c>
    </row>
    <row r="2077" spans="1:14" x14ac:dyDescent="0.3">
      <c r="A2077">
        <v>90</v>
      </c>
      <c r="B2077">
        <v>2025</v>
      </c>
      <c r="C2077" s="2">
        <v>45695</v>
      </c>
      <c r="E2077" t="s">
        <v>18</v>
      </c>
      <c r="F2077" t="s">
        <v>13</v>
      </c>
      <c r="G2077" t="s">
        <v>464</v>
      </c>
      <c r="H2077" t="s">
        <v>464</v>
      </c>
      <c r="I2077" t="s">
        <v>466</v>
      </c>
      <c r="J2077" t="s">
        <v>660</v>
      </c>
      <c r="K2077" t="s">
        <v>481</v>
      </c>
      <c r="L2077" t="str">
        <f t="shared" si="96"/>
        <v>OK</v>
      </c>
      <c r="M2077" t="str">
        <f t="shared" si="97"/>
        <v>OK</v>
      </c>
      <c r="N2077" t="str">
        <f t="shared" si="98"/>
        <v>OK</v>
      </c>
    </row>
    <row r="2078" spans="1:14" x14ac:dyDescent="0.3">
      <c r="A2078">
        <v>90</v>
      </c>
      <c r="B2078">
        <v>2025</v>
      </c>
      <c r="C2078" s="2">
        <v>45695</v>
      </c>
      <c r="E2078" t="s">
        <v>19</v>
      </c>
      <c r="F2078" t="s">
        <v>13</v>
      </c>
      <c r="G2078" t="s">
        <v>579</v>
      </c>
      <c r="H2078" t="s">
        <v>579</v>
      </c>
      <c r="I2078" t="s">
        <v>579</v>
      </c>
      <c r="J2078" t="s">
        <v>579</v>
      </c>
      <c r="K2078" t="s">
        <v>579</v>
      </c>
      <c r="L2078" t="str">
        <f t="shared" si="96"/>
        <v>OK</v>
      </c>
      <c r="M2078" t="str">
        <f t="shared" si="97"/>
        <v>OK</v>
      </c>
      <c r="N2078" t="str">
        <f t="shared" si="98"/>
        <v>OK</v>
      </c>
    </row>
    <row r="2079" spans="1:14" x14ac:dyDescent="0.3">
      <c r="A2079">
        <v>90</v>
      </c>
      <c r="B2079">
        <v>2025</v>
      </c>
      <c r="C2079" s="2">
        <v>45695</v>
      </c>
      <c r="E2079" t="s">
        <v>20</v>
      </c>
      <c r="F2079" t="s">
        <v>13</v>
      </c>
      <c r="G2079" t="s">
        <v>466</v>
      </c>
      <c r="H2079" t="s">
        <v>466</v>
      </c>
      <c r="I2079" t="s">
        <v>579</v>
      </c>
      <c r="J2079" t="s">
        <v>604</v>
      </c>
      <c r="K2079" t="s">
        <v>609</v>
      </c>
      <c r="L2079" t="str">
        <f t="shared" si="96"/>
        <v>OK</v>
      </c>
      <c r="M2079" t="str">
        <f t="shared" si="97"/>
        <v>OK</v>
      </c>
      <c r="N2079" t="str">
        <f t="shared" si="98"/>
        <v>OK</v>
      </c>
    </row>
    <row r="2080" spans="1:14" x14ac:dyDescent="0.3">
      <c r="A2080">
        <v>90</v>
      </c>
      <c r="B2080">
        <v>2025</v>
      </c>
      <c r="C2080" s="2">
        <v>45695</v>
      </c>
      <c r="E2080" t="s">
        <v>21</v>
      </c>
      <c r="F2080" t="s">
        <v>13</v>
      </c>
      <c r="G2080" t="s">
        <v>472</v>
      </c>
      <c r="H2080" t="s">
        <v>472</v>
      </c>
      <c r="I2080" t="s">
        <v>468</v>
      </c>
      <c r="J2080" t="s">
        <v>652</v>
      </c>
      <c r="K2080" t="s">
        <v>652</v>
      </c>
      <c r="L2080" t="str">
        <f t="shared" si="96"/>
        <v>OK</v>
      </c>
      <c r="M2080" t="str">
        <f t="shared" si="97"/>
        <v>OK</v>
      </c>
      <c r="N2080" t="str">
        <f t="shared" si="98"/>
        <v>OK</v>
      </c>
    </row>
    <row r="2081" spans="1:14" x14ac:dyDescent="0.3">
      <c r="A2081">
        <v>90</v>
      </c>
      <c r="B2081">
        <v>2025</v>
      </c>
      <c r="C2081" s="2">
        <v>45695</v>
      </c>
      <c r="E2081" t="s">
        <v>73</v>
      </c>
      <c r="F2081" t="s">
        <v>13</v>
      </c>
      <c r="G2081" t="s">
        <v>579</v>
      </c>
      <c r="H2081" t="s">
        <v>467</v>
      </c>
      <c r="I2081" t="s">
        <v>579</v>
      </c>
      <c r="J2081" t="s">
        <v>637</v>
      </c>
      <c r="K2081" t="s">
        <v>661</v>
      </c>
      <c r="L2081" t="str">
        <f t="shared" si="96"/>
        <v>OK</v>
      </c>
      <c r="M2081" t="str">
        <f t="shared" si="97"/>
        <v>OK</v>
      </c>
      <c r="N2081" t="str">
        <f t="shared" si="98"/>
        <v>OK</v>
      </c>
    </row>
    <row r="2082" spans="1:14" x14ac:dyDescent="0.3">
      <c r="A2082">
        <v>90</v>
      </c>
      <c r="B2082">
        <v>2025</v>
      </c>
      <c r="C2082" s="2">
        <v>45695</v>
      </c>
      <c r="E2082" t="s">
        <v>23</v>
      </c>
      <c r="F2082" t="s">
        <v>13</v>
      </c>
      <c r="G2082" t="s">
        <v>468</v>
      </c>
      <c r="H2082" t="s">
        <v>471</v>
      </c>
      <c r="I2082" t="s">
        <v>579</v>
      </c>
      <c r="J2082" t="s">
        <v>463</v>
      </c>
      <c r="K2082" t="s">
        <v>471</v>
      </c>
      <c r="L2082" t="str">
        <f t="shared" si="96"/>
        <v>OK</v>
      </c>
      <c r="M2082" t="str">
        <f t="shared" si="97"/>
        <v>OK</v>
      </c>
      <c r="N2082" t="str">
        <f t="shared" si="98"/>
        <v>OK</v>
      </c>
    </row>
    <row r="2083" spans="1:14" x14ac:dyDescent="0.3">
      <c r="A2083">
        <v>90</v>
      </c>
      <c r="B2083">
        <v>2025</v>
      </c>
      <c r="C2083" s="2">
        <v>45695</v>
      </c>
      <c r="E2083" t="s">
        <v>24</v>
      </c>
      <c r="F2083" t="s">
        <v>13</v>
      </c>
      <c r="G2083" t="s">
        <v>466</v>
      </c>
      <c r="H2083" t="s">
        <v>466</v>
      </c>
      <c r="I2083" t="s">
        <v>467</v>
      </c>
      <c r="J2083" t="s">
        <v>662</v>
      </c>
      <c r="K2083" t="s">
        <v>491</v>
      </c>
      <c r="L2083" t="str">
        <f t="shared" si="96"/>
        <v>OK</v>
      </c>
      <c r="M2083" t="str">
        <f t="shared" si="97"/>
        <v>OK</v>
      </c>
      <c r="N2083" t="str">
        <f t="shared" si="98"/>
        <v>OK</v>
      </c>
    </row>
    <row r="2084" spans="1:14" x14ac:dyDescent="0.3">
      <c r="A2084">
        <v>90</v>
      </c>
      <c r="B2084">
        <v>2025</v>
      </c>
      <c r="C2084" s="2">
        <v>45695</v>
      </c>
      <c r="E2084" t="s">
        <v>25</v>
      </c>
      <c r="F2084" t="s">
        <v>26</v>
      </c>
      <c r="G2084" t="s">
        <v>464</v>
      </c>
      <c r="H2084" t="s">
        <v>463</v>
      </c>
      <c r="I2084" t="s">
        <v>466</v>
      </c>
      <c r="J2084" t="s">
        <v>464</v>
      </c>
      <c r="K2084" t="s">
        <v>464</v>
      </c>
      <c r="L2084" t="str">
        <f t="shared" si="96"/>
        <v>OK</v>
      </c>
      <c r="M2084" t="str">
        <f t="shared" si="97"/>
        <v>OK</v>
      </c>
      <c r="N2084" t="str">
        <f t="shared" si="98"/>
        <v>OK</v>
      </c>
    </row>
    <row r="2085" spans="1:14" x14ac:dyDescent="0.3">
      <c r="A2085">
        <v>90</v>
      </c>
      <c r="B2085">
        <v>2025</v>
      </c>
      <c r="C2085" s="2">
        <v>45695</v>
      </c>
      <c r="E2085" t="s">
        <v>27</v>
      </c>
      <c r="F2085" t="s">
        <v>13</v>
      </c>
      <c r="H2085" t="s">
        <v>464</v>
      </c>
      <c r="I2085" t="s">
        <v>467</v>
      </c>
      <c r="J2085" t="s">
        <v>663</v>
      </c>
      <c r="K2085" t="s">
        <v>491</v>
      </c>
      <c r="L2085" t="str">
        <f t="shared" si="96"/>
        <v>OK</v>
      </c>
      <c r="M2085" t="str">
        <f t="shared" si="97"/>
        <v>OK</v>
      </c>
      <c r="N2085" t="str">
        <f t="shared" si="98"/>
        <v>OK</v>
      </c>
    </row>
    <row r="2086" spans="1:14" x14ac:dyDescent="0.3">
      <c r="A2086">
        <v>90</v>
      </c>
      <c r="B2086">
        <v>2025</v>
      </c>
      <c r="C2086" s="2">
        <v>45695</v>
      </c>
      <c r="E2086" t="s">
        <v>28</v>
      </c>
      <c r="F2086" t="s">
        <v>13</v>
      </c>
      <c r="G2086" t="s">
        <v>463</v>
      </c>
      <c r="H2086" t="s">
        <v>463</v>
      </c>
      <c r="I2086" t="s">
        <v>464</v>
      </c>
      <c r="J2086" t="s">
        <v>465</v>
      </c>
      <c r="K2086" t="s">
        <v>465</v>
      </c>
      <c r="L2086" t="str">
        <f t="shared" si="96"/>
        <v>OK</v>
      </c>
      <c r="M2086" t="str">
        <f t="shared" si="97"/>
        <v>OK</v>
      </c>
      <c r="N2086" t="str">
        <f t="shared" si="98"/>
        <v>OK</v>
      </c>
    </row>
    <row r="2087" spans="1:14" x14ac:dyDescent="0.3">
      <c r="A2087">
        <v>90</v>
      </c>
      <c r="B2087">
        <v>2025</v>
      </c>
      <c r="C2087" s="2">
        <v>45695</v>
      </c>
      <c r="E2087" t="s">
        <v>29</v>
      </c>
      <c r="F2087" t="s">
        <v>13</v>
      </c>
      <c r="G2087" t="s">
        <v>465</v>
      </c>
      <c r="H2087" t="s">
        <v>465</v>
      </c>
      <c r="I2087" t="s">
        <v>464</v>
      </c>
      <c r="J2087" t="s">
        <v>646</v>
      </c>
      <c r="K2087" t="s">
        <v>465</v>
      </c>
      <c r="L2087" t="str">
        <f t="shared" si="96"/>
        <v>OK</v>
      </c>
      <c r="M2087" t="str">
        <f t="shared" si="97"/>
        <v>OK</v>
      </c>
      <c r="N2087" t="str">
        <f t="shared" si="98"/>
        <v>OK</v>
      </c>
    </row>
    <row r="2088" spans="1:14" x14ac:dyDescent="0.3">
      <c r="A2088">
        <v>90</v>
      </c>
      <c r="B2088">
        <v>2025</v>
      </c>
      <c r="C2088" s="2">
        <v>45695</v>
      </c>
      <c r="E2088" t="s">
        <v>31</v>
      </c>
      <c r="F2088" t="s">
        <v>32</v>
      </c>
      <c r="G2088" t="s">
        <v>484</v>
      </c>
      <c r="H2088" t="s">
        <v>484</v>
      </c>
      <c r="I2088" t="s">
        <v>484</v>
      </c>
      <c r="J2088" t="s">
        <v>484</v>
      </c>
      <c r="K2088" t="s">
        <v>484</v>
      </c>
      <c r="L2088" t="str">
        <f t="shared" si="96"/>
        <v>OK</v>
      </c>
      <c r="M2088" t="str">
        <f t="shared" si="97"/>
        <v>OK</v>
      </c>
      <c r="N2088" t="str">
        <f t="shared" si="98"/>
        <v>OK</v>
      </c>
    </row>
    <row r="2089" spans="1:14" x14ac:dyDescent="0.3">
      <c r="A2089">
        <v>90</v>
      </c>
      <c r="B2089">
        <v>2025</v>
      </c>
      <c r="C2089" s="2">
        <v>45695</v>
      </c>
      <c r="E2089" t="s">
        <v>34</v>
      </c>
      <c r="F2089" t="s">
        <v>35</v>
      </c>
      <c r="H2089" t="s">
        <v>525</v>
      </c>
      <c r="I2089" t="s">
        <v>503</v>
      </c>
      <c r="J2089" t="s">
        <v>664</v>
      </c>
      <c r="K2089" t="s">
        <v>613</v>
      </c>
      <c r="L2089" t="str">
        <f t="shared" si="96"/>
        <v>OK</v>
      </c>
      <c r="M2089" t="str">
        <f t="shared" si="97"/>
        <v>OK</v>
      </c>
      <c r="N2089" t="str">
        <f t="shared" si="98"/>
        <v>OK</v>
      </c>
    </row>
    <row r="2090" spans="1:14" x14ac:dyDescent="0.3">
      <c r="A2090">
        <v>90</v>
      </c>
      <c r="B2090">
        <v>2025</v>
      </c>
      <c r="C2090" s="2">
        <v>45695</v>
      </c>
      <c r="E2090" t="s">
        <v>36</v>
      </c>
      <c r="F2090" t="s">
        <v>35</v>
      </c>
      <c r="G2090" t="s">
        <v>525</v>
      </c>
      <c r="H2090" t="s">
        <v>525</v>
      </c>
      <c r="I2090" t="s">
        <v>494</v>
      </c>
      <c r="J2090" t="s">
        <v>655</v>
      </c>
      <c r="K2090" t="s">
        <v>490</v>
      </c>
      <c r="L2090" t="str">
        <f t="shared" si="96"/>
        <v>OK</v>
      </c>
      <c r="M2090" t="str">
        <f t="shared" si="97"/>
        <v>OK</v>
      </c>
      <c r="N2090" t="str">
        <f t="shared" si="98"/>
        <v>OK</v>
      </c>
    </row>
    <row r="2091" spans="1:14" x14ac:dyDescent="0.3">
      <c r="A2091">
        <v>90</v>
      </c>
      <c r="B2091">
        <v>2025</v>
      </c>
      <c r="C2091" s="2">
        <v>45695</v>
      </c>
      <c r="E2091" t="s">
        <v>153</v>
      </c>
      <c r="F2091" t="s">
        <v>154</v>
      </c>
      <c r="G2091" t="s">
        <v>500</v>
      </c>
      <c r="H2091" t="s">
        <v>500</v>
      </c>
      <c r="I2091" t="s">
        <v>500</v>
      </c>
      <c r="J2091" t="s">
        <v>500</v>
      </c>
      <c r="K2091" t="s">
        <v>500</v>
      </c>
      <c r="L2091" t="str">
        <f t="shared" si="96"/>
        <v>OK</v>
      </c>
      <c r="M2091" t="str">
        <f t="shared" si="97"/>
        <v>OK</v>
      </c>
      <c r="N2091" t="str">
        <f t="shared" si="98"/>
        <v>OK</v>
      </c>
    </row>
    <row r="2092" spans="1:14" x14ac:dyDescent="0.3">
      <c r="A2092">
        <v>90</v>
      </c>
      <c r="B2092">
        <v>2025</v>
      </c>
      <c r="C2092" s="2">
        <v>45695</v>
      </c>
      <c r="E2092" t="s">
        <v>39</v>
      </c>
      <c r="F2092" t="s">
        <v>40</v>
      </c>
      <c r="H2092" t="s">
        <v>491</v>
      </c>
      <c r="I2092" t="s">
        <v>511</v>
      </c>
      <c r="J2092" t="s">
        <v>604</v>
      </c>
      <c r="K2092" t="s">
        <v>604</v>
      </c>
      <c r="L2092" t="str">
        <f t="shared" si="96"/>
        <v>OK</v>
      </c>
      <c r="M2092" t="str">
        <f t="shared" si="97"/>
        <v>OK</v>
      </c>
      <c r="N2092" t="str">
        <f t="shared" si="98"/>
        <v>OK</v>
      </c>
    </row>
    <row r="2093" spans="1:14" x14ac:dyDescent="0.3">
      <c r="A2093">
        <v>90</v>
      </c>
      <c r="B2093">
        <v>2025</v>
      </c>
      <c r="C2093" s="2">
        <v>45695</v>
      </c>
      <c r="E2093" t="s">
        <v>42</v>
      </c>
      <c r="F2093" t="s">
        <v>43</v>
      </c>
      <c r="G2093" t="s">
        <v>496</v>
      </c>
      <c r="H2093" t="s">
        <v>496</v>
      </c>
      <c r="I2093" t="s">
        <v>476</v>
      </c>
      <c r="J2093" t="s">
        <v>501</v>
      </c>
      <c r="K2093" t="s">
        <v>502</v>
      </c>
      <c r="L2093" t="str">
        <f t="shared" si="96"/>
        <v>OK</v>
      </c>
      <c r="M2093" t="str">
        <f t="shared" si="97"/>
        <v>OK</v>
      </c>
      <c r="N2093" t="str">
        <f t="shared" si="98"/>
        <v>OK</v>
      </c>
    </row>
    <row r="2094" spans="1:14" x14ac:dyDescent="0.3">
      <c r="A2094">
        <v>90</v>
      </c>
      <c r="B2094">
        <v>2025</v>
      </c>
      <c r="C2094" s="2">
        <v>45695</v>
      </c>
      <c r="E2094" t="s">
        <v>44</v>
      </c>
      <c r="F2094" t="s">
        <v>45</v>
      </c>
      <c r="G2094" t="s">
        <v>503</v>
      </c>
      <c r="H2094" t="s">
        <v>499</v>
      </c>
      <c r="I2094" t="s">
        <v>499</v>
      </c>
      <c r="J2094" t="s">
        <v>510</v>
      </c>
      <c r="K2094" t="s">
        <v>499</v>
      </c>
      <c r="L2094" t="str">
        <f t="shared" si="96"/>
        <v>OK</v>
      </c>
      <c r="M2094" t="str">
        <f t="shared" si="97"/>
        <v>ERRO</v>
      </c>
      <c r="N2094" t="str">
        <f t="shared" si="98"/>
        <v>OK</v>
      </c>
    </row>
    <row r="2095" spans="1:14" x14ac:dyDescent="0.3">
      <c r="A2095">
        <v>90</v>
      </c>
      <c r="B2095">
        <v>2025</v>
      </c>
      <c r="C2095" s="2">
        <v>45695</v>
      </c>
      <c r="E2095" t="s">
        <v>48</v>
      </c>
      <c r="F2095" t="s">
        <v>45</v>
      </c>
      <c r="H2095" t="s">
        <v>492</v>
      </c>
      <c r="I2095" t="s">
        <v>492</v>
      </c>
      <c r="J2095" t="s">
        <v>492</v>
      </c>
      <c r="K2095" t="s">
        <v>492</v>
      </c>
      <c r="L2095" t="str">
        <f t="shared" si="96"/>
        <v>OK</v>
      </c>
      <c r="M2095" t="str">
        <f t="shared" si="97"/>
        <v>OK</v>
      </c>
      <c r="N2095" t="str">
        <f t="shared" si="98"/>
        <v>OK</v>
      </c>
    </row>
    <row r="2096" spans="1:14" x14ac:dyDescent="0.3">
      <c r="A2096">
        <v>90</v>
      </c>
      <c r="B2096">
        <v>2025</v>
      </c>
      <c r="C2096" s="2">
        <v>45695</v>
      </c>
      <c r="E2096" t="s">
        <v>49</v>
      </c>
      <c r="F2096" t="s">
        <v>50</v>
      </c>
      <c r="G2096" t="s">
        <v>464</v>
      </c>
      <c r="H2096" t="s">
        <v>499</v>
      </c>
      <c r="I2096" t="s">
        <v>464</v>
      </c>
      <c r="J2096" t="s">
        <v>505</v>
      </c>
      <c r="K2096" t="s">
        <v>464</v>
      </c>
      <c r="L2096" t="str">
        <f t="shared" si="96"/>
        <v>OK</v>
      </c>
      <c r="M2096" t="str">
        <f t="shared" si="97"/>
        <v>OK</v>
      </c>
      <c r="N2096" t="str">
        <f t="shared" si="98"/>
        <v>OK</v>
      </c>
    </row>
    <row r="2097" spans="1:14" x14ac:dyDescent="0.3">
      <c r="A2097">
        <v>90</v>
      </c>
      <c r="B2097">
        <v>2025</v>
      </c>
      <c r="C2097" s="2">
        <v>45695</v>
      </c>
      <c r="E2097" t="s">
        <v>52</v>
      </c>
      <c r="F2097" t="s">
        <v>43</v>
      </c>
      <c r="G2097" t="s">
        <v>492</v>
      </c>
      <c r="H2097" t="s">
        <v>464</v>
      </c>
      <c r="I2097" t="s">
        <v>492</v>
      </c>
      <c r="J2097" t="s">
        <v>633</v>
      </c>
      <c r="K2097" t="s">
        <v>491</v>
      </c>
      <c r="L2097" t="str">
        <f t="shared" si="96"/>
        <v>OK</v>
      </c>
      <c r="M2097" t="str">
        <f t="shared" si="97"/>
        <v>OK</v>
      </c>
      <c r="N2097" t="str">
        <f t="shared" si="98"/>
        <v>OK</v>
      </c>
    </row>
    <row r="2098" spans="1:14" x14ac:dyDescent="0.3">
      <c r="A2098">
        <v>90</v>
      </c>
      <c r="B2098">
        <v>2025</v>
      </c>
      <c r="C2098" s="2">
        <v>45695</v>
      </c>
      <c r="E2098" t="s">
        <v>53</v>
      </c>
      <c r="F2098" t="s">
        <v>43</v>
      </c>
      <c r="G2098" t="s">
        <v>476</v>
      </c>
      <c r="H2098" t="s">
        <v>476</v>
      </c>
      <c r="I2098" t="s">
        <v>511</v>
      </c>
      <c r="J2098" t="s">
        <v>493</v>
      </c>
      <c r="K2098" t="s">
        <v>491</v>
      </c>
      <c r="L2098" t="str">
        <f t="shared" si="96"/>
        <v>OK</v>
      </c>
      <c r="M2098" t="str">
        <f t="shared" si="97"/>
        <v>OK</v>
      </c>
      <c r="N2098" t="str">
        <f t="shared" si="98"/>
        <v>OK</v>
      </c>
    </row>
    <row r="2099" spans="1:14" x14ac:dyDescent="0.3">
      <c r="A2099">
        <v>90</v>
      </c>
      <c r="B2099">
        <v>2025</v>
      </c>
      <c r="C2099" s="2">
        <v>45695</v>
      </c>
      <c r="E2099" t="s">
        <v>54</v>
      </c>
      <c r="F2099" t="s">
        <v>40</v>
      </c>
      <c r="G2099" t="s">
        <v>464</v>
      </c>
      <c r="H2099" t="s">
        <v>464</v>
      </c>
      <c r="I2099" t="s">
        <v>491</v>
      </c>
      <c r="J2099" t="s">
        <v>500</v>
      </c>
      <c r="K2099" t="s">
        <v>464</v>
      </c>
      <c r="L2099" t="str">
        <f t="shared" si="96"/>
        <v>OK</v>
      </c>
      <c r="M2099" t="str">
        <f t="shared" si="97"/>
        <v>OK</v>
      </c>
      <c r="N2099" t="str">
        <f t="shared" si="98"/>
        <v>OK</v>
      </c>
    </row>
    <row r="2100" spans="1:14" x14ac:dyDescent="0.3">
      <c r="A2100">
        <v>90</v>
      </c>
      <c r="B2100">
        <v>2025</v>
      </c>
      <c r="C2100" s="2">
        <v>45695</v>
      </c>
      <c r="E2100" t="s">
        <v>56</v>
      </c>
      <c r="F2100" t="s">
        <v>43</v>
      </c>
      <c r="H2100" t="s">
        <v>491</v>
      </c>
      <c r="I2100" t="s">
        <v>491</v>
      </c>
      <c r="J2100" t="s">
        <v>491</v>
      </c>
      <c r="K2100" t="s">
        <v>491</v>
      </c>
      <c r="L2100" t="str">
        <f t="shared" si="96"/>
        <v>OK</v>
      </c>
      <c r="M2100" t="str">
        <f t="shared" si="97"/>
        <v>OK</v>
      </c>
      <c r="N2100" t="str">
        <f t="shared" si="98"/>
        <v>OK</v>
      </c>
    </row>
    <row r="2101" spans="1:14" x14ac:dyDescent="0.3">
      <c r="A2101">
        <v>90</v>
      </c>
      <c r="B2101">
        <v>2025</v>
      </c>
      <c r="C2101" s="2">
        <v>45695</v>
      </c>
      <c r="E2101" t="s">
        <v>57</v>
      </c>
      <c r="F2101" t="s">
        <v>40</v>
      </c>
      <c r="H2101" t="s">
        <v>491</v>
      </c>
      <c r="I2101" t="s">
        <v>492</v>
      </c>
      <c r="J2101" t="s">
        <v>493</v>
      </c>
      <c r="K2101" t="s">
        <v>493</v>
      </c>
      <c r="L2101" t="str">
        <f t="shared" si="96"/>
        <v>OK</v>
      </c>
      <c r="M2101" t="str">
        <f t="shared" si="97"/>
        <v>OK</v>
      </c>
      <c r="N2101" t="str">
        <f t="shared" si="98"/>
        <v>OK</v>
      </c>
    </row>
    <row r="2102" spans="1:14" x14ac:dyDescent="0.3">
      <c r="A2102">
        <v>90</v>
      </c>
      <c r="B2102">
        <v>2025</v>
      </c>
      <c r="C2102" s="2">
        <v>45695</v>
      </c>
      <c r="E2102" t="s">
        <v>58</v>
      </c>
      <c r="F2102" t="s">
        <v>40</v>
      </c>
      <c r="H2102" t="s">
        <v>464</v>
      </c>
      <c r="I2102" t="s">
        <v>509</v>
      </c>
      <c r="J2102" t="s">
        <v>665</v>
      </c>
      <c r="K2102" t="s">
        <v>666</v>
      </c>
      <c r="L2102" t="str">
        <f t="shared" si="96"/>
        <v>ERRO</v>
      </c>
      <c r="M2102" t="str">
        <f t="shared" si="97"/>
        <v>OK</v>
      </c>
      <c r="N2102" t="str">
        <f t="shared" si="98"/>
        <v>ERRO</v>
      </c>
    </row>
    <row r="2103" spans="1:14" x14ac:dyDescent="0.3">
      <c r="A2103">
        <v>90</v>
      </c>
      <c r="B2103">
        <v>2025</v>
      </c>
      <c r="C2103" s="2">
        <v>45695</v>
      </c>
      <c r="E2103" t="s">
        <v>59</v>
      </c>
      <c r="F2103" t="s">
        <v>45</v>
      </c>
      <c r="H2103" t="s">
        <v>525</v>
      </c>
      <c r="I2103" t="s">
        <v>591</v>
      </c>
      <c r="J2103" t="s">
        <v>496</v>
      </c>
      <c r="K2103" t="s">
        <v>494</v>
      </c>
      <c r="L2103" t="str">
        <f t="shared" si="96"/>
        <v>OK</v>
      </c>
      <c r="M2103" t="str">
        <f t="shared" si="97"/>
        <v>OK</v>
      </c>
      <c r="N2103" t="str">
        <f t="shared" si="98"/>
        <v>OK</v>
      </c>
    </row>
    <row r="2104" spans="1:14" x14ac:dyDescent="0.3">
      <c r="A2104">
        <v>90</v>
      </c>
      <c r="B2104">
        <v>2025</v>
      </c>
      <c r="C2104" s="2">
        <v>45695</v>
      </c>
      <c r="E2104" t="s">
        <v>60</v>
      </c>
      <c r="F2104" t="s">
        <v>61</v>
      </c>
      <c r="G2104" t="s">
        <v>476</v>
      </c>
      <c r="H2104" t="s">
        <v>476</v>
      </c>
      <c r="I2104" t="s">
        <v>521</v>
      </c>
      <c r="J2104" t="s">
        <v>492</v>
      </c>
      <c r="K2104" t="s">
        <v>476</v>
      </c>
      <c r="L2104" t="str">
        <f t="shared" si="96"/>
        <v>ERRO</v>
      </c>
      <c r="M2104" t="str">
        <f t="shared" si="97"/>
        <v>OK</v>
      </c>
      <c r="N2104" t="str">
        <f t="shared" si="98"/>
        <v>ERRO</v>
      </c>
    </row>
    <row r="2105" spans="1:14" x14ac:dyDescent="0.3">
      <c r="A2105">
        <v>90</v>
      </c>
      <c r="B2105">
        <v>2025</v>
      </c>
      <c r="C2105" s="2">
        <v>45695</v>
      </c>
      <c r="E2105" t="s">
        <v>63</v>
      </c>
      <c r="F2105" t="s">
        <v>40</v>
      </c>
      <c r="H2105" t="s">
        <v>500</v>
      </c>
      <c r="I2105" t="s">
        <v>521</v>
      </c>
      <c r="J2105" t="s">
        <v>620</v>
      </c>
      <c r="K2105" t="s">
        <v>591</v>
      </c>
      <c r="L2105" t="str">
        <f t="shared" si="96"/>
        <v>ERRO</v>
      </c>
      <c r="M2105" t="str">
        <f t="shared" si="97"/>
        <v>OK</v>
      </c>
      <c r="N2105" t="str">
        <f t="shared" si="98"/>
        <v>ERRO</v>
      </c>
    </row>
    <row r="2106" spans="1:14" x14ac:dyDescent="0.3">
      <c r="A2106">
        <v>90</v>
      </c>
      <c r="B2106">
        <v>2025</v>
      </c>
      <c r="C2106" s="2">
        <v>45695</v>
      </c>
      <c r="E2106" t="s">
        <v>64</v>
      </c>
      <c r="F2106" t="s">
        <v>40</v>
      </c>
      <c r="H2106" t="s">
        <v>492</v>
      </c>
      <c r="I2106" t="s">
        <v>514</v>
      </c>
      <c r="J2106" t="s">
        <v>667</v>
      </c>
      <c r="K2106" t="s">
        <v>667</v>
      </c>
      <c r="L2106" t="str">
        <f t="shared" si="96"/>
        <v>ERRO</v>
      </c>
      <c r="M2106" t="str">
        <f t="shared" si="97"/>
        <v>ERRO</v>
      </c>
      <c r="N2106" t="str">
        <f t="shared" si="98"/>
        <v>OK</v>
      </c>
    </row>
    <row r="2107" spans="1:14" x14ac:dyDescent="0.3">
      <c r="A2107">
        <v>90</v>
      </c>
      <c r="B2107">
        <v>2025</v>
      </c>
      <c r="C2107" s="2">
        <v>45695</v>
      </c>
      <c r="E2107" s="11" t="s">
        <v>66</v>
      </c>
      <c r="F2107" s="12" t="s">
        <v>45</v>
      </c>
      <c r="L2107" t="str">
        <f t="shared" si="96"/>
        <v>OK</v>
      </c>
      <c r="M2107" t="str">
        <f t="shared" si="97"/>
        <v>OK</v>
      </c>
      <c r="N2107" t="str">
        <f t="shared" si="98"/>
        <v>OK</v>
      </c>
    </row>
    <row r="2108" spans="1:14" x14ac:dyDescent="0.3">
      <c r="A2108">
        <v>90</v>
      </c>
      <c r="B2108">
        <v>2025</v>
      </c>
      <c r="C2108" s="2">
        <v>45695</v>
      </c>
      <c r="E2108" s="11" t="s">
        <v>67</v>
      </c>
      <c r="F2108" s="12" t="s">
        <v>45</v>
      </c>
      <c r="L2108" t="str">
        <f t="shared" si="96"/>
        <v>OK</v>
      </c>
      <c r="M2108" t="str">
        <f t="shared" si="97"/>
        <v>OK</v>
      </c>
      <c r="N2108" t="str">
        <f t="shared" si="98"/>
        <v>OK</v>
      </c>
    </row>
    <row r="2109" spans="1:14" x14ac:dyDescent="0.3">
      <c r="A2109">
        <v>90</v>
      </c>
      <c r="B2109">
        <v>2025</v>
      </c>
      <c r="C2109" s="2">
        <v>45695</v>
      </c>
      <c r="E2109" s="11" t="s">
        <v>68</v>
      </c>
      <c r="F2109" s="12" t="s">
        <v>45</v>
      </c>
      <c r="L2109" t="str">
        <f t="shared" si="96"/>
        <v>OK</v>
      </c>
      <c r="M2109" t="str">
        <f t="shared" si="97"/>
        <v>OK</v>
      </c>
      <c r="N2109" t="str">
        <f t="shared" si="98"/>
        <v>OK</v>
      </c>
    </row>
    <row r="2110" spans="1:14" x14ac:dyDescent="0.3">
      <c r="A2110">
        <v>90</v>
      </c>
      <c r="B2110">
        <v>2025</v>
      </c>
      <c r="C2110" s="2">
        <v>45695</v>
      </c>
      <c r="E2110" s="11" t="s">
        <v>69</v>
      </c>
      <c r="F2110" s="12" t="s">
        <v>45</v>
      </c>
      <c r="L2110" t="str">
        <f t="shared" si="96"/>
        <v>OK</v>
      </c>
      <c r="M2110" t="str">
        <f t="shared" si="97"/>
        <v>OK</v>
      </c>
      <c r="N2110" t="str">
        <f t="shared" si="98"/>
        <v>OK</v>
      </c>
    </row>
    <row r="2111" spans="1:14" x14ac:dyDescent="0.3">
      <c r="A2111">
        <v>90</v>
      </c>
      <c r="B2111">
        <v>2025</v>
      </c>
      <c r="C2111" s="2">
        <v>45695</v>
      </c>
      <c r="E2111" s="11" t="s">
        <v>70</v>
      </c>
      <c r="F2111" s="12" t="s">
        <v>71</v>
      </c>
      <c r="L2111" t="str">
        <f t="shared" si="96"/>
        <v>OK</v>
      </c>
      <c r="M2111" t="str">
        <f t="shared" si="97"/>
        <v>OK</v>
      </c>
      <c r="N2111" t="str">
        <f t="shared" si="98"/>
        <v>OK</v>
      </c>
    </row>
    <row r="2112" spans="1:14" x14ac:dyDescent="0.3">
      <c r="A2112">
        <v>91</v>
      </c>
      <c r="B2112">
        <v>2025</v>
      </c>
      <c r="C2112" s="2">
        <v>45702</v>
      </c>
      <c r="E2112" t="s">
        <v>12</v>
      </c>
      <c r="F2112" t="s">
        <v>13</v>
      </c>
      <c r="H2112" t="s">
        <v>463</v>
      </c>
      <c r="I2112" t="s">
        <v>466</v>
      </c>
      <c r="J2112" t="s">
        <v>464</v>
      </c>
      <c r="K2112" t="s">
        <v>464</v>
      </c>
      <c r="L2112" t="str">
        <f t="shared" si="96"/>
        <v>OK</v>
      </c>
      <c r="M2112" t="str">
        <f t="shared" si="97"/>
        <v>OK</v>
      </c>
      <c r="N2112" t="str">
        <f t="shared" si="98"/>
        <v>OK</v>
      </c>
    </row>
    <row r="2113" spans="1:14" x14ac:dyDescent="0.3">
      <c r="A2113">
        <v>91</v>
      </c>
      <c r="B2113">
        <v>2025</v>
      </c>
      <c r="C2113" s="2">
        <v>45702</v>
      </c>
      <c r="E2113" t="s">
        <v>14</v>
      </c>
      <c r="F2113" t="s">
        <v>13</v>
      </c>
      <c r="G2113" t="s">
        <v>579</v>
      </c>
      <c r="H2113" t="s">
        <v>465</v>
      </c>
      <c r="I2113" t="s">
        <v>579</v>
      </c>
      <c r="J2113" t="s">
        <v>612</v>
      </c>
      <c r="K2113" t="s">
        <v>579</v>
      </c>
      <c r="L2113" t="str">
        <f t="shared" si="96"/>
        <v>OK</v>
      </c>
      <c r="M2113" t="str">
        <f t="shared" si="97"/>
        <v>OK</v>
      </c>
      <c r="N2113" t="str">
        <f t="shared" si="98"/>
        <v>OK</v>
      </c>
    </row>
    <row r="2114" spans="1:14" x14ac:dyDescent="0.3">
      <c r="A2114">
        <v>91</v>
      </c>
      <c r="B2114">
        <v>2025</v>
      </c>
      <c r="C2114" s="2">
        <v>45702</v>
      </c>
      <c r="E2114" t="s">
        <v>15</v>
      </c>
      <c r="F2114" t="s">
        <v>13</v>
      </c>
      <c r="G2114" t="s">
        <v>463</v>
      </c>
      <c r="H2114" t="s">
        <v>463</v>
      </c>
      <c r="I2114" t="s">
        <v>464</v>
      </c>
      <c r="J2114" t="s">
        <v>534</v>
      </c>
      <c r="K2114" t="s">
        <v>463</v>
      </c>
      <c r="L2114" t="str">
        <f t="shared" si="96"/>
        <v>OK</v>
      </c>
      <c r="M2114" t="str">
        <f t="shared" si="97"/>
        <v>OK</v>
      </c>
      <c r="N2114" t="str">
        <f t="shared" si="98"/>
        <v>OK</v>
      </c>
    </row>
    <row r="2115" spans="1:14" x14ac:dyDescent="0.3">
      <c r="A2115">
        <v>91</v>
      </c>
      <c r="B2115">
        <v>2025</v>
      </c>
      <c r="C2115" s="2">
        <v>45702</v>
      </c>
      <c r="E2115" t="s">
        <v>16</v>
      </c>
      <c r="F2115" t="s">
        <v>13</v>
      </c>
      <c r="H2115" t="s">
        <v>468</v>
      </c>
      <c r="I2115" t="s">
        <v>536</v>
      </c>
      <c r="J2115" t="s">
        <v>471</v>
      </c>
      <c r="K2115" t="s">
        <v>471</v>
      </c>
      <c r="L2115" t="str">
        <f t="shared" ref="L2115:L2178" si="99">IF(H2115&gt;I2115,"ERRO","OK")</f>
        <v>OK</v>
      </c>
      <c r="M2115" t="str">
        <f t="shared" ref="M2115:M2178" si="100">IF(H2115&gt;J2115,"ERRO","OK")</f>
        <v>OK</v>
      </c>
      <c r="N2115" t="str">
        <f t="shared" ref="N2115:N2178" si="101">IF(I2115&lt;J2115,"ERRO","OK")</f>
        <v>OK</v>
      </c>
    </row>
    <row r="2116" spans="1:14" x14ac:dyDescent="0.3">
      <c r="A2116">
        <v>91</v>
      </c>
      <c r="B2116">
        <v>2025</v>
      </c>
      <c r="C2116" s="2">
        <v>45702</v>
      </c>
      <c r="E2116" t="s">
        <v>17</v>
      </c>
      <c r="F2116" t="s">
        <v>13</v>
      </c>
      <c r="G2116" t="s">
        <v>468</v>
      </c>
      <c r="H2116" t="s">
        <v>468</v>
      </c>
      <c r="I2116" t="s">
        <v>471</v>
      </c>
      <c r="J2116" t="s">
        <v>668</v>
      </c>
      <c r="K2116" t="s">
        <v>468</v>
      </c>
      <c r="L2116" t="str">
        <f t="shared" si="99"/>
        <v>OK</v>
      </c>
      <c r="M2116" t="str">
        <f t="shared" si="100"/>
        <v>OK</v>
      </c>
      <c r="N2116" t="str">
        <f t="shared" si="101"/>
        <v>OK</v>
      </c>
    </row>
    <row r="2117" spans="1:14" x14ac:dyDescent="0.3">
      <c r="A2117">
        <v>91</v>
      </c>
      <c r="B2117">
        <v>2025</v>
      </c>
      <c r="C2117" s="2">
        <v>45702</v>
      </c>
      <c r="E2117" t="s">
        <v>18</v>
      </c>
      <c r="F2117" t="s">
        <v>13</v>
      </c>
      <c r="G2117" t="s">
        <v>464</v>
      </c>
      <c r="H2117" t="s">
        <v>464</v>
      </c>
      <c r="I2117" t="s">
        <v>522</v>
      </c>
      <c r="J2117" t="s">
        <v>581</v>
      </c>
      <c r="K2117" t="s">
        <v>464</v>
      </c>
      <c r="L2117" t="str">
        <f t="shared" si="99"/>
        <v>OK</v>
      </c>
      <c r="M2117" t="str">
        <f t="shared" si="100"/>
        <v>OK</v>
      </c>
      <c r="N2117" t="str">
        <f t="shared" si="101"/>
        <v>OK</v>
      </c>
    </row>
    <row r="2118" spans="1:14" x14ac:dyDescent="0.3">
      <c r="A2118">
        <v>91</v>
      </c>
      <c r="B2118">
        <v>2025</v>
      </c>
      <c r="C2118" s="2">
        <v>45702</v>
      </c>
      <c r="E2118" t="s">
        <v>19</v>
      </c>
      <c r="F2118" t="s">
        <v>13</v>
      </c>
      <c r="H2118" t="s">
        <v>464</v>
      </c>
      <c r="I2118" t="s">
        <v>669</v>
      </c>
      <c r="J2118" t="s">
        <v>670</v>
      </c>
      <c r="K2118" t="s">
        <v>671</v>
      </c>
      <c r="L2118" t="str">
        <f t="shared" si="99"/>
        <v>ERRO</v>
      </c>
      <c r="M2118" t="str">
        <f t="shared" si="100"/>
        <v>ERRO</v>
      </c>
      <c r="N2118" t="str">
        <f t="shared" si="101"/>
        <v>OK</v>
      </c>
    </row>
    <row r="2119" spans="1:14" x14ac:dyDescent="0.3">
      <c r="A2119">
        <v>91</v>
      </c>
      <c r="B2119">
        <v>2025</v>
      </c>
      <c r="C2119" s="2">
        <v>45702</v>
      </c>
      <c r="E2119" t="s">
        <v>20</v>
      </c>
      <c r="F2119" t="s">
        <v>13</v>
      </c>
      <c r="H2119" t="s">
        <v>466</v>
      </c>
      <c r="I2119" t="s">
        <v>507</v>
      </c>
      <c r="J2119" t="s">
        <v>672</v>
      </c>
      <c r="K2119" t="s">
        <v>673</v>
      </c>
      <c r="L2119" t="str">
        <f t="shared" si="99"/>
        <v>ERRO</v>
      </c>
      <c r="M2119" t="str">
        <f t="shared" si="100"/>
        <v>OK</v>
      </c>
      <c r="N2119" t="str">
        <f t="shared" si="101"/>
        <v>ERRO</v>
      </c>
    </row>
    <row r="2120" spans="1:14" x14ac:dyDescent="0.3">
      <c r="A2120">
        <v>91</v>
      </c>
      <c r="B2120">
        <v>2025</v>
      </c>
      <c r="C2120" s="2">
        <v>45702</v>
      </c>
      <c r="E2120" t="s">
        <v>21</v>
      </c>
      <c r="F2120" t="s">
        <v>13</v>
      </c>
      <c r="H2120" t="s">
        <v>525</v>
      </c>
      <c r="I2120" t="s">
        <v>469</v>
      </c>
      <c r="J2120" t="s">
        <v>674</v>
      </c>
      <c r="K2120" t="s">
        <v>468</v>
      </c>
      <c r="L2120" t="str">
        <f t="shared" si="99"/>
        <v>OK</v>
      </c>
      <c r="M2120" t="str">
        <f t="shared" si="100"/>
        <v>OK</v>
      </c>
      <c r="N2120" t="str">
        <f t="shared" si="101"/>
        <v>OK</v>
      </c>
    </row>
    <row r="2121" spans="1:14" x14ac:dyDescent="0.3">
      <c r="A2121">
        <v>91</v>
      </c>
      <c r="B2121">
        <v>2025</v>
      </c>
      <c r="C2121" s="2">
        <v>45702</v>
      </c>
      <c r="E2121" t="s">
        <v>73</v>
      </c>
      <c r="F2121" t="s">
        <v>13</v>
      </c>
      <c r="G2121" t="s">
        <v>507</v>
      </c>
      <c r="H2121" t="s">
        <v>507</v>
      </c>
      <c r="I2121" t="s">
        <v>507</v>
      </c>
      <c r="J2121" t="s">
        <v>507</v>
      </c>
      <c r="K2121" t="s">
        <v>507</v>
      </c>
      <c r="L2121" t="str">
        <f t="shared" si="99"/>
        <v>OK</v>
      </c>
      <c r="M2121" t="str">
        <f t="shared" si="100"/>
        <v>OK</v>
      </c>
      <c r="N2121" t="str">
        <f t="shared" si="101"/>
        <v>OK</v>
      </c>
    </row>
    <row r="2122" spans="1:14" x14ac:dyDescent="0.3">
      <c r="A2122">
        <v>91</v>
      </c>
      <c r="B2122">
        <v>2025</v>
      </c>
      <c r="C2122" s="2">
        <v>45702</v>
      </c>
      <c r="E2122" t="s">
        <v>23</v>
      </c>
      <c r="F2122" t="s">
        <v>13</v>
      </c>
      <c r="H2122" t="s">
        <v>468</v>
      </c>
      <c r="I2122" t="s">
        <v>536</v>
      </c>
      <c r="J2122" t="s">
        <v>471</v>
      </c>
      <c r="K2122" t="s">
        <v>471</v>
      </c>
      <c r="L2122" t="str">
        <f t="shared" si="99"/>
        <v>OK</v>
      </c>
      <c r="M2122" t="str">
        <f t="shared" si="100"/>
        <v>OK</v>
      </c>
      <c r="N2122" t="str">
        <f t="shared" si="101"/>
        <v>OK</v>
      </c>
    </row>
    <row r="2123" spans="1:14" x14ac:dyDescent="0.3">
      <c r="A2123">
        <v>91</v>
      </c>
      <c r="B2123">
        <v>2025</v>
      </c>
      <c r="C2123" s="2">
        <v>45702</v>
      </c>
      <c r="E2123" t="s">
        <v>24</v>
      </c>
      <c r="F2123" t="s">
        <v>13</v>
      </c>
      <c r="G2123" t="s">
        <v>466</v>
      </c>
      <c r="H2123" t="s">
        <v>466</v>
      </c>
      <c r="I2123" t="s">
        <v>523</v>
      </c>
      <c r="J2123" t="s">
        <v>550</v>
      </c>
      <c r="K2123" t="s">
        <v>466</v>
      </c>
      <c r="L2123" t="str">
        <f t="shared" si="99"/>
        <v>OK</v>
      </c>
      <c r="M2123" t="str">
        <f t="shared" si="100"/>
        <v>OK</v>
      </c>
      <c r="N2123" t="str">
        <f t="shared" si="101"/>
        <v>OK</v>
      </c>
    </row>
    <row r="2124" spans="1:14" x14ac:dyDescent="0.3">
      <c r="A2124">
        <v>91</v>
      </c>
      <c r="B2124">
        <v>2025</v>
      </c>
      <c r="C2124" s="2">
        <v>45702</v>
      </c>
      <c r="E2124" t="s">
        <v>25</v>
      </c>
      <c r="F2124" t="s">
        <v>26</v>
      </c>
      <c r="G2124" t="s">
        <v>464</v>
      </c>
      <c r="H2124" t="s">
        <v>464</v>
      </c>
      <c r="I2124" t="s">
        <v>523</v>
      </c>
      <c r="J2124" t="s">
        <v>522</v>
      </c>
      <c r="K2124" t="s">
        <v>464</v>
      </c>
      <c r="L2124" t="str">
        <f t="shared" si="99"/>
        <v>OK</v>
      </c>
      <c r="M2124" t="str">
        <f t="shared" si="100"/>
        <v>OK</v>
      </c>
      <c r="N2124" t="str">
        <f t="shared" si="101"/>
        <v>OK</v>
      </c>
    </row>
    <row r="2125" spans="1:14" x14ac:dyDescent="0.3">
      <c r="A2125">
        <v>91</v>
      </c>
      <c r="B2125">
        <v>2025</v>
      </c>
      <c r="C2125" s="2">
        <v>45702</v>
      </c>
      <c r="E2125" t="s">
        <v>27</v>
      </c>
      <c r="F2125" t="s">
        <v>13</v>
      </c>
      <c r="G2125" t="s">
        <v>467</v>
      </c>
      <c r="H2125" t="s">
        <v>464</v>
      </c>
      <c r="I2125" t="s">
        <v>467</v>
      </c>
      <c r="J2125" t="s">
        <v>597</v>
      </c>
      <c r="K2125" t="s">
        <v>467</v>
      </c>
      <c r="L2125" t="str">
        <f t="shared" si="99"/>
        <v>OK</v>
      </c>
      <c r="M2125" t="str">
        <f t="shared" si="100"/>
        <v>OK</v>
      </c>
      <c r="N2125" t="str">
        <f t="shared" si="101"/>
        <v>OK</v>
      </c>
    </row>
    <row r="2126" spans="1:14" x14ac:dyDescent="0.3">
      <c r="A2126">
        <v>91</v>
      </c>
      <c r="B2126">
        <v>2025</v>
      </c>
      <c r="C2126" s="2">
        <v>45702</v>
      </c>
      <c r="E2126" t="s">
        <v>28</v>
      </c>
      <c r="F2126" t="s">
        <v>13</v>
      </c>
      <c r="H2126" t="s">
        <v>496</v>
      </c>
      <c r="I2126" t="s">
        <v>464</v>
      </c>
      <c r="J2126" t="s">
        <v>483</v>
      </c>
      <c r="K2126" t="s">
        <v>463</v>
      </c>
      <c r="L2126" t="str">
        <f t="shared" si="99"/>
        <v>OK</v>
      </c>
      <c r="M2126" t="str">
        <f t="shared" si="100"/>
        <v>OK</v>
      </c>
      <c r="N2126" t="str">
        <f t="shared" si="101"/>
        <v>OK</v>
      </c>
    </row>
    <row r="2127" spans="1:14" x14ac:dyDescent="0.3">
      <c r="A2127">
        <v>91</v>
      </c>
      <c r="B2127">
        <v>2025</v>
      </c>
      <c r="C2127" s="2">
        <v>45702</v>
      </c>
      <c r="E2127" t="s">
        <v>29</v>
      </c>
      <c r="F2127" t="s">
        <v>13</v>
      </c>
      <c r="G2127" t="s">
        <v>464</v>
      </c>
      <c r="H2127" t="s">
        <v>464</v>
      </c>
      <c r="I2127" t="s">
        <v>464</v>
      </c>
      <c r="J2127" t="s">
        <v>464</v>
      </c>
      <c r="K2127" t="s">
        <v>464</v>
      </c>
      <c r="L2127" t="str">
        <f t="shared" si="99"/>
        <v>OK</v>
      </c>
      <c r="M2127" t="str">
        <f t="shared" si="100"/>
        <v>OK</v>
      </c>
      <c r="N2127" t="str">
        <f t="shared" si="101"/>
        <v>OK</v>
      </c>
    </row>
    <row r="2128" spans="1:14" x14ac:dyDescent="0.3">
      <c r="A2128">
        <v>91</v>
      </c>
      <c r="B2128">
        <v>2025</v>
      </c>
      <c r="C2128" s="2">
        <v>45702</v>
      </c>
      <c r="E2128" t="s">
        <v>31</v>
      </c>
      <c r="F2128" t="s">
        <v>32</v>
      </c>
      <c r="G2128" t="s">
        <v>484</v>
      </c>
      <c r="H2128" t="s">
        <v>484</v>
      </c>
      <c r="I2128" t="s">
        <v>484</v>
      </c>
      <c r="J2128" t="s">
        <v>484</v>
      </c>
      <c r="K2128" t="s">
        <v>484</v>
      </c>
      <c r="L2128" t="str">
        <f t="shared" si="99"/>
        <v>OK</v>
      </c>
      <c r="M2128" t="str">
        <f t="shared" si="100"/>
        <v>OK</v>
      </c>
      <c r="N2128" t="str">
        <f t="shared" si="101"/>
        <v>OK</v>
      </c>
    </row>
    <row r="2129" spans="1:14" x14ac:dyDescent="0.3">
      <c r="A2129">
        <v>91</v>
      </c>
      <c r="B2129">
        <v>2025</v>
      </c>
      <c r="C2129" s="2">
        <v>45702</v>
      </c>
      <c r="E2129" t="s">
        <v>34</v>
      </c>
      <c r="F2129" t="s">
        <v>35</v>
      </c>
      <c r="H2129" t="s">
        <v>494</v>
      </c>
      <c r="I2129" t="s">
        <v>496</v>
      </c>
      <c r="J2129" t="s">
        <v>503</v>
      </c>
      <c r="K2129" t="s">
        <v>503</v>
      </c>
      <c r="L2129" t="str">
        <f t="shared" si="99"/>
        <v>OK</v>
      </c>
      <c r="M2129" t="str">
        <f t="shared" si="100"/>
        <v>OK</v>
      </c>
      <c r="N2129" t="str">
        <f t="shared" si="101"/>
        <v>OK</v>
      </c>
    </row>
    <row r="2130" spans="1:14" x14ac:dyDescent="0.3">
      <c r="A2130">
        <v>91</v>
      </c>
      <c r="B2130">
        <v>2025</v>
      </c>
      <c r="C2130" s="2">
        <v>45702</v>
      </c>
      <c r="E2130" t="s">
        <v>36</v>
      </c>
      <c r="F2130" t="s">
        <v>35</v>
      </c>
      <c r="G2130" t="s">
        <v>494</v>
      </c>
      <c r="H2130" t="s">
        <v>468</v>
      </c>
      <c r="I2130" t="s">
        <v>494</v>
      </c>
      <c r="J2130" t="s">
        <v>574</v>
      </c>
      <c r="K2130" t="s">
        <v>494</v>
      </c>
      <c r="L2130" t="str">
        <f t="shared" si="99"/>
        <v>OK</v>
      </c>
      <c r="M2130" t="str">
        <f t="shared" si="100"/>
        <v>OK</v>
      </c>
      <c r="N2130" t="str">
        <f t="shared" si="101"/>
        <v>OK</v>
      </c>
    </row>
    <row r="2131" spans="1:14" x14ac:dyDescent="0.3">
      <c r="A2131">
        <v>91</v>
      </c>
      <c r="B2131">
        <v>2025</v>
      </c>
      <c r="C2131" s="2">
        <v>45702</v>
      </c>
      <c r="E2131" t="s">
        <v>153</v>
      </c>
      <c r="F2131" t="s">
        <v>154</v>
      </c>
      <c r="G2131" t="s">
        <v>464</v>
      </c>
      <c r="H2131" t="s">
        <v>464</v>
      </c>
      <c r="I2131" t="s">
        <v>500</v>
      </c>
      <c r="J2131" t="s">
        <v>619</v>
      </c>
      <c r="K2131" t="s">
        <v>464</v>
      </c>
      <c r="L2131" t="str">
        <f t="shared" si="99"/>
        <v>OK</v>
      </c>
      <c r="M2131" t="str">
        <f t="shared" si="100"/>
        <v>OK</v>
      </c>
      <c r="N2131" t="str">
        <f t="shared" si="101"/>
        <v>OK</v>
      </c>
    </row>
    <row r="2132" spans="1:14" x14ac:dyDescent="0.3">
      <c r="A2132">
        <v>91</v>
      </c>
      <c r="B2132">
        <v>2025</v>
      </c>
      <c r="C2132" s="2">
        <v>45702</v>
      </c>
      <c r="E2132" t="s">
        <v>39</v>
      </c>
      <c r="F2132" t="s">
        <v>40</v>
      </c>
      <c r="G2132" t="s">
        <v>511</v>
      </c>
      <c r="H2132" t="s">
        <v>511</v>
      </c>
      <c r="I2132" t="s">
        <v>509</v>
      </c>
      <c r="J2132" t="s">
        <v>632</v>
      </c>
      <c r="K2132" t="s">
        <v>518</v>
      </c>
      <c r="L2132" t="str">
        <f t="shared" si="99"/>
        <v>ERRO</v>
      </c>
      <c r="M2132" t="str">
        <f t="shared" si="100"/>
        <v>OK</v>
      </c>
      <c r="N2132" t="str">
        <f t="shared" si="101"/>
        <v>ERRO</v>
      </c>
    </row>
    <row r="2133" spans="1:14" x14ac:dyDescent="0.3">
      <c r="A2133">
        <v>91</v>
      </c>
      <c r="B2133">
        <v>2025</v>
      </c>
      <c r="C2133" s="2">
        <v>45702</v>
      </c>
      <c r="E2133" t="s">
        <v>42</v>
      </c>
      <c r="F2133" t="s">
        <v>43</v>
      </c>
      <c r="H2133" t="s">
        <v>496</v>
      </c>
      <c r="I2133" t="s">
        <v>476</v>
      </c>
      <c r="J2133" t="s">
        <v>464</v>
      </c>
      <c r="K2133" t="s">
        <v>497</v>
      </c>
      <c r="L2133" t="str">
        <f t="shared" si="99"/>
        <v>OK</v>
      </c>
      <c r="M2133" t="str">
        <f t="shared" si="100"/>
        <v>OK</v>
      </c>
      <c r="N2133" t="str">
        <f t="shared" si="101"/>
        <v>OK</v>
      </c>
    </row>
    <row r="2134" spans="1:14" x14ac:dyDescent="0.3">
      <c r="A2134">
        <v>91</v>
      </c>
      <c r="B2134">
        <v>2025</v>
      </c>
      <c r="C2134" s="2">
        <v>45702</v>
      </c>
      <c r="E2134" t="s">
        <v>44</v>
      </c>
      <c r="F2134" t="s">
        <v>45</v>
      </c>
      <c r="G2134" t="s">
        <v>499</v>
      </c>
      <c r="H2134" t="s">
        <v>499</v>
      </c>
      <c r="I2134" t="s">
        <v>500</v>
      </c>
      <c r="J2134" t="s">
        <v>502</v>
      </c>
      <c r="K2134" t="s">
        <v>506</v>
      </c>
      <c r="L2134" t="str">
        <f t="shared" si="99"/>
        <v>OK</v>
      </c>
      <c r="M2134" t="str">
        <f t="shared" si="100"/>
        <v>OK</v>
      </c>
      <c r="N2134" t="str">
        <f t="shared" si="101"/>
        <v>OK</v>
      </c>
    </row>
    <row r="2135" spans="1:14" x14ac:dyDescent="0.3">
      <c r="A2135">
        <v>91</v>
      </c>
      <c r="B2135">
        <v>2025</v>
      </c>
      <c r="C2135" s="2">
        <v>45702</v>
      </c>
      <c r="E2135" t="s">
        <v>48</v>
      </c>
      <c r="F2135" t="s">
        <v>45</v>
      </c>
      <c r="H2135" t="s">
        <v>464</v>
      </c>
      <c r="I2135" t="s">
        <v>492</v>
      </c>
      <c r="J2135" t="s">
        <v>476</v>
      </c>
      <c r="K2135" t="s">
        <v>476</v>
      </c>
      <c r="L2135" t="str">
        <f t="shared" si="99"/>
        <v>OK</v>
      </c>
      <c r="M2135" t="str">
        <f t="shared" si="100"/>
        <v>OK</v>
      </c>
      <c r="N2135" t="str">
        <f t="shared" si="101"/>
        <v>OK</v>
      </c>
    </row>
    <row r="2136" spans="1:14" x14ac:dyDescent="0.3">
      <c r="A2136">
        <v>91</v>
      </c>
      <c r="B2136">
        <v>2025</v>
      </c>
      <c r="C2136" s="2">
        <v>45702</v>
      </c>
      <c r="E2136" t="s">
        <v>49</v>
      </c>
      <c r="F2136" t="s">
        <v>50</v>
      </c>
      <c r="G2136" t="s">
        <v>499</v>
      </c>
      <c r="H2136" t="s">
        <v>464</v>
      </c>
      <c r="I2136" t="s">
        <v>464</v>
      </c>
      <c r="J2136" t="s">
        <v>565</v>
      </c>
      <c r="K2136" t="s">
        <v>554</v>
      </c>
      <c r="L2136" t="str">
        <f t="shared" si="99"/>
        <v>OK</v>
      </c>
      <c r="M2136" t="str">
        <f t="shared" si="100"/>
        <v>ERRO</v>
      </c>
      <c r="N2136" t="str">
        <f t="shared" si="101"/>
        <v>OK</v>
      </c>
    </row>
    <row r="2137" spans="1:14" x14ac:dyDescent="0.3">
      <c r="A2137">
        <v>91</v>
      </c>
      <c r="B2137">
        <v>2025</v>
      </c>
      <c r="C2137" s="2">
        <v>45702</v>
      </c>
      <c r="E2137" t="s">
        <v>52</v>
      </c>
      <c r="F2137" t="s">
        <v>43</v>
      </c>
      <c r="G2137" t="s">
        <v>500</v>
      </c>
      <c r="H2137" t="s">
        <v>511</v>
      </c>
      <c r="I2137" t="s">
        <v>511</v>
      </c>
      <c r="J2137" t="s">
        <v>519</v>
      </c>
      <c r="K2137" t="s">
        <v>591</v>
      </c>
      <c r="L2137" t="str">
        <f t="shared" si="99"/>
        <v>OK</v>
      </c>
      <c r="M2137" t="str">
        <f t="shared" si="100"/>
        <v>ERRO</v>
      </c>
      <c r="N2137" t="str">
        <f t="shared" si="101"/>
        <v>OK</v>
      </c>
    </row>
    <row r="2138" spans="1:14" x14ac:dyDescent="0.3">
      <c r="A2138">
        <v>91</v>
      </c>
      <c r="B2138">
        <v>2025</v>
      </c>
      <c r="C2138" s="2">
        <v>45702</v>
      </c>
      <c r="E2138" t="s">
        <v>53</v>
      </c>
      <c r="F2138" t="s">
        <v>43</v>
      </c>
      <c r="G2138" t="s">
        <v>476</v>
      </c>
      <c r="H2138" t="s">
        <v>476</v>
      </c>
      <c r="I2138" t="s">
        <v>511</v>
      </c>
      <c r="J2138" t="s">
        <v>493</v>
      </c>
      <c r="K2138" t="s">
        <v>491</v>
      </c>
      <c r="L2138" t="str">
        <f t="shared" si="99"/>
        <v>OK</v>
      </c>
      <c r="M2138" t="str">
        <f t="shared" si="100"/>
        <v>OK</v>
      </c>
      <c r="N2138" t="str">
        <f t="shared" si="101"/>
        <v>OK</v>
      </c>
    </row>
    <row r="2139" spans="1:14" x14ac:dyDescent="0.3">
      <c r="A2139">
        <v>91</v>
      </c>
      <c r="B2139">
        <v>2025</v>
      </c>
      <c r="C2139" s="2">
        <v>45702</v>
      </c>
      <c r="E2139" t="s">
        <v>54</v>
      </c>
      <c r="F2139" t="s">
        <v>40</v>
      </c>
      <c r="H2139" t="s">
        <v>464</v>
      </c>
      <c r="I2139" t="s">
        <v>521</v>
      </c>
      <c r="J2139" t="s">
        <v>604</v>
      </c>
      <c r="K2139" t="s">
        <v>591</v>
      </c>
      <c r="L2139" t="str">
        <f t="shared" si="99"/>
        <v>ERRO</v>
      </c>
      <c r="M2139" t="str">
        <f t="shared" si="100"/>
        <v>OK</v>
      </c>
      <c r="N2139" t="str">
        <f t="shared" si="101"/>
        <v>ERRO</v>
      </c>
    </row>
    <row r="2140" spans="1:14" x14ac:dyDescent="0.3">
      <c r="A2140">
        <v>91</v>
      </c>
      <c r="B2140">
        <v>2025</v>
      </c>
      <c r="C2140" s="2">
        <v>45702</v>
      </c>
      <c r="E2140" t="s">
        <v>56</v>
      </c>
      <c r="F2140" t="s">
        <v>43</v>
      </c>
      <c r="H2140" t="s">
        <v>499</v>
      </c>
      <c r="I2140" t="s">
        <v>591</v>
      </c>
      <c r="J2140" t="s">
        <v>540</v>
      </c>
      <c r="K2140" t="s">
        <v>540</v>
      </c>
      <c r="L2140" t="str">
        <f t="shared" si="99"/>
        <v>OK</v>
      </c>
      <c r="M2140" t="str">
        <f t="shared" si="100"/>
        <v>OK</v>
      </c>
      <c r="N2140" t="str">
        <f t="shared" si="101"/>
        <v>OK</v>
      </c>
    </row>
    <row r="2141" spans="1:14" x14ac:dyDescent="0.3">
      <c r="A2141">
        <v>91</v>
      </c>
      <c r="B2141">
        <v>2025</v>
      </c>
      <c r="C2141" s="2">
        <v>45702</v>
      </c>
      <c r="E2141" t="s">
        <v>57</v>
      </c>
      <c r="F2141" t="s">
        <v>40</v>
      </c>
      <c r="G2141" t="s">
        <v>476</v>
      </c>
      <c r="H2141" t="s">
        <v>476</v>
      </c>
      <c r="I2141" t="s">
        <v>492</v>
      </c>
      <c r="J2141" t="s">
        <v>675</v>
      </c>
      <c r="K2141" t="s">
        <v>476</v>
      </c>
      <c r="L2141" t="str">
        <f t="shared" si="99"/>
        <v>OK</v>
      </c>
      <c r="M2141" t="str">
        <f t="shared" si="100"/>
        <v>OK</v>
      </c>
      <c r="N2141" t="str">
        <f t="shared" si="101"/>
        <v>OK</v>
      </c>
    </row>
    <row r="2142" spans="1:14" x14ac:dyDescent="0.3">
      <c r="A2142">
        <v>91</v>
      </c>
      <c r="B2142">
        <v>2025</v>
      </c>
      <c r="C2142" s="2">
        <v>45702</v>
      </c>
      <c r="E2142" t="s">
        <v>58</v>
      </c>
      <c r="F2142" t="s">
        <v>40</v>
      </c>
      <c r="G2142" t="s">
        <v>511</v>
      </c>
      <c r="H2142" t="s">
        <v>507</v>
      </c>
      <c r="I2142" t="s">
        <v>507</v>
      </c>
      <c r="J2142" t="s">
        <v>509</v>
      </c>
      <c r="K2142" t="s">
        <v>667</v>
      </c>
      <c r="L2142" t="str">
        <f t="shared" si="99"/>
        <v>OK</v>
      </c>
      <c r="M2142" t="str">
        <f t="shared" si="100"/>
        <v>ERRO</v>
      </c>
      <c r="N2142" t="str">
        <f t="shared" si="101"/>
        <v>OK</v>
      </c>
    </row>
    <row r="2143" spans="1:14" x14ac:dyDescent="0.3">
      <c r="A2143">
        <v>91</v>
      </c>
      <c r="B2143">
        <v>2025</v>
      </c>
      <c r="C2143" s="2">
        <v>45702</v>
      </c>
      <c r="E2143" t="s">
        <v>59</v>
      </c>
      <c r="F2143" t="s">
        <v>45</v>
      </c>
      <c r="G2143" t="s">
        <v>525</v>
      </c>
      <c r="H2143" t="s">
        <v>503</v>
      </c>
      <c r="I2143" t="s">
        <v>496</v>
      </c>
      <c r="J2143" t="s">
        <v>676</v>
      </c>
      <c r="K2143" t="s">
        <v>503</v>
      </c>
      <c r="L2143" t="str">
        <f t="shared" si="99"/>
        <v>OK</v>
      </c>
      <c r="M2143" t="str">
        <f t="shared" si="100"/>
        <v>ERRO</v>
      </c>
      <c r="N2143" t="str">
        <f t="shared" si="101"/>
        <v>OK</v>
      </c>
    </row>
    <row r="2144" spans="1:14" x14ac:dyDescent="0.3">
      <c r="A2144">
        <v>91</v>
      </c>
      <c r="B2144">
        <v>2025</v>
      </c>
      <c r="C2144" s="2">
        <v>45702</v>
      </c>
      <c r="E2144" t="s">
        <v>60</v>
      </c>
      <c r="F2144" t="s">
        <v>61</v>
      </c>
      <c r="H2144" t="s">
        <v>476</v>
      </c>
      <c r="I2144" t="s">
        <v>521</v>
      </c>
      <c r="J2144" t="s">
        <v>533</v>
      </c>
      <c r="K2144" t="s">
        <v>492</v>
      </c>
      <c r="L2144" t="str">
        <f t="shared" si="99"/>
        <v>ERRO</v>
      </c>
      <c r="M2144" t="str">
        <f t="shared" si="100"/>
        <v>OK</v>
      </c>
      <c r="N2144" t="str">
        <f t="shared" si="101"/>
        <v>ERRO</v>
      </c>
    </row>
    <row r="2145" spans="1:14" x14ac:dyDescent="0.3">
      <c r="A2145">
        <v>91</v>
      </c>
      <c r="B2145">
        <v>2025</v>
      </c>
      <c r="C2145" s="2">
        <v>45702</v>
      </c>
      <c r="E2145" t="s">
        <v>63</v>
      </c>
      <c r="F2145" t="s">
        <v>40</v>
      </c>
      <c r="G2145" t="s">
        <v>511</v>
      </c>
      <c r="H2145" t="s">
        <v>507</v>
      </c>
      <c r="I2145" t="s">
        <v>507</v>
      </c>
      <c r="J2145" t="s">
        <v>677</v>
      </c>
      <c r="K2145" t="s">
        <v>509</v>
      </c>
      <c r="L2145" t="str">
        <f t="shared" si="99"/>
        <v>OK</v>
      </c>
      <c r="M2145" t="str">
        <f t="shared" si="100"/>
        <v>ERRO</v>
      </c>
      <c r="N2145" t="str">
        <f t="shared" si="101"/>
        <v>OK</v>
      </c>
    </row>
    <row r="2146" spans="1:14" x14ac:dyDescent="0.3">
      <c r="A2146">
        <v>91</v>
      </c>
      <c r="B2146">
        <v>2025</v>
      </c>
      <c r="C2146" s="2">
        <v>45702</v>
      </c>
      <c r="E2146" t="s">
        <v>64</v>
      </c>
      <c r="F2146" t="s">
        <v>40</v>
      </c>
      <c r="H2146" t="s">
        <v>514</v>
      </c>
      <c r="I2146" t="s">
        <v>678</v>
      </c>
      <c r="J2146" t="s">
        <v>531</v>
      </c>
      <c r="K2146" t="s">
        <v>531</v>
      </c>
      <c r="L2146" t="str">
        <f t="shared" si="99"/>
        <v>OK</v>
      </c>
      <c r="M2146" t="str">
        <f t="shared" si="100"/>
        <v>OK</v>
      </c>
      <c r="N2146" t="str">
        <f t="shared" si="101"/>
        <v>OK</v>
      </c>
    </row>
    <row r="2147" spans="1:14" x14ac:dyDescent="0.3">
      <c r="A2147">
        <v>91</v>
      </c>
      <c r="B2147">
        <v>2025</v>
      </c>
      <c r="C2147" s="2">
        <v>45702</v>
      </c>
      <c r="E2147" s="11" t="s">
        <v>66</v>
      </c>
      <c r="F2147" s="12" t="s">
        <v>45</v>
      </c>
      <c r="L2147" t="str">
        <f t="shared" si="99"/>
        <v>OK</v>
      </c>
      <c r="M2147" t="str">
        <f t="shared" si="100"/>
        <v>OK</v>
      </c>
      <c r="N2147" t="str">
        <f t="shared" si="101"/>
        <v>OK</v>
      </c>
    </row>
    <row r="2148" spans="1:14" x14ac:dyDescent="0.3">
      <c r="A2148">
        <v>91</v>
      </c>
      <c r="B2148">
        <v>2025</v>
      </c>
      <c r="C2148" s="2">
        <v>45702</v>
      </c>
      <c r="E2148" s="11" t="s">
        <v>67</v>
      </c>
      <c r="F2148" s="12" t="s">
        <v>45</v>
      </c>
      <c r="L2148" t="str">
        <f t="shared" si="99"/>
        <v>OK</v>
      </c>
      <c r="M2148" t="str">
        <f t="shared" si="100"/>
        <v>OK</v>
      </c>
      <c r="N2148" t="str">
        <f t="shared" si="101"/>
        <v>OK</v>
      </c>
    </row>
    <row r="2149" spans="1:14" x14ac:dyDescent="0.3">
      <c r="A2149">
        <v>91</v>
      </c>
      <c r="B2149">
        <v>2025</v>
      </c>
      <c r="C2149" s="2">
        <v>45702</v>
      </c>
      <c r="E2149" s="11" t="s">
        <v>68</v>
      </c>
      <c r="F2149" s="12" t="s">
        <v>45</v>
      </c>
      <c r="L2149" t="str">
        <f t="shared" si="99"/>
        <v>OK</v>
      </c>
      <c r="M2149" t="str">
        <f t="shared" si="100"/>
        <v>OK</v>
      </c>
      <c r="N2149" t="str">
        <f t="shared" si="101"/>
        <v>OK</v>
      </c>
    </row>
    <row r="2150" spans="1:14" x14ac:dyDescent="0.3">
      <c r="A2150">
        <v>91</v>
      </c>
      <c r="B2150">
        <v>2025</v>
      </c>
      <c r="C2150" s="2">
        <v>45702</v>
      </c>
      <c r="E2150" s="11" t="s">
        <v>69</v>
      </c>
      <c r="F2150" s="12" t="s">
        <v>45</v>
      </c>
      <c r="L2150" t="str">
        <f t="shared" si="99"/>
        <v>OK</v>
      </c>
      <c r="M2150" t="str">
        <f t="shared" si="100"/>
        <v>OK</v>
      </c>
      <c r="N2150" t="str">
        <f t="shared" si="101"/>
        <v>OK</v>
      </c>
    </row>
    <row r="2151" spans="1:14" x14ac:dyDescent="0.3">
      <c r="A2151">
        <v>91</v>
      </c>
      <c r="B2151">
        <v>2025</v>
      </c>
      <c r="C2151" s="2">
        <v>45702</v>
      </c>
      <c r="E2151" s="11" t="s">
        <v>70</v>
      </c>
      <c r="F2151" s="12" t="s">
        <v>71</v>
      </c>
      <c r="L2151" t="str">
        <f t="shared" si="99"/>
        <v>OK</v>
      </c>
      <c r="M2151" t="str">
        <f t="shared" si="100"/>
        <v>OK</v>
      </c>
      <c r="N2151" t="str">
        <f t="shared" si="101"/>
        <v>OK</v>
      </c>
    </row>
    <row r="2152" spans="1:14" x14ac:dyDescent="0.3">
      <c r="A2152">
        <v>92</v>
      </c>
      <c r="B2152">
        <v>2025</v>
      </c>
      <c r="C2152" s="2">
        <v>45709</v>
      </c>
      <c r="E2152" t="s">
        <v>12</v>
      </c>
      <c r="F2152" t="s">
        <v>13</v>
      </c>
      <c r="H2152" t="s">
        <v>463</v>
      </c>
      <c r="I2152" t="s">
        <v>464</v>
      </c>
      <c r="J2152" t="s">
        <v>465</v>
      </c>
      <c r="K2152" t="s">
        <v>465</v>
      </c>
      <c r="L2152" t="str">
        <f t="shared" si="99"/>
        <v>OK</v>
      </c>
      <c r="M2152" t="str">
        <f t="shared" si="100"/>
        <v>OK</v>
      </c>
      <c r="N2152" t="str">
        <f t="shared" si="101"/>
        <v>OK</v>
      </c>
    </row>
    <row r="2153" spans="1:14" x14ac:dyDescent="0.3">
      <c r="A2153">
        <v>92</v>
      </c>
      <c r="B2153">
        <v>2025</v>
      </c>
      <c r="C2153" s="2">
        <v>45709</v>
      </c>
      <c r="E2153" t="s">
        <v>14</v>
      </c>
      <c r="F2153" t="s">
        <v>13</v>
      </c>
      <c r="G2153" t="s">
        <v>579</v>
      </c>
      <c r="H2153" t="s">
        <v>466</v>
      </c>
      <c r="I2153" t="s">
        <v>579</v>
      </c>
      <c r="J2153" t="s">
        <v>648</v>
      </c>
      <c r="K2153" t="s">
        <v>579</v>
      </c>
      <c r="L2153" t="str">
        <f t="shared" si="99"/>
        <v>OK</v>
      </c>
      <c r="M2153" t="str">
        <f t="shared" si="100"/>
        <v>OK</v>
      </c>
      <c r="N2153" t="str">
        <f t="shared" si="101"/>
        <v>OK</v>
      </c>
    </row>
    <row r="2154" spans="1:14" x14ac:dyDescent="0.3">
      <c r="A2154">
        <v>92</v>
      </c>
      <c r="B2154">
        <v>2025</v>
      </c>
      <c r="C2154" s="2">
        <v>45709</v>
      </c>
      <c r="E2154" t="s">
        <v>15</v>
      </c>
      <c r="F2154" t="s">
        <v>13</v>
      </c>
      <c r="G2154" t="s">
        <v>463</v>
      </c>
      <c r="H2154" t="s">
        <v>503</v>
      </c>
      <c r="I2154" t="s">
        <v>464</v>
      </c>
      <c r="J2154" t="s">
        <v>557</v>
      </c>
      <c r="K2154" t="s">
        <v>463</v>
      </c>
      <c r="L2154" t="str">
        <f t="shared" si="99"/>
        <v>OK</v>
      </c>
      <c r="M2154" t="str">
        <f t="shared" si="100"/>
        <v>OK</v>
      </c>
      <c r="N2154" t="str">
        <f t="shared" si="101"/>
        <v>OK</v>
      </c>
    </row>
    <row r="2155" spans="1:14" x14ac:dyDescent="0.3">
      <c r="A2155">
        <v>92</v>
      </c>
      <c r="B2155">
        <v>2025</v>
      </c>
      <c r="C2155" s="2">
        <v>45709</v>
      </c>
      <c r="E2155" t="s">
        <v>16</v>
      </c>
      <c r="F2155" t="s">
        <v>13</v>
      </c>
      <c r="G2155" t="s">
        <v>468</v>
      </c>
      <c r="H2155" t="s">
        <v>468</v>
      </c>
      <c r="I2155" t="s">
        <v>464</v>
      </c>
      <c r="J2155" t="s">
        <v>676</v>
      </c>
      <c r="K2155" t="s">
        <v>468</v>
      </c>
      <c r="L2155" t="str">
        <f t="shared" si="99"/>
        <v>OK</v>
      </c>
      <c r="M2155" t="str">
        <f t="shared" si="100"/>
        <v>OK</v>
      </c>
      <c r="N2155" t="str">
        <f t="shared" si="101"/>
        <v>OK</v>
      </c>
    </row>
    <row r="2156" spans="1:14" x14ac:dyDescent="0.3">
      <c r="A2156">
        <v>92</v>
      </c>
      <c r="B2156">
        <v>2025</v>
      </c>
      <c r="C2156" s="2">
        <v>45709</v>
      </c>
      <c r="E2156" t="s">
        <v>17</v>
      </c>
      <c r="F2156" t="s">
        <v>13</v>
      </c>
      <c r="G2156" t="s">
        <v>468</v>
      </c>
      <c r="H2156" t="s">
        <v>468</v>
      </c>
      <c r="I2156" t="s">
        <v>464</v>
      </c>
      <c r="J2156" t="s">
        <v>676</v>
      </c>
      <c r="K2156" t="s">
        <v>468</v>
      </c>
      <c r="L2156" t="str">
        <f t="shared" si="99"/>
        <v>OK</v>
      </c>
      <c r="M2156" t="str">
        <f t="shared" si="100"/>
        <v>OK</v>
      </c>
      <c r="N2156" t="str">
        <f t="shared" si="101"/>
        <v>OK</v>
      </c>
    </row>
    <row r="2157" spans="1:14" x14ac:dyDescent="0.3">
      <c r="A2157">
        <v>92</v>
      </c>
      <c r="B2157">
        <v>2025</v>
      </c>
      <c r="C2157" s="2">
        <v>45709</v>
      </c>
      <c r="E2157" t="s">
        <v>18</v>
      </c>
      <c r="F2157" t="s">
        <v>13</v>
      </c>
      <c r="G2157" t="s">
        <v>464</v>
      </c>
      <c r="H2157" t="s">
        <v>464</v>
      </c>
      <c r="I2157" t="s">
        <v>464</v>
      </c>
      <c r="J2157" t="s">
        <v>464</v>
      </c>
      <c r="K2157" t="s">
        <v>464</v>
      </c>
      <c r="L2157" t="str">
        <f t="shared" si="99"/>
        <v>OK</v>
      </c>
      <c r="M2157" t="str">
        <f t="shared" si="100"/>
        <v>OK</v>
      </c>
      <c r="N2157" t="str">
        <f t="shared" si="101"/>
        <v>OK</v>
      </c>
    </row>
    <row r="2158" spans="1:14" x14ac:dyDescent="0.3">
      <c r="A2158">
        <v>92</v>
      </c>
      <c r="B2158">
        <v>2025</v>
      </c>
      <c r="C2158" s="2">
        <v>45709</v>
      </c>
      <c r="E2158" t="s">
        <v>19</v>
      </c>
      <c r="F2158" t="s">
        <v>13</v>
      </c>
      <c r="G2158" t="s">
        <v>579</v>
      </c>
      <c r="H2158" t="s">
        <v>579</v>
      </c>
      <c r="I2158" t="s">
        <v>671</v>
      </c>
      <c r="J2158" t="s">
        <v>521</v>
      </c>
      <c r="K2158" t="s">
        <v>579</v>
      </c>
      <c r="L2158" t="str">
        <f t="shared" si="99"/>
        <v>ERRO</v>
      </c>
      <c r="M2158" t="str">
        <f t="shared" si="100"/>
        <v>ERRO</v>
      </c>
      <c r="N2158" t="str">
        <f t="shared" si="101"/>
        <v>OK</v>
      </c>
    </row>
    <row r="2159" spans="1:14" x14ac:dyDescent="0.3">
      <c r="A2159">
        <v>92</v>
      </c>
      <c r="B2159">
        <v>2025</v>
      </c>
      <c r="C2159" s="2">
        <v>45709</v>
      </c>
      <c r="E2159" t="s">
        <v>20</v>
      </c>
      <c r="F2159" t="s">
        <v>13</v>
      </c>
      <c r="G2159" t="s">
        <v>467</v>
      </c>
      <c r="H2159" t="s">
        <v>579</v>
      </c>
      <c r="I2159" t="s">
        <v>579</v>
      </c>
      <c r="J2159" t="s">
        <v>637</v>
      </c>
      <c r="K2159" t="s">
        <v>661</v>
      </c>
      <c r="L2159" t="str">
        <f t="shared" si="99"/>
        <v>OK</v>
      </c>
      <c r="M2159" t="str">
        <f t="shared" si="100"/>
        <v>ERRO</v>
      </c>
      <c r="N2159" t="str">
        <f t="shared" si="101"/>
        <v>OK</v>
      </c>
    </row>
    <row r="2160" spans="1:14" x14ac:dyDescent="0.3">
      <c r="A2160">
        <v>92</v>
      </c>
      <c r="B2160">
        <v>2025</v>
      </c>
      <c r="C2160" s="2">
        <v>45709</v>
      </c>
      <c r="E2160" t="s">
        <v>21</v>
      </c>
      <c r="F2160" t="s">
        <v>13</v>
      </c>
      <c r="G2160" t="s">
        <v>468</v>
      </c>
      <c r="H2160" t="s">
        <v>468</v>
      </c>
      <c r="I2160" t="s">
        <v>536</v>
      </c>
      <c r="J2160" t="s">
        <v>562</v>
      </c>
      <c r="K2160" t="s">
        <v>468</v>
      </c>
      <c r="L2160" t="str">
        <f t="shared" si="99"/>
        <v>OK</v>
      </c>
      <c r="M2160" t="str">
        <f t="shared" si="100"/>
        <v>OK</v>
      </c>
      <c r="N2160" t="str">
        <f t="shared" si="101"/>
        <v>OK</v>
      </c>
    </row>
    <row r="2161" spans="1:14" x14ac:dyDescent="0.3">
      <c r="A2161">
        <v>92</v>
      </c>
      <c r="B2161">
        <v>2025</v>
      </c>
      <c r="C2161" s="2">
        <v>45709</v>
      </c>
      <c r="E2161" t="s">
        <v>73</v>
      </c>
      <c r="F2161" t="s">
        <v>13</v>
      </c>
      <c r="H2161" t="s">
        <v>464</v>
      </c>
      <c r="I2161" t="s">
        <v>507</v>
      </c>
      <c r="J2161" t="s">
        <v>648</v>
      </c>
      <c r="K2161" t="s">
        <v>467</v>
      </c>
      <c r="L2161" t="str">
        <f t="shared" si="99"/>
        <v>ERRO</v>
      </c>
      <c r="M2161" t="str">
        <f t="shared" si="100"/>
        <v>OK</v>
      </c>
      <c r="N2161" t="str">
        <f t="shared" si="101"/>
        <v>ERRO</v>
      </c>
    </row>
    <row r="2162" spans="1:14" x14ac:dyDescent="0.3">
      <c r="A2162">
        <v>92</v>
      </c>
      <c r="B2162">
        <v>2025</v>
      </c>
      <c r="C2162" s="2">
        <v>45709</v>
      </c>
      <c r="E2162" t="s">
        <v>23</v>
      </c>
      <c r="F2162" t="s">
        <v>13</v>
      </c>
      <c r="G2162" t="s">
        <v>468</v>
      </c>
      <c r="H2162" t="s">
        <v>468</v>
      </c>
      <c r="I2162" t="s">
        <v>464</v>
      </c>
      <c r="J2162" t="s">
        <v>676</v>
      </c>
      <c r="K2162" t="s">
        <v>468</v>
      </c>
      <c r="L2162" t="str">
        <f t="shared" si="99"/>
        <v>OK</v>
      </c>
      <c r="M2162" t="str">
        <f t="shared" si="100"/>
        <v>OK</v>
      </c>
      <c r="N2162" t="str">
        <f t="shared" si="101"/>
        <v>OK</v>
      </c>
    </row>
    <row r="2163" spans="1:14" x14ac:dyDescent="0.3">
      <c r="A2163">
        <v>92</v>
      </c>
      <c r="B2163">
        <v>2025</v>
      </c>
      <c r="C2163" s="2">
        <v>45709</v>
      </c>
      <c r="E2163" t="s">
        <v>24</v>
      </c>
      <c r="F2163" t="s">
        <v>13</v>
      </c>
      <c r="G2163" t="s">
        <v>464</v>
      </c>
      <c r="H2163" t="s">
        <v>464</v>
      </c>
      <c r="I2163" t="s">
        <v>467</v>
      </c>
      <c r="J2163" t="s">
        <v>535</v>
      </c>
      <c r="K2163" t="s">
        <v>464</v>
      </c>
      <c r="L2163" t="str">
        <f t="shared" si="99"/>
        <v>OK</v>
      </c>
      <c r="M2163" t="str">
        <f t="shared" si="100"/>
        <v>OK</v>
      </c>
      <c r="N2163" t="str">
        <f t="shared" si="101"/>
        <v>OK</v>
      </c>
    </row>
    <row r="2164" spans="1:14" x14ac:dyDescent="0.3">
      <c r="A2164">
        <v>92</v>
      </c>
      <c r="B2164">
        <v>2025</v>
      </c>
      <c r="C2164" s="2">
        <v>45709</v>
      </c>
      <c r="E2164" t="s">
        <v>25</v>
      </c>
      <c r="F2164" t="s">
        <v>26</v>
      </c>
      <c r="G2164" t="s">
        <v>464</v>
      </c>
      <c r="H2164" t="s">
        <v>464</v>
      </c>
      <c r="I2164" t="s">
        <v>464</v>
      </c>
      <c r="J2164" t="s">
        <v>464</v>
      </c>
      <c r="K2164" t="s">
        <v>464</v>
      </c>
      <c r="L2164" t="str">
        <f t="shared" si="99"/>
        <v>OK</v>
      </c>
      <c r="M2164" t="str">
        <f t="shared" si="100"/>
        <v>OK</v>
      </c>
      <c r="N2164" t="str">
        <f t="shared" si="101"/>
        <v>OK</v>
      </c>
    </row>
    <row r="2165" spans="1:14" x14ac:dyDescent="0.3">
      <c r="A2165">
        <v>92</v>
      </c>
      <c r="B2165">
        <v>2025</v>
      </c>
      <c r="C2165" s="2">
        <v>45709</v>
      </c>
      <c r="E2165" t="s">
        <v>27</v>
      </c>
      <c r="F2165" t="s">
        <v>13</v>
      </c>
      <c r="H2165" t="s">
        <v>463</v>
      </c>
      <c r="I2165" t="s">
        <v>467</v>
      </c>
      <c r="J2165" t="s">
        <v>679</v>
      </c>
      <c r="K2165" t="s">
        <v>502</v>
      </c>
      <c r="L2165" t="str">
        <f t="shared" si="99"/>
        <v>OK</v>
      </c>
      <c r="M2165" t="str">
        <f t="shared" si="100"/>
        <v>OK</v>
      </c>
      <c r="N2165" t="str">
        <f t="shared" si="101"/>
        <v>OK</v>
      </c>
    </row>
    <row r="2166" spans="1:14" x14ac:dyDescent="0.3">
      <c r="A2166">
        <v>92</v>
      </c>
      <c r="B2166">
        <v>2025</v>
      </c>
      <c r="C2166" s="2">
        <v>45709</v>
      </c>
      <c r="E2166" t="s">
        <v>28</v>
      </c>
      <c r="F2166" t="s">
        <v>13</v>
      </c>
      <c r="G2166" t="s">
        <v>464</v>
      </c>
      <c r="H2166" t="s">
        <v>496</v>
      </c>
      <c r="I2166" t="s">
        <v>464</v>
      </c>
      <c r="J2166" t="s">
        <v>656</v>
      </c>
      <c r="K2166" t="s">
        <v>502</v>
      </c>
      <c r="L2166" t="str">
        <f t="shared" si="99"/>
        <v>OK</v>
      </c>
      <c r="M2166" t="str">
        <f t="shared" si="100"/>
        <v>OK</v>
      </c>
      <c r="N2166" t="str">
        <f t="shared" si="101"/>
        <v>OK</v>
      </c>
    </row>
    <row r="2167" spans="1:14" x14ac:dyDescent="0.3">
      <c r="A2167">
        <v>92</v>
      </c>
      <c r="B2167">
        <v>2025</v>
      </c>
      <c r="C2167" s="2">
        <v>45709</v>
      </c>
      <c r="E2167" t="s">
        <v>29</v>
      </c>
      <c r="F2167" t="s">
        <v>13</v>
      </c>
      <c r="G2167" t="s">
        <v>464</v>
      </c>
      <c r="H2167" t="s">
        <v>465</v>
      </c>
      <c r="I2167" t="s">
        <v>466</v>
      </c>
      <c r="J2167" t="s">
        <v>563</v>
      </c>
      <c r="K2167" t="s">
        <v>464</v>
      </c>
      <c r="L2167" t="str">
        <f t="shared" si="99"/>
        <v>OK</v>
      </c>
      <c r="M2167" t="str">
        <f t="shared" si="100"/>
        <v>OK</v>
      </c>
      <c r="N2167" t="str">
        <f t="shared" si="101"/>
        <v>OK</v>
      </c>
    </row>
    <row r="2168" spans="1:14" x14ac:dyDescent="0.3">
      <c r="A2168">
        <v>92</v>
      </c>
      <c r="B2168">
        <v>2025</v>
      </c>
      <c r="C2168" s="2">
        <v>45709</v>
      </c>
      <c r="E2168" t="s">
        <v>31</v>
      </c>
      <c r="F2168" t="s">
        <v>32</v>
      </c>
      <c r="G2168" t="s">
        <v>484</v>
      </c>
      <c r="H2168" t="s">
        <v>484</v>
      </c>
      <c r="I2168" t="s">
        <v>484</v>
      </c>
      <c r="J2168" t="s">
        <v>484</v>
      </c>
      <c r="K2168" t="s">
        <v>484</v>
      </c>
      <c r="L2168" t="str">
        <f t="shared" si="99"/>
        <v>OK</v>
      </c>
      <c r="M2168" t="str">
        <f t="shared" si="100"/>
        <v>OK</v>
      </c>
      <c r="N2168" t="str">
        <f t="shared" si="101"/>
        <v>OK</v>
      </c>
    </row>
    <row r="2169" spans="1:14" x14ac:dyDescent="0.3">
      <c r="A2169">
        <v>92</v>
      </c>
      <c r="B2169">
        <v>2025</v>
      </c>
      <c r="C2169" s="2">
        <v>45709</v>
      </c>
      <c r="E2169" t="s">
        <v>34</v>
      </c>
      <c r="F2169" t="s">
        <v>35</v>
      </c>
      <c r="G2169" t="s">
        <v>496</v>
      </c>
      <c r="H2169" t="s">
        <v>503</v>
      </c>
      <c r="I2169" t="s">
        <v>463</v>
      </c>
      <c r="J2169" t="s">
        <v>680</v>
      </c>
      <c r="K2169" t="s">
        <v>496</v>
      </c>
      <c r="L2169" t="str">
        <f t="shared" si="99"/>
        <v>OK</v>
      </c>
      <c r="M2169" t="str">
        <f t="shared" si="100"/>
        <v>OK</v>
      </c>
      <c r="N2169" t="str">
        <f t="shared" si="101"/>
        <v>OK</v>
      </c>
    </row>
    <row r="2170" spans="1:14" x14ac:dyDescent="0.3">
      <c r="A2170">
        <v>92</v>
      </c>
      <c r="B2170">
        <v>2025</v>
      </c>
      <c r="C2170" s="2">
        <v>45709</v>
      </c>
      <c r="E2170" t="s">
        <v>36</v>
      </c>
      <c r="F2170" t="s">
        <v>35</v>
      </c>
      <c r="G2170" t="s">
        <v>468</v>
      </c>
      <c r="H2170" t="s">
        <v>468</v>
      </c>
      <c r="I2170" t="s">
        <v>496</v>
      </c>
      <c r="J2170" t="s">
        <v>635</v>
      </c>
      <c r="K2170" t="s">
        <v>494</v>
      </c>
      <c r="L2170" t="str">
        <f t="shared" si="99"/>
        <v>OK</v>
      </c>
      <c r="M2170" t="str">
        <f t="shared" si="100"/>
        <v>OK</v>
      </c>
      <c r="N2170" t="str">
        <f t="shared" si="101"/>
        <v>OK</v>
      </c>
    </row>
    <row r="2171" spans="1:14" x14ac:dyDescent="0.3">
      <c r="A2171">
        <v>92</v>
      </c>
      <c r="B2171">
        <v>2025</v>
      </c>
      <c r="C2171" s="2">
        <v>45709</v>
      </c>
      <c r="E2171" t="s">
        <v>153</v>
      </c>
      <c r="F2171" t="s">
        <v>154</v>
      </c>
      <c r="H2171" t="s">
        <v>502</v>
      </c>
      <c r="I2171" t="s">
        <v>464</v>
      </c>
      <c r="J2171" t="s">
        <v>505</v>
      </c>
      <c r="K2171" t="s">
        <v>505</v>
      </c>
      <c r="L2171" t="str">
        <f t="shared" si="99"/>
        <v>OK</v>
      </c>
      <c r="M2171" t="str">
        <f t="shared" si="100"/>
        <v>OK</v>
      </c>
      <c r="N2171" t="str">
        <f t="shared" si="101"/>
        <v>OK</v>
      </c>
    </row>
    <row r="2172" spans="1:14" x14ac:dyDescent="0.3">
      <c r="A2172">
        <v>92</v>
      </c>
      <c r="B2172">
        <v>2025</v>
      </c>
      <c r="C2172" s="2">
        <v>45709</v>
      </c>
      <c r="E2172" t="s">
        <v>39</v>
      </c>
      <c r="F2172" t="s">
        <v>40</v>
      </c>
      <c r="G2172" t="s">
        <v>476</v>
      </c>
      <c r="H2172" t="s">
        <v>476</v>
      </c>
      <c r="I2172" t="s">
        <v>476</v>
      </c>
      <c r="J2172" t="s">
        <v>476</v>
      </c>
      <c r="K2172" t="s">
        <v>476</v>
      </c>
      <c r="L2172" t="str">
        <f t="shared" si="99"/>
        <v>OK</v>
      </c>
      <c r="M2172" t="str">
        <f t="shared" si="100"/>
        <v>OK</v>
      </c>
      <c r="N2172" t="str">
        <f t="shared" si="101"/>
        <v>OK</v>
      </c>
    </row>
    <row r="2173" spans="1:14" x14ac:dyDescent="0.3">
      <c r="A2173">
        <v>92</v>
      </c>
      <c r="B2173">
        <v>2025</v>
      </c>
      <c r="C2173" s="2">
        <v>45709</v>
      </c>
      <c r="E2173" t="s">
        <v>42</v>
      </c>
      <c r="F2173" t="s">
        <v>43</v>
      </c>
      <c r="H2173" t="s">
        <v>496</v>
      </c>
      <c r="I2173" t="s">
        <v>500</v>
      </c>
      <c r="J2173" t="s">
        <v>502</v>
      </c>
      <c r="K2173" t="s">
        <v>502</v>
      </c>
      <c r="L2173" t="str">
        <f t="shared" si="99"/>
        <v>OK</v>
      </c>
      <c r="M2173" t="str">
        <f t="shared" si="100"/>
        <v>OK</v>
      </c>
      <c r="N2173" t="str">
        <f t="shared" si="101"/>
        <v>OK</v>
      </c>
    </row>
    <row r="2174" spans="1:14" x14ac:dyDescent="0.3">
      <c r="A2174">
        <v>92</v>
      </c>
      <c r="B2174">
        <v>2025</v>
      </c>
      <c r="C2174" s="2">
        <v>45709</v>
      </c>
      <c r="E2174" t="s">
        <v>44</v>
      </c>
      <c r="F2174" t="s">
        <v>45</v>
      </c>
      <c r="G2174" t="s">
        <v>499</v>
      </c>
      <c r="H2174" t="s">
        <v>499</v>
      </c>
      <c r="I2174" t="s">
        <v>502</v>
      </c>
      <c r="J2174" t="s">
        <v>605</v>
      </c>
      <c r="K2174" t="s">
        <v>499</v>
      </c>
      <c r="L2174" t="str">
        <f t="shared" si="99"/>
        <v>OK</v>
      </c>
      <c r="M2174" t="str">
        <f t="shared" si="100"/>
        <v>OK</v>
      </c>
      <c r="N2174" t="str">
        <f t="shared" si="101"/>
        <v>OK</v>
      </c>
    </row>
    <row r="2175" spans="1:14" x14ac:dyDescent="0.3">
      <c r="A2175">
        <v>92</v>
      </c>
      <c r="B2175">
        <v>2025</v>
      </c>
      <c r="C2175" s="2">
        <v>45709</v>
      </c>
      <c r="E2175" t="s">
        <v>48</v>
      </c>
      <c r="F2175" t="s">
        <v>45</v>
      </c>
      <c r="H2175" t="s">
        <v>492</v>
      </c>
      <c r="I2175" t="s">
        <v>492</v>
      </c>
      <c r="J2175" t="s">
        <v>492</v>
      </c>
      <c r="K2175" t="s">
        <v>492</v>
      </c>
      <c r="L2175" t="str">
        <f t="shared" si="99"/>
        <v>OK</v>
      </c>
      <c r="M2175" t="str">
        <f t="shared" si="100"/>
        <v>OK</v>
      </c>
      <c r="N2175" t="str">
        <f t="shared" si="101"/>
        <v>OK</v>
      </c>
    </row>
    <row r="2176" spans="1:14" x14ac:dyDescent="0.3">
      <c r="A2176">
        <v>92</v>
      </c>
      <c r="B2176">
        <v>2025</v>
      </c>
      <c r="C2176" s="2">
        <v>45709</v>
      </c>
      <c r="E2176" t="s">
        <v>49</v>
      </c>
      <c r="F2176" t="s">
        <v>50</v>
      </c>
      <c r="G2176" t="s">
        <v>502</v>
      </c>
      <c r="H2176" t="s">
        <v>464</v>
      </c>
      <c r="I2176" t="s">
        <v>500</v>
      </c>
      <c r="J2176" t="s">
        <v>464</v>
      </c>
      <c r="K2176" t="s">
        <v>464</v>
      </c>
      <c r="L2176" t="str">
        <f t="shared" si="99"/>
        <v>OK</v>
      </c>
      <c r="M2176" t="str">
        <f t="shared" si="100"/>
        <v>OK</v>
      </c>
      <c r="N2176" t="str">
        <f t="shared" si="101"/>
        <v>OK</v>
      </c>
    </row>
    <row r="2177" spans="1:14" x14ac:dyDescent="0.3">
      <c r="A2177">
        <v>92</v>
      </c>
      <c r="B2177">
        <v>2025</v>
      </c>
      <c r="C2177" s="2">
        <v>45709</v>
      </c>
      <c r="E2177" t="s">
        <v>52</v>
      </c>
      <c r="F2177" t="s">
        <v>43</v>
      </c>
      <c r="G2177" t="s">
        <v>476</v>
      </c>
      <c r="H2177" t="s">
        <v>476</v>
      </c>
      <c r="I2177" t="s">
        <v>553</v>
      </c>
      <c r="J2177" t="s">
        <v>681</v>
      </c>
      <c r="K2177" t="s">
        <v>476</v>
      </c>
      <c r="L2177" t="str">
        <f t="shared" si="99"/>
        <v>ERRO</v>
      </c>
      <c r="M2177" t="str">
        <f t="shared" si="100"/>
        <v>OK</v>
      </c>
      <c r="N2177" t="str">
        <f t="shared" si="101"/>
        <v>ERRO</v>
      </c>
    </row>
    <row r="2178" spans="1:14" x14ac:dyDescent="0.3">
      <c r="A2178">
        <v>92</v>
      </c>
      <c r="B2178">
        <v>2025</v>
      </c>
      <c r="C2178" s="2">
        <v>45709</v>
      </c>
      <c r="E2178" t="s">
        <v>53</v>
      </c>
      <c r="F2178" t="s">
        <v>43</v>
      </c>
      <c r="G2178" t="s">
        <v>476</v>
      </c>
      <c r="H2178" t="s">
        <v>476</v>
      </c>
      <c r="I2178" t="s">
        <v>511</v>
      </c>
      <c r="J2178" t="s">
        <v>493</v>
      </c>
      <c r="K2178" t="s">
        <v>491</v>
      </c>
      <c r="L2178" t="str">
        <f t="shared" si="99"/>
        <v>OK</v>
      </c>
      <c r="M2178" t="str">
        <f t="shared" si="100"/>
        <v>OK</v>
      </c>
      <c r="N2178" t="str">
        <f t="shared" si="101"/>
        <v>OK</v>
      </c>
    </row>
    <row r="2179" spans="1:14" x14ac:dyDescent="0.3">
      <c r="A2179">
        <v>92</v>
      </c>
      <c r="B2179">
        <v>2025</v>
      </c>
      <c r="C2179" s="2">
        <v>45709</v>
      </c>
      <c r="E2179" t="s">
        <v>54</v>
      </c>
      <c r="F2179" t="s">
        <v>40</v>
      </c>
      <c r="G2179" t="s">
        <v>464</v>
      </c>
      <c r="H2179" t="s">
        <v>492</v>
      </c>
      <c r="I2179" t="s">
        <v>492</v>
      </c>
      <c r="J2179" t="s">
        <v>675</v>
      </c>
      <c r="K2179" t="s">
        <v>492</v>
      </c>
      <c r="L2179" t="str">
        <f t="shared" ref="L2179:L2242" si="102">IF(H2179&gt;I2179,"ERRO","OK")</f>
        <v>OK</v>
      </c>
      <c r="M2179" t="str">
        <f t="shared" ref="M2179:M2242" si="103">IF(H2179&gt;J2179,"ERRO","OK")</f>
        <v>ERRO</v>
      </c>
      <c r="N2179" t="str">
        <f t="shared" ref="N2179:N2242" si="104">IF(I2179&lt;J2179,"ERRO","OK")</f>
        <v>OK</v>
      </c>
    </row>
    <row r="2180" spans="1:14" x14ac:dyDescent="0.3">
      <c r="A2180">
        <v>92</v>
      </c>
      <c r="B2180">
        <v>2025</v>
      </c>
      <c r="C2180" s="2">
        <v>45709</v>
      </c>
      <c r="E2180" t="s">
        <v>56</v>
      </c>
      <c r="F2180" t="s">
        <v>43</v>
      </c>
      <c r="H2180" t="s">
        <v>491</v>
      </c>
      <c r="I2180" t="s">
        <v>491</v>
      </c>
      <c r="J2180" t="s">
        <v>491</v>
      </c>
      <c r="K2180" t="s">
        <v>491</v>
      </c>
      <c r="L2180" t="str">
        <f t="shared" si="102"/>
        <v>OK</v>
      </c>
      <c r="M2180" t="str">
        <f t="shared" si="103"/>
        <v>OK</v>
      </c>
      <c r="N2180" t="str">
        <f t="shared" si="104"/>
        <v>OK</v>
      </c>
    </row>
    <row r="2181" spans="1:14" x14ac:dyDescent="0.3">
      <c r="A2181">
        <v>92</v>
      </c>
      <c r="B2181">
        <v>2025</v>
      </c>
      <c r="C2181" s="2">
        <v>45709</v>
      </c>
      <c r="E2181" t="s">
        <v>57</v>
      </c>
      <c r="F2181" t="s">
        <v>40</v>
      </c>
      <c r="H2181" t="s">
        <v>464</v>
      </c>
      <c r="I2181" t="s">
        <v>476</v>
      </c>
      <c r="J2181" t="s">
        <v>500</v>
      </c>
      <c r="K2181" t="s">
        <v>500</v>
      </c>
      <c r="L2181" t="str">
        <f t="shared" si="102"/>
        <v>OK</v>
      </c>
      <c r="M2181" t="str">
        <f t="shared" si="103"/>
        <v>OK</v>
      </c>
      <c r="N2181" t="str">
        <f t="shared" si="104"/>
        <v>OK</v>
      </c>
    </row>
    <row r="2182" spans="1:14" x14ac:dyDescent="0.3">
      <c r="A2182">
        <v>92</v>
      </c>
      <c r="B2182">
        <v>2025</v>
      </c>
      <c r="C2182" s="2">
        <v>45709</v>
      </c>
      <c r="E2182" t="s">
        <v>58</v>
      </c>
      <c r="F2182" t="s">
        <v>40</v>
      </c>
      <c r="G2182" t="s">
        <v>492</v>
      </c>
      <c r="H2182" t="s">
        <v>492</v>
      </c>
      <c r="I2182" t="s">
        <v>667</v>
      </c>
      <c r="J2182" t="s">
        <v>657</v>
      </c>
      <c r="K2182" t="s">
        <v>518</v>
      </c>
      <c r="L2182" t="str">
        <f t="shared" si="102"/>
        <v>ERRO</v>
      </c>
      <c r="M2182" t="str">
        <f t="shared" si="103"/>
        <v>OK</v>
      </c>
      <c r="N2182" t="str">
        <f t="shared" si="104"/>
        <v>ERRO</v>
      </c>
    </row>
    <row r="2183" spans="1:14" x14ac:dyDescent="0.3">
      <c r="A2183">
        <v>92</v>
      </c>
      <c r="B2183">
        <v>2025</v>
      </c>
      <c r="C2183" s="2">
        <v>45709</v>
      </c>
      <c r="E2183" t="s">
        <v>59</v>
      </c>
      <c r="F2183" t="s">
        <v>45</v>
      </c>
      <c r="G2183" t="s">
        <v>488</v>
      </c>
      <c r="H2183" t="s">
        <v>468</v>
      </c>
      <c r="I2183" t="s">
        <v>491</v>
      </c>
      <c r="J2183" t="s">
        <v>682</v>
      </c>
      <c r="K2183" t="s">
        <v>468</v>
      </c>
      <c r="L2183" t="str">
        <f t="shared" si="102"/>
        <v>OK</v>
      </c>
      <c r="M2183" t="str">
        <f t="shared" si="103"/>
        <v>OK</v>
      </c>
      <c r="N2183" t="str">
        <f t="shared" si="104"/>
        <v>OK</v>
      </c>
    </row>
    <row r="2184" spans="1:14" x14ac:dyDescent="0.3">
      <c r="A2184">
        <v>92</v>
      </c>
      <c r="B2184">
        <v>2025</v>
      </c>
      <c r="C2184" s="2">
        <v>45709</v>
      </c>
      <c r="E2184" t="s">
        <v>60</v>
      </c>
      <c r="F2184" t="s">
        <v>61</v>
      </c>
      <c r="H2184" t="s">
        <v>500</v>
      </c>
      <c r="I2184" t="s">
        <v>521</v>
      </c>
      <c r="J2184" t="s">
        <v>683</v>
      </c>
      <c r="K2184" t="s">
        <v>491</v>
      </c>
      <c r="L2184" t="str">
        <f t="shared" si="102"/>
        <v>ERRO</v>
      </c>
      <c r="M2184" t="str">
        <f t="shared" si="103"/>
        <v>OK</v>
      </c>
      <c r="N2184" t="str">
        <f t="shared" si="104"/>
        <v>ERRO</v>
      </c>
    </row>
    <row r="2185" spans="1:14" x14ac:dyDescent="0.3">
      <c r="A2185">
        <v>92</v>
      </c>
      <c r="B2185">
        <v>2025</v>
      </c>
      <c r="C2185" s="2">
        <v>45709</v>
      </c>
      <c r="E2185" t="s">
        <v>63</v>
      </c>
      <c r="F2185" t="s">
        <v>40</v>
      </c>
      <c r="H2185" t="s">
        <v>476</v>
      </c>
      <c r="I2185" t="s">
        <v>509</v>
      </c>
      <c r="J2185" t="s">
        <v>636</v>
      </c>
      <c r="K2185" t="s">
        <v>666</v>
      </c>
      <c r="L2185" t="str">
        <f t="shared" si="102"/>
        <v>ERRO</v>
      </c>
      <c r="M2185" t="str">
        <f t="shared" si="103"/>
        <v>OK</v>
      </c>
      <c r="N2185" t="str">
        <f t="shared" si="104"/>
        <v>ERRO</v>
      </c>
    </row>
    <row r="2186" spans="1:14" x14ac:dyDescent="0.3">
      <c r="A2186">
        <v>92</v>
      </c>
      <c r="B2186">
        <v>2025</v>
      </c>
      <c r="C2186" s="2">
        <v>45709</v>
      </c>
      <c r="E2186" t="s">
        <v>64</v>
      </c>
      <c r="F2186" t="s">
        <v>40</v>
      </c>
      <c r="H2186" t="s">
        <v>476</v>
      </c>
      <c r="I2186" t="s">
        <v>606</v>
      </c>
      <c r="J2186" t="s">
        <v>509</v>
      </c>
      <c r="K2186" t="s">
        <v>507</v>
      </c>
      <c r="L2186" t="str">
        <f t="shared" si="102"/>
        <v>ERRO</v>
      </c>
      <c r="M2186" t="str">
        <f t="shared" si="103"/>
        <v>ERRO</v>
      </c>
      <c r="N2186" t="str">
        <f t="shared" si="104"/>
        <v>OK</v>
      </c>
    </row>
    <row r="2187" spans="1:14" x14ac:dyDescent="0.3">
      <c r="A2187">
        <v>92</v>
      </c>
      <c r="B2187">
        <v>2025</v>
      </c>
      <c r="C2187" s="2">
        <v>45709</v>
      </c>
      <c r="E2187" s="11" t="s">
        <v>66</v>
      </c>
      <c r="F2187" s="12" t="s">
        <v>45</v>
      </c>
      <c r="L2187" t="str">
        <f t="shared" si="102"/>
        <v>OK</v>
      </c>
      <c r="M2187" t="str">
        <f t="shared" si="103"/>
        <v>OK</v>
      </c>
      <c r="N2187" t="str">
        <f t="shared" si="104"/>
        <v>OK</v>
      </c>
    </row>
    <row r="2188" spans="1:14" x14ac:dyDescent="0.3">
      <c r="A2188">
        <v>92</v>
      </c>
      <c r="B2188">
        <v>2025</v>
      </c>
      <c r="C2188" s="2">
        <v>45709</v>
      </c>
      <c r="E2188" s="11" t="s">
        <v>67</v>
      </c>
      <c r="F2188" s="12" t="s">
        <v>45</v>
      </c>
      <c r="L2188" t="str">
        <f t="shared" si="102"/>
        <v>OK</v>
      </c>
      <c r="M2188" t="str">
        <f t="shared" si="103"/>
        <v>OK</v>
      </c>
      <c r="N2188" t="str">
        <f t="shared" si="104"/>
        <v>OK</v>
      </c>
    </row>
    <row r="2189" spans="1:14" x14ac:dyDescent="0.3">
      <c r="A2189">
        <v>92</v>
      </c>
      <c r="B2189">
        <v>2025</v>
      </c>
      <c r="C2189" s="2">
        <v>45709</v>
      </c>
      <c r="E2189" s="11" t="s">
        <v>68</v>
      </c>
      <c r="F2189" s="12" t="s">
        <v>45</v>
      </c>
      <c r="L2189" t="str">
        <f t="shared" si="102"/>
        <v>OK</v>
      </c>
      <c r="M2189" t="str">
        <f t="shared" si="103"/>
        <v>OK</v>
      </c>
      <c r="N2189" t="str">
        <f t="shared" si="104"/>
        <v>OK</v>
      </c>
    </row>
    <row r="2190" spans="1:14" x14ac:dyDescent="0.3">
      <c r="A2190">
        <v>92</v>
      </c>
      <c r="B2190">
        <v>2025</v>
      </c>
      <c r="C2190" s="2">
        <v>45709</v>
      </c>
      <c r="E2190" s="11" t="s">
        <v>69</v>
      </c>
      <c r="F2190" s="12" t="s">
        <v>45</v>
      </c>
      <c r="L2190" t="str">
        <f t="shared" si="102"/>
        <v>OK</v>
      </c>
      <c r="M2190" t="str">
        <f t="shared" si="103"/>
        <v>OK</v>
      </c>
      <c r="N2190" t="str">
        <f t="shared" si="104"/>
        <v>OK</v>
      </c>
    </row>
    <row r="2191" spans="1:14" x14ac:dyDescent="0.3">
      <c r="A2191">
        <v>92</v>
      </c>
      <c r="B2191">
        <v>2025</v>
      </c>
      <c r="C2191" s="2">
        <v>45709</v>
      </c>
      <c r="E2191" s="11" t="s">
        <v>70</v>
      </c>
      <c r="F2191" s="12" t="s">
        <v>71</v>
      </c>
      <c r="L2191" t="str">
        <f t="shared" si="102"/>
        <v>OK</v>
      </c>
      <c r="M2191" t="str">
        <f t="shared" si="103"/>
        <v>OK</v>
      </c>
      <c r="N2191" t="str">
        <f t="shared" si="104"/>
        <v>OK</v>
      </c>
    </row>
    <row r="2192" spans="1:14" x14ac:dyDescent="0.3">
      <c r="A2192">
        <v>93</v>
      </c>
      <c r="B2192">
        <v>2025</v>
      </c>
      <c r="C2192" s="2">
        <v>45716</v>
      </c>
      <c r="E2192" t="s">
        <v>12</v>
      </c>
      <c r="F2192" t="s">
        <v>13</v>
      </c>
      <c r="G2192" t="s">
        <v>464</v>
      </c>
      <c r="H2192" t="s">
        <v>464</v>
      </c>
      <c r="I2192" t="s">
        <v>464</v>
      </c>
      <c r="J2192" t="s">
        <v>464</v>
      </c>
      <c r="K2192" t="s">
        <v>464</v>
      </c>
      <c r="L2192" t="str">
        <f t="shared" si="102"/>
        <v>OK</v>
      </c>
      <c r="M2192" t="str">
        <f t="shared" si="103"/>
        <v>OK</v>
      </c>
      <c r="N2192" t="str">
        <f t="shared" si="104"/>
        <v>OK</v>
      </c>
    </row>
    <row r="2193" spans="1:14" x14ac:dyDescent="0.3">
      <c r="A2193">
        <v>93</v>
      </c>
      <c r="B2193">
        <v>2025</v>
      </c>
      <c r="C2193" s="2">
        <v>45716</v>
      </c>
      <c r="E2193" t="s">
        <v>14</v>
      </c>
      <c r="F2193" t="s">
        <v>13</v>
      </c>
      <c r="G2193" t="s">
        <v>579</v>
      </c>
      <c r="H2193" t="s">
        <v>464</v>
      </c>
      <c r="I2193" t="s">
        <v>579</v>
      </c>
      <c r="J2193" t="s">
        <v>467</v>
      </c>
      <c r="K2193" t="s">
        <v>579</v>
      </c>
      <c r="L2193" t="str">
        <f t="shared" si="102"/>
        <v>OK</v>
      </c>
      <c r="M2193" t="str">
        <f t="shared" si="103"/>
        <v>OK</v>
      </c>
      <c r="N2193" t="str">
        <f t="shared" si="104"/>
        <v>OK</v>
      </c>
    </row>
    <row r="2194" spans="1:14" x14ac:dyDescent="0.3">
      <c r="A2194">
        <v>93</v>
      </c>
      <c r="B2194">
        <v>2025</v>
      </c>
      <c r="C2194" s="2">
        <v>45716</v>
      </c>
      <c r="E2194" t="s">
        <v>15</v>
      </c>
      <c r="F2194" t="s">
        <v>13</v>
      </c>
      <c r="G2194" t="s">
        <v>463</v>
      </c>
      <c r="H2194" t="s">
        <v>463</v>
      </c>
      <c r="I2194" t="s">
        <v>465</v>
      </c>
      <c r="J2194" t="s">
        <v>499</v>
      </c>
      <c r="K2194" t="s">
        <v>463</v>
      </c>
      <c r="L2194" t="str">
        <f t="shared" si="102"/>
        <v>OK</v>
      </c>
      <c r="M2194" t="str">
        <f t="shared" si="103"/>
        <v>OK</v>
      </c>
      <c r="N2194" t="str">
        <f t="shared" si="104"/>
        <v>OK</v>
      </c>
    </row>
    <row r="2195" spans="1:14" x14ac:dyDescent="0.3">
      <c r="A2195">
        <v>93</v>
      </c>
      <c r="B2195">
        <v>2025</v>
      </c>
      <c r="C2195" s="2">
        <v>45716</v>
      </c>
      <c r="E2195" t="s">
        <v>16</v>
      </c>
      <c r="F2195" t="s">
        <v>13</v>
      </c>
      <c r="G2195" t="s">
        <v>468</v>
      </c>
      <c r="H2195" t="s">
        <v>468</v>
      </c>
      <c r="I2195" t="s">
        <v>468</v>
      </c>
      <c r="J2195" t="s">
        <v>468</v>
      </c>
      <c r="K2195" t="s">
        <v>468</v>
      </c>
      <c r="L2195" t="str">
        <f t="shared" si="102"/>
        <v>OK</v>
      </c>
      <c r="M2195" t="str">
        <f t="shared" si="103"/>
        <v>OK</v>
      </c>
      <c r="N2195" t="str">
        <f t="shared" si="104"/>
        <v>OK</v>
      </c>
    </row>
    <row r="2196" spans="1:14" x14ac:dyDescent="0.3">
      <c r="A2196">
        <v>93</v>
      </c>
      <c r="B2196">
        <v>2025</v>
      </c>
      <c r="C2196" s="2">
        <v>45716</v>
      </c>
      <c r="E2196" t="s">
        <v>17</v>
      </c>
      <c r="F2196" t="s">
        <v>13</v>
      </c>
      <c r="G2196" t="s">
        <v>468</v>
      </c>
      <c r="H2196" t="s">
        <v>468</v>
      </c>
      <c r="I2196" t="s">
        <v>468</v>
      </c>
      <c r="J2196" t="s">
        <v>468</v>
      </c>
      <c r="K2196" t="s">
        <v>468</v>
      </c>
      <c r="L2196" t="str">
        <f t="shared" si="102"/>
        <v>OK</v>
      </c>
      <c r="M2196" t="str">
        <f t="shared" si="103"/>
        <v>OK</v>
      </c>
      <c r="N2196" t="str">
        <f t="shared" si="104"/>
        <v>OK</v>
      </c>
    </row>
    <row r="2197" spans="1:14" x14ac:dyDescent="0.3">
      <c r="A2197">
        <v>93</v>
      </c>
      <c r="B2197">
        <v>2025</v>
      </c>
      <c r="C2197" s="2">
        <v>45716</v>
      </c>
      <c r="E2197" t="s">
        <v>18</v>
      </c>
      <c r="F2197" t="s">
        <v>13</v>
      </c>
      <c r="G2197" t="s">
        <v>466</v>
      </c>
      <c r="H2197" t="s">
        <v>464</v>
      </c>
      <c r="I2197" t="s">
        <v>466</v>
      </c>
      <c r="J2197" t="s">
        <v>535</v>
      </c>
      <c r="K2197" t="s">
        <v>466</v>
      </c>
      <c r="L2197" t="str">
        <f t="shared" si="102"/>
        <v>OK</v>
      </c>
      <c r="M2197" t="str">
        <f t="shared" si="103"/>
        <v>OK</v>
      </c>
      <c r="N2197" t="str">
        <f t="shared" si="104"/>
        <v>OK</v>
      </c>
    </row>
    <row r="2198" spans="1:14" x14ac:dyDescent="0.3">
      <c r="A2198">
        <v>93</v>
      </c>
      <c r="B2198">
        <v>2025</v>
      </c>
      <c r="C2198" s="2">
        <v>45716</v>
      </c>
      <c r="E2198" t="s">
        <v>19</v>
      </c>
      <c r="F2198" t="s">
        <v>13</v>
      </c>
      <c r="H2198" t="s">
        <v>518</v>
      </c>
      <c r="I2198" t="s">
        <v>671</v>
      </c>
      <c r="J2198" t="s">
        <v>684</v>
      </c>
      <c r="K2198" t="s">
        <v>579</v>
      </c>
      <c r="L2198" t="str">
        <f t="shared" si="102"/>
        <v>ERRO</v>
      </c>
      <c r="M2198" t="str">
        <f t="shared" si="103"/>
        <v>OK</v>
      </c>
      <c r="N2198" t="str">
        <f t="shared" si="104"/>
        <v>ERRO</v>
      </c>
    </row>
    <row r="2199" spans="1:14" x14ac:dyDescent="0.3">
      <c r="A2199">
        <v>93</v>
      </c>
      <c r="B2199">
        <v>2025</v>
      </c>
      <c r="C2199" s="2">
        <v>45716</v>
      </c>
      <c r="E2199" t="s">
        <v>20</v>
      </c>
      <c r="F2199" t="s">
        <v>13</v>
      </c>
      <c r="H2199" t="s">
        <v>467</v>
      </c>
      <c r="I2199" t="s">
        <v>673</v>
      </c>
      <c r="J2199" t="s">
        <v>685</v>
      </c>
      <c r="K2199" t="s">
        <v>521</v>
      </c>
      <c r="L2199" t="str">
        <f t="shared" si="102"/>
        <v>ERRO</v>
      </c>
      <c r="M2199" t="str">
        <f t="shared" si="103"/>
        <v>OK</v>
      </c>
      <c r="N2199" t="str">
        <f t="shared" si="104"/>
        <v>ERRO</v>
      </c>
    </row>
    <row r="2200" spans="1:14" x14ac:dyDescent="0.3">
      <c r="A2200">
        <v>93</v>
      </c>
      <c r="B2200">
        <v>2025</v>
      </c>
      <c r="C2200" s="2">
        <v>45716</v>
      </c>
      <c r="E2200" t="s">
        <v>21</v>
      </c>
      <c r="F2200" t="s">
        <v>13</v>
      </c>
      <c r="H2200" t="s">
        <v>468</v>
      </c>
      <c r="I2200" t="s">
        <v>536</v>
      </c>
      <c r="J2200" t="s">
        <v>686</v>
      </c>
      <c r="K2200" t="s">
        <v>687</v>
      </c>
      <c r="L2200" t="str">
        <f t="shared" si="102"/>
        <v>OK</v>
      </c>
      <c r="M2200" t="str">
        <f t="shared" si="103"/>
        <v>OK</v>
      </c>
      <c r="N2200" t="str">
        <f t="shared" si="104"/>
        <v>OK</v>
      </c>
    </row>
    <row r="2201" spans="1:14" x14ac:dyDescent="0.3">
      <c r="A2201">
        <v>93</v>
      </c>
      <c r="B2201">
        <v>2025</v>
      </c>
      <c r="C2201" s="2">
        <v>45716</v>
      </c>
      <c r="E2201" t="s">
        <v>73</v>
      </c>
      <c r="F2201" t="s">
        <v>13</v>
      </c>
      <c r="H2201" t="s">
        <v>553</v>
      </c>
      <c r="I2201" t="s">
        <v>507</v>
      </c>
      <c r="J2201" t="s">
        <v>688</v>
      </c>
      <c r="K2201" t="s">
        <v>671</v>
      </c>
      <c r="L2201" t="str">
        <f t="shared" si="102"/>
        <v>OK</v>
      </c>
      <c r="M2201" t="str">
        <f t="shared" si="103"/>
        <v>OK</v>
      </c>
      <c r="N2201" t="str">
        <f t="shared" si="104"/>
        <v>OK</v>
      </c>
    </row>
    <row r="2202" spans="1:14" x14ac:dyDescent="0.3">
      <c r="A2202">
        <v>93</v>
      </c>
      <c r="B2202">
        <v>2025</v>
      </c>
      <c r="C2202" s="2">
        <v>45716</v>
      </c>
      <c r="E2202" t="s">
        <v>23</v>
      </c>
      <c r="F2202" t="s">
        <v>13</v>
      </c>
      <c r="G2202" t="s">
        <v>468</v>
      </c>
      <c r="H2202" t="s">
        <v>468</v>
      </c>
      <c r="I2202" t="s">
        <v>468</v>
      </c>
      <c r="J2202" t="s">
        <v>468</v>
      </c>
      <c r="K2202" t="s">
        <v>468</v>
      </c>
      <c r="L2202" t="str">
        <f t="shared" si="102"/>
        <v>OK</v>
      </c>
      <c r="M2202" t="str">
        <f t="shared" si="103"/>
        <v>OK</v>
      </c>
      <c r="N2202" t="str">
        <f t="shared" si="104"/>
        <v>OK</v>
      </c>
    </row>
    <row r="2203" spans="1:14" x14ac:dyDescent="0.3">
      <c r="A2203">
        <v>93</v>
      </c>
      <c r="B2203">
        <v>2025</v>
      </c>
      <c r="C2203" s="2">
        <v>45716</v>
      </c>
      <c r="E2203" t="s">
        <v>24</v>
      </c>
      <c r="F2203" t="s">
        <v>13</v>
      </c>
      <c r="G2203" t="s">
        <v>476</v>
      </c>
      <c r="H2203" t="s">
        <v>464</v>
      </c>
      <c r="I2203" t="s">
        <v>476</v>
      </c>
      <c r="J2203" t="s">
        <v>634</v>
      </c>
      <c r="K2203" t="s">
        <v>476</v>
      </c>
      <c r="L2203" t="str">
        <f t="shared" si="102"/>
        <v>OK</v>
      </c>
      <c r="M2203" t="str">
        <f t="shared" si="103"/>
        <v>OK</v>
      </c>
      <c r="N2203" t="str">
        <f t="shared" si="104"/>
        <v>OK</v>
      </c>
    </row>
    <row r="2204" spans="1:14" x14ac:dyDescent="0.3">
      <c r="A2204">
        <v>93</v>
      </c>
      <c r="B2204">
        <v>2025</v>
      </c>
      <c r="C2204" s="2">
        <v>45716</v>
      </c>
      <c r="E2204" t="s">
        <v>25</v>
      </c>
      <c r="F2204" t="s">
        <v>26</v>
      </c>
      <c r="G2204" t="s">
        <v>464</v>
      </c>
      <c r="H2204" t="s">
        <v>464</v>
      </c>
      <c r="I2204" t="s">
        <v>464</v>
      </c>
      <c r="J2204" t="s">
        <v>464</v>
      </c>
      <c r="K2204" t="s">
        <v>464</v>
      </c>
      <c r="L2204" t="str">
        <f t="shared" si="102"/>
        <v>OK</v>
      </c>
      <c r="M2204" t="str">
        <f t="shared" si="103"/>
        <v>OK</v>
      </c>
      <c r="N2204" t="str">
        <f t="shared" si="104"/>
        <v>OK</v>
      </c>
    </row>
    <row r="2205" spans="1:14" x14ac:dyDescent="0.3">
      <c r="A2205">
        <v>93</v>
      </c>
      <c r="B2205">
        <v>2025</v>
      </c>
      <c r="C2205" s="2">
        <v>45716</v>
      </c>
      <c r="E2205" t="s">
        <v>27</v>
      </c>
      <c r="F2205" t="s">
        <v>13</v>
      </c>
      <c r="G2205" t="s">
        <v>467</v>
      </c>
      <c r="H2205" t="s">
        <v>467</v>
      </c>
      <c r="I2205" t="s">
        <v>689</v>
      </c>
      <c r="J2205" t="s">
        <v>690</v>
      </c>
      <c r="K2205" t="s">
        <v>467</v>
      </c>
      <c r="L2205" t="str">
        <f t="shared" si="102"/>
        <v>OK</v>
      </c>
      <c r="M2205" t="str">
        <f t="shared" si="103"/>
        <v>OK</v>
      </c>
      <c r="N2205" t="str">
        <f t="shared" si="104"/>
        <v>OK</v>
      </c>
    </row>
    <row r="2206" spans="1:14" x14ac:dyDescent="0.3">
      <c r="A2206">
        <v>93</v>
      </c>
      <c r="B2206">
        <v>2025</v>
      </c>
      <c r="C2206" s="2">
        <v>45716</v>
      </c>
      <c r="E2206" t="s">
        <v>28</v>
      </c>
      <c r="F2206" t="s">
        <v>13</v>
      </c>
      <c r="G2206" t="s">
        <v>511</v>
      </c>
      <c r="H2206" t="s">
        <v>464</v>
      </c>
      <c r="I2206" t="s">
        <v>511</v>
      </c>
      <c r="J2206" t="s">
        <v>492</v>
      </c>
      <c r="K2206" t="s">
        <v>511</v>
      </c>
      <c r="L2206" t="str">
        <f t="shared" si="102"/>
        <v>OK</v>
      </c>
      <c r="M2206" t="str">
        <f t="shared" si="103"/>
        <v>OK</v>
      </c>
      <c r="N2206" t="str">
        <f t="shared" si="104"/>
        <v>OK</v>
      </c>
    </row>
    <row r="2207" spans="1:14" x14ac:dyDescent="0.3">
      <c r="A2207">
        <v>93</v>
      </c>
      <c r="B2207">
        <v>2025</v>
      </c>
      <c r="C2207" s="2">
        <v>45716</v>
      </c>
      <c r="E2207" t="s">
        <v>29</v>
      </c>
      <c r="F2207" t="s">
        <v>13</v>
      </c>
      <c r="G2207" t="s">
        <v>464</v>
      </c>
      <c r="H2207" t="s">
        <v>464</v>
      </c>
      <c r="I2207" t="s">
        <v>527</v>
      </c>
      <c r="J2207" t="s">
        <v>691</v>
      </c>
      <c r="K2207" t="s">
        <v>464</v>
      </c>
      <c r="L2207" t="str">
        <f t="shared" si="102"/>
        <v>OK</v>
      </c>
      <c r="M2207" t="str">
        <f t="shared" si="103"/>
        <v>OK</v>
      </c>
      <c r="N2207" t="str">
        <f t="shared" si="104"/>
        <v>OK</v>
      </c>
    </row>
    <row r="2208" spans="1:14" x14ac:dyDescent="0.3">
      <c r="A2208">
        <v>93</v>
      </c>
      <c r="B2208">
        <v>2025</v>
      </c>
      <c r="C2208" s="2">
        <v>45716</v>
      </c>
      <c r="E2208" t="s">
        <v>31</v>
      </c>
      <c r="F2208" t="s">
        <v>32</v>
      </c>
      <c r="G2208" t="s">
        <v>484</v>
      </c>
      <c r="H2208" t="s">
        <v>484</v>
      </c>
      <c r="I2208" t="s">
        <v>484</v>
      </c>
      <c r="J2208" t="s">
        <v>484</v>
      </c>
      <c r="K2208" t="s">
        <v>484</v>
      </c>
      <c r="L2208" t="str">
        <f t="shared" si="102"/>
        <v>OK</v>
      </c>
      <c r="M2208" t="str">
        <f t="shared" si="103"/>
        <v>OK</v>
      </c>
      <c r="N2208" t="str">
        <f t="shared" si="104"/>
        <v>OK</v>
      </c>
    </row>
    <row r="2209" spans="1:14" x14ac:dyDescent="0.3">
      <c r="A2209">
        <v>93</v>
      </c>
      <c r="B2209">
        <v>2025</v>
      </c>
      <c r="C2209" s="2">
        <v>45716</v>
      </c>
      <c r="E2209" t="s">
        <v>34</v>
      </c>
      <c r="F2209" t="s">
        <v>35</v>
      </c>
      <c r="G2209" t="s">
        <v>494</v>
      </c>
      <c r="H2209" t="s">
        <v>494</v>
      </c>
      <c r="I2209" t="s">
        <v>503</v>
      </c>
      <c r="J2209" t="s">
        <v>692</v>
      </c>
      <c r="K2209" t="s">
        <v>494</v>
      </c>
      <c r="L2209" t="str">
        <f t="shared" si="102"/>
        <v>OK</v>
      </c>
      <c r="M2209" t="str">
        <f t="shared" si="103"/>
        <v>OK</v>
      </c>
      <c r="N2209" t="str">
        <f t="shared" si="104"/>
        <v>OK</v>
      </c>
    </row>
    <row r="2210" spans="1:14" x14ac:dyDescent="0.3">
      <c r="A2210">
        <v>93</v>
      </c>
      <c r="B2210">
        <v>2025</v>
      </c>
      <c r="C2210" s="2">
        <v>45716</v>
      </c>
      <c r="E2210" t="s">
        <v>36</v>
      </c>
      <c r="F2210" t="s">
        <v>35</v>
      </c>
      <c r="G2210" t="s">
        <v>496</v>
      </c>
      <c r="H2210" t="s">
        <v>468</v>
      </c>
      <c r="I2210" t="s">
        <v>496</v>
      </c>
      <c r="J2210" t="s">
        <v>503</v>
      </c>
      <c r="K2210" t="s">
        <v>496</v>
      </c>
      <c r="L2210" t="str">
        <f t="shared" si="102"/>
        <v>OK</v>
      </c>
      <c r="M2210" t="str">
        <f t="shared" si="103"/>
        <v>OK</v>
      </c>
      <c r="N2210" t="str">
        <f t="shared" si="104"/>
        <v>OK</v>
      </c>
    </row>
    <row r="2211" spans="1:14" x14ac:dyDescent="0.3">
      <c r="A2211">
        <v>93</v>
      </c>
      <c r="B2211">
        <v>2025</v>
      </c>
      <c r="C2211" s="2">
        <v>45716</v>
      </c>
      <c r="E2211" t="s">
        <v>153</v>
      </c>
      <c r="F2211" t="s">
        <v>154</v>
      </c>
      <c r="H2211" t="s">
        <v>502</v>
      </c>
      <c r="I2211" t="s">
        <v>500</v>
      </c>
      <c r="J2211" t="s">
        <v>464</v>
      </c>
      <c r="K2211" t="s">
        <v>464</v>
      </c>
      <c r="L2211" t="str">
        <f t="shared" si="102"/>
        <v>OK</v>
      </c>
      <c r="M2211" t="str">
        <f t="shared" si="103"/>
        <v>OK</v>
      </c>
      <c r="N2211" t="str">
        <f t="shared" si="104"/>
        <v>OK</v>
      </c>
    </row>
    <row r="2212" spans="1:14" x14ac:dyDescent="0.3">
      <c r="A2212">
        <v>93</v>
      </c>
      <c r="B2212">
        <v>2025</v>
      </c>
      <c r="C2212" s="2">
        <v>45716</v>
      </c>
      <c r="E2212" t="s">
        <v>39</v>
      </c>
      <c r="F2212" t="s">
        <v>40</v>
      </c>
      <c r="G2212" t="s">
        <v>476</v>
      </c>
      <c r="H2212" t="s">
        <v>503</v>
      </c>
      <c r="I2212" t="s">
        <v>476</v>
      </c>
      <c r="J2212" t="s">
        <v>527</v>
      </c>
      <c r="K2212" t="s">
        <v>476</v>
      </c>
      <c r="L2212" t="str">
        <f t="shared" si="102"/>
        <v>OK</v>
      </c>
      <c r="M2212" t="str">
        <f t="shared" si="103"/>
        <v>OK</v>
      </c>
      <c r="N2212" t="str">
        <f t="shared" si="104"/>
        <v>OK</v>
      </c>
    </row>
    <row r="2213" spans="1:14" x14ac:dyDescent="0.3">
      <c r="A2213">
        <v>93</v>
      </c>
      <c r="B2213">
        <v>2025</v>
      </c>
      <c r="C2213" s="2">
        <v>45716</v>
      </c>
      <c r="E2213" t="s">
        <v>42</v>
      </c>
      <c r="F2213" t="s">
        <v>43</v>
      </c>
      <c r="G2213" t="s">
        <v>464</v>
      </c>
      <c r="H2213" t="s">
        <v>496</v>
      </c>
      <c r="I2213" t="s">
        <v>476</v>
      </c>
      <c r="J2213" t="s">
        <v>554</v>
      </c>
      <c r="K2213" t="s">
        <v>464</v>
      </c>
      <c r="L2213" t="str">
        <f t="shared" si="102"/>
        <v>OK</v>
      </c>
      <c r="M2213" t="str">
        <f t="shared" si="103"/>
        <v>OK</v>
      </c>
      <c r="N2213" t="str">
        <f t="shared" si="104"/>
        <v>OK</v>
      </c>
    </row>
    <row r="2214" spans="1:14" x14ac:dyDescent="0.3">
      <c r="A2214">
        <v>93</v>
      </c>
      <c r="B2214">
        <v>2025</v>
      </c>
      <c r="C2214" s="2">
        <v>45716</v>
      </c>
      <c r="E2214" t="s">
        <v>44</v>
      </c>
      <c r="F2214" t="s">
        <v>45</v>
      </c>
      <c r="H2214" t="s">
        <v>496</v>
      </c>
      <c r="I2214" t="s">
        <v>476</v>
      </c>
      <c r="J2214" t="s">
        <v>539</v>
      </c>
      <c r="K2214" t="s">
        <v>502</v>
      </c>
      <c r="L2214" t="str">
        <f t="shared" si="102"/>
        <v>OK</v>
      </c>
      <c r="M2214" t="str">
        <f t="shared" si="103"/>
        <v>OK</v>
      </c>
      <c r="N2214" t="str">
        <f t="shared" si="104"/>
        <v>OK</v>
      </c>
    </row>
    <row r="2215" spans="1:14" x14ac:dyDescent="0.3">
      <c r="A2215">
        <v>93</v>
      </c>
      <c r="B2215">
        <v>2025</v>
      </c>
      <c r="C2215" s="2">
        <v>45716</v>
      </c>
      <c r="E2215" t="s">
        <v>48</v>
      </c>
      <c r="F2215" t="s">
        <v>45</v>
      </c>
      <c r="H2215" t="s">
        <v>492</v>
      </c>
      <c r="I2215" t="s">
        <v>511</v>
      </c>
      <c r="J2215" t="s">
        <v>591</v>
      </c>
      <c r="K2215" t="s">
        <v>591</v>
      </c>
      <c r="L2215" t="str">
        <f t="shared" si="102"/>
        <v>OK</v>
      </c>
      <c r="M2215" t="str">
        <f t="shared" si="103"/>
        <v>OK</v>
      </c>
      <c r="N2215" t="str">
        <f t="shared" si="104"/>
        <v>OK</v>
      </c>
    </row>
    <row r="2216" spans="1:14" x14ac:dyDescent="0.3">
      <c r="A2216">
        <v>93</v>
      </c>
      <c r="B2216">
        <v>2025</v>
      </c>
      <c r="C2216" s="2">
        <v>45716</v>
      </c>
      <c r="E2216" t="s">
        <v>49</v>
      </c>
      <c r="F2216" t="s">
        <v>50</v>
      </c>
      <c r="G2216" t="s">
        <v>464</v>
      </c>
      <c r="H2216" t="s">
        <v>502</v>
      </c>
      <c r="I2216" t="s">
        <v>500</v>
      </c>
      <c r="J2216" t="s">
        <v>464</v>
      </c>
      <c r="K2216" t="s">
        <v>464</v>
      </c>
      <c r="L2216" t="str">
        <f t="shared" si="102"/>
        <v>OK</v>
      </c>
      <c r="M2216" t="str">
        <f t="shared" si="103"/>
        <v>OK</v>
      </c>
      <c r="N2216" t="str">
        <f t="shared" si="104"/>
        <v>OK</v>
      </c>
    </row>
    <row r="2217" spans="1:14" x14ac:dyDescent="0.3">
      <c r="A2217">
        <v>93</v>
      </c>
      <c r="B2217">
        <v>2025</v>
      </c>
      <c r="C2217" s="2">
        <v>45716</v>
      </c>
      <c r="E2217" t="s">
        <v>52</v>
      </c>
      <c r="F2217" t="s">
        <v>43</v>
      </c>
      <c r="H2217" t="s">
        <v>464</v>
      </c>
      <c r="I2217" t="s">
        <v>509</v>
      </c>
      <c r="J2217" t="s">
        <v>591</v>
      </c>
      <c r="K2217" t="s">
        <v>511</v>
      </c>
      <c r="L2217" t="str">
        <f t="shared" si="102"/>
        <v>ERRO</v>
      </c>
      <c r="M2217" t="str">
        <f t="shared" si="103"/>
        <v>OK</v>
      </c>
      <c r="N2217" t="str">
        <f t="shared" si="104"/>
        <v>ERRO</v>
      </c>
    </row>
    <row r="2218" spans="1:14" x14ac:dyDescent="0.3">
      <c r="A2218">
        <v>93</v>
      </c>
      <c r="B2218">
        <v>2025</v>
      </c>
      <c r="C2218" s="2">
        <v>45716</v>
      </c>
      <c r="E2218" t="s">
        <v>53</v>
      </c>
      <c r="F2218" t="s">
        <v>43</v>
      </c>
      <c r="H2218" t="s">
        <v>499</v>
      </c>
      <c r="I2218" t="s">
        <v>492</v>
      </c>
      <c r="J2218" t="s">
        <v>693</v>
      </c>
      <c r="K2218" t="s">
        <v>497</v>
      </c>
      <c r="L2218" t="str">
        <f t="shared" si="102"/>
        <v>OK</v>
      </c>
      <c r="M2218" t="str">
        <f t="shared" si="103"/>
        <v>OK</v>
      </c>
      <c r="N2218" t="str">
        <f t="shared" si="104"/>
        <v>OK</v>
      </c>
    </row>
    <row r="2219" spans="1:14" x14ac:dyDescent="0.3">
      <c r="A2219">
        <v>93</v>
      </c>
      <c r="B2219">
        <v>2025</v>
      </c>
      <c r="C2219" s="2">
        <v>45716</v>
      </c>
      <c r="E2219" t="s">
        <v>54</v>
      </c>
      <c r="F2219" t="s">
        <v>40</v>
      </c>
      <c r="G2219" t="s">
        <v>511</v>
      </c>
      <c r="H2219" t="s">
        <v>476</v>
      </c>
      <c r="I2219" t="s">
        <v>511</v>
      </c>
      <c r="J2219" t="s">
        <v>604</v>
      </c>
      <c r="K2219" t="s">
        <v>591</v>
      </c>
      <c r="L2219" t="str">
        <f t="shared" si="102"/>
        <v>OK</v>
      </c>
      <c r="M2219" t="str">
        <f t="shared" si="103"/>
        <v>OK</v>
      </c>
      <c r="N2219" t="str">
        <f t="shared" si="104"/>
        <v>OK</v>
      </c>
    </row>
    <row r="2220" spans="1:14" x14ac:dyDescent="0.3">
      <c r="A2220">
        <v>93</v>
      </c>
      <c r="B2220">
        <v>2025</v>
      </c>
      <c r="C2220" s="2">
        <v>45716</v>
      </c>
      <c r="E2220" t="s">
        <v>56</v>
      </c>
      <c r="F2220" t="s">
        <v>43</v>
      </c>
      <c r="H2220" t="s">
        <v>476</v>
      </c>
      <c r="I2220" t="s">
        <v>491</v>
      </c>
      <c r="J2220" t="s">
        <v>633</v>
      </c>
      <c r="K2220" t="s">
        <v>633</v>
      </c>
      <c r="L2220" t="str">
        <f t="shared" si="102"/>
        <v>OK</v>
      </c>
      <c r="M2220" t="str">
        <f t="shared" si="103"/>
        <v>OK</v>
      </c>
      <c r="N2220" t="str">
        <f t="shared" si="104"/>
        <v>OK</v>
      </c>
    </row>
    <row r="2221" spans="1:14" x14ac:dyDescent="0.3">
      <c r="A2221">
        <v>93</v>
      </c>
      <c r="B2221">
        <v>2025</v>
      </c>
      <c r="C2221" s="2">
        <v>45716</v>
      </c>
      <c r="E2221" t="s">
        <v>57</v>
      </c>
      <c r="F2221" t="s">
        <v>40</v>
      </c>
      <c r="H2221" t="s">
        <v>476</v>
      </c>
      <c r="I2221" t="s">
        <v>492</v>
      </c>
      <c r="J2221" t="s">
        <v>491</v>
      </c>
      <c r="K2221" t="s">
        <v>491</v>
      </c>
      <c r="L2221" t="str">
        <f t="shared" si="102"/>
        <v>OK</v>
      </c>
      <c r="M2221" t="str">
        <f t="shared" si="103"/>
        <v>OK</v>
      </c>
      <c r="N2221" t="str">
        <f t="shared" si="104"/>
        <v>OK</v>
      </c>
    </row>
    <row r="2222" spans="1:14" x14ac:dyDescent="0.3">
      <c r="A2222">
        <v>93</v>
      </c>
      <c r="B2222">
        <v>2025</v>
      </c>
      <c r="C2222" s="2">
        <v>45716</v>
      </c>
      <c r="E2222" t="s">
        <v>58</v>
      </c>
      <c r="F2222" t="s">
        <v>40</v>
      </c>
      <c r="G2222" t="s">
        <v>521</v>
      </c>
      <c r="H2222" t="s">
        <v>492</v>
      </c>
      <c r="I2222" t="s">
        <v>507</v>
      </c>
      <c r="J2222" t="s">
        <v>672</v>
      </c>
      <c r="K2222" t="s">
        <v>521</v>
      </c>
      <c r="L2222" t="str">
        <f t="shared" si="102"/>
        <v>ERRO</v>
      </c>
      <c r="M2222" t="str">
        <f t="shared" si="103"/>
        <v>OK</v>
      </c>
      <c r="N2222" t="str">
        <f t="shared" si="104"/>
        <v>ERRO</v>
      </c>
    </row>
    <row r="2223" spans="1:14" x14ac:dyDescent="0.3">
      <c r="A2223">
        <v>93</v>
      </c>
      <c r="B2223">
        <v>2025</v>
      </c>
      <c r="C2223" s="2">
        <v>45716</v>
      </c>
      <c r="E2223" t="s">
        <v>59</v>
      </c>
      <c r="F2223" t="s">
        <v>45</v>
      </c>
      <c r="G2223" t="s">
        <v>468</v>
      </c>
      <c r="H2223" t="s">
        <v>468</v>
      </c>
      <c r="I2223" t="s">
        <v>476</v>
      </c>
      <c r="J2223" t="s">
        <v>496</v>
      </c>
      <c r="K2223" t="s">
        <v>503</v>
      </c>
      <c r="L2223" t="str">
        <f t="shared" si="102"/>
        <v>OK</v>
      </c>
      <c r="M2223" t="str">
        <f t="shared" si="103"/>
        <v>OK</v>
      </c>
      <c r="N2223" t="str">
        <f t="shared" si="104"/>
        <v>OK</v>
      </c>
    </row>
    <row r="2224" spans="1:14" x14ac:dyDescent="0.3">
      <c r="A2224">
        <v>93</v>
      </c>
      <c r="B2224">
        <v>2025</v>
      </c>
      <c r="C2224" s="2">
        <v>45716</v>
      </c>
      <c r="E2224" t="s">
        <v>60</v>
      </c>
      <c r="F2224" t="s">
        <v>61</v>
      </c>
      <c r="G2224" t="s">
        <v>464</v>
      </c>
      <c r="H2224" t="s">
        <v>464</v>
      </c>
      <c r="I2224" t="s">
        <v>521</v>
      </c>
      <c r="J2224" t="s">
        <v>476</v>
      </c>
      <c r="K2224" t="s">
        <v>464</v>
      </c>
      <c r="L2224" t="str">
        <f t="shared" si="102"/>
        <v>ERRO</v>
      </c>
      <c r="M2224" t="str">
        <f t="shared" si="103"/>
        <v>OK</v>
      </c>
      <c r="N2224" t="str">
        <f t="shared" si="104"/>
        <v>ERRO</v>
      </c>
    </row>
    <row r="2225" spans="1:14" x14ac:dyDescent="0.3">
      <c r="A2225">
        <v>93</v>
      </c>
      <c r="B2225">
        <v>2025</v>
      </c>
      <c r="C2225" s="2">
        <v>45716</v>
      </c>
      <c r="E2225" t="s">
        <v>63</v>
      </c>
      <c r="F2225" t="s">
        <v>40</v>
      </c>
      <c r="H2225" t="s">
        <v>500</v>
      </c>
      <c r="I2225" t="s">
        <v>507</v>
      </c>
      <c r="J2225" t="s">
        <v>694</v>
      </c>
      <c r="K2225" t="s">
        <v>511</v>
      </c>
      <c r="L2225" t="str">
        <f t="shared" si="102"/>
        <v>ERRO</v>
      </c>
      <c r="M2225" t="str">
        <f t="shared" si="103"/>
        <v>OK</v>
      </c>
      <c r="N2225" t="str">
        <f t="shared" si="104"/>
        <v>ERRO</v>
      </c>
    </row>
    <row r="2226" spans="1:14" x14ac:dyDescent="0.3">
      <c r="A2226">
        <v>93</v>
      </c>
      <c r="B2226">
        <v>2025</v>
      </c>
      <c r="C2226" s="2">
        <v>45716</v>
      </c>
      <c r="E2226" t="s">
        <v>64</v>
      </c>
      <c r="F2226" t="s">
        <v>40</v>
      </c>
      <c r="G2226" t="s">
        <v>514</v>
      </c>
      <c r="H2226" t="s">
        <v>511</v>
      </c>
      <c r="I2226" t="s">
        <v>514</v>
      </c>
      <c r="J2226" t="s">
        <v>695</v>
      </c>
      <c r="K2226" t="s">
        <v>696</v>
      </c>
      <c r="L2226" t="str">
        <f t="shared" si="102"/>
        <v>ERRO</v>
      </c>
      <c r="M2226" t="str">
        <f t="shared" si="103"/>
        <v>ERRO</v>
      </c>
      <c r="N2226" t="str">
        <f t="shared" si="104"/>
        <v>OK</v>
      </c>
    </row>
    <row r="2227" spans="1:14" x14ac:dyDescent="0.3">
      <c r="A2227">
        <v>93</v>
      </c>
      <c r="B2227">
        <v>2025</v>
      </c>
      <c r="C2227" s="2">
        <v>45716</v>
      </c>
      <c r="E2227" s="11" t="s">
        <v>66</v>
      </c>
      <c r="F2227" s="12" t="s">
        <v>45</v>
      </c>
      <c r="L2227" t="str">
        <f t="shared" si="102"/>
        <v>OK</v>
      </c>
      <c r="M2227" t="str">
        <f t="shared" si="103"/>
        <v>OK</v>
      </c>
      <c r="N2227" t="str">
        <f t="shared" si="104"/>
        <v>OK</v>
      </c>
    </row>
    <row r="2228" spans="1:14" x14ac:dyDescent="0.3">
      <c r="A2228">
        <v>93</v>
      </c>
      <c r="B2228">
        <v>2025</v>
      </c>
      <c r="C2228" s="2">
        <v>45716</v>
      </c>
      <c r="E2228" s="11" t="s">
        <v>67</v>
      </c>
      <c r="F2228" s="12" t="s">
        <v>45</v>
      </c>
      <c r="L2228" t="str">
        <f t="shared" si="102"/>
        <v>OK</v>
      </c>
      <c r="M2228" t="str">
        <f t="shared" si="103"/>
        <v>OK</v>
      </c>
      <c r="N2228" t="str">
        <f t="shared" si="104"/>
        <v>OK</v>
      </c>
    </row>
    <row r="2229" spans="1:14" x14ac:dyDescent="0.3">
      <c r="A2229">
        <v>93</v>
      </c>
      <c r="B2229">
        <v>2025</v>
      </c>
      <c r="C2229" s="2">
        <v>45716</v>
      </c>
      <c r="E2229" s="11" t="s">
        <v>68</v>
      </c>
      <c r="F2229" s="12" t="s">
        <v>45</v>
      </c>
      <c r="L2229" t="str">
        <f t="shared" si="102"/>
        <v>OK</v>
      </c>
      <c r="M2229" t="str">
        <f t="shared" si="103"/>
        <v>OK</v>
      </c>
      <c r="N2229" t="str">
        <f t="shared" si="104"/>
        <v>OK</v>
      </c>
    </row>
    <row r="2230" spans="1:14" x14ac:dyDescent="0.3">
      <c r="A2230">
        <v>93</v>
      </c>
      <c r="B2230">
        <v>2025</v>
      </c>
      <c r="C2230" s="2">
        <v>45716</v>
      </c>
      <c r="E2230" s="11" t="s">
        <v>69</v>
      </c>
      <c r="F2230" s="12" t="s">
        <v>45</v>
      </c>
      <c r="L2230" t="str">
        <f t="shared" si="102"/>
        <v>OK</v>
      </c>
      <c r="M2230" t="str">
        <f t="shared" si="103"/>
        <v>OK</v>
      </c>
      <c r="N2230" t="str">
        <f t="shared" si="104"/>
        <v>OK</v>
      </c>
    </row>
    <row r="2231" spans="1:14" x14ac:dyDescent="0.3">
      <c r="A2231">
        <v>93</v>
      </c>
      <c r="B2231">
        <v>2025</v>
      </c>
      <c r="C2231" s="2">
        <v>45716</v>
      </c>
      <c r="E2231" s="11" t="s">
        <v>70</v>
      </c>
      <c r="F2231" s="12" t="s">
        <v>71</v>
      </c>
      <c r="L2231" t="str">
        <f t="shared" si="102"/>
        <v>OK</v>
      </c>
      <c r="M2231" t="str">
        <f t="shared" si="103"/>
        <v>OK</v>
      </c>
      <c r="N2231" t="str">
        <f t="shared" si="104"/>
        <v>OK</v>
      </c>
    </row>
    <row r="2232" spans="1:14" x14ac:dyDescent="0.3">
      <c r="A2232">
        <v>94</v>
      </c>
      <c r="B2232">
        <v>2025</v>
      </c>
      <c r="C2232" s="2">
        <v>45723</v>
      </c>
      <c r="E2232" t="s">
        <v>12</v>
      </c>
      <c r="F2232" t="s">
        <v>13</v>
      </c>
      <c r="G2232" t="s">
        <v>464</v>
      </c>
      <c r="H2232" t="s">
        <v>463</v>
      </c>
      <c r="I2232" t="s">
        <v>464</v>
      </c>
      <c r="J2232" t="s">
        <v>539</v>
      </c>
      <c r="K2232" t="s">
        <v>464</v>
      </c>
      <c r="L2232" t="str">
        <f t="shared" si="102"/>
        <v>OK</v>
      </c>
      <c r="M2232" t="str">
        <f t="shared" si="103"/>
        <v>OK</v>
      </c>
      <c r="N2232" t="str">
        <f t="shared" si="104"/>
        <v>OK</v>
      </c>
    </row>
    <row r="2233" spans="1:14" x14ac:dyDescent="0.3">
      <c r="A2233">
        <v>94</v>
      </c>
      <c r="B2233">
        <v>2025</v>
      </c>
      <c r="C2233" s="2">
        <v>45723</v>
      </c>
      <c r="E2233" t="s">
        <v>14</v>
      </c>
      <c r="F2233" t="s">
        <v>13</v>
      </c>
      <c r="H2233" t="s">
        <v>467</v>
      </c>
      <c r="I2233" t="s">
        <v>579</v>
      </c>
      <c r="J2233" t="s">
        <v>511</v>
      </c>
      <c r="K2233" t="s">
        <v>511</v>
      </c>
      <c r="L2233" t="str">
        <f t="shared" si="102"/>
        <v>OK</v>
      </c>
      <c r="M2233" t="str">
        <f t="shared" si="103"/>
        <v>OK</v>
      </c>
      <c r="N2233" t="str">
        <f t="shared" si="104"/>
        <v>OK</v>
      </c>
    </row>
    <row r="2234" spans="1:14" x14ac:dyDescent="0.3">
      <c r="A2234">
        <v>94</v>
      </c>
      <c r="B2234">
        <v>2025</v>
      </c>
      <c r="C2234" s="2">
        <v>45723</v>
      </c>
      <c r="E2234" t="s">
        <v>15</v>
      </c>
      <c r="F2234" t="s">
        <v>13</v>
      </c>
      <c r="G2234" t="s">
        <v>463</v>
      </c>
      <c r="H2234" t="s">
        <v>463</v>
      </c>
      <c r="I2234" t="s">
        <v>463</v>
      </c>
      <c r="J2234" t="s">
        <v>463</v>
      </c>
      <c r="K2234" t="s">
        <v>463</v>
      </c>
      <c r="L2234" t="str">
        <f t="shared" si="102"/>
        <v>OK</v>
      </c>
      <c r="M2234" t="str">
        <f t="shared" si="103"/>
        <v>OK</v>
      </c>
      <c r="N2234" t="str">
        <f t="shared" si="104"/>
        <v>OK</v>
      </c>
    </row>
    <row r="2235" spans="1:14" x14ac:dyDescent="0.3">
      <c r="A2235">
        <v>94</v>
      </c>
      <c r="B2235">
        <v>2025</v>
      </c>
      <c r="C2235" s="2">
        <v>45723</v>
      </c>
      <c r="E2235" t="s">
        <v>16</v>
      </c>
      <c r="F2235" t="s">
        <v>13</v>
      </c>
      <c r="G2235" t="s">
        <v>468</v>
      </c>
      <c r="H2235" t="s">
        <v>468</v>
      </c>
      <c r="I2235" t="s">
        <v>468</v>
      </c>
      <c r="J2235" t="s">
        <v>468</v>
      </c>
      <c r="K2235" t="s">
        <v>468</v>
      </c>
      <c r="L2235" t="str">
        <f t="shared" si="102"/>
        <v>OK</v>
      </c>
      <c r="M2235" t="str">
        <f t="shared" si="103"/>
        <v>OK</v>
      </c>
      <c r="N2235" t="str">
        <f t="shared" si="104"/>
        <v>OK</v>
      </c>
    </row>
    <row r="2236" spans="1:14" x14ac:dyDescent="0.3">
      <c r="A2236">
        <v>94</v>
      </c>
      <c r="B2236">
        <v>2025</v>
      </c>
      <c r="C2236" s="2">
        <v>45723</v>
      </c>
      <c r="E2236" t="s">
        <v>17</v>
      </c>
      <c r="F2236" t="s">
        <v>13</v>
      </c>
      <c r="G2236" t="s">
        <v>468</v>
      </c>
      <c r="H2236" t="s">
        <v>468</v>
      </c>
      <c r="I2236" t="s">
        <v>468</v>
      </c>
      <c r="J2236" t="s">
        <v>468</v>
      </c>
      <c r="K2236" t="s">
        <v>468</v>
      </c>
      <c r="L2236" t="str">
        <f t="shared" si="102"/>
        <v>OK</v>
      </c>
      <c r="M2236" t="str">
        <f t="shared" si="103"/>
        <v>OK</v>
      </c>
      <c r="N2236" t="str">
        <f t="shared" si="104"/>
        <v>OK</v>
      </c>
    </row>
    <row r="2237" spans="1:14" x14ac:dyDescent="0.3">
      <c r="A2237">
        <v>94</v>
      </c>
      <c r="B2237">
        <v>2025</v>
      </c>
      <c r="C2237" s="2">
        <v>45723</v>
      </c>
      <c r="E2237" t="s">
        <v>18</v>
      </c>
      <c r="F2237" t="s">
        <v>13</v>
      </c>
      <c r="H2237" t="s">
        <v>466</v>
      </c>
      <c r="I2237" t="s">
        <v>507</v>
      </c>
      <c r="J2237" t="s">
        <v>579</v>
      </c>
      <c r="K2237" t="s">
        <v>579</v>
      </c>
      <c r="L2237" t="str">
        <f t="shared" si="102"/>
        <v>ERRO</v>
      </c>
      <c r="M2237" t="str">
        <f t="shared" si="103"/>
        <v>OK</v>
      </c>
      <c r="N2237" t="str">
        <f t="shared" si="104"/>
        <v>ERRO</v>
      </c>
    </row>
    <row r="2238" spans="1:14" x14ac:dyDescent="0.3">
      <c r="A2238">
        <v>94</v>
      </c>
      <c r="B2238">
        <v>2025</v>
      </c>
      <c r="C2238" s="2">
        <v>45723</v>
      </c>
      <c r="E2238" t="s">
        <v>19</v>
      </c>
      <c r="F2238" t="s">
        <v>13</v>
      </c>
      <c r="H2238" t="s">
        <v>523</v>
      </c>
      <c r="I2238" t="s">
        <v>467</v>
      </c>
      <c r="J2238" t="s">
        <v>609</v>
      </c>
      <c r="K2238" t="s">
        <v>609</v>
      </c>
      <c r="L2238" t="str">
        <f t="shared" si="102"/>
        <v>OK</v>
      </c>
      <c r="M2238" t="str">
        <f t="shared" si="103"/>
        <v>OK</v>
      </c>
      <c r="N2238" t="str">
        <f t="shared" si="104"/>
        <v>OK</v>
      </c>
    </row>
    <row r="2239" spans="1:14" x14ac:dyDescent="0.3">
      <c r="A2239">
        <v>94</v>
      </c>
      <c r="B2239">
        <v>2025</v>
      </c>
      <c r="C2239" s="2">
        <v>45723</v>
      </c>
      <c r="E2239" t="s">
        <v>20</v>
      </c>
      <c r="F2239" t="s">
        <v>13</v>
      </c>
      <c r="H2239" t="s">
        <v>466</v>
      </c>
      <c r="I2239" t="s">
        <v>673</v>
      </c>
      <c r="J2239" t="s">
        <v>648</v>
      </c>
      <c r="K2239" t="s">
        <v>511</v>
      </c>
      <c r="L2239" t="str">
        <f t="shared" si="102"/>
        <v>ERRO</v>
      </c>
      <c r="M2239" t="str">
        <f t="shared" si="103"/>
        <v>OK</v>
      </c>
      <c r="N2239" t="str">
        <f t="shared" si="104"/>
        <v>ERRO</v>
      </c>
    </row>
    <row r="2240" spans="1:14" x14ac:dyDescent="0.3">
      <c r="A2240">
        <v>94</v>
      </c>
      <c r="B2240">
        <v>2025</v>
      </c>
      <c r="C2240" s="2">
        <v>45723</v>
      </c>
      <c r="E2240" t="s">
        <v>21</v>
      </c>
      <c r="F2240" t="s">
        <v>13</v>
      </c>
      <c r="H2240" t="s">
        <v>472</v>
      </c>
      <c r="I2240" t="s">
        <v>536</v>
      </c>
      <c r="J2240" t="s">
        <v>631</v>
      </c>
      <c r="K2240" t="s">
        <v>472</v>
      </c>
      <c r="L2240" t="str">
        <f t="shared" si="102"/>
        <v>OK</v>
      </c>
      <c r="M2240" t="str">
        <f t="shared" si="103"/>
        <v>OK</v>
      </c>
      <c r="N2240" t="str">
        <f t="shared" si="104"/>
        <v>OK</v>
      </c>
    </row>
    <row r="2241" spans="1:14" x14ac:dyDescent="0.3">
      <c r="A2241">
        <v>94</v>
      </c>
      <c r="B2241">
        <v>2025</v>
      </c>
      <c r="C2241" s="2">
        <v>45723</v>
      </c>
      <c r="E2241" t="s">
        <v>73</v>
      </c>
      <c r="F2241" t="s">
        <v>13</v>
      </c>
      <c r="H2241" t="s">
        <v>467</v>
      </c>
      <c r="I2241" t="s">
        <v>507</v>
      </c>
      <c r="J2241" t="s">
        <v>673</v>
      </c>
      <c r="K2241" t="s">
        <v>673</v>
      </c>
      <c r="L2241" t="str">
        <f t="shared" si="102"/>
        <v>ERRO</v>
      </c>
      <c r="M2241" t="str">
        <f t="shared" si="103"/>
        <v>ERRO</v>
      </c>
      <c r="N2241" t="str">
        <f t="shared" si="104"/>
        <v>OK</v>
      </c>
    </row>
    <row r="2242" spans="1:14" x14ac:dyDescent="0.3">
      <c r="A2242">
        <v>94</v>
      </c>
      <c r="B2242">
        <v>2025</v>
      </c>
      <c r="C2242" s="2">
        <v>45723</v>
      </c>
      <c r="E2242" t="s">
        <v>23</v>
      </c>
      <c r="F2242" t="s">
        <v>13</v>
      </c>
      <c r="H2242" t="s">
        <v>468</v>
      </c>
      <c r="I2242" t="s">
        <v>468</v>
      </c>
      <c r="J2242" t="s">
        <v>631</v>
      </c>
      <c r="K2242" t="s">
        <v>468</v>
      </c>
      <c r="L2242" t="str">
        <f t="shared" si="102"/>
        <v>OK</v>
      </c>
      <c r="M2242" t="str">
        <f t="shared" si="103"/>
        <v>ERRO</v>
      </c>
      <c r="N2242" t="str">
        <f t="shared" si="104"/>
        <v>OK</v>
      </c>
    </row>
    <row r="2243" spans="1:14" x14ac:dyDescent="0.3">
      <c r="A2243">
        <v>94</v>
      </c>
      <c r="B2243">
        <v>2025</v>
      </c>
      <c r="C2243" s="2">
        <v>45723</v>
      </c>
      <c r="E2243" t="s">
        <v>24</v>
      </c>
      <c r="F2243" t="s">
        <v>13</v>
      </c>
      <c r="H2243" t="s">
        <v>466</v>
      </c>
      <c r="I2243" t="s">
        <v>507</v>
      </c>
      <c r="J2243" t="s">
        <v>579</v>
      </c>
      <c r="K2243" t="s">
        <v>579</v>
      </c>
      <c r="L2243" t="str">
        <f t="shared" ref="L2243:L2306" si="105">IF(H2243&gt;I2243,"ERRO","OK")</f>
        <v>ERRO</v>
      </c>
      <c r="M2243" t="str">
        <f t="shared" ref="M2243:M2306" si="106">IF(H2243&gt;J2243,"ERRO","OK")</f>
        <v>OK</v>
      </c>
      <c r="N2243" t="str">
        <f t="shared" ref="N2243:N2306" si="107">IF(I2243&lt;J2243,"ERRO","OK")</f>
        <v>ERRO</v>
      </c>
    </row>
    <row r="2244" spans="1:14" x14ac:dyDescent="0.3">
      <c r="A2244">
        <v>94</v>
      </c>
      <c r="B2244">
        <v>2025</v>
      </c>
      <c r="C2244" s="2">
        <v>45723</v>
      </c>
      <c r="E2244" t="s">
        <v>25</v>
      </c>
      <c r="F2244" t="s">
        <v>26</v>
      </c>
      <c r="H2244" t="s">
        <v>464</v>
      </c>
      <c r="I2244" t="s">
        <v>466</v>
      </c>
      <c r="J2244" t="s">
        <v>475</v>
      </c>
      <c r="K2244" t="s">
        <v>464</v>
      </c>
      <c r="L2244" t="str">
        <f t="shared" si="105"/>
        <v>OK</v>
      </c>
      <c r="M2244" t="str">
        <f t="shared" si="106"/>
        <v>OK</v>
      </c>
      <c r="N2244" t="str">
        <f t="shared" si="107"/>
        <v>OK</v>
      </c>
    </row>
    <row r="2245" spans="1:14" x14ac:dyDescent="0.3">
      <c r="A2245">
        <v>94</v>
      </c>
      <c r="B2245">
        <v>2025</v>
      </c>
      <c r="C2245" s="2">
        <v>45723</v>
      </c>
      <c r="E2245" t="s">
        <v>27</v>
      </c>
      <c r="F2245" t="s">
        <v>13</v>
      </c>
      <c r="H2245" t="s">
        <v>467</v>
      </c>
      <c r="I2245" t="s">
        <v>467</v>
      </c>
      <c r="J2245" t="s">
        <v>467</v>
      </c>
      <c r="K2245" t="s">
        <v>467</v>
      </c>
      <c r="L2245" t="str">
        <f t="shared" si="105"/>
        <v>OK</v>
      </c>
      <c r="M2245" t="str">
        <f t="shared" si="106"/>
        <v>OK</v>
      </c>
      <c r="N2245" t="str">
        <f t="shared" si="107"/>
        <v>OK</v>
      </c>
    </row>
    <row r="2246" spans="1:14" x14ac:dyDescent="0.3">
      <c r="A2246">
        <v>94</v>
      </c>
      <c r="B2246">
        <v>2025</v>
      </c>
      <c r="C2246" s="2">
        <v>45723</v>
      </c>
      <c r="E2246" t="s">
        <v>28</v>
      </c>
      <c r="F2246" t="s">
        <v>13</v>
      </c>
      <c r="H2246" t="s">
        <v>499</v>
      </c>
      <c r="I2246" t="s">
        <v>464</v>
      </c>
      <c r="J2246" t="s">
        <v>697</v>
      </c>
      <c r="K2246" t="s">
        <v>464</v>
      </c>
      <c r="L2246" t="str">
        <f t="shared" si="105"/>
        <v>OK</v>
      </c>
      <c r="M2246" t="str">
        <f t="shared" si="106"/>
        <v>OK</v>
      </c>
      <c r="N2246" t="str">
        <f t="shared" si="107"/>
        <v>OK</v>
      </c>
    </row>
    <row r="2247" spans="1:14" x14ac:dyDescent="0.3">
      <c r="A2247">
        <v>94</v>
      </c>
      <c r="B2247">
        <v>2025</v>
      </c>
      <c r="C2247" s="2">
        <v>45723</v>
      </c>
      <c r="E2247" t="s">
        <v>29</v>
      </c>
      <c r="F2247" t="s">
        <v>13</v>
      </c>
      <c r="G2247" t="s">
        <v>465</v>
      </c>
      <c r="H2247" t="s">
        <v>464</v>
      </c>
      <c r="I2247" t="s">
        <v>464</v>
      </c>
      <c r="J2247" t="s">
        <v>529</v>
      </c>
      <c r="K2247" t="s">
        <v>464</v>
      </c>
      <c r="L2247" t="str">
        <f t="shared" si="105"/>
        <v>OK</v>
      </c>
      <c r="M2247" t="str">
        <f t="shared" si="106"/>
        <v>ERRO</v>
      </c>
      <c r="N2247" t="str">
        <f t="shared" si="107"/>
        <v>OK</v>
      </c>
    </row>
    <row r="2248" spans="1:14" x14ac:dyDescent="0.3">
      <c r="A2248">
        <v>94</v>
      </c>
      <c r="B2248">
        <v>2025</v>
      </c>
      <c r="C2248" s="2">
        <v>45723</v>
      </c>
      <c r="E2248" t="s">
        <v>31</v>
      </c>
      <c r="F2248" t="s">
        <v>32</v>
      </c>
      <c r="G2248" t="s">
        <v>464</v>
      </c>
      <c r="H2248" t="s">
        <v>463</v>
      </c>
      <c r="I2248" t="s">
        <v>464</v>
      </c>
      <c r="J2248" t="s">
        <v>539</v>
      </c>
      <c r="K2248" t="s">
        <v>464</v>
      </c>
      <c r="L2248" t="str">
        <f t="shared" si="105"/>
        <v>OK</v>
      </c>
      <c r="M2248" t="str">
        <f t="shared" si="106"/>
        <v>OK</v>
      </c>
      <c r="N2248" t="str">
        <f t="shared" si="107"/>
        <v>OK</v>
      </c>
    </row>
    <row r="2249" spans="1:14" x14ac:dyDescent="0.3">
      <c r="A2249">
        <v>94</v>
      </c>
      <c r="B2249">
        <v>2025</v>
      </c>
      <c r="C2249" s="2">
        <v>45723</v>
      </c>
      <c r="E2249" t="s">
        <v>34</v>
      </c>
      <c r="F2249" t="s">
        <v>35</v>
      </c>
      <c r="H2249" t="s">
        <v>467</v>
      </c>
      <c r="I2249" t="s">
        <v>579</v>
      </c>
      <c r="J2249" t="s">
        <v>511</v>
      </c>
      <c r="K2249" t="s">
        <v>511</v>
      </c>
      <c r="L2249" t="str">
        <f t="shared" si="105"/>
        <v>OK</v>
      </c>
      <c r="M2249" t="str">
        <f t="shared" si="106"/>
        <v>OK</v>
      </c>
      <c r="N2249" t="str">
        <f t="shared" si="107"/>
        <v>OK</v>
      </c>
    </row>
    <row r="2250" spans="1:14" x14ac:dyDescent="0.3">
      <c r="A2250">
        <v>94</v>
      </c>
      <c r="B2250">
        <v>2025</v>
      </c>
      <c r="C2250" s="2">
        <v>45723</v>
      </c>
      <c r="E2250" t="s">
        <v>36</v>
      </c>
      <c r="F2250" t="s">
        <v>35</v>
      </c>
      <c r="G2250" t="s">
        <v>463</v>
      </c>
      <c r="H2250" t="s">
        <v>463</v>
      </c>
      <c r="I2250" t="s">
        <v>463</v>
      </c>
      <c r="J2250" t="s">
        <v>463</v>
      </c>
      <c r="K2250" t="s">
        <v>463</v>
      </c>
      <c r="L2250" t="str">
        <f t="shared" si="105"/>
        <v>OK</v>
      </c>
      <c r="M2250" t="str">
        <f t="shared" si="106"/>
        <v>OK</v>
      </c>
      <c r="N2250" t="str">
        <f t="shared" si="107"/>
        <v>OK</v>
      </c>
    </row>
    <row r="2251" spans="1:14" x14ac:dyDescent="0.3">
      <c r="A2251">
        <v>94</v>
      </c>
      <c r="B2251">
        <v>2025</v>
      </c>
      <c r="C2251" s="2">
        <v>45723</v>
      </c>
      <c r="E2251" t="s">
        <v>153</v>
      </c>
      <c r="F2251" t="s">
        <v>154</v>
      </c>
      <c r="G2251" t="s">
        <v>464</v>
      </c>
      <c r="H2251" t="s">
        <v>464</v>
      </c>
      <c r="I2251" t="s">
        <v>476</v>
      </c>
      <c r="J2251" t="s">
        <v>480</v>
      </c>
      <c r="K2251" t="s">
        <v>464</v>
      </c>
      <c r="L2251" t="str">
        <f t="shared" si="105"/>
        <v>OK</v>
      </c>
      <c r="M2251" t="str">
        <f t="shared" si="106"/>
        <v>OK</v>
      </c>
      <c r="N2251" t="str">
        <f t="shared" si="107"/>
        <v>OK</v>
      </c>
    </row>
    <row r="2252" spans="1:14" x14ac:dyDescent="0.3">
      <c r="A2252">
        <v>94</v>
      </c>
      <c r="B2252">
        <v>2025</v>
      </c>
      <c r="C2252" s="2">
        <v>45723</v>
      </c>
      <c r="E2252" t="s">
        <v>39</v>
      </c>
      <c r="F2252" t="s">
        <v>40</v>
      </c>
      <c r="G2252" t="s">
        <v>503</v>
      </c>
      <c r="H2252" t="s">
        <v>499</v>
      </c>
      <c r="I2252" t="s">
        <v>464</v>
      </c>
      <c r="J2252" t="s">
        <v>499</v>
      </c>
      <c r="K2252" t="s">
        <v>499</v>
      </c>
      <c r="L2252" t="str">
        <f t="shared" si="105"/>
        <v>OK</v>
      </c>
      <c r="M2252" t="str">
        <f t="shared" si="106"/>
        <v>OK</v>
      </c>
      <c r="N2252" t="str">
        <f t="shared" si="107"/>
        <v>OK</v>
      </c>
    </row>
    <row r="2253" spans="1:14" x14ac:dyDescent="0.3">
      <c r="A2253">
        <v>94</v>
      </c>
      <c r="B2253">
        <v>2025</v>
      </c>
      <c r="C2253" s="2">
        <v>45723</v>
      </c>
      <c r="E2253" t="s">
        <v>42</v>
      </c>
      <c r="F2253" t="s">
        <v>43</v>
      </c>
      <c r="G2253" t="s">
        <v>464</v>
      </c>
      <c r="H2253" t="s">
        <v>468</v>
      </c>
      <c r="I2253" t="s">
        <v>500</v>
      </c>
      <c r="J2253" t="s">
        <v>534</v>
      </c>
      <c r="K2253" t="s">
        <v>464</v>
      </c>
      <c r="L2253" t="str">
        <f t="shared" si="105"/>
        <v>OK</v>
      </c>
      <c r="M2253" t="str">
        <f t="shared" si="106"/>
        <v>OK</v>
      </c>
      <c r="N2253" t="str">
        <f t="shared" si="107"/>
        <v>OK</v>
      </c>
    </row>
    <row r="2254" spans="1:14" x14ac:dyDescent="0.3">
      <c r="A2254">
        <v>94</v>
      </c>
      <c r="B2254">
        <v>2025</v>
      </c>
      <c r="C2254" s="2">
        <v>45723</v>
      </c>
      <c r="E2254" t="s">
        <v>44</v>
      </c>
      <c r="F2254" t="s">
        <v>45</v>
      </c>
      <c r="G2254" t="s">
        <v>502</v>
      </c>
      <c r="H2254" t="s">
        <v>494</v>
      </c>
      <c r="I2254" t="s">
        <v>502</v>
      </c>
      <c r="J2254" t="s">
        <v>510</v>
      </c>
      <c r="K2254" t="s">
        <v>499</v>
      </c>
      <c r="L2254" t="str">
        <f t="shared" si="105"/>
        <v>OK</v>
      </c>
      <c r="M2254" t="str">
        <f t="shared" si="106"/>
        <v>OK</v>
      </c>
      <c r="N2254" t="str">
        <f t="shared" si="107"/>
        <v>OK</v>
      </c>
    </row>
    <row r="2255" spans="1:14" x14ac:dyDescent="0.3">
      <c r="A2255">
        <v>94</v>
      </c>
      <c r="B2255">
        <v>2025</v>
      </c>
      <c r="C2255" s="2">
        <v>45723</v>
      </c>
      <c r="E2255" t="s">
        <v>48</v>
      </c>
      <c r="F2255" t="s">
        <v>45</v>
      </c>
      <c r="G2255" t="s">
        <v>492</v>
      </c>
      <c r="H2255" t="s">
        <v>492</v>
      </c>
      <c r="I2255" t="s">
        <v>492</v>
      </c>
      <c r="J2255" t="s">
        <v>492</v>
      </c>
      <c r="K2255" t="s">
        <v>492</v>
      </c>
      <c r="L2255" t="str">
        <f t="shared" si="105"/>
        <v>OK</v>
      </c>
      <c r="M2255" t="str">
        <f t="shared" si="106"/>
        <v>OK</v>
      </c>
      <c r="N2255" t="str">
        <f t="shared" si="107"/>
        <v>OK</v>
      </c>
    </row>
    <row r="2256" spans="1:14" x14ac:dyDescent="0.3">
      <c r="A2256">
        <v>94</v>
      </c>
      <c r="B2256">
        <v>2025</v>
      </c>
      <c r="C2256" s="2">
        <v>45723</v>
      </c>
      <c r="E2256" t="s">
        <v>49</v>
      </c>
      <c r="F2256" t="s">
        <v>50</v>
      </c>
      <c r="G2256" t="s">
        <v>499</v>
      </c>
      <c r="H2256" t="s">
        <v>499</v>
      </c>
      <c r="I2256" t="s">
        <v>500</v>
      </c>
      <c r="J2256" t="s">
        <v>565</v>
      </c>
      <c r="K2256" t="s">
        <v>502</v>
      </c>
      <c r="L2256" t="str">
        <f t="shared" si="105"/>
        <v>OK</v>
      </c>
      <c r="M2256" t="str">
        <f t="shared" si="106"/>
        <v>OK</v>
      </c>
      <c r="N2256" t="str">
        <f t="shared" si="107"/>
        <v>OK</v>
      </c>
    </row>
    <row r="2257" spans="1:14" x14ac:dyDescent="0.3">
      <c r="A2257">
        <v>94</v>
      </c>
      <c r="B2257">
        <v>2025</v>
      </c>
      <c r="C2257" s="2">
        <v>45723</v>
      </c>
      <c r="E2257" t="s">
        <v>52</v>
      </c>
      <c r="F2257" t="s">
        <v>43</v>
      </c>
      <c r="G2257" t="s">
        <v>499</v>
      </c>
      <c r="H2257" t="s">
        <v>496</v>
      </c>
      <c r="I2257" t="s">
        <v>521</v>
      </c>
      <c r="J2257" t="s">
        <v>493</v>
      </c>
      <c r="K2257" t="s">
        <v>492</v>
      </c>
      <c r="L2257" t="str">
        <f t="shared" si="105"/>
        <v>ERRO</v>
      </c>
      <c r="M2257" t="str">
        <f t="shared" si="106"/>
        <v>OK</v>
      </c>
      <c r="N2257" t="str">
        <f t="shared" si="107"/>
        <v>ERRO</v>
      </c>
    </row>
    <row r="2258" spans="1:14" x14ac:dyDescent="0.3">
      <c r="A2258">
        <v>94</v>
      </c>
      <c r="B2258">
        <v>2025</v>
      </c>
      <c r="C2258" s="2">
        <v>45723</v>
      </c>
      <c r="E2258" t="s">
        <v>53</v>
      </c>
      <c r="F2258" t="s">
        <v>43</v>
      </c>
      <c r="G2258" t="s">
        <v>476</v>
      </c>
      <c r="H2258" t="s">
        <v>511</v>
      </c>
      <c r="I2258" t="s">
        <v>492</v>
      </c>
      <c r="J2258" t="s">
        <v>500</v>
      </c>
      <c r="K2258" t="s">
        <v>476</v>
      </c>
      <c r="L2258" t="str">
        <f t="shared" si="105"/>
        <v>ERRO</v>
      </c>
      <c r="M2258" t="str">
        <f t="shared" si="106"/>
        <v>ERRO</v>
      </c>
      <c r="N2258" t="str">
        <f t="shared" si="107"/>
        <v>OK</v>
      </c>
    </row>
    <row r="2259" spans="1:14" x14ac:dyDescent="0.3">
      <c r="A2259">
        <v>94</v>
      </c>
      <c r="B2259">
        <v>2025</v>
      </c>
      <c r="C2259" s="2">
        <v>45723</v>
      </c>
      <c r="E2259" t="s">
        <v>54</v>
      </c>
      <c r="F2259" t="s">
        <v>40</v>
      </c>
      <c r="H2259" t="s">
        <v>464</v>
      </c>
      <c r="I2259" t="s">
        <v>521</v>
      </c>
      <c r="J2259" t="s">
        <v>681</v>
      </c>
      <c r="K2259" t="s">
        <v>591</v>
      </c>
      <c r="L2259" t="str">
        <f t="shared" si="105"/>
        <v>ERRO</v>
      </c>
      <c r="M2259" t="str">
        <f t="shared" si="106"/>
        <v>OK</v>
      </c>
      <c r="N2259" t="str">
        <f t="shared" si="107"/>
        <v>ERRO</v>
      </c>
    </row>
    <row r="2260" spans="1:14" x14ac:dyDescent="0.3">
      <c r="A2260">
        <v>94</v>
      </c>
      <c r="B2260">
        <v>2025</v>
      </c>
      <c r="C2260" s="2">
        <v>45723</v>
      </c>
      <c r="E2260" t="s">
        <v>56</v>
      </c>
      <c r="F2260" t="s">
        <v>43</v>
      </c>
      <c r="H2260" t="s">
        <v>496</v>
      </c>
      <c r="I2260" t="s">
        <v>492</v>
      </c>
      <c r="J2260" t="s">
        <v>634</v>
      </c>
      <c r="K2260" t="s">
        <v>491</v>
      </c>
      <c r="L2260" t="str">
        <f t="shared" si="105"/>
        <v>OK</v>
      </c>
      <c r="M2260" t="str">
        <f t="shared" si="106"/>
        <v>OK</v>
      </c>
      <c r="N2260" t="str">
        <f t="shared" si="107"/>
        <v>OK</v>
      </c>
    </row>
    <row r="2261" spans="1:14" x14ac:dyDescent="0.3">
      <c r="A2261">
        <v>94</v>
      </c>
      <c r="B2261">
        <v>2025</v>
      </c>
      <c r="C2261" s="2">
        <v>45723</v>
      </c>
      <c r="E2261" t="s">
        <v>57</v>
      </c>
      <c r="F2261" t="s">
        <v>40</v>
      </c>
      <c r="G2261" t="s">
        <v>476</v>
      </c>
      <c r="H2261" t="s">
        <v>476</v>
      </c>
      <c r="I2261" t="s">
        <v>476</v>
      </c>
      <c r="J2261" t="s">
        <v>476</v>
      </c>
      <c r="K2261" t="s">
        <v>476</v>
      </c>
      <c r="L2261" t="str">
        <f t="shared" si="105"/>
        <v>OK</v>
      </c>
      <c r="M2261" t="str">
        <f t="shared" si="106"/>
        <v>OK</v>
      </c>
      <c r="N2261" t="str">
        <f t="shared" si="107"/>
        <v>OK</v>
      </c>
    </row>
    <row r="2262" spans="1:14" x14ac:dyDescent="0.3">
      <c r="A2262">
        <v>94</v>
      </c>
      <c r="B2262">
        <v>2025</v>
      </c>
      <c r="C2262" s="2">
        <v>45723</v>
      </c>
      <c r="E2262" t="s">
        <v>58</v>
      </c>
      <c r="F2262" t="s">
        <v>40</v>
      </c>
      <c r="H2262" t="s">
        <v>476</v>
      </c>
      <c r="I2262" t="s">
        <v>521</v>
      </c>
      <c r="J2262" t="s">
        <v>698</v>
      </c>
      <c r="K2262" t="s">
        <v>491</v>
      </c>
      <c r="L2262" t="str">
        <f t="shared" si="105"/>
        <v>ERRO</v>
      </c>
      <c r="M2262" t="str">
        <f t="shared" si="106"/>
        <v>OK</v>
      </c>
      <c r="N2262" t="str">
        <f t="shared" si="107"/>
        <v>ERRO</v>
      </c>
    </row>
    <row r="2263" spans="1:14" x14ac:dyDescent="0.3">
      <c r="A2263">
        <v>94</v>
      </c>
      <c r="B2263">
        <v>2025</v>
      </c>
      <c r="C2263" s="2">
        <v>45723</v>
      </c>
      <c r="E2263" t="s">
        <v>59</v>
      </c>
      <c r="F2263" t="s">
        <v>45</v>
      </c>
      <c r="G2263" t="s">
        <v>464</v>
      </c>
      <c r="H2263" t="s">
        <v>464</v>
      </c>
      <c r="I2263" t="s">
        <v>464</v>
      </c>
      <c r="J2263" t="s">
        <v>571</v>
      </c>
      <c r="K2263" t="s">
        <v>546</v>
      </c>
      <c r="L2263" t="str">
        <f t="shared" si="105"/>
        <v>OK</v>
      </c>
      <c r="M2263" t="str">
        <f t="shared" si="106"/>
        <v>ERRO</v>
      </c>
      <c r="N2263" t="str">
        <f t="shared" si="107"/>
        <v>OK</v>
      </c>
    </row>
    <row r="2264" spans="1:14" x14ac:dyDescent="0.3">
      <c r="A2264">
        <v>94</v>
      </c>
      <c r="B2264">
        <v>2025</v>
      </c>
      <c r="C2264" s="2">
        <v>45723</v>
      </c>
      <c r="E2264" t="s">
        <v>60</v>
      </c>
      <c r="F2264" t="s">
        <v>61</v>
      </c>
      <c r="G2264" t="s">
        <v>494</v>
      </c>
      <c r="H2264" t="s">
        <v>494</v>
      </c>
      <c r="I2264" t="s">
        <v>476</v>
      </c>
      <c r="J2264" t="s">
        <v>464</v>
      </c>
      <c r="K2264" t="s">
        <v>464</v>
      </c>
      <c r="L2264" t="str">
        <f t="shared" si="105"/>
        <v>OK</v>
      </c>
      <c r="M2264" t="str">
        <f t="shared" si="106"/>
        <v>OK</v>
      </c>
      <c r="N2264" t="str">
        <f t="shared" si="107"/>
        <v>OK</v>
      </c>
    </row>
    <row r="2265" spans="1:14" x14ac:dyDescent="0.3">
      <c r="A2265">
        <v>94</v>
      </c>
      <c r="B2265">
        <v>2025</v>
      </c>
      <c r="C2265" s="2">
        <v>45723</v>
      </c>
      <c r="E2265" t="s">
        <v>63</v>
      </c>
      <c r="F2265" t="s">
        <v>40</v>
      </c>
      <c r="G2265" t="s">
        <v>464</v>
      </c>
      <c r="H2265" t="s">
        <v>499</v>
      </c>
      <c r="I2265" t="s">
        <v>558</v>
      </c>
      <c r="J2265" t="s">
        <v>699</v>
      </c>
      <c r="K2265" t="s">
        <v>509</v>
      </c>
      <c r="L2265" t="str">
        <f t="shared" si="105"/>
        <v>ERRO</v>
      </c>
      <c r="M2265" t="str">
        <f t="shared" si="106"/>
        <v>ERRO</v>
      </c>
      <c r="N2265" t="str">
        <f t="shared" si="107"/>
        <v>OK</v>
      </c>
    </row>
    <row r="2266" spans="1:14" x14ac:dyDescent="0.3">
      <c r="A2266">
        <v>94</v>
      </c>
      <c r="B2266">
        <v>2025</v>
      </c>
      <c r="C2266" s="2">
        <v>45723</v>
      </c>
      <c r="E2266" t="s">
        <v>64</v>
      </c>
      <c r="F2266" t="s">
        <v>40</v>
      </c>
      <c r="H2266" t="s">
        <v>492</v>
      </c>
      <c r="I2266" t="s">
        <v>514</v>
      </c>
      <c r="J2266" t="s">
        <v>607</v>
      </c>
      <c r="K2266" t="s">
        <v>521</v>
      </c>
      <c r="L2266" t="str">
        <f t="shared" si="105"/>
        <v>ERRO</v>
      </c>
      <c r="M2266" t="str">
        <f t="shared" si="106"/>
        <v>ERRO</v>
      </c>
      <c r="N2266" t="str">
        <f t="shared" si="107"/>
        <v>OK</v>
      </c>
    </row>
    <row r="2267" spans="1:14" x14ac:dyDescent="0.3">
      <c r="A2267">
        <v>94</v>
      </c>
      <c r="B2267">
        <v>2025</v>
      </c>
      <c r="C2267" s="2">
        <v>45723</v>
      </c>
      <c r="E2267" s="11" t="s">
        <v>66</v>
      </c>
      <c r="F2267" s="12" t="s">
        <v>45</v>
      </c>
      <c r="L2267" t="str">
        <f t="shared" si="105"/>
        <v>OK</v>
      </c>
      <c r="M2267" t="str">
        <f t="shared" si="106"/>
        <v>OK</v>
      </c>
      <c r="N2267" t="str">
        <f t="shared" si="107"/>
        <v>OK</v>
      </c>
    </row>
    <row r="2268" spans="1:14" x14ac:dyDescent="0.3">
      <c r="A2268">
        <v>94</v>
      </c>
      <c r="B2268">
        <v>2025</v>
      </c>
      <c r="C2268" s="2">
        <v>45723</v>
      </c>
      <c r="E2268" s="11" t="s">
        <v>67</v>
      </c>
      <c r="F2268" s="12" t="s">
        <v>45</v>
      </c>
      <c r="L2268" t="str">
        <f t="shared" si="105"/>
        <v>OK</v>
      </c>
      <c r="M2268" t="str">
        <f t="shared" si="106"/>
        <v>OK</v>
      </c>
      <c r="N2268" t="str">
        <f t="shared" si="107"/>
        <v>OK</v>
      </c>
    </row>
    <row r="2269" spans="1:14" x14ac:dyDescent="0.3">
      <c r="A2269">
        <v>94</v>
      </c>
      <c r="B2269">
        <v>2025</v>
      </c>
      <c r="C2269" s="2">
        <v>45723</v>
      </c>
      <c r="E2269" s="11" t="s">
        <v>68</v>
      </c>
      <c r="F2269" s="12" t="s">
        <v>45</v>
      </c>
      <c r="L2269" t="str">
        <f t="shared" si="105"/>
        <v>OK</v>
      </c>
      <c r="M2269" t="str">
        <f t="shared" si="106"/>
        <v>OK</v>
      </c>
      <c r="N2269" t="str">
        <f t="shared" si="107"/>
        <v>OK</v>
      </c>
    </row>
    <row r="2270" spans="1:14" x14ac:dyDescent="0.3">
      <c r="A2270">
        <v>94</v>
      </c>
      <c r="B2270">
        <v>2025</v>
      </c>
      <c r="C2270" s="2">
        <v>45723</v>
      </c>
      <c r="E2270" s="11" t="s">
        <v>69</v>
      </c>
      <c r="F2270" s="12" t="s">
        <v>45</v>
      </c>
      <c r="L2270" t="str">
        <f t="shared" si="105"/>
        <v>OK</v>
      </c>
      <c r="M2270" t="str">
        <f t="shared" si="106"/>
        <v>OK</v>
      </c>
      <c r="N2270" t="str">
        <f t="shared" si="107"/>
        <v>OK</v>
      </c>
    </row>
    <row r="2271" spans="1:14" x14ac:dyDescent="0.3">
      <c r="A2271">
        <v>94</v>
      </c>
      <c r="B2271">
        <v>2025</v>
      </c>
      <c r="C2271" s="2">
        <v>45723</v>
      </c>
      <c r="E2271" s="11" t="s">
        <v>70</v>
      </c>
      <c r="F2271" s="12" t="s">
        <v>71</v>
      </c>
      <c r="L2271" t="str">
        <f t="shared" si="105"/>
        <v>OK</v>
      </c>
      <c r="M2271" t="str">
        <f t="shared" si="106"/>
        <v>OK</v>
      </c>
      <c r="N2271" t="str">
        <f t="shared" si="107"/>
        <v>OK</v>
      </c>
    </row>
    <row r="2272" spans="1:14" x14ac:dyDescent="0.3">
      <c r="A2272">
        <v>95</v>
      </c>
      <c r="B2272">
        <v>2025</v>
      </c>
      <c r="C2272" s="2">
        <v>45730</v>
      </c>
      <c r="E2272" t="s">
        <v>12</v>
      </c>
      <c r="F2272" t="s">
        <v>13</v>
      </c>
      <c r="H2272" t="s">
        <v>464</v>
      </c>
      <c r="I2272" t="s">
        <v>522</v>
      </c>
      <c r="J2272" t="s">
        <v>522</v>
      </c>
      <c r="K2272" t="s">
        <v>466</v>
      </c>
      <c r="L2272" t="str">
        <f t="shared" si="105"/>
        <v>OK</v>
      </c>
      <c r="M2272" t="str">
        <f t="shared" si="106"/>
        <v>OK</v>
      </c>
      <c r="N2272" t="str">
        <f t="shared" si="107"/>
        <v>OK</v>
      </c>
    </row>
    <row r="2273" spans="1:14" x14ac:dyDescent="0.3">
      <c r="A2273">
        <v>95</v>
      </c>
      <c r="B2273">
        <v>2025</v>
      </c>
      <c r="C2273" s="2">
        <v>45730</v>
      </c>
      <c r="E2273" t="s">
        <v>14</v>
      </c>
      <c r="F2273" t="s">
        <v>13</v>
      </c>
      <c r="H2273" t="s">
        <v>463</v>
      </c>
      <c r="I2273" t="s">
        <v>466</v>
      </c>
      <c r="J2273" t="s">
        <v>466</v>
      </c>
      <c r="K2273" t="s">
        <v>579</v>
      </c>
      <c r="L2273" t="str">
        <f t="shared" si="105"/>
        <v>OK</v>
      </c>
      <c r="M2273" t="str">
        <f t="shared" si="106"/>
        <v>OK</v>
      </c>
      <c r="N2273" t="str">
        <f t="shared" si="107"/>
        <v>OK</v>
      </c>
    </row>
    <row r="2274" spans="1:14" x14ac:dyDescent="0.3">
      <c r="A2274">
        <v>95</v>
      </c>
      <c r="B2274">
        <v>2025</v>
      </c>
      <c r="C2274" s="2">
        <v>45730</v>
      </c>
      <c r="E2274" t="s">
        <v>15</v>
      </c>
      <c r="F2274" t="s">
        <v>13</v>
      </c>
      <c r="G2274" t="s">
        <v>463</v>
      </c>
      <c r="H2274" t="s">
        <v>469</v>
      </c>
      <c r="I2274" t="s">
        <v>592</v>
      </c>
      <c r="J2274" t="s">
        <v>463</v>
      </c>
      <c r="K2274" t="s">
        <v>463</v>
      </c>
      <c r="L2274" t="str">
        <f t="shared" si="105"/>
        <v>OK</v>
      </c>
      <c r="M2274" t="str">
        <f t="shared" si="106"/>
        <v>OK</v>
      </c>
      <c r="N2274" t="str">
        <f t="shared" si="107"/>
        <v>ERRO</v>
      </c>
    </row>
    <row r="2275" spans="1:14" x14ac:dyDescent="0.3">
      <c r="A2275">
        <v>95</v>
      </c>
      <c r="B2275">
        <v>2025</v>
      </c>
      <c r="C2275" s="2">
        <v>45730</v>
      </c>
      <c r="E2275" t="s">
        <v>16</v>
      </c>
      <c r="F2275" t="s">
        <v>13</v>
      </c>
      <c r="G2275" t="s">
        <v>468</v>
      </c>
      <c r="H2275" t="s">
        <v>468</v>
      </c>
      <c r="I2275" t="s">
        <v>687</v>
      </c>
      <c r="J2275" t="s">
        <v>536</v>
      </c>
      <c r="K2275" t="s">
        <v>468</v>
      </c>
      <c r="L2275" t="str">
        <f t="shared" si="105"/>
        <v>OK</v>
      </c>
      <c r="M2275" t="str">
        <f t="shared" si="106"/>
        <v>OK</v>
      </c>
      <c r="N2275" t="str">
        <f t="shared" si="107"/>
        <v>ERRO</v>
      </c>
    </row>
    <row r="2276" spans="1:14" x14ac:dyDescent="0.3">
      <c r="A2276">
        <v>95</v>
      </c>
      <c r="B2276">
        <v>2025</v>
      </c>
      <c r="C2276" s="2">
        <v>45730</v>
      </c>
      <c r="E2276" t="s">
        <v>17</v>
      </c>
      <c r="F2276" t="s">
        <v>13</v>
      </c>
      <c r="G2276" t="s">
        <v>468</v>
      </c>
      <c r="H2276" t="s">
        <v>468</v>
      </c>
      <c r="I2276" t="s">
        <v>468</v>
      </c>
      <c r="J2276" t="s">
        <v>468</v>
      </c>
      <c r="K2276" t="s">
        <v>468</v>
      </c>
      <c r="L2276" t="str">
        <f t="shared" si="105"/>
        <v>OK</v>
      </c>
      <c r="M2276" t="str">
        <f t="shared" si="106"/>
        <v>OK</v>
      </c>
      <c r="N2276" t="str">
        <f t="shared" si="107"/>
        <v>OK</v>
      </c>
    </row>
    <row r="2277" spans="1:14" x14ac:dyDescent="0.3">
      <c r="A2277">
        <v>95</v>
      </c>
      <c r="B2277">
        <v>2025</v>
      </c>
      <c r="C2277" s="2">
        <v>45730</v>
      </c>
      <c r="E2277" t="s">
        <v>18</v>
      </c>
      <c r="F2277" t="s">
        <v>13</v>
      </c>
      <c r="H2277" t="s">
        <v>464</v>
      </c>
      <c r="I2277" t="s">
        <v>466</v>
      </c>
      <c r="J2277" t="s">
        <v>466</v>
      </c>
      <c r="K2277" t="s">
        <v>467</v>
      </c>
      <c r="L2277" t="str">
        <f t="shared" si="105"/>
        <v>OK</v>
      </c>
      <c r="M2277" t="str">
        <f t="shared" si="106"/>
        <v>OK</v>
      </c>
      <c r="N2277" t="str">
        <f t="shared" si="107"/>
        <v>OK</v>
      </c>
    </row>
    <row r="2278" spans="1:14" x14ac:dyDescent="0.3">
      <c r="A2278">
        <v>95</v>
      </c>
      <c r="B2278">
        <v>2025</v>
      </c>
      <c r="C2278" s="2">
        <v>45730</v>
      </c>
      <c r="E2278" t="s">
        <v>19</v>
      </c>
      <c r="F2278" t="s">
        <v>13</v>
      </c>
      <c r="H2278" t="s">
        <v>511</v>
      </c>
      <c r="I2278" t="s">
        <v>671</v>
      </c>
      <c r="J2278" t="s">
        <v>700</v>
      </c>
      <c r="K2278" t="s">
        <v>700</v>
      </c>
      <c r="L2278" t="str">
        <f t="shared" si="105"/>
        <v>ERRO</v>
      </c>
      <c r="M2278" t="str">
        <f t="shared" si="106"/>
        <v>OK</v>
      </c>
      <c r="N2278" t="str">
        <f t="shared" si="107"/>
        <v>ERRO</v>
      </c>
    </row>
    <row r="2279" spans="1:14" x14ac:dyDescent="0.3">
      <c r="A2279">
        <v>95</v>
      </c>
      <c r="B2279">
        <v>2025</v>
      </c>
      <c r="C2279" s="2">
        <v>45730</v>
      </c>
      <c r="E2279" t="s">
        <v>20</v>
      </c>
      <c r="F2279" t="s">
        <v>13</v>
      </c>
      <c r="H2279" t="s">
        <v>467</v>
      </c>
      <c r="I2279" t="s">
        <v>511</v>
      </c>
      <c r="J2279" t="s">
        <v>673</v>
      </c>
      <c r="K2279" t="s">
        <v>575</v>
      </c>
      <c r="L2279" t="str">
        <f t="shared" si="105"/>
        <v>OK</v>
      </c>
      <c r="M2279" t="str">
        <f t="shared" si="106"/>
        <v>ERRO</v>
      </c>
      <c r="N2279" t="str">
        <f t="shared" si="107"/>
        <v>OK</v>
      </c>
    </row>
    <row r="2280" spans="1:14" x14ac:dyDescent="0.3">
      <c r="A2280">
        <v>95</v>
      </c>
      <c r="B2280">
        <v>2025</v>
      </c>
      <c r="C2280" s="2">
        <v>45730</v>
      </c>
      <c r="E2280" t="s">
        <v>21</v>
      </c>
      <c r="F2280" t="s">
        <v>13</v>
      </c>
      <c r="G2280" t="s">
        <v>468</v>
      </c>
      <c r="H2280" t="s">
        <v>468</v>
      </c>
      <c r="I2280" t="s">
        <v>536</v>
      </c>
      <c r="J2280" t="s">
        <v>687</v>
      </c>
      <c r="K2280" t="s">
        <v>468</v>
      </c>
      <c r="L2280" t="str">
        <f t="shared" si="105"/>
        <v>OK</v>
      </c>
      <c r="M2280" t="str">
        <f t="shared" si="106"/>
        <v>OK</v>
      </c>
      <c r="N2280" t="str">
        <f t="shared" si="107"/>
        <v>OK</v>
      </c>
    </row>
    <row r="2281" spans="1:14" x14ac:dyDescent="0.3">
      <c r="A2281">
        <v>95</v>
      </c>
      <c r="B2281">
        <v>2025</v>
      </c>
      <c r="C2281" s="2">
        <v>45730</v>
      </c>
      <c r="E2281" t="s">
        <v>73</v>
      </c>
      <c r="F2281" t="s">
        <v>13</v>
      </c>
      <c r="H2281" t="s">
        <v>579</v>
      </c>
      <c r="I2281" t="s">
        <v>507</v>
      </c>
      <c r="J2281" t="s">
        <v>671</v>
      </c>
      <c r="K2281" t="s">
        <v>671</v>
      </c>
      <c r="L2281" t="str">
        <f t="shared" si="105"/>
        <v>ERRO</v>
      </c>
      <c r="M2281" t="str">
        <f t="shared" si="106"/>
        <v>ERRO</v>
      </c>
      <c r="N2281" t="str">
        <f t="shared" si="107"/>
        <v>OK</v>
      </c>
    </row>
    <row r="2282" spans="1:14" x14ac:dyDescent="0.3">
      <c r="A2282">
        <v>95</v>
      </c>
      <c r="B2282">
        <v>2025</v>
      </c>
      <c r="C2282" s="2">
        <v>45730</v>
      </c>
      <c r="E2282" t="s">
        <v>23</v>
      </c>
      <c r="F2282" t="s">
        <v>13</v>
      </c>
      <c r="G2282" t="s">
        <v>468</v>
      </c>
      <c r="H2282" t="s">
        <v>468</v>
      </c>
      <c r="I2282" t="s">
        <v>468</v>
      </c>
      <c r="J2282" t="s">
        <v>468</v>
      </c>
      <c r="K2282" t="s">
        <v>468</v>
      </c>
      <c r="L2282" t="str">
        <f t="shared" si="105"/>
        <v>OK</v>
      </c>
      <c r="M2282" t="str">
        <f t="shared" si="106"/>
        <v>OK</v>
      </c>
      <c r="N2282" t="str">
        <f t="shared" si="107"/>
        <v>OK</v>
      </c>
    </row>
    <row r="2283" spans="1:14" x14ac:dyDescent="0.3">
      <c r="A2283">
        <v>95</v>
      </c>
      <c r="B2283">
        <v>2025</v>
      </c>
      <c r="C2283" s="2">
        <v>45730</v>
      </c>
      <c r="E2283" t="s">
        <v>24</v>
      </c>
      <c r="F2283" t="s">
        <v>13</v>
      </c>
      <c r="H2283" t="s">
        <v>466</v>
      </c>
      <c r="I2283" t="s">
        <v>579</v>
      </c>
      <c r="J2283" t="s">
        <v>467</v>
      </c>
      <c r="K2283" t="s">
        <v>467</v>
      </c>
      <c r="L2283" t="str">
        <f t="shared" si="105"/>
        <v>OK</v>
      </c>
      <c r="M2283" t="str">
        <f t="shared" si="106"/>
        <v>OK</v>
      </c>
      <c r="N2283" t="str">
        <f t="shared" si="107"/>
        <v>OK</v>
      </c>
    </row>
    <row r="2284" spans="1:14" x14ac:dyDescent="0.3">
      <c r="A2284">
        <v>95</v>
      </c>
      <c r="B2284">
        <v>2025</v>
      </c>
      <c r="C2284" s="2">
        <v>45730</v>
      </c>
      <c r="E2284" t="s">
        <v>25</v>
      </c>
      <c r="F2284" t="s">
        <v>26</v>
      </c>
      <c r="G2284" t="s">
        <v>464</v>
      </c>
      <c r="H2284" t="s">
        <v>464</v>
      </c>
      <c r="I2284" t="s">
        <v>466</v>
      </c>
      <c r="J2284" t="s">
        <v>475</v>
      </c>
      <c r="K2284" t="s">
        <v>464</v>
      </c>
      <c r="L2284" t="str">
        <f t="shared" si="105"/>
        <v>OK</v>
      </c>
      <c r="M2284" t="str">
        <f t="shared" si="106"/>
        <v>OK</v>
      </c>
      <c r="N2284" t="str">
        <f t="shared" si="107"/>
        <v>OK</v>
      </c>
    </row>
    <row r="2285" spans="1:14" x14ac:dyDescent="0.3">
      <c r="A2285">
        <v>95</v>
      </c>
      <c r="B2285">
        <v>2025</v>
      </c>
      <c r="C2285" s="2">
        <v>45730</v>
      </c>
      <c r="E2285" t="s">
        <v>27</v>
      </c>
      <c r="F2285" t="s">
        <v>13</v>
      </c>
      <c r="H2285" t="s">
        <v>464</v>
      </c>
      <c r="I2285" t="s">
        <v>579</v>
      </c>
      <c r="J2285" t="s">
        <v>523</v>
      </c>
      <c r="K2285" t="s">
        <v>523</v>
      </c>
      <c r="L2285" t="str">
        <f t="shared" si="105"/>
        <v>OK</v>
      </c>
      <c r="M2285" t="str">
        <f t="shared" si="106"/>
        <v>OK</v>
      </c>
      <c r="N2285" t="str">
        <f t="shared" si="107"/>
        <v>OK</v>
      </c>
    </row>
    <row r="2286" spans="1:14" x14ac:dyDescent="0.3">
      <c r="A2286">
        <v>95</v>
      </c>
      <c r="B2286">
        <v>2025</v>
      </c>
      <c r="C2286" s="2">
        <v>45730</v>
      </c>
      <c r="E2286" t="s">
        <v>28</v>
      </c>
      <c r="F2286" t="s">
        <v>13</v>
      </c>
      <c r="H2286" t="s">
        <v>499</v>
      </c>
      <c r="I2286" t="s">
        <v>500</v>
      </c>
      <c r="J2286" t="s">
        <v>701</v>
      </c>
      <c r="K2286" t="s">
        <v>467</v>
      </c>
      <c r="L2286" t="str">
        <f t="shared" si="105"/>
        <v>OK</v>
      </c>
      <c r="M2286" t="str">
        <f t="shared" si="106"/>
        <v>OK</v>
      </c>
      <c r="N2286" t="str">
        <f t="shared" si="107"/>
        <v>ERRO</v>
      </c>
    </row>
    <row r="2287" spans="1:14" x14ac:dyDescent="0.3">
      <c r="A2287">
        <v>95</v>
      </c>
      <c r="B2287">
        <v>2025</v>
      </c>
      <c r="C2287" s="2">
        <v>45730</v>
      </c>
      <c r="E2287" t="s">
        <v>29</v>
      </c>
      <c r="F2287" t="s">
        <v>13</v>
      </c>
      <c r="H2287" t="s">
        <v>463</v>
      </c>
      <c r="I2287" t="s">
        <v>529</v>
      </c>
      <c r="J2287" t="s">
        <v>465</v>
      </c>
      <c r="K2287" t="s">
        <v>466</v>
      </c>
      <c r="L2287" t="str">
        <f t="shared" si="105"/>
        <v>OK</v>
      </c>
      <c r="M2287" t="str">
        <f t="shared" si="106"/>
        <v>OK</v>
      </c>
      <c r="N2287" t="str">
        <f t="shared" si="107"/>
        <v>OK</v>
      </c>
    </row>
    <row r="2288" spans="1:14" x14ac:dyDescent="0.3">
      <c r="A2288">
        <v>95</v>
      </c>
      <c r="B2288">
        <v>2025</v>
      </c>
      <c r="C2288" s="2">
        <v>45730</v>
      </c>
      <c r="E2288" t="s">
        <v>31</v>
      </c>
      <c r="F2288" t="s">
        <v>32</v>
      </c>
      <c r="G2288" t="s">
        <v>484</v>
      </c>
      <c r="H2288" t="s">
        <v>484</v>
      </c>
      <c r="I2288" t="s">
        <v>702</v>
      </c>
      <c r="J2288" t="s">
        <v>484</v>
      </c>
      <c r="K2288" t="s">
        <v>703</v>
      </c>
      <c r="L2288" t="str">
        <f t="shared" si="105"/>
        <v>OK</v>
      </c>
      <c r="M2288" t="str">
        <f t="shared" si="106"/>
        <v>OK</v>
      </c>
      <c r="N2288" t="str">
        <f t="shared" si="107"/>
        <v>OK</v>
      </c>
    </row>
    <row r="2289" spans="1:14" x14ac:dyDescent="0.3">
      <c r="A2289">
        <v>95</v>
      </c>
      <c r="B2289">
        <v>2025</v>
      </c>
      <c r="C2289" s="2">
        <v>45730</v>
      </c>
      <c r="E2289" t="s">
        <v>34</v>
      </c>
      <c r="F2289" t="s">
        <v>35</v>
      </c>
      <c r="G2289" t="s">
        <v>496</v>
      </c>
      <c r="H2289" t="s">
        <v>496</v>
      </c>
      <c r="I2289" t="s">
        <v>496</v>
      </c>
      <c r="J2289" t="s">
        <v>496</v>
      </c>
      <c r="K2289" t="s">
        <v>496</v>
      </c>
      <c r="L2289" t="str">
        <f t="shared" si="105"/>
        <v>OK</v>
      </c>
      <c r="M2289" t="str">
        <f t="shared" si="106"/>
        <v>OK</v>
      </c>
      <c r="N2289" t="str">
        <f t="shared" si="107"/>
        <v>OK</v>
      </c>
    </row>
    <row r="2290" spans="1:14" x14ac:dyDescent="0.3">
      <c r="A2290">
        <v>95</v>
      </c>
      <c r="B2290">
        <v>2025</v>
      </c>
      <c r="C2290" s="2">
        <v>45730</v>
      </c>
      <c r="E2290" t="s">
        <v>36</v>
      </c>
      <c r="F2290" t="s">
        <v>35</v>
      </c>
      <c r="H2290" t="s">
        <v>468</v>
      </c>
      <c r="I2290" t="s">
        <v>503</v>
      </c>
      <c r="J2290" t="s">
        <v>494</v>
      </c>
      <c r="K2290" t="s">
        <v>494</v>
      </c>
      <c r="L2290" t="str">
        <f t="shared" si="105"/>
        <v>OK</v>
      </c>
      <c r="M2290" t="str">
        <f t="shared" si="106"/>
        <v>OK</v>
      </c>
      <c r="N2290" t="str">
        <f t="shared" si="107"/>
        <v>OK</v>
      </c>
    </row>
    <row r="2291" spans="1:14" x14ac:dyDescent="0.3">
      <c r="A2291">
        <v>95</v>
      </c>
      <c r="B2291">
        <v>2025</v>
      </c>
      <c r="C2291" s="2">
        <v>45730</v>
      </c>
      <c r="E2291" t="s">
        <v>153</v>
      </c>
      <c r="F2291" t="s">
        <v>154</v>
      </c>
      <c r="G2291" t="s">
        <v>502</v>
      </c>
      <c r="H2291" t="s">
        <v>464</v>
      </c>
      <c r="I2291" t="s">
        <v>464</v>
      </c>
      <c r="J2291" t="s">
        <v>581</v>
      </c>
      <c r="K2291" t="s">
        <v>476</v>
      </c>
      <c r="L2291" t="str">
        <f t="shared" si="105"/>
        <v>OK</v>
      </c>
      <c r="M2291" t="str">
        <f t="shared" si="106"/>
        <v>OK</v>
      </c>
      <c r="N2291" t="str">
        <f t="shared" si="107"/>
        <v>ERRO</v>
      </c>
    </row>
    <row r="2292" spans="1:14" x14ac:dyDescent="0.3">
      <c r="A2292">
        <v>95</v>
      </c>
      <c r="B2292">
        <v>2025</v>
      </c>
      <c r="C2292" s="2">
        <v>45730</v>
      </c>
      <c r="E2292" t="s">
        <v>39</v>
      </c>
      <c r="F2292" t="s">
        <v>40</v>
      </c>
      <c r="G2292" t="s">
        <v>499</v>
      </c>
      <c r="H2292" t="s">
        <v>499</v>
      </c>
      <c r="I2292" t="s">
        <v>465</v>
      </c>
      <c r="J2292" t="s">
        <v>499</v>
      </c>
      <c r="K2292" t="s">
        <v>464</v>
      </c>
      <c r="L2292" t="str">
        <f t="shared" si="105"/>
        <v>OK</v>
      </c>
      <c r="M2292" t="str">
        <f t="shared" si="106"/>
        <v>OK</v>
      </c>
      <c r="N2292" t="str">
        <f t="shared" si="107"/>
        <v>OK</v>
      </c>
    </row>
    <row r="2293" spans="1:14" x14ac:dyDescent="0.3">
      <c r="A2293">
        <v>95</v>
      </c>
      <c r="B2293">
        <v>2025</v>
      </c>
      <c r="C2293" s="2">
        <v>45730</v>
      </c>
      <c r="E2293" t="s">
        <v>42</v>
      </c>
      <c r="F2293" t="s">
        <v>43</v>
      </c>
      <c r="G2293" t="s">
        <v>464</v>
      </c>
      <c r="H2293" t="s">
        <v>500</v>
      </c>
      <c r="I2293" t="s">
        <v>481</v>
      </c>
      <c r="J2293" t="s">
        <v>500</v>
      </c>
      <c r="K2293" t="s">
        <v>500</v>
      </c>
      <c r="L2293" t="str">
        <f t="shared" si="105"/>
        <v>ERRO</v>
      </c>
      <c r="M2293" t="str">
        <f t="shared" si="106"/>
        <v>OK</v>
      </c>
      <c r="N2293" t="str">
        <f t="shared" si="107"/>
        <v>ERRO</v>
      </c>
    </row>
    <row r="2294" spans="1:14" x14ac:dyDescent="0.3">
      <c r="A2294">
        <v>95</v>
      </c>
      <c r="B2294">
        <v>2025</v>
      </c>
      <c r="C2294" s="2">
        <v>45730</v>
      </c>
      <c r="E2294" t="s">
        <v>44</v>
      </c>
      <c r="F2294" t="s">
        <v>45</v>
      </c>
      <c r="G2294" t="s">
        <v>464</v>
      </c>
      <c r="H2294" t="s">
        <v>499</v>
      </c>
      <c r="I2294" t="s">
        <v>500</v>
      </c>
      <c r="J2294" t="s">
        <v>573</v>
      </c>
      <c r="K2294" t="s">
        <v>464</v>
      </c>
      <c r="L2294" t="str">
        <f t="shared" si="105"/>
        <v>OK</v>
      </c>
      <c r="M2294" t="str">
        <f t="shared" si="106"/>
        <v>OK</v>
      </c>
      <c r="N2294" t="str">
        <f t="shared" si="107"/>
        <v>OK</v>
      </c>
    </row>
    <row r="2295" spans="1:14" x14ac:dyDescent="0.3">
      <c r="A2295">
        <v>95</v>
      </c>
      <c r="B2295">
        <v>2025</v>
      </c>
      <c r="C2295" s="2">
        <v>45730</v>
      </c>
      <c r="E2295" t="s">
        <v>48</v>
      </c>
      <c r="F2295" t="s">
        <v>45</v>
      </c>
      <c r="G2295" t="s">
        <v>492</v>
      </c>
      <c r="H2295" t="s">
        <v>492</v>
      </c>
      <c r="I2295" t="s">
        <v>704</v>
      </c>
      <c r="J2295" t="s">
        <v>507</v>
      </c>
      <c r="K2295" t="s">
        <v>591</v>
      </c>
      <c r="L2295" t="str">
        <f t="shared" si="105"/>
        <v>OK</v>
      </c>
      <c r="M2295" t="str">
        <f t="shared" si="106"/>
        <v>ERRO</v>
      </c>
      <c r="N2295" t="str">
        <f t="shared" si="107"/>
        <v>OK</v>
      </c>
    </row>
    <row r="2296" spans="1:14" x14ac:dyDescent="0.3">
      <c r="A2296">
        <v>95</v>
      </c>
      <c r="B2296">
        <v>2025</v>
      </c>
      <c r="C2296" s="2">
        <v>45730</v>
      </c>
      <c r="E2296" t="s">
        <v>49</v>
      </c>
      <c r="F2296" t="s">
        <v>50</v>
      </c>
      <c r="G2296" t="s">
        <v>502</v>
      </c>
      <c r="H2296" t="s">
        <v>464</v>
      </c>
      <c r="I2296" t="s">
        <v>527</v>
      </c>
      <c r="J2296" t="s">
        <v>500</v>
      </c>
      <c r="K2296" t="s">
        <v>464</v>
      </c>
      <c r="L2296" t="str">
        <f t="shared" si="105"/>
        <v>OK</v>
      </c>
      <c r="M2296" t="str">
        <f t="shared" si="106"/>
        <v>OK</v>
      </c>
      <c r="N2296" t="str">
        <f t="shared" si="107"/>
        <v>ERRO</v>
      </c>
    </row>
    <row r="2297" spans="1:14" x14ac:dyDescent="0.3">
      <c r="A2297">
        <v>95</v>
      </c>
      <c r="B2297">
        <v>2025</v>
      </c>
      <c r="C2297" s="2">
        <v>45730</v>
      </c>
      <c r="E2297" t="s">
        <v>52</v>
      </c>
      <c r="F2297" t="s">
        <v>43</v>
      </c>
      <c r="G2297" t="s">
        <v>511</v>
      </c>
      <c r="H2297" t="s">
        <v>492</v>
      </c>
      <c r="I2297" t="s">
        <v>555</v>
      </c>
      <c r="J2297" t="s">
        <v>509</v>
      </c>
      <c r="K2297" t="s">
        <v>511</v>
      </c>
      <c r="L2297" t="str">
        <f t="shared" si="105"/>
        <v>OK</v>
      </c>
      <c r="M2297" t="str">
        <f t="shared" si="106"/>
        <v>ERRO</v>
      </c>
      <c r="N2297" t="str">
        <f t="shared" si="107"/>
        <v>OK</v>
      </c>
    </row>
    <row r="2298" spans="1:14" x14ac:dyDescent="0.3">
      <c r="A2298">
        <v>95</v>
      </c>
      <c r="B2298">
        <v>2025</v>
      </c>
      <c r="C2298" s="2">
        <v>45730</v>
      </c>
      <c r="E2298" t="s">
        <v>53</v>
      </c>
      <c r="F2298" t="s">
        <v>43</v>
      </c>
      <c r="G2298" t="s">
        <v>464</v>
      </c>
      <c r="H2298" t="s">
        <v>464</v>
      </c>
      <c r="I2298" t="s">
        <v>492</v>
      </c>
      <c r="J2298" t="s">
        <v>540</v>
      </c>
      <c r="K2298" t="s">
        <v>500</v>
      </c>
      <c r="L2298" t="str">
        <f t="shared" si="105"/>
        <v>OK</v>
      </c>
      <c r="M2298" t="str">
        <f t="shared" si="106"/>
        <v>OK</v>
      </c>
      <c r="N2298" t="str">
        <f t="shared" si="107"/>
        <v>OK</v>
      </c>
    </row>
    <row r="2299" spans="1:14" x14ac:dyDescent="0.3">
      <c r="A2299">
        <v>95</v>
      </c>
      <c r="B2299">
        <v>2025</v>
      </c>
      <c r="C2299" s="2">
        <v>45730</v>
      </c>
      <c r="E2299" t="s">
        <v>54</v>
      </c>
      <c r="F2299" t="s">
        <v>40</v>
      </c>
      <c r="G2299" t="s">
        <v>476</v>
      </c>
      <c r="H2299" t="s">
        <v>476</v>
      </c>
      <c r="I2299" t="s">
        <v>521</v>
      </c>
      <c r="J2299" t="s">
        <v>612</v>
      </c>
      <c r="K2299" t="s">
        <v>492</v>
      </c>
      <c r="L2299" t="str">
        <f t="shared" si="105"/>
        <v>ERRO</v>
      </c>
      <c r="M2299" t="str">
        <f t="shared" si="106"/>
        <v>OK</v>
      </c>
      <c r="N2299" t="str">
        <f t="shared" si="107"/>
        <v>ERRO</v>
      </c>
    </row>
    <row r="2300" spans="1:14" x14ac:dyDescent="0.3">
      <c r="A2300">
        <v>95</v>
      </c>
      <c r="B2300">
        <v>2025</v>
      </c>
      <c r="C2300" s="2">
        <v>45730</v>
      </c>
      <c r="E2300" t="s">
        <v>56</v>
      </c>
      <c r="F2300" t="s">
        <v>43</v>
      </c>
      <c r="H2300" t="s">
        <v>499</v>
      </c>
      <c r="I2300" t="s">
        <v>492</v>
      </c>
      <c r="J2300" t="s">
        <v>705</v>
      </c>
      <c r="K2300" t="s">
        <v>491</v>
      </c>
      <c r="L2300" t="str">
        <f t="shared" si="105"/>
        <v>OK</v>
      </c>
      <c r="M2300" t="str">
        <f t="shared" si="106"/>
        <v>OK</v>
      </c>
      <c r="N2300" t="str">
        <f t="shared" si="107"/>
        <v>OK</v>
      </c>
    </row>
    <row r="2301" spans="1:14" x14ac:dyDescent="0.3">
      <c r="A2301">
        <v>95</v>
      </c>
      <c r="B2301">
        <v>2025</v>
      </c>
      <c r="C2301" s="2">
        <v>45730</v>
      </c>
      <c r="E2301" t="s">
        <v>57</v>
      </c>
      <c r="F2301" t="s">
        <v>40</v>
      </c>
      <c r="H2301" t="s">
        <v>496</v>
      </c>
      <c r="I2301" t="s">
        <v>492</v>
      </c>
      <c r="J2301" t="s">
        <v>497</v>
      </c>
      <c r="K2301" t="s">
        <v>497</v>
      </c>
      <c r="L2301" t="str">
        <f t="shared" si="105"/>
        <v>OK</v>
      </c>
      <c r="M2301" t="str">
        <f t="shared" si="106"/>
        <v>OK</v>
      </c>
      <c r="N2301" t="str">
        <f t="shared" si="107"/>
        <v>OK</v>
      </c>
    </row>
    <row r="2302" spans="1:14" x14ac:dyDescent="0.3">
      <c r="A2302">
        <v>95</v>
      </c>
      <c r="B2302">
        <v>2025</v>
      </c>
      <c r="C2302" s="2">
        <v>45730</v>
      </c>
      <c r="E2302" t="s">
        <v>58</v>
      </c>
      <c r="F2302" t="s">
        <v>40</v>
      </c>
      <c r="G2302" t="s">
        <v>492</v>
      </c>
      <c r="H2302" t="s">
        <v>521</v>
      </c>
      <c r="I2302" t="s">
        <v>521</v>
      </c>
      <c r="J2302" t="s">
        <v>509</v>
      </c>
      <c r="K2302" t="s">
        <v>706</v>
      </c>
      <c r="L2302" t="str">
        <f t="shared" si="105"/>
        <v>OK</v>
      </c>
      <c r="M2302" t="str">
        <f t="shared" si="106"/>
        <v>OK</v>
      </c>
      <c r="N2302" t="str">
        <f t="shared" si="107"/>
        <v>ERRO</v>
      </c>
    </row>
    <row r="2303" spans="1:14" x14ac:dyDescent="0.3">
      <c r="A2303">
        <v>95</v>
      </c>
      <c r="B2303">
        <v>2025</v>
      </c>
      <c r="C2303" s="2">
        <v>45730</v>
      </c>
      <c r="E2303" t="s">
        <v>59</v>
      </c>
      <c r="F2303" t="s">
        <v>45</v>
      </c>
      <c r="G2303" t="s">
        <v>464</v>
      </c>
      <c r="H2303" t="s">
        <v>503</v>
      </c>
      <c r="I2303" t="s">
        <v>539</v>
      </c>
      <c r="J2303" t="s">
        <v>476</v>
      </c>
      <c r="K2303" t="s">
        <v>464</v>
      </c>
      <c r="L2303" t="str">
        <f t="shared" si="105"/>
        <v>OK</v>
      </c>
      <c r="M2303" t="str">
        <f t="shared" si="106"/>
        <v>OK</v>
      </c>
      <c r="N2303" t="str">
        <f t="shared" si="107"/>
        <v>ERRO</v>
      </c>
    </row>
    <row r="2304" spans="1:14" x14ac:dyDescent="0.3">
      <c r="A2304">
        <v>95</v>
      </c>
      <c r="B2304">
        <v>2025</v>
      </c>
      <c r="C2304" s="2">
        <v>45730</v>
      </c>
      <c r="E2304" t="s">
        <v>60</v>
      </c>
      <c r="F2304" t="s">
        <v>61</v>
      </c>
      <c r="G2304" t="s">
        <v>521</v>
      </c>
      <c r="H2304" t="s">
        <v>492</v>
      </c>
      <c r="I2304" t="s">
        <v>521</v>
      </c>
      <c r="J2304" t="s">
        <v>677</v>
      </c>
      <c r="K2304" t="s">
        <v>514</v>
      </c>
      <c r="L2304" t="str">
        <f t="shared" si="105"/>
        <v>ERRO</v>
      </c>
      <c r="M2304" t="str">
        <f t="shared" si="106"/>
        <v>ERRO</v>
      </c>
      <c r="N2304" t="str">
        <f t="shared" si="107"/>
        <v>ERRO</v>
      </c>
    </row>
    <row r="2305" spans="1:14" x14ac:dyDescent="0.3">
      <c r="A2305">
        <v>95</v>
      </c>
      <c r="B2305">
        <v>2025</v>
      </c>
      <c r="C2305" s="2">
        <v>45730</v>
      </c>
      <c r="E2305" t="s">
        <v>63</v>
      </c>
      <c r="F2305" t="s">
        <v>40</v>
      </c>
      <c r="H2305" t="s">
        <v>606</v>
      </c>
      <c r="I2305" t="s">
        <v>517</v>
      </c>
      <c r="J2305" t="s">
        <v>515</v>
      </c>
      <c r="K2305" t="s">
        <v>517</v>
      </c>
      <c r="L2305" t="str">
        <f t="shared" si="105"/>
        <v>OK</v>
      </c>
      <c r="M2305" t="str">
        <f t="shared" si="106"/>
        <v>OK</v>
      </c>
      <c r="N2305" t="str">
        <f t="shared" si="107"/>
        <v>ERRO</v>
      </c>
    </row>
    <row r="2306" spans="1:14" x14ac:dyDescent="0.3">
      <c r="A2306">
        <v>95</v>
      </c>
      <c r="B2306">
        <v>2025</v>
      </c>
      <c r="C2306" s="2">
        <v>45730</v>
      </c>
      <c r="E2306" t="s">
        <v>64</v>
      </c>
      <c r="F2306" t="s">
        <v>40</v>
      </c>
      <c r="G2306" t="s">
        <v>521</v>
      </c>
      <c r="H2306" t="s">
        <v>521</v>
      </c>
      <c r="I2306" t="s">
        <v>667</v>
      </c>
      <c r="J2306" t="s">
        <v>606</v>
      </c>
      <c r="K2306" t="s">
        <v>509</v>
      </c>
      <c r="L2306" t="str">
        <f t="shared" si="105"/>
        <v>OK</v>
      </c>
      <c r="M2306" t="str">
        <f t="shared" si="106"/>
        <v>OK</v>
      </c>
      <c r="N2306" t="str">
        <f t="shared" si="107"/>
        <v>ERRO</v>
      </c>
    </row>
    <row r="2307" spans="1:14" x14ac:dyDescent="0.3">
      <c r="A2307">
        <v>95</v>
      </c>
      <c r="B2307">
        <v>2025</v>
      </c>
      <c r="C2307" s="2">
        <v>45730</v>
      </c>
      <c r="E2307" s="11" t="s">
        <v>66</v>
      </c>
      <c r="F2307" s="12" t="s">
        <v>45</v>
      </c>
      <c r="L2307" t="str">
        <f t="shared" ref="L2307:L2370" si="108">IF(H2307&gt;I2307,"ERRO","OK")</f>
        <v>OK</v>
      </c>
      <c r="M2307" t="str">
        <f t="shared" ref="M2307:M2370" si="109">IF(H2307&gt;J2307,"ERRO","OK")</f>
        <v>OK</v>
      </c>
      <c r="N2307" t="str">
        <f t="shared" ref="N2307:N2370" si="110">IF(I2307&lt;J2307,"ERRO","OK")</f>
        <v>OK</v>
      </c>
    </row>
    <row r="2308" spans="1:14" x14ac:dyDescent="0.3">
      <c r="A2308">
        <v>95</v>
      </c>
      <c r="B2308">
        <v>2025</v>
      </c>
      <c r="C2308" s="2">
        <v>45730</v>
      </c>
      <c r="E2308" s="11" t="s">
        <v>67</v>
      </c>
      <c r="F2308" s="12" t="s">
        <v>45</v>
      </c>
      <c r="L2308" t="str">
        <f t="shared" si="108"/>
        <v>OK</v>
      </c>
      <c r="M2308" t="str">
        <f t="shared" si="109"/>
        <v>OK</v>
      </c>
      <c r="N2308" t="str">
        <f t="shared" si="110"/>
        <v>OK</v>
      </c>
    </row>
    <row r="2309" spans="1:14" x14ac:dyDescent="0.3">
      <c r="A2309">
        <v>95</v>
      </c>
      <c r="B2309">
        <v>2025</v>
      </c>
      <c r="C2309" s="2">
        <v>45730</v>
      </c>
      <c r="E2309" s="11" t="s">
        <v>68</v>
      </c>
      <c r="F2309" s="12" t="s">
        <v>45</v>
      </c>
      <c r="L2309" t="str">
        <f t="shared" si="108"/>
        <v>OK</v>
      </c>
      <c r="M2309" t="str">
        <f t="shared" si="109"/>
        <v>OK</v>
      </c>
      <c r="N2309" t="str">
        <f t="shared" si="110"/>
        <v>OK</v>
      </c>
    </row>
    <row r="2310" spans="1:14" x14ac:dyDescent="0.3">
      <c r="A2310">
        <v>95</v>
      </c>
      <c r="B2310">
        <v>2025</v>
      </c>
      <c r="C2310" s="2">
        <v>45730</v>
      </c>
      <c r="E2310" s="11" t="s">
        <v>69</v>
      </c>
      <c r="F2310" s="12" t="s">
        <v>45</v>
      </c>
      <c r="L2310" t="str">
        <f t="shared" si="108"/>
        <v>OK</v>
      </c>
      <c r="M2310" t="str">
        <f t="shared" si="109"/>
        <v>OK</v>
      </c>
      <c r="N2310" t="str">
        <f t="shared" si="110"/>
        <v>OK</v>
      </c>
    </row>
    <row r="2311" spans="1:14" x14ac:dyDescent="0.3">
      <c r="A2311">
        <v>95</v>
      </c>
      <c r="B2311">
        <v>2025</v>
      </c>
      <c r="C2311" s="2">
        <v>45730</v>
      </c>
      <c r="E2311" s="11" t="s">
        <v>70</v>
      </c>
      <c r="F2311" s="12" t="s">
        <v>71</v>
      </c>
      <c r="L2311" t="str">
        <f t="shared" si="108"/>
        <v>OK</v>
      </c>
      <c r="M2311" t="str">
        <f t="shared" si="109"/>
        <v>OK</v>
      </c>
      <c r="N2311" t="str">
        <f t="shared" si="110"/>
        <v>OK</v>
      </c>
    </row>
    <row r="2312" spans="1:14" x14ac:dyDescent="0.3">
      <c r="A2312">
        <v>96</v>
      </c>
      <c r="B2312">
        <v>2025</v>
      </c>
      <c r="C2312" s="2">
        <v>45737</v>
      </c>
      <c r="E2312" t="s">
        <v>12</v>
      </c>
      <c r="F2312" t="s">
        <v>13</v>
      </c>
      <c r="H2312" t="s">
        <v>464</v>
      </c>
      <c r="I2312" t="s">
        <v>466</v>
      </c>
      <c r="J2312" t="s">
        <v>522</v>
      </c>
      <c r="K2312" t="s">
        <v>522</v>
      </c>
      <c r="L2312" t="str">
        <f t="shared" si="108"/>
        <v>OK</v>
      </c>
      <c r="M2312" t="str">
        <f t="shared" si="109"/>
        <v>OK</v>
      </c>
      <c r="N2312" t="str">
        <f t="shared" si="110"/>
        <v>OK</v>
      </c>
    </row>
    <row r="2313" spans="1:14" x14ac:dyDescent="0.3">
      <c r="A2313">
        <v>96</v>
      </c>
      <c r="B2313">
        <v>2025</v>
      </c>
      <c r="C2313" s="2">
        <v>45737</v>
      </c>
      <c r="E2313" t="s">
        <v>14</v>
      </c>
      <c r="F2313" t="s">
        <v>13</v>
      </c>
      <c r="H2313" t="s">
        <v>464</v>
      </c>
      <c r="I2313" t="s">
        <v>579</v>
      </c>
      <c r="J2313" t="s">
        <v>523</v>
      </c>
      <c r="K2313" t="s">
        <v>523</v>
      </c>
      <c r="L2313" t="str">
        <f t="shared" si="108"/>
        <v>OK</v>
      </c>
      <c r="M2313" t="str">
        <f t="shared" si="109"/>
        <v>OK</v>
      </c>
      <c r="N2313" t="str">
        <f t="shared" si="110"/>
        <v>OK</v>
      </c>
    </row>
    <row r="2314" spans="1:14" x14ac:dyDescent="0.3">
      <c r="A2314">
        <v>96</v>
      </c>
      <c r="B2314">
        <v>2025</v>
      </c>
      <c r="C2314" s="2">
        <v>45737</v>
      </c>
      <c r="E2314" t="s">
        <v>15</v>
      </c>
      <c r="F2314" t="s">
        <v>13</v>
      </c>
      <c r="H2314" t="s">
        <v>464</v>
      </c>
      <c r="I2314" t="s">
        <v>469</v>
      </c>
      <c r="J2314" t="s">
        <v>534</v>
      </c>
      <c r="K2314" t="s">
        <v>465</v>
      </c>
      <c r="L2314" t="str">
        <f t="shared" si="108"/>
        <v>ERRO</v>
      </c>
      <c r="M2314" t="str">
        <f t="shared" si="109"/>
        <v>ERRO</v>
      </c>
      <c r="N2314" t="str">
        <f t="shared" si="110"/>
        <v>ERRO</v>
      </c>
    </row>
    <row r="2315" spans="1:14" x14ac:dyDescent="0.3">
      <c r="A2315">
        <v>96</v>
      </c>
      <c r="B2315">
        <v>2025</v>
      </c>
      <c r="C2315" s="2">
        <v>45737</v>
      </c>
      <c r="E2315" t="s">
        <v>16</v>
      </c>
      <c r="F2315" t="s">
        <v>13</v>
      </c>
      <c r="G2315" t="s">
        <v>468</v>
      </c>
      <c r="H2315" t="s">
        <v>468</v>
      </c>
      <c r="I2315" t="s">
        <v>471</v>
      </c>
      <c r="J2315" t="s">
        <v>668</v>
      </c>
      <c r="K2315" t="s">
        <v>468</v>
      </c>
      <c r="L2315" t="str">
        <f t="shared" si="108"/>
        <v>OK</v>
      </c>
      <c r="M2315" t="str">
        <f t="shared" si="109"/>
        <v>OK</v>
      </c>
      <c r="N2315" t="str">
        <f t="shared" si="110"/>
        <v>OK</v>
      </c>
    </row>
    <row r="2316" spans="1:14" x14ac:dyDescent="0.3">
      <c r="A2316">
        <v>96</v>
      </c>
      <c r="B2316">
        <v>2025</v>
      </c>
      <c r="C2316" s="2">
        <v>45737</v>
      </c>
      <c r="E2316" t="s">
        <v>17</v>
      </c>
      <c r="F2316" t="s">
        <v>13</v>
      </c>
      <c r="G2316" t="s">
        <v>468</v>
      </c>
      <c r="H2316" t="s">
        <v>471</v>
      </c>
      <c r="I2316" t="s">
        <v>468</v>
      </c>
      <c r="J2316" t="s">
        <v>668</v>
      </c>
      <c r="K2316" t="s">
        <v>468</v>
      </c>
      <c r="L2316" t="str">
        <f t="shared" si="108"/>
        <v>ERRO</v>
      </c>
      <c r="M2316" t="str">
        <f t="shared" si="109"/>
        <v>ERRO</v>
      </c>
      <c r="N2316" t="str">
        <f t="shared" si="110"/>
        <v>ERRO</v>
      </c>
    </row>
    <row r="2317" spans="1:14" x14ac:dyDescent="0.3">
      <c r="A2317">
        <v>96</v>
      </c>
      <c r="B2317">
        <v>2025</v>
      </c>
      <c r="C2317" s="2">
        <v>45737</v>
      </c>
      <c r="E2317" t="s">
        <v>18</v>
      </c>
      <c r="F2317" t="s">
        <v>13</v>
      </c>
      <c r="H2317" t="s">
        <v>579</v>
      </c>
      <c r="I2317" t="s">
        <v>522</v>
      </c>
      <c r="J2317" t="s">
        <v>609</v>
      </c>
      <c r="K2317" t="s">
        <v>609</v>
      </c>
      <c r="L2317" t="str">
        <f t="shared" si="108"/>
        <v>ERRO</v>
      </c>
      <c r="M2317" t="str">
        <f t="shared" si="109"/>
        <v>ERRO</v>
      </c>
      <c r="N2317" t="str">
        <f t="shared" si="110"/>
        <v>ERRO</v>
      </c>
    </row>
    <row r="2318" spans="1:14" x14ac:dyDescent="0.3">
      <c r="A2318">
        <v>96</v>
      </c>
      <c r="B2318">
        <v>2025</v>
      </c>
      <c r="C2318" s="2">
        <v>45737</v>
      </c>
      <c r="E2318" t="s">
        <v>19</v>
      </c>
      <c r="F2318" t="s">
        <v>13</v>
      </c>
      <c r="H2318" t="s">
        <v>579</v>
      </c>
      <c r="I2318" t="s">
        <v>707</v>
      </c>
      <c r="J2318" t="s">
        <v>553</v>
      </c>
      <c r="K2318" t="s">
        <v>553</v>
      </c>
      <c r="L2318" t="str">
        <f t="shared" si="108"/>
        <v>ERRO</v>
      </c>
      <c r="M2318" t="str">
        <f t="shared" si="109"/>
        <v>ERRO</v>
      </c>
      <c r="N2318" t="str">
        <f t="shared" si="110"/>
        <v>OK</v>
      </c>
    </row>
    <row r="2319" spans="1:14" x14ac:dyDescent="0.3">
      <c r="A2319">
        <v>96</v>
      </c>
      <c r="B2319">
        <v>2025</v>
      </c>
      <c r="C2319" s="2">
        <v>45737</v>
      </c>
      <c r="E2319" t="s">
        <v>20</v>
      </c>
      <c r="F2319" t="s">
        <v>13</v>
      </c>
      <c r="H2319" t="s">
        <v>507</v>
      </c>
      <c r="I2319" t="s">
        <v>467</v>
      </c>
      <c r="J2319" t="s">
        <v>521</v>
      </c>
      <c r="K2319" t="s">
        <v>579</v>
      </c>
      <c r="L2319" t="str">
        <f t="shared" si="108"/>
        <v>OK</v>
      </c>
      <c r="M2319" t="str">
        <f t="shared" si="109"/>
        <v>ERRO</v>
      </c>
      <c r="N2319" t="str">
        <f t="shared" si="110"/>
        <v>OK</v>
      </c>
    </row>
    <row r="2320" spans="1:14" x14ac:dyDescent="0.3">
      <c r="A2320">
        <v>96</v>
      </c>
      <c r="B2320">
        <v>2025</v>
      </c>
      <c r="C2320" s="2">
        <v>45737</v>
      </c>
      <c r="E2320" t="s">
        <v>21</v>
      </c>
      <c r="F2320" t="s">
        <v>13</v>
      </c>
      <c r="H2320" t="s">
        <v>472</v>
      </c>
      <c r="I2320" t="s">
        <v>469</v>
      </c>
      <c r="J2320" t="s">
        <v>687</v>
      </c>
      <c r="K2320" t="s">
        <v>468</v>
      </c>
      <c r="L2320" t="str">
        <f t="shared" si="108"/>
        <v>OK</v>
      </c>
      <c r="M2320" t="str">
        <f t="shared" si="109"/>
        <v>OK</v>
      </c>
      <c r="N2320" t="str">
        <f t="shared" si="110"/>
        <v>OK</v>
      </c>
    </row>
    <row r="2321" spans="1:14" x14ac:dyDescent="0.3">
      <c r="A2321">
        <v>96</v>
      </c>
      <c r="B2321">
        <v>2025</v>
      </c>
      <c r="C2321" s="2">
        <v>45737</v>
      </c>
      <c r="E2321" t="s">
        <v>73</v>
      </c>
      <c r="F2321" t="s">
        <v>13</v>
      </c>
      <c r="H2321" t="s">
        <v>579</v>
      </c>
      <c r="I2321" t="s">
        <v>507</v>
      </c>
      <c r="J2321" t="s">
        <v>671</v>
      </c>
      <c r="K2321" t="s">
        <v>671</v>
      </c>
      <c r="L2321" t="str">
        <f t="shared" si="108"/>
        <v>ERRO</v>
      </c>
      <c r="M2321" t="str">
        <f t="shared" si="109"/>
        <v>ERRO</v>
      </c>
      <c r="N2321" t="str">
        <f t="shared" si="110"/>
        <v>OK</v>
      </c>
    </row>
    <row r="2322" spans="1:14" x14ac:dyDescent="0.3">
      <c r="A2322">
        <v>96</v>
      </c>
      <c r="B2322">
        <v>2025</v>
      </c>
      <c r="C2322" s="2">
        <v>45737</v>
      </c>
      <c r="E2322" t="s">
        <v>23</v>
      </c>
      <c r="F2322" t="s">
        <v>13</v>
      </c>
      <c r="G2322" t="s">
        <v>468</v>
      </c>
      <c r="H2322" t="s">
        <v>468</v>
      </c>
      <c r="I2322" t="s">
        <v>471</v>
      </c>
      <c r="J2322" t="s">
        <v>668</v>
      </c>
      <c r="K2322" t="s">
        <v>468</v>
      </c>
      <c r="L2322" t="str">
        <f t="shared" si="108"/>
        <v>OK</v>
      </c>
      <c r="M2322" t="str">
        <f t="shared" si="109"/>
        <v>OK</v>
      </c>
      <c r="N2322" t="str">
        <f t="shared" si="110"/>
        <v>OK</v>
      </c>
    </row>
    <row r="2323" spans="1:14" x14ac:dyDescent="0.3">
      <c r="A2323">
        <v>96</v>
      </c>
      <c r="B2323">
        <v>2025</v>
      </c>
      <c r="C2323" s="2">
        <v>45737</v>
      </c>
      <c r="E2323" t="s">
        <v>24</v>
      </c>
      <c r="F2323" t="s">
        <v>13</v>
      </c>
      <c r="H2323" t="s">
        <v>466</v>
      </c>
      <c r="I2323" t="s">
        <v>579</v>
      </c>
      <c r="J2323" t="s">
        <v>467</v>
      </c>
      <c r="K2323" t="s">
        <v>467</v>
      </c>
      <c r="L2323" t="str">
        <f t="shared" si="108"/>
        <v>OK</v>
      </c>
      <c r="M2323" t="str">
        <f t="shared" si="109"/>
        <v>OK</v>
      </c>
      <c r="N2323" t="str">
        <f t="shared" si="110"/>
        <v>OK</v>
      </c>
    </row>
    <row r="2324" spans="1:14" x14ac:dyDescent="0.3">
      <c r="A2324">
        <v>96</v>
      </c>
      <c r="B2324">
        <v>2025</v>
      </c>
      <c r="C2324" s="2">
        <v>45737</v>
      </c>
      <c r="E2324" t="s">
        <v>25</v>
      </c>
      <c r="F2324" t="s">
        <v>26</v>
      </c>
      <c r="G2324" t="s">
        <v>464</v>
      </c>
      <c r="H2324" t="s">
        <v>464</v>
      </c>
      <c r="I2324" t="s">
        <v>466</v>
      </c>
      <c r="J2324" t="s">
        <v>475</v>
      </c>
      <c r="K2324" t="s">
        <v>464</v>
      </c>
      <c r="L2324" t="str">
        <f t="shared" si="108"/>
        <v>OK</v>
      </c>
      <c r="M2324" t="str">
        <f t="shared" si="109"/>
        <v>OK</v>
      </c>
      <c r="N2324" t="str">
        <f t="shared" si="110"/>
        <v>OK</v>
      </c>
    </row>
    <row r="2325" spans="1:14" x14ac:dyDescent="0.3">
      <c r="A2325">
        <v>96</v>
      </c>
      <c r="B2325">
        <v>2025</v>
      </c>
      <c r="C2325" s="2">
        <v>45737</v>
      </c>
      <c r="E2325" t="s">
        <v>27</v>
      </c>
      <c r="F2325" t="s">
        <v>13</v>
      </c>
      <c r="H2325" t="s">
        <v>579</v>
      </c>
      <c r="I2325" t="s">
        <v>467</v>
      </c>
      <c r="J2325" t="s">
        <v>511</v>
      </c>
      <c r="K2325" t="s">
        <v>511</v>
      </c>
      <c r="L2325" t="str">
        <f t="shared" si="108"/>
        <v>ERRO</v>
      </c>
      <c r="M2325" t="str">
        <f t="shared" si="109"/>
        <v>ERRO</v>
      </c>
      <c r="N2325" t="str">
        <f t="shared" si="110"/>
        <v>ERRO</v>
      </c>
    </row>
    <row r="2326" spans="1:14" x14ac:dyDescent="0.3">
      <c r="A2326">
        <v>96</v>
      </c>
      <c r="B2326">
        <v>2025</v>
      </c>
      <c r="C2326" s="2">
        <v>45737</v>
      </c>
      <c r="E2326" t="s">
        <v>28</v>
      </c>
      <c r="F2326" t="s">
        <v>13</v>
      </c>
      <c r="H2326" t="s">
        <v>496</v>
      </c>
      <c r="I2326" t="s">
        <v>467</v>
      </c>
      <c r="J2326" t="s">
        <v>491</v>
      </c>
      <c r="K2326" t="s">
        <v>535</v>
      </c>
      <c r="L2326" t="str">
        <f t="shared" si="108"/>
        <v>OK</v>
      </c>
      <c r="M2326" t="str">
        <f t="shared" si="109"/>
        <v>OK</v>
      </c>
      <c r="N2326" t="str">
        <f t="shared" si="110"/>
        <v>OK</v>
      </c>
    </row>
    <row r="2327" spans="1:14" x14ac:dyDescent="0.3">
      <c r="A2327">
        <v>96</v>
      </c>
      <c r="B2327">
        <v>2025</v>
      </c>
      <c r="C2327" s="2">
        <v>45737</v>
      </c>
      <c r="E2327" t="s">
        <v>29</v>
      </c>
      <c r="F2327" t="s">
        <v>13</v>
      </c>
      <c r="G2327" t="s">
        <v>464</v>
      </c>
      <c r="H2327" t="s">
        <v>464</v>
      </c>
      <c r="I2327" t="s">
        <v>464</v>
      </c>
      <c r="J2327" t="s">
        <v>464</v>
      </c>
      <c r="K2327" t="s">
        <v>464</v>
      </c>
      <c r="L2327" t="str">
        <f t="shared" si="108"/>
        <v>OK</v>
      </c>
      <c r="M2327" t="str">
        <f t="shared" si="109"/>
        <v>OK</v>
      </c>
      <c r="N2327" t="str">
        <f t="shared" si="110"/>
        <v>OK</v>
      </c>
    </row>
    <row r="2328" spans="1:14" x14ac:dyDescent="0.3">
      <c r="A2328">
        <v>96</v>
      </c>
      <c r="B2328">
        <v>2025</v>
      </c>
      <c r="C2328" s="2">
        <v>45737</v>
      </c>
      <c r="E2328" t="s">
        <v>31</v>
      </c>
      <c r="F2328" t="s">
        <v>32</v>
      </c>
      <c r="G2328" t="s">
        <v>702</v>
      </c>
      <c r="H2328" t="s">
        <v>484</v>
      </c>
      <c r="I2328" t="s">
        <v>484</v>
      </c>
      <c r="J2328" t="s">
        <v>484</v>
      </c>
      <c r="K2328" t="s">
        <v>703</v>
      </c>
      <c r="L2328" t="str">
        <f t="shared" si="108"/>
        <v>OK</v>
      </c>
      <c r="M2328" t="str">
        <f t="shared" si="109"/>
        <v>OK</v>
      </c>
      <c r="N2328" t="str">
        <f t="shared" si="110"/>
        <v>OK</v>
      </c>
    </row>
    <row r="2329" spans="1:14" x14ac:dyDescent="0.3">
      <c r="A2329">
        <v>96</v>
      </c>
      <c r="B2329">
        <v>2025</v>
      </c>
      <c r="C2329" s="2">
        <v>45737</v>
      </c>
      <c r="E2329" t="s">
        <v>34</v>
      </c>
      <c r="F2329" t="s">
        <v>35</v>
      </c>
      <c r="G2329" t="s">
        <v>496</v>
      </c>
      <c r="H2329" t="s">
        <v>708</v>
      </c>
      <c r="I2329" t="s">
        <v>496</v>
      </c>
      <c r="J2329" t="s">
        <v>496</v>
      </c>
      <c r="K2329" t="s">
        <v>709</v>
      </c>
      <c r="L2329" t="str">
        <f t="shared" si="108"/>
        <v>OK</v>
      </c>
      <c r="M2329" t="str">
        <f t="shared" si="109"/>
        <v>OK</v>
      </c>
      <c r="N2329" t="str">
        <f t="shared" si="110"/>
        <v>OK</v>
      </c>
    </row>
    <row r="2330" spans="1:14" x14ac:dyDescent="0.3">
      <c r="A2330">
        <v>96</v>
      </c>
      <c r="B2330">
        <v>2025</v>
      </c>
      <c r="C2330" s="2">
        <v>45737</v>
      </c>
      <c r="E2330" t="s">
        <v>36</v>
      </c>
      <c r="F2330" t="s">
        <v>35</v>
      </c>
      <c r="H2330" t="s">
        <v>525</v>
      </c>
      <c r="I2330" t="s">
        <v>503</v>
      </c>
      <c r="J2330" t="s">
        <v>574</v>
      </c>
      <c r="K2330" t="s">
        <v>494</v>
      </c>
      <c r="L2330" t="str">
        <f t="shared" si="108"/>
        <v>OK</v>
      </c>
      <c r="M2330" t="str">
        <f t="shared" si="109"/>
        <v>OK</v>
      </c>
      <c r="N2330" t="str">
        <f t="shared" si="110"/>
        <v>OK</v>
      </c>
    </row>
    <row r="2331" spans="1:14" x14ac:dyDescent="0.3">
      <c r="A2331">
        <v>96</v>
      </c>
      <c r="B2331">
        <v>2025</v>
      </c>
      <c r="C2331" s="2">
        <v>45737</v>
      </c>
      <c r="E2331" t="s">
        <v>153</v>
      </c>
      <c r="F2331" t="s">
        <v>154</v>
      </c>
      <c r="H2331" t="s">
        <v>464</v>
      </c>
      <c r="I2331" t="s">
        <v>502</v>
      </c>
      <c r="J2331" t="s">
        <v>505</v>
      </c>
      <c r="K2331" t="s">
        <v>505</v>
      </c>
      <c r="L2331" t="str">
        <f t="shared" si="108"/>
        <v>ERRO</v>
      </c>
      <c r="M2331" t="str">
        <f t="shared" si="109"/>
        <v>ERRO</v>
      </c>
      <c r="N2331" t="str">
        <f t="shared" si="110"/>
        <v>ERRO</v>
      </c>
    </row>
    <row r="2332" spans="1:14" x14ac:dyDescent="0.3">
      <c r="A2332">
        <v>96</v>
      </c>
      <c r="B2332">
        <v>2025</v>
      </c>
      <c r="C2332" s="2">
        <v>45737</v>
      </c>
      <c r="E2332" t="s">
        <v>39</v>
      </c>
      <c r="F2332" t="s">
        <v>40</v>
      </c>
      <c r="G2332" t="s">
        <v>476</v>
      </c>
      <c r="H2332" t="s">
        <v>476</v>
      </c>
      <c r="I2332" t="s">
        <v>491</v>
      </c>
      <c r="J2332" t="s">
        <v>476</v>
      </c>
      <c r="K2332" t="s">
        <v>590</v>
      </c>
      <c r="L2332" t="str">
        <f t="shared" si="108"/>
        <v>OK</v>
      </c>
      <c r="M2332" t="str">
        <f t="shared" si="109"/>
        <v>OK</v>
      </c>
      <c r="N2332" t="str">
        <f t="shared" si="110"/>
        <v>OK</v>
      </c>
    </row>
    <row r="2333" spans="1:14" x14ac:dyDescent="0.3">
      <c r="A2333">
        <v>96</v>
      </c>
      <c r="B2333">
        <v>2025</v>
      </c>
      <c r="C2333" s="2">
        <v>45737</v>
      </c>
      <c r="E2333" t="s">
        <v>42</v>
      </c>
      <c r="F2333" t="s">
        <v>43</v>
      </c>
      <c r="H2333" t="s">
        <v>496</v>
      </c>
      <c r="I2333" t="s">
        <v>476</v>
      </c>
      <c r="J2333" t="s">
        <v>464</v>
      </c>
      <c r="K2333" t="s">
        <v>500</v>
      </c>
      <c r="L2333" t="str">
        <f t="shared" si="108"/>
        <v>OK</v>
      </c>
      <c r="M2333" t="str">
        <f t="shared" si="109"/>
        <v>OK</v>
      </c>
      <c r="N2333" t="str">
        <f t="shared" si="110"/>
        <v>OK</v>
      </c>
    </row>
    <row r="2334" spans="1:14" x14ac:dyDescent="0.3">
      <c r="A2334">
        <v>96</v>
      </c>
      <c r="B2334">
        <v>2025</v>
      </c>
      <c r="C2334" s="2">
        <v>45737</v>
      </c>
      <c r="E2334" t="s">
        <v>44</v>
      </c>
      <c r="F2334" t="s">
        <v>45</v>
      </c>
      <c r="H2334" t="s">
        <v>500</v>
      </c>
      <c r="I2334" t="s">
        <v>503</v>
      </c>
      <c r="J2334" t="s">
        <v>502</v>
      </c>
      <c r="K2334" t="s">
        <v>464</v>
      </c>
      <c r="L2334" t="str">
        <f t="shared" si="108"/>
        <v>ERRO</v>
      </c>
      <c r="M2334" t="str">
        <f t="shared" si="109"/>
        <v>ERRO</v>
      </c>
      <c r="N2334" t="str">
        <f t="shared" si="110"/>
        <v>ERRO</v>
      </c>
    </row>
    <row r="2335" spans="1:14" x14ac:dyDescent="0.3">
      <c r="A2335">
        <v>96</v>
      </c>
      <c r="B2335">
        <v>2025</v>
      </c>
      <c r="C2335" s="2">
        <v>45737</v>
      </c>
      <c r="E2335" t="s">
        <v>48</v>
      </c>
      <c r="F2335" t="s">
        <v>45</v>
      </c>
      <c r="H2335" t="s">
        <v>492</v>
      </c>
      <c r="I2335" t="s">
        <v>476</v>
      </c>
      <c r="J2335" t="s">
        <v>491</v>
      </c>
      <c r="K2335" t="s">
        <v>491</v>
      </c>
      <c r="L2335" t="str">
        <f t="shared" si="108"/>
        <v>ERRO</v>
      </c>
      <c r="M2335" t="str">
        <f t="shared" si="109"/>
        <v>ERRO</v>
      </c>
      <c r="N2335" t="str">
        <f t="shared" si="110"/>
        <v>ERRO</v>
      </c>
    </row>
    <row r="2336" spans="1:14" x14ac:dyDescent="0.3">
      <c r="A2336">
        <v>96</v>
      </c>
      <c r="B2336">
        <v>2025</v>
      </c>
      <c r="C2336" s="2">
        <v>45737</v>
      </c>
      <c r="E2336" t="s">
        <v>49</v>
      </c>
      <c r="F2336" t="s">
        <v>50</v>
      </c>
      <c r="G2336" t="s">
        <v>464</v>
      </c>
      <c r="H2336" t="s">
        <v>476</v>
      </c>
      <c r="I2336" t="s">
        <v>464</v>
      </c>
      <c r="J2336" t="s">
        <v>480</v>
      </c>
      <c r="K2336" t="s">
        <v>464</v>
      </c>
      <c r="L2336" t="str">
        <f t="shared" si="108"/>
        <v>ERRO</v>
      </c>
      <c r="M2336" t="str">
        <f t="shared" si="109"/>
        <v>ERRO</v>
      </c>
      <c r="N2336" t="str">
        <f t="shared" si="110"/>
        <v>ERRO</v>
      </c>
    </row>
    <row r="2337" spans="1:14" x14ac:dyDescent="0.3">
      <c r="A2337">
        <v>96</v>
      </c>
      <c r="B2337">
        <v>2025</v>
      </c>
      <c r="C2337" s="2">
        <v>45737</v>
      </c>
      <c r="E2337" t="s">
        <v>52</v>
      </c>
      <c r="F2337" t="s">
        <v>43</v>
      </c>
      <c r="G2337" t="s">
        <v>476</v>
      </c>
      <c r="H2337" t="s">
        <v>521</v>
      </c>
      <c r="I2337" t="s">
        <v>521</v>
      </c>
      <c r="J2337" t="s">
        <v>511</v>
      </c>
      <c r="K2337" t="s">
        <v>521</v>
      </c>
      <c r="L2337" t="str">
        <f t="shared" si="108"/>
        <v>OK</v>
      </c>
      <c r="M2337" t="str">
        <f t="shared" si="109"/>
        <v>OK</v>
      </c>
      <c r="N2337" t="str">
        <f t="shared" si="110"/>
        <v>ERRO</v>
      </c>
    </row>
    <row r="2338" spans="1:14" x14ac:dyDescent="0.3">
      <c r="A2338">
        <v>96</v>
      </c>
      <c r="B2338">
        <v>2025</v>
      </c>
      <c r="C2338" s="2">
        <v>45737</v>
      </c>
      <c r="E2338" t="s">
        <v>53</v>
      </c>
      <c r="F2338" t="s">
        <v>43</v>
      </c>
      <c r="H2338" t="s">
        <v>499</v>
      </c>
      <c r="I2338" t="s">
        <v>507</v>
      </c>
      <c r="J2338" t="s">
        <v>551</v>
      </c>
      <c r="K2338" t="s">
        <v>500</v>
      </c>
      <c r="L2338" t="str">
        <f t="shared" si="108"/>
        <v>ERRO</v>
      </c>
      <c r="M2338" t="str">
        <f t="shared" si="109"/>
        <v>OK</v>
      </c>
      <c r="N2338" t="str">
        <f t="shared" si="110"/>
        <v>ERRO</v>
      </c>
    </row>
    <row r="2339" spans="1:14" x14ac:dyDescent="0.3">
      <c r="A2339">
        <v>96</v>
      </c>
      <c r="B2339">
        <v>2025</v>
      </c>
      <c r="C2339" s="2">
        <v>45737</v>
      </c>
      <c r="E2339" t="s">
        <v>54</v>
      </c>
      <c r="F2339" t="s">
        <v>40</v>
      </c>
      <c r="H2339" t="s">
        <v>511</v>
      </c>
      <c r="I2339" t="s">
        <v>521</v>
      </c>
      <c r="J2339" t="s">
        <v>518</v>
      </c>
      <c r="K2339" t="s">
        <v>518</v>
      </c>
      <c r="L2339" t="str">
        <f t="shared" si="108"/>
        <v>ERRO</v>
      </c>
      <c r="M2339" t="str">
        <f t="shared" si="109"/>
        <v>OK</v>
      </c>
      <c r="N2339" t="str">
        <f t="shared" si="110"/>
        <v>ERRO</v>
      </c>
    </row>
    <row r="2340" spans="1:14" x14ac:dyDescent="0.3">
      <c r="A2340">
        <v>96</v>
      </c>
      <c r="B2340">
        <v>2025</v>
      </c>
      <c r="C2340" s="2">
        <v>45737</v>
      </c>
      <c r="E2340" t="s">
        <v>56</v>
      </c>
      <c r="F2340" t="s">
        <v>43</v>
      </c>
      <c r="H2340" t="s">
        <v>499</v>
      </c>
      <c r="I2340" t="s">
        <v>491</v>
      </c>
      <c r="J2340" t="s">
        <v>497</v>
      </c>
      <c r="K2340" t="s">
        <v>497</v>
      </c>
      <c r="L2340" t="str">
        <f t="shared" si="108"/>
        <v>OK</v>
      </c>
      <c r="M2340" t="str">
        <f t="shared" si="109"/>
        <v>OK</v>
      </c>
      <c r="N2340" t="str">
        <f t="shared" si="110"/>
        <v>OK</v>
      </c>
    </row>
    <row r="2341" spans="1:14" x14ac:dyDescent="0.3">
      <c r="A2341">
        <v>96</v>
      </c>
      <c r="B2341">
        <v>2025</v>
      </c>
      <c r="C2341" s="2">
        <v>45737</v>
      </c>
      <c r="E2341" t="s">
        <v>57</v>
      </c>
      <c r="F2341" t="s">
        <v>40</v>
      </c>
      <c r="H2341" t="s">
        <v>476</v>
      </c>
      <c r="I2341" t="s">
        <v>492</v>
      </c>
      <c r="J2341" t="s">
        <v>491</v>
      </c>
      <c r="K2341" t="s">
        <v>491</v>
      </c>
      <c r="L2341" t="str">
        <f t="shared" si="108"/>
        <v>OK</v>
      </c>
      <c r="M2341" t="str">
        <f t="shared" si="109"/>
        <v>OK</v>
      </c>
      <c r="N2341" t="str">
        <f t="shared" si="110"/>
        <v>OK</v>
      </c>
    </row>
    <row r="2342" spans="1:14" x14ac:dyDescent="0.3">
      <c r="A2342">
        <v>96</v>
      </c>
      <c r="B2342">
        <v>2025</v>
      </c>
      <c r="C2342" s="2">
        <v>45737</v>
      </c>
      <c r="E2342" t="s">
        <v>58</v>
      </c>
      <c r="F2342" t="s">
        <v>40</v>
      </c>
      <c r="H2342" t="s">
        <v>492</v>
      </c>
      <c r="I2342" t="s">
        <v>507</v>
      </c>
      <c r="J2342" t="s">
        <v>521</v>
      </c>
      <c r="K2342" t="s">
        <v>521</v>
      </c>
      <c r="L2342" t="str">
        <f t="shared" si="108"/>
        <v>ERRO</v>
      </c>
      <c r="M2342" t="str">
        <f t="shared" si="109"/>
        <v>ERRO</v>
      </c>
      <c r="N2342" t="str">
        <f t="shared" si="110"/>
        <v>OK</v>
      </c>
    </row>
    <row r="2343" spans="1:14" x14ac:dyDescent="0.3">
      <c r="A2343">
        <v>96</v>
      </c>
      <c r="B2343">
        <v>2025</v>
      </c>
      <c r="C2343" s="2">
        <v>45737</v>
      </c>
      <c r="E2343" t="s">
        <v>59</v>
      </c>
      <c r="F2343" t="s">
        <v>45</v>
      </c>
      <c r="H2343" t="s">
        <v>503</v>
      </c>
      <c r="I2343" t="s">
        <v>476</v>
      </c>
      <c r="J2343" t="s">
        <v>697</v>
      </c>
      <c r="K2343" t="s">
        <v>464</v>
      </c>
      <c r="L2343" t="str">
        <f t="shared" si="108"/>
        <v>OK</v>
      </c>
      <c r="M2343" t="str">
        <f t="shared" si="109"/>
        <v>OK</v>
      </c>
      <c r="N2343" t="str">
        <f t="shared" si="110"/>
        <v>OK</v>
      </c>
    </row>
    <row r="2344" spans="1:14" x14ac:dyDescent="0.3">
      <c r="A2344">
        <v>96</v>
      </c>
      <c r="B2344">
        <v>2025</v>
      </c>
      <c r="C2344" s="2">
        <v>45737</v>
      </c>
      <c r="E2344" t="s">
        <v>60</v>
      </c>
      <c r="F2344" t="s">
        <v>61</v>
      </c>
      <c r="H2344" t="s">
        <v>515</v>
      </c>
      <c r="I2344" t="s">
        <v>507</v>
      </c>
      <c r="J2344" t="s">
        <v>606</v>
      </c>
      <c r="K2344" t="s">
        <v>710</v>
      </c>
      <c r="L2344" t="str">
        <f t="shared" si="108"/>
        <v>ERRO</v>
      </c>
      <c r="M2344" t="str">
        <f t="shared" si="109"/>
        <v>ERRO</v>
      </c>
      <c r="N2344" t="str">
        <f t="shared" si="110"/>
        <v>ERRO</v>
      </c>
    </row>
    <row r="2345" spans="1:14" x14ac:dyDescent="0.3">
      <c r="A2345">
        <v>96</v>
      </c>
      <c r="B2345">
        <v>2025</v>
      </c>
      <c r="C2345" s="2">
        <v>45737</v>
      </c>
      <c r="E2345" t="s">
        <v>63</v>
      </c>
      <c r="F2345" t="s">
        <v>40</v>
      </c>
      <c r="H2345" t="s">
        <v>509</v>
      </c>
      <c r="I2345" t="s">
        <v>531</v>
      </c>
      <c r="J2345" t="s">
        <v>711</v>
      </c>
      <c r="K2345" t="s">
        <v>517</v>
      </c>
      <c r="L2345" t="str">
        <f t="shared" si="108"/>
        <v>OK</v>
      </c>
      <c r="M2345" t="str">
        <f t="shared" si="109"/>
        <v>OK</v>
      </c>
      <c r="N2345" t="str">
        <f t="shared" si="110"/>
        <v>OK</v>
      </c>
    </row>
    <row r="2346" spans="1:14" x14ac:dyDescent="0.3">
      <c r="A2346">
        <v>96</v>
      </c>
      <c r="B2346">
        <v>2025</v>
      </c>
      <c r="C2346" s="2">
        <v>45737</v>
      </c>
      <c r="E2346" t="s">
        <v>64</v>
      </c>
      <c r="F2346" t="s">
        <v>40</v>
      </c>
      <c r="H2346" t="s">
        <v>521</v>
      </c>
      <c r="I2346" t="s">
        <v>514</v>
      </c>
      <c r="J2346" t="s">
        <v>520</v>
      </c>
      <c r="K2346" t="s">
        <v>507</v>
      </c>
      <c r="L2346" t="str">
        <f t="shared" si="108"/>
        <v>OK</v>
      </c>
      <c r="M2346" t="str">
        <f t="shared" si="109"/>
        <v>OK</v>
      </c>
      <c r="N2346" t="str">
        <f t="shared" si="110"/>
        <v>OK</v>
      </c>
    </row>
    <row r="2347" spans="1:14" x14ac:dyDescent="0.3">
      <c r="A2347">
        <v>96</v>
      </c>
      <c r="B2347">
        <v>2025</v>
      </c>
      <c r="C2347" s="2">
        <v>45737</v>
      </c>
      <c r="E2347" s="11" t="s">
        <v>66</v>
      </c>
      <c r="F2347" s="12" t="s">
        <v>45</v>
      </c>
      <c r="L2347" t="str">
        <f t="shared" si="108"/>
        <v>OK</v>
      </c>
      <c r="M2347" t="str">
        <f t="shared" si="109"/>
        <v>OK</v>
      </c>
      <c r="N2347" t="str">
        <f t="shared" si="110"/>
        <v>OK</v>
      </c>
    </row>
    <row r="2348" spans="1:14" x14ac:dyDescent="0.3">
      <c r="A2348">
        <v>96</v>
      </c>
      <c r="B2348">
        <v>2025</v>
      </c>
      <c r="C2348" s="2">
        <v>45737</v>
      </c>
      <c r="E2348" s="11" t="s">
        <v>67</v>
      </c>
      <c r="F2348" s="12" t="s">
        <v>45</v>
      </c>
      <c r="L2348" t="str">
        <f t="shared" si="108"/>
        <v>OK</v>
      </c>
      <c r="M2348" t="str">
        <f t="shared" si="109"/>
        <v>OK</v>
      </c>
      <c r="N2348" t="str">
        <f t="shared" si="110"/>
        <v>OK</v>
      </c>
    </row>
    <row r="2349" spans="1:14" x14ac:dyDescent="0.3">
      <c r="A2349">
        <v>96</v>
      </c>
      <c r="B2349">
        <v>2025</v>
      </c>
      <c r="C2349" s="2">
        <v>45737</v>
      </c>
      <c r="E2349" s="11" t="s">
        <v>68</v>
      </c>
      <c r="F2349" s="12" t="s">
        <v>45</v>
      </c>
      <c r="L2349" t="str">
        <f t="shared" si="108"/>
        <v>OK</v>
      </c>
      <c r="M2349" t="str">
        <f t="shared" si="109"/>
        <v>OK</v>
      </c>
      <c r="N2349" t="str">
        <f t="shared" si="110"/>
        <v>OK</v>
      </c>
    </row>
    <row r="2350" spans="1:14" x14ac:dyDescent="0.3">
      <c r="A2350">
        <v>96</v>
      </c>
      <c r="B2350">
        <v>2025</v>
      </c>
      <c r="C2350" s="2">
        <v>45737</v>
      </c>
      <c r="E2350" s="11" t="s">
        <v>69</v>
      </c>
      <c r="F2350" s="12" t="s">
        <v>45</v>
      </c>
      <c r="L2350" t="str">
        <f t="shared" si="108"/>
        <v>OK</v>
      </c>
      <c r="M2350" t="str">
        <f t="shared" si="109"/>
        <v>OK</v>
      </c>
      <c r="N2350" t="str">
        <f t="shared" si="110"/>
        <v>OK</v>
      </c>
    </row>
    <row r="2351" spans="1:14" x14ac:dyDescent="0.3">
      <c r="A2351">
        <v>96</v>
      </c>
      <c r="B2351">
        <v>2025</v>
      </c>
      <c r="C2351" s="2">
        <v>45737</v>
      </c>
      <c r="E2351" s="11" t="s">
        <v>70</v>
      </c>
      <c r="F2351" s="12" t="s">
        <v>71</v>
      </c>
      <c r="L2351" t="str">
        <f t="shared" si="108"/>
        <v>OK</v>
      </c>
      <c r="M2351" t="str">
        <f t="shared" si="109"/>
        <v>OK</v>
      </c>
      <c r="N2351" t="str">
        <f t="shared" si="110"/>
        <v>OK</v>
      </c>
    </row>
    <row r="2352" spans="1:14" x14ac:dyDescent="0.3">
      <c r="A2352">
        <v>97</v>
      </c>
      <c r="B2352">
        <v>2025</v>
      </c>
      <c r="C2352" s="2">
        <v>45744</v>
      </c>
      <c r="E2352" t="s">
        <v>12</v>
      </c>
      <c r="F2352" t="s">
        <v>13</v>
      </c>
      <c r="G2352" t="s">
        <v>464</v>
      </c>
      <c r="H2352" t="s">
        <v>464</v>
      </c>
      <c r="I2352" t="s">
        <v>466</v>
      </c>
      <c r="J2352" t="s">
        <v>475</v>
      </c>
      <c r="K2352" t="s">
        <v>464</v>
      </c>
      <c r="L2352" t="str">
        <f t="shared" si="108"/>
        <v>OK</v>
      </c>
      <c r="M2352" t="str">
        <f t="shared" si="109"/>
        <v>OK</v>
      </c>
      <c r="N2352" t="str">
        <f t="shared" si="110"/>
        <v>OK</v>
      </c>
    </row>
    <row r="2353" spans="1:14" x14ac:dyDescent="0.3">
      <c r="A2353">
        <v>97</v>
      </c>
      <c r="B2353">
        <v>2025</v>
      </c>
      <c r="C2353" s="2">
        <v>45744</v>
      </c>
      <c r="E2353" t="s">
        <v>14</v>
      </c>
      <c r="F2353" t="s">
        <v>13</v>
      </c>
      <c r="H2353" t="s">
        <v>464</v>
      </c>
      <c r="I2353" t="s">
        <v>671</v>
      </c>
      <c r="J2353" t="s">
        <v>648</v>
      </c>
      <c r="K2353" t="s">
        <v>579</v>
      </c>
      <c r="L2353" t="str">
        <f t="shared" si="108"/>
        <v>ERRO</v>
      </c>
      <c r="M2353" t="str">
        <f t="shared" si="109"/>
        <v>OK</v>
      </c>
      <c r="N2353" t="str">
        <f t="shared" si="110"/>
        <v>ERRO</v>
      </c>
    </row>
    <row r="2354" spans="1:14" x14ac:dyDescent="0.3">
      <c r="A2354">
        <v>97</v>
      </c>
      <c r="B2354">
        <v>2025</v>
      </c>
      <c r="C2354" s="2">
        <v>45744</v>
      </c>
      <c r="E2354" t="s">
        <v>15</v>
      </c>
      <c r="F2354" t="s">
        <v>13</v>
      </c>
      <c r="G2354" t="s">
        <v>496</v>
      </c>
      <c r="H2354" t="s">
        <v>463</v>
      </c>
      <c r="I2354" t="s">
        <v>464</v>
      </c>
      <c r="J2354" t="s">
        <v>712</v>
      </c>
      <c r="K2354" t="s">
        <v>463</v>
      </c>
      <c r="L2354" t="str">
        <f t="shared" si="108"/>
        <v>OK</v>
      </c>
      <c r="M2354" t="str">
        <f t="shared" si="109"/>
        <v>OK</v>
      </c>
      <c r="N2354" t="str">
        <f t="shared" si="110"/>
        <v>OK</v>
      </c>
    </row>
    <row r="2355" spans="1:14" x14ac:dyDescent="0.3">
      <c r="A2355">
        <v>97</v>
      </c>
      <c r="B2355">
        <v>2025</v>
      </c>
      <c r="C2355" s="2">
        <v>45744</v>
      </c>
      <c r="E2355" t="s">
        <v>16</v>
      </c>
      <c r="F2355" t="s">
        <v>13</v>
      </c>
      <c r="G2355" t="s">
        <v>468</v>
      </c>
      <c r="H2355" t="s">
        <v>468</v>
      </c>
      <c r="I2355" t="s">
        <v>468</v>
      </c>
      <c r="J2355" t="s">
        <v>468</v>
      </c>
      <c r="K2355" t="s">
        <v>468</v>
      </c>
      <c r="L2355" t="str">
        <f t="shared" si="108"/>
        <v>OK</v>
      </c>
      <c r="M2355" t="str">
        <f t="shared" si="109"/>
        <v>OK</v>
      </c>
      <c r="N2355" t="str">
        <f t="shared" si="110"/>
        <v>OK</v>
      </c>
    </row>
    <row r="2356" spans="1:14" x14ac:dyDescent="0.3">
      <c r="A2356">
        <v>97</v>
      </c>
      <c r="B2356">
        <v>2025</v>
      </c>
      <c r="C2356" s="2">
        <v>45744</v>
      </c>
      <c r="E2356" t="s">
        <v>17</v>
      </c>
      <c r="F2356" t="s">
        <v>13</v>
      </c>
      <c r="G2356" t="s">
        <v>468</v>
      </c>
      <c r="H2356" t="s">
        <v>468</v>
      </c>
      <c r="I2356" t="s">
        <v>468</v>
      </c>
      <c r="J2356" t="s">
        <v>468</v>
      </c>
      <c r="K2356" t="s">
        <v>468</v>
      </c>
      <c r="L2356" t="str">
        <f t="shared" si="108"/>
        <v>OK</v>
      </c>
      <c r="M2356" t="str">
        <f t="shared" si="109"/>
        <v>OK</v>
      </c>
      <c r="N2356" t="str">
        <f t="shared" si="110"/>
        <v>OK</v>
      </c>
    </row>
    <row r="2357" spans="1:14" x14ac:dyDescent="0.3">
      <c r="A2357">
        <v>97</v>
      </c>
      <c r="B2357">
        <v>2025</v>
      </c>
      <c r="C2357" s="2">
        <v>45744</v>
      </c>
      <c r="E2357" t="s">
        <v>18</v>
      </c>
      <c r="F2357" t="s">
        <v>13</v>
      </c>
      <c r="G2357" t="s">
        <v>464</v>
      </c>
      <c r="H2357" t="s">
        <v>464</v>
      </c>
      <c r="I2357" t="s">
        <v>467</v>
      </c>
      <c r="J2357" t="s">
        <v>535</v>
      </c>
      <c r="K2357" t="s">
        <v>464</v>
      </c>
      <c r="L2357" t="str">
        <f t="shared" si="108"/>
        <v>OK</v>
      </c>
      <c r="M2357" t="str">
        <f t="shared" si="109"/>
        <v>OK</v>
      </c>
      <c r="N2357" t="str">
        <f t="shared" si="110"/>
        <v>OK</v>
      </c>
    </row>
    <row r="2358" spans="1:14" x14ac:dyDescent="0.3">
      <c r="A2358">
        <v>97</v>
      </c>
      <c r="B2358">
        <v>2025</v>
      </c>
      <c r="C2358" s="2">
        <v>45744</v>
      </c>
      <c r="E2358" t="s">
        <v>19</v>
      </c>
      <c r="F2358" t="s">
        <v>13</v>
      </c>
      <c r="H2358" t="s">
        <v>467</v>
      </c>
      <c r="I2358" t="s">
        <v>671</v>
      </c>
      <c r="J2358" t="s">
        <v>579</v>
      </c>
      <c r="K2358" t="s">
        <v>579</v>
      </c>
      <c r="L2358" t="str">
        <f t="shared" si="108"/>
        <v>ERRO</v>
      </c>
      <c r="M2358" t="str">
        <f t="shared" si="109"/>
        <v>OK</v>
      </c>
      <c r="N2358" t="str">
        <f t="shared" si="110"/>
        <v>ERRO</v>
      </c>
    </row>
    <row r="2359" spans="1:14" x14ac:dyDescent="0.3">
      <c r="A2359">
        <v>97</v>
      </c>
      <c r="B2359">
        <v>2025</v>
      </c>
      <c r="C2359" s="2">
        <v>45744</v>
      </c>
      <c r="E2359" t="s">
        <v>20</v>
      </c>
      <c r="F2359" t="s">
        <v>13</v>
      </c>
      <c r="H2359" t="s">
        <v>468</v>
      </c>
      <c r="I2359" t="s">
        <v>713</v>
      </c>
      <c r="J2359" t="s">
        <v>714</v>
      </c>
      <c r="K2359" t="s">
        <v>648</v>
      </c>
      <c r="L2359" t="str">
        <f t="shared" si="108"/>
        <v>ERRO</v>
      </c>
      <c r="M2359" t="str">
        <f t="shared" si="109"/>
        <v>OK</v>
      </c>
      <c r="N2359" t="str">
        <f t="shared" si="110"/>
        <v>ERRO</v>
      </c>
    </row>
    <row r="2360" spans="1:14" x14ac:dyDescent="0.3">
      <c r="A2360">
        <v>97</v>
      </c>
      <c r="B2360">
        <v>2025</v>
      </c>
      <c r="C2360" s="2">
        <v>45744</v>
      </c>
      <c r="E2360" t="s">
        <v>21</v>
      </c>
      <c r="F2360" t="s">
        <v>13</v>
      </c>
      <c r="G2360" t="s">
        <v>468</v>
      </c>
      <c r="H2360" t="s">
        <v>472</v>
      </c>
      <c r="I2360" t="s">
        <v>536</v>
      </c>
      <c r="J2360" t="s">
        <v>468</v>
      </c>
      <c r="K2360" t="s">
        <v>468</v>
      </c>
      <c r="L2360" t="str">
        <f t="shared" si="108"/>
        <v>OK</v>
      </c>
      <c r="M2360" t="str">
        <f t="shared" si="109"/>
        <v>OK</v>
      </c>
      <c r="N2360" t="str">
        <f t="shared" si="110"/>
        <v>OK</v>
      </c>
    </row>
    <row r="2361" spans="1:14" x14ac:dyDescent="0.3">
      <c r="A2361">
        <v>97</v>
      </c>
      <c r="B2361">
        <v>2025</v>
      </c>
      <c r="C2361" s="2">
        <v>45744</v>
      </c>
      <c r="E2361" t="s">
        <v>73</v>
      </c>
      <c r="F2361" t="s">
        <v>13</v>
      </c>
      <c r="G2361" t="s">
        <v>492</v>
      </c>
      <c r="H2361" t="s">
        <v>507</v>
      </c>
      <c r="I2361" t="s">
        <v>507</v>
      </c>
      <c r="J2361" t="s">
        <v>715</v>
      </c>
      <c r="K2361" t="s">
        <v>507</v>
      </c>
      <c r="L2361" t="str">
        <f t="shared" si="108"/>
        <v>OK</v>
      </c>
      <c r="M2361" t="str">
        <f t="shared" si="109"/>
        <v>ERRO</v>
      </c>
      <c r="N2361" t="str">
        <f t="shared" si="110"/>
        <v>OK</v>
      </c>
    </row>
    <row r="2362" spans="1:14" x14ac:dyDescent="0.3">
      <c r="A2362">
        <v>97</v>
      </c>
      <c r="B2362">
        <v>2025</v>
      </c>
      <c r="C2362" s="2">
        <v>45744</v>
      </c>
      <c r="E2362" t="s">
        <v>23</v>
      </c>
      <c r="F2362" t="s">
        <v>13</v>
      </c>
      <c r="G2362" t="s">
        <v>472</v>
      </c>
      <c r="H2362" t="s">
        <v>468</v>
      </c>
      <c r="I2362" t="s">
        <v>468</v>
      </c>
      <c r="J2362" t="s">
        <v>544</v>
      </c>
      <c r="K2362" t="s">
        <v>468</v>
      </c>
      <c r="L2362" t="str">
        <f t="shared" si="108"/>
        <v>OK</v>
      </c>
      <c r="M2362" t="str">
        <f t="shared" si="109"/>
        <v>ERRO</v>
      </c>
      <c r="N2362" t="str">
        <f t="shared" si="110"/>
        <v>OK</v>
      </c>
    </row>
    <row r="2363" spans="1:14" x14ac:dyDescent="0.3">
      <c r="A2363">
        <v>97</v>
      </c>
      <c r="B2363">
        <v>2025</v>
      </c>
      <c r="C2363" s="2">
        <v>45744</v>
      </c>
      <c r="E2363" t="s">
        <v>24</v>
      </c>
      <c r="F2363" t="s">
        <v>13</v>
      </c>
      <c r="G2363" t="s">
        <v>464</v>
      </c>
      <c r="H2363" t="s">
        <v>464</v>
      </c>
      <c r="I2363" t="s">
        <v>507</v>
      </c>
      <c r="J2363" t="s">
        <v>492</v>
      </c>
      <c r="K2363" t="s">
        <v>464</v>
      </c>
      <c r="L2363" t="str">
        <f t="shared" si="108"/>
        <v>ERRO</v>
      </c>
      <c r="M2363" t="str">
        <f t="shared" si="109"/>
        <v>OK</v>
      </c>
      <c r="N2363" t="str">
        <f t="shared" si="110"/>
        <v>ERRO</v>
      </c>
    </row>
    <row r="2364" spans="1:14" x14ac:dyDescent="0.3">
      <c r="A2364">
        <v>97</v>
      </c>
      <c r="B2364">
        <v>2025</v>
      </c>
      <c r="C2364" s="2">
        <v>45744</v>
      </c>
      <c r="E2364" t="s">
        <v>25</v>
      </c>
      <c r="F2364" t="s">
        <v>26</v>
      </c>
      <c r="G2364" t="s">
        <v>464</v>
      </c>
      <c r="H2364" t="s">
        <v>464</v>
      </c>
      <c r="I2364" t="s">
        <v>466</v>
      </c>
      <c r="J2364" t="s">
        <v>481</v>
      </c>
      <c r="K2364" t="s">
        <v>464</v>
      </c>
      <c r="L2364" t="str">
        <f t="shared" si="108"/>
        <v>OK</v>
      </c>
      <c r="M2364" t="str">
        <f t="shared" si="109"/>
        <v>OK</v>
      </c>
      <c r="N2364" t="str">
        <f t="shared" si="110"/>
        <v>OK</v>
      </c>
    </row>
    <row r="2365" spans="1:14" x14ac:dyDescent="0.3">
      <c r="A2365">
        <v>97</v>
      </c>
      <c r="B2365">
        <v>2025</v>
      </c>
      <c r="C2365" s="2">
        <v>45744</v>
      </c>
      <c r="E2365" t="s">
        <v>27</v>
      </c>
      <c r="F2365" t="s">
        <v>13</v>
      </c>
      <c r="G2365" t="s">
        <v>467</v>
      </c>
      <c r="H2365" t="s">
        <v>467</v>
      </c>
      <c r="I2365" t="s">
        <v>671</v>
      </c>
      <c r="J2365" t="s">
        <v>575</v>
      </c>
      <c r="K2365" t="s">
        <v>467</v>
      </c>
      <c r="L2365" t="str">
        <f t="shared" si="108"/>
        <v>ERRO</v>
      </c>
      <c r="M2365" t="str">
        <f t="shared" si="109"/>
        <v>OK</v>
      </c>
      <c r="N2365" t="str">
        <f t="shared" si="110"/>
        <v>ERRO</v>
      </c>
    </row>
    <row r="2366" spans="1:14" x14ac:dyDescent="0.3">
      <c r="A2366">
        <v>97</v>
      </c>
      <c r="B2366">
        <v>2025</v>
      </c>
      <c r="C2366" s="2">
        <v>45744</v>
      </c>
      <c r="E2366" t="s">
        <v>28</v>
      </c>
      <c r="F2366" t="s">
        <v>13</v>
      </c>
      <c r="G2366" t="s">
        <v>468</v>
      </c>
      <c r="H2366" t="s">
        <v>464</v>
      </c>
      <c r="I2366" t="s">
        <v>467</v>
      </c>
      <c r="J2366" t="s">
        <v>564</v>
      </c>
      <c r="K2366" t="s">
        <v>464</v>
      </c>
      <c r="L2366" t="str">
        <f t="shared" si="108"/>
        <v>OK</v>
      </c>
      <c r="M2366" t="str">
        <f t="shared" si="109"/>
        <v>ERRO</v>
      </c>
      <c r="N2366" t="str">
        <f t="shared" si="110"/>
        <v>OK</v>
      </c>
    </row>
    <row r="2367" spans="1:14" x14ac:dyDescent="0.3">
      <c r="A2367">
        <v>97</v>
      </c>
      <c r="B2367">
        <v>2025</v>
      </c>
      <c r="C2367" s="2">
        <v>45744</v>
      </c>
      <c r="E2367" t="s">
        <v>29</v>
      </c>
      <c r="F2367" t="s">
        <v>13</v>
      </c>
      <c r="G2367" t="s">
        <v>464</v>
      </c>
      <c r="H2367" t="s">
        <v>468</v>
      </c>
      <c r="I2367" t="s">
        <v>475</v>
      </c>
      <c r="J2367" t="s">
        <v>716</v>
      </c>
      <c r="K2367" t="s">
        <v>464</v>
      </c>
      <c r="L2367" t="str">
        <f t="shared" si="108"/>
        <v>OK</v>
      </c>
      <c r="M2367" t="str">
        <f t="shared" si="109"/>
        <v>OK</v>
      </c>
      <c r="N2367" t="str">
        <f t="shared" si="110"/>
        <v>OK</v>
      </c>
    </row>
    <row r="2368" spans="1:14" x14ac:dyDescent="0.3">
      <c r="A2368">
        <v>97</v>
      </c>
      <c r="B2368">
        <v>2025</v>
      </c>
      <c r="C2368" s="2">
        <v>45744</v>
      </c>
      <c r="E2368" t="s">
        <v>31</v>
      </c>
      <c r="F2368" t="s">
        <v>32</v>
      </c>
      <c r="G2368" t="s">
        <v>484</v>
      </c>
      <c r="H2368" t="s">
        <v>484</v>
      </c>
      <c r="I2368" t="s">
        <v>717</v>
      </c>
      <c r="J2368" t="s">
        <v>718</v>
      </c>
      <c r="K2368" t="s">
        <v>484</v>
      </c>
      <c r="L2368" t="str">
        <f t="shared" si="108"/>
        <v>OK</v>
      </c>
      <c r="M2368" t="str">
        <f t="shared" si="109"/>
        <v>OK</v>
      </c>
      <c r="N2368" t="str">
        <f t="shared" si="110"/>
        <v>OK</v>
      </c>
    </row>
    <row r="2369" spans="1:14" x14ac:dyDescent="0.3">
      <c r="A2369">
        <v>97</v>
      </c>
      <c r="B2369">
        <v>2025</v>
      </c>
      <c r="C2369" s="2">
        <v>45744</v>
      </c>
      <c r="E2369" t="s">
        <v>34</v>
      </c>
      <c r="F2369" t="s">
        <v>35</v>
      </c>
      <c r="G2369" t="s">
        <v>496</v>
      </c>
      <c r="H2369" t="s">
        <v>499</v>
      </c>
      <c r="I2369" t="s">
        <v>499</v>
      </c>
      <c r="J2369" t="s">
        <v>510</v>
      </c>
      <c r="K2369" t="s">
        <v>510</v>
      </c>
      <c r="L2369" t="str">
        <f t="shared" si="108"/>
        <v>OK</v>
      </c>
      <c r="M2369" t="str">
        <f t="shared" si="109"/>
        <v>ERRO</v>
      </c>
      <c r="N2369" t="str">
        <f t="shared" si="110"/>
        <v>OK</v>
      </c>
    </row>
    <row r="2370" spans="1:14" x14ac:dyDescent="0.3">
      <c r="A2370">
        <v>97</v>
      </c>
      <c r="B2370">
        <v>2025</v>
      </c>
      <c r="C2370" s="2">
        <v>45744</v>
      </c>
      <c r="E2370" t="s">
        <v>36</v>
      </c>
      <c r="F2370" t="s">
        <v>35</v>
      </c>
      <c r="G2370" t="s">
        <v>503</v>
      </c>
      <c r="H2370" t="s">
        <v>468</v>
      </c>
      <c r="I2370" t="s">
        <v>503</v>
      </c>
      <c r="J2370" t="s">
        <v>635</v>
      </c>
      <c r="K2370" t="s">
        <v>676</v>
      </c>
      <c r="L2370" t="str">
        <f t="shared" si="108"/>
        <v>OK</v>
      </c>
      <c r="M2370" t="str">
        <f t="shared" si="109"/>
        <v>OK</v>
      </c>
      <c r="N2370" t="str">
        <f t="shared" si="110"/>
        <v>OK</v>
      </c>
    </row>
    <row r="2371" spans="1:14" x14ac:dyDescent="0.3">
      <c r="A2371">
        <v>97</v>
      </c>
      <c r="B2371">
        <v>2025</v>
      </c>
      <c r="C2371" s="2">
        <v>45744</v>
      </c>
      <c r="E2371" t="s">
        <v>153</v>
      </c>
      <c r="F2371" t="s">
        <v>154</v>
      </c>
      <c r="G2371" t="s">
        <v>464</v>
      </c>
      <c r="H2371" t="s">
        <v>464</v>
      </c>
      <c r="I2371" t="s">
        <v>500</v>
      </c>
      <c r="J2371" t="s">
        <v>619</v>
      </c>
      <c r="K2371" t="s">
        <v>464</v>
      </c>
      <c r="L2371" t="str">
        <f t="shared" ref="L2371:L2434" si="111">IF(H2371&gt;I2371,"ERRO","OK")</f>
        <v>OK</v>
      </c>
      <c r="M2371" t="str">
        <f t="shared" ref="M2371:M2434" si="112">IF(H2371&gt;J2371,"ERRO","OK")</f>
        <v>OK</v>
      </c>
      <c r="N2371" t="str">
        <f t="shared" ref="N2371:N2434" si="113">IF(I2371&lt;J2371,"ERRO","OK")</f>
        <v>OK</v>
      </c>
    </row>
    <row r="2372" spans="1:14" x14ac:dyDescent="0.3">
      <c r="A2372">
        <v>97</v>
      </c>
      <c r="B2372">
        <v>2025</v>
      </c>
      <c r="C2372" s="2">
        <v>45744</v>
      </c>
      <c r="E2372" t="s">
        <v>39</v>
      </c>
      <c r="F2372" t="s">
        <v>40</v>
      </c>
      <c r="G2372" t="s">
        <v>464</v>
      </c>
      <c r="H2372" t="s">
        <v>492</v>
      </c>
      <c r="I2372" t="s">
        <v>492</v>
      </c>
      <c r="J2372" t="s">
        <v>675</v>
      </c>
      <c r="K2372" t="s">
        <v>492</v>
      </c>
      <c r="L2372" t="str">
        <f t="shared" si="111"/>
        <v>OK</v>
      </c>
      <c r="M2372" t="str">
        <f t="shared" si="112"/>
        <v>ERRO</v>
      </c>
      <c r="N2372" t="str">
        <f t="shared" si="113"/>
        <v>OK</v>
      </c>
    </row>
    <row r="2373" spans="1:14" x14ac:dyDescent="0.3">
      <c r="A2373">
        <v>97</v>
      </c>
      <c r="B2373">
        <v>2025</v>
      </c>
      <c r="C2373" s="2">
        <v>45744</v>
      </c>
      <c r="E2373" t="s">
        <v>42</v>
      </c>
      <c r="F2373" t="s">
        <v>43</v>
      </c>
      <c r="H2373" t="s">
        <v>496</v>
      </c>
      <c r="I2373" t="s">
        <v>500</v>
      </c>
      <c r="J2373" t="s">
        <v>502</v>
      </c>
      <c r="K2373" t="s">
        <v>502</v>
      </c>
      <c r="L2373" t="str">
        <f t="shared" si="111"/>
        <v>OK</v>
      </c>
      <c r="M2373" t="str">
        <f t="shared" si="112"/>
        <v>OK</v>
      </c>
      <c r="N2373" t="str">
        <f t="shared" si="113"/>
        <v>OK</v>
      </c>
    </row>
    <row r="2374" spans="1:14" x14ac:dyDescent="0.3">
      <c r="A2374">
        <v>97</v>
      </c>
      <c r="B2374">
        <v>2025</v>
      </c>
      <c r="C2374" s="2">
        <v>45744</v>
      </c>
      <c r="E2374" t="s">
        <v>44</v>
      </c>
      <c r="F2374" t="s">
        <v>45</v>
      </c>
      <c r="G2374" t="s">
        <v>503</v>
      </c>
      <c r="H2374" t="s">
        <v>499</v>
      </c>
      <c r="I2374" t="s">
        <v>502</v>
      </c>
      <c r="J2374" t="s">
        <v>504</v>
      </c>
      <c r="K2374" t="s">
        <v>499</v>
      </c>
      <c r="L2374" t="str">
        <f t="shared" si="111"/>
        <v>OK</v>
      </c>
      <c r="M2374" t="str">
        <f t="shared" si="112"/>
        <v>ERRO</v>
      </c>
      <c r="N2374" t="str">
        <f t="shared" si="113"/>
        <v>OK</v>
      </c>
    </row>
    <row r="2375" spans="1:14" x14ac:dyDescent="0.3">
      <c r="A2375">
        <v>97</v>
      </c>
      <c r="B2375">
        <v>2025</v>
      </c>
      <c r="C2375" s="2">
        <v>45744</v>
      </c>
      <c r="E2375" t="s">
        <v>48</v>
      </c>
      <c r="F2375" t="s">
        <v>45</v>
      </c>
      <c r="H2375" t="s">
        <v>511</v>
      </c>
      <c r="I2375" t="s">
        <v>511</v>
      </c>
      <c r="J2375" t="s">
        <v>511</v>
      </c>
      <c r="K2375" t="s">
        <v>511</v>
      </c>
      <c r="L2375" t="str">
        <f t="shared" si="111"/>
        <v>OK</v>
      </c>
      <c r="M2375" t="str">
        <f t="shared" si="112"/>
        <v>OK</v>
      </c>
      <c r="N2375" t="str">
        <f t="shared" si="113"/>
        <v>OK</v>
      </c>
    </row>
    <row r="2376" spans="1:14" x14ac:dyDescent="0.3">
      <c r="A2376">
        <v>97</v>
      </c>
      <c r="B2376">
        <v>2025</v>
      </c>
      <c r="C2376" s="2">
        <v>45744</v>
      </c>
      <c r="E2376" t="s">
        <v>49</v>
      </c>
      <c r="F2376" t="s">
        <v>50</v>
      </c>
      <c r="G2376" t="s">
        <v>499</v>
      </c>
      <c r="H2376" t="s">
        <v>464</v>
      </c>
      <c r="I2376" t="s">
        <v>464</v>
      </c>
      <c r="J2376" t="s">
        <v>505</v>
      </c>
      <c r="K2376" t="s">
        <v>464</v>
      </c>
      <c r="L2376" t="str">
        <f t="shared" si="111"/>
        <v>OK</v>
      </c>
      <c r="M2376" t="str">
        <f t="shared" si="112"/>
        <v>ERRO</v>
      </c>
      <c r="N2376" t="str">
        <f t="shared" si="113"/>
        <v>OK</v>
      </c>
    </row>
    <row r="2377" spans="1:14" x14ac:dyDescent="0.3">
      <c r="A2377">
        <v>97</v>
      </c>
      <c r="B2377">
        <v>2025</v>
      </c>
      <c r="C2377" s="2">
        <v>45744</v>
      </c>
      <c r="E2377" t="s">
        <v>52</v>
      </c>
      <c r="F2377" t="s">
        <v>43</v>
      </c>
      <c r="H2377" t="s">
        <v>468</v>
      </c>
      <c r="I2377" t="s">
        <v>511</v>
      </c>
      <c r="J2377" t="s">
        <v>497</v>
      </c>
      <c r="K2377" t="s">
        <v>500</v>
      </c>
      <c r="L2377" t="str">
        <f t="shared" si="111"/>
        <v>OK</v>
      </c>
      <c r="M2377" t="str">
        <f t="shared" si="112"/>
        <v>OK</v>
      </c>
      <c r="N2377" t="str">
        <f t="shared" si="113"/>
        <v>OK</v>
      </c>
    </row>
    <row r="2378" spans="1:14" x14ac:dyDescent="0.3">
      <c r="A2378">
        <v>97</v>
      </c>
      <c r="B2378">
        <v>2025</v>
      </c>
      <c r="C2378" s="2">
        <v>45744</v>
      </c>
      <c r="E2378" t="s">
        <v>53</v>
      </c>
      <c r="F2378" t="s">
        <v>43</v>
      </c>
      <c r="H2378" t="s">
        <v>476</v>
      </c>
      <c r="I2378" t="s">
        <v>521</v>
      </c>
      <c r="J2378" t="s">
        <v>719</v>
      </c>
      <c r="K2378" t="s">
        <v>511</v>
      </c>
      <c r="L2378" t="str">
        <f t="shared" si="111"/>
        <v>ERRO</v>
      </c>
      <c r="M2378" t="str">
        <f t="shared" si="112"/>
        <v>OK</v>
      </c>
      <c r="N2378" t="str">
        <f t="shared" si="113"/>
        <v>ERRO</v>
      </c>
    </row>
    <row r="2379" spans="1:14" x14ac:dyDescent="0.3">
      <c r="A2379">
        <v>97</v>
      </c>
      <c r="B2379">
        <v>2025</v>
      </c>
      <c r="C2379" s="2">
        <v>45744</v>
      </c>
      <c r="E2379" t="s">
        <v>54</v>
      </c>
      <c r="F2379" t="s">
        <v>40</v>
      </c>
      <c r="H2379" t="s">
        <v>476</v>
      </c>
      <c r="I2379" t="s">
        <v>511</v>
      </c>
      <c r="J2379" t="s">
        <v>492</v>
      </c>
      <c r="K2379" t="s">
        <v>492</v>
      </c>
      <c r="L2379" t="str">
        <f t="shared" si="111"/>
        <v>OK</v>
      </c>
      <c r="M2379" t="str">
        <f t="shared" si="112"/>
        <v>OK</v>
      </c>
      <c r="N2379" t="str">
        <f t="shared" si="113"/>
        <v>OK</v>
      </c>
    </row>
    <row r="2380" spans="1:14" x14ac:dyDescent="0.3">
      <c r="A2380">
        <v>97</v>
      </c>
      <c r="B2380">
        <v>2025</v>
      </c>
      <c r="C2380" s="2">
        <v>45744</v>
      </c>
      <c r="E2380" t="s">
        <v>56</v>
      </c>
      <c r="F2380" t="s">
        <v>43</v>
      </c>
      <c r="G2380" t="s">
        <v>499</v>
      </c>
      <c r="H2380" t="s">
        <v>499</v>
      </c>
      <c r="I2380" t="s">
        <v>499</v>
      </c>
      <c r="J2380" t="s">
        <v>499</v>
      </c>
      <c r="K2380" t="s">
        <v>499</v>
      </c>
      <c r="L2380" t="str">
        <f t="shared" si="111"/>
        <v>OK</v>
      </c>
      <c r="M2380" t="str">
        <f t="shared" si="112"/>
        <v>OK</v>
      </c>
      <c r="N2380" t="str">
        <f t="shared" si="113"/>
        <v>OK</v>
      </c>
    </row>
    <row r="2381" spans="1:14" x14ac:dyDescent="0.3">
      <c r="A2381">
        <v>97</v>
      </c>
      <c r="B2381">
        <v>2025</v>
      </c>
      <c r="C2381" s="2">
        <v>45744</v>
      </c>
      <c r="E2381" t="s">
        <v>57</v>
      </c>
      <c r="F2381" t="s">
        <v>40</v>
      </c>
      <c r="H2381" t="s">
        <v>464</v>
      </c>
      <c r="I2381" t="s">
        <v>476</v>
      </c>
      <c r="J2381" t="s">
        <v>500</v>
      </c>
      <c r="K2381" t="s">
        <v>500</v>
      </c>
      <c r="L2381" t="str">
        <f t="shared" si="111"/>
        <v>OK</v>
      </c>
      <c r="M2381" t="str">
        <f t="shared" si="112"/>
        <v>OK</v>
      </c>
      <c r="N2381" t="str">
        <f t="shared" si="113"/>
        <v>OK</v>
      </c>
    </row>
    <row r="2382" spans="1:14" x14ac:dyDescent="0.3">
      <c r="A2382">
        <v>97</v>
      </c>
      <c r="B2382">
        <v>2025</v>
      </c>
      <c r="C2382" s="2">
        <v>45744</v>
      </c>
      <c r="E2382" t="s">
        <v>58</v>
      </c>
      <c r="F2382" t="s">
        <v>40</v>
      </c>
      <c r="G2382" t="s">
        <v>521</v>
      </c>
      <c r="H2382" t="s">
        <v>491</v>
      </c>
      <c r="I2382" t="s">
        <v>521</v>
      </c>
      <c r="J2382" t="s">
        <v>720</v>
      </c>
      <c r="K2382" t="s">
        <v>521</v>
      </c>
      <c r="L2382" t="str">
        <f t="shared" si="111"/>
        <v>ERRO</v>
      </c>
      <c r="M2382" t="str">
        <f t="shared" si="112"/>
        <v>OK</v>
      </c>
      <c r="N2382" t="str">
        <f t="shared" si="113"/>
        <v>ERRO</v>
      </c>
    </row>
    <row r="2383" spans="1:14" x14ac:dyDescent="0.3">
      <c r="A2383">
        <v>97</v>
      </c>
      <c r="B2383">
        <v>2025</v>
      </c>
      <c r="C2383" s="2">
        <v>45744</v>
      </c>
      <c r="E2383" t="s">
        <v>59</v>
      </c>
      <c r="F2383" t="s">
        <v>45</v>
      </c>
      <c r="G2383" t="s">
        <v>496</v>
      </c>
      <c r="H2383" t="s">
        <v>494</v>
      </c>
      <c r="I2383" t="s">
        <v>464</v>
      </c>
      <c r="J2383" t="s">
        <v>513</v>
      </c>
      <c r="K2383" t="s">
        <v>496</v>
      </c>
      <c r="L2383" t="str">
        <f t="shared" si="111"/>
        <v>OK</v>
      </c>
      <c r="M2383" t="str">
        <f t="shared" si="112"/>
        <v>OK</v>
      </c>
      <c r="N2383" t="str">
        <f t="shared" si="113"/>
        <v>OK</v>
      </c>
    </row>
    <row r="2384" spans="1:14" x14ac:dyDescent="0.3">
      <c r="A2384">
        <v>97</v>
      </c>
      <c r="B2384">
        <v>2025</v>
      </c>
      <c r="C2384" s="2">
        <v>45744</v>
      </c>
      <c r="E2384" t="s">
        <v>60</v>
      </c>
      <c r="F2384" t="s">
        <v>61</v>
      </c>
      <c r="G2384" t="s">
        <v>507</v>
      </c>
      <c r="H2384" t="s">
        <v>514</v>
      </c>
      <c r="I2384" t="s">
        <v>514</v>
      </c>
      <c r="J2384" t="s">
        <v>721</v>
      </c>
      <c r="K2384" t="s">
        <v>721</v>
      </c>
      <c r="L2384" t="str">
        <f t="shared" si="111"/>
        <v>OK</v>
      </c>
      <c r="M2384" t="str">
        <f t="shared" si="112"/>
        <v>ERRO</v>
      </c>
      <c r="N2384" t="str">
        <f t="shared" si="113"/>
        <v>OK</v>
      </c>
    </row>
    <row r="2385" spans="1:14" x14ac:dyDescent="0.3">
      <c r="A2385">
        <v>97</v>
      </c>
      <c r="B2385">
        <v>2025</v>
      </c>
      <c r="C2385" s="2">
        <v>45744</v>
      </c>
      <c r="E2385" t="s">
        <v>63</v>
      </c>
      <c r="F2385" t="s">
        <v>40</v>
      </c>
      <c r="G2385" t="s">
        <v>514</v>
      </c>
      <c r="H2385" t="s">
        <v>509</v>
      </c>
      <c r="I2385" t="s">
        <v>531</v>
      </c>
      <c r="J2385" t="s">
        <v>722</v>
      </c>
      <c r="K2385" t="s">
        <v>514</v>
      </c>
      <c r="L2385" t="str">
        <f t="shared" si="111"/>
        <v>OK</v>
      </c>
      <c r="M2385" t="str">
        <f t="shared" si="112"/>
        <v>OK</v>
      </c>
      <c r="N2385" t="str">
        <f t="shared" si="113"/>
        <v>OK</v>
      </c>
    </row>
    <row r="2386" spans="1:14" x14ac:dyDescent="0.3">
      <c r="A2386">
        <v>97</v>
      </c>
      <c r="B2386">
        <v>2025</v>
      </c>
      <c r="C2386" s="2">
        <v>45744</v>
      </c>
      <c r="E2386" t="s">
        <v>64</v>
      </c>
      <c r="F2386" t="s">
        <v>40</v>
      </c>
      <c r="H2386" t="s">
        <v>507</v>
      </c>
      <c r="I2386" t="s">
        <v>517</v>
      </c>
      <c r="J2386" t="s">
        <v>606</v>
      </c>
      <c r="K2386" t="s">
        <v>606</v>
      </c>
      <c r="L2386" t="str">
        <f t="shared" si="111"/>
        <v>OK</v>
      </c>
      <c r="M2386" t="str">
        <f t="shared" si="112"/>
        <v>OK</v>
      </c>
      <c r="N2386" t="str">
        <f t="shared" si="113"/>
        <v>OK</v>
      </c>
    </row>
    <row r="2387" spans="1:14" x14ac:dyDescent="0.3">
      <c r="A2387">
        <v>97</v>
      </c>
      <c r="B2387">
        <v>2025</v>
      </c>
      <c r="C2387" s="2">
        <v>45744</v>
      </c>
      <c r="E2387" s="11" t="s">
        <v>66</v>
      </c>
      <c r="F2387" s="12" t="s">
        <v>45</v>
      </c>
      <c r="L2387" t="str">
        <f t="shared" si="111"/>
        <v>OK</v>
      </c>
      <c r="M2387" t="str">
        <f t="shared" si="112"/>
        <v>OK</v>
      </c>
      <c r="N2387" t="str">
        <f t="shared" si="113"/>
        <v>OK</v>
      </c>
    </row>
    <row r="2388" spans="1:14" x14ac:dyDescent="0.3">
      <c r="A2388">
        <v>97</v>
      </c>
      <c r="B2388">
        <v>2025</v>
      </c>
      <c r="C2388" s="2">
        <v>45744</v>
      </c>
      <c r="E2388" s="11" t="s">
        <v>67</v>
      </c>
      <c r="F2388" s="12" t="s">
        <v>45</v>
      </c>
      <c r="L2388" t="str">
        <f t="shared" si="111"/>
        <v>OK</v>
      </c>
      <c r="M2388" t="str">
        <f t="shared" si="112"/>
        <v>OK</v>
      </c>
      <c r="N2388" t="str">
        <f t="shared" si="113"/>
        <v>OK</v>
      </c>
    </row>
    <row r="2389" spans="1:14" x14ac:dyDescent="0.3">
      <c r="A2389">
        <v>97</v>
      </c>
      <c r="B2389">
        <v>2025</v>
      </c>
      <c r="C2389" s="2">
        <v>45744</v>
      </c>
      <c r="E2389" s="11" t="s">
        <v>68</v>
      </c>
      <c r="F2389" s="12" t="s">
        <v>45</v>
      </c>
      <c r="L2389" t="str">
        <f t="shared" si="111"/>
        <v>OK</v>
      </c>
      <c r="M2389" t="str">
        <f t="shared" si="112"/>
        <v>OK</v>
      </c>
      <c r="N2389" t="str">
        <f t="shared" si="113"/>
        <v>OK</v>
      </c>
    </row>
    <row r="2390" spans="1:14" x14ac:dyDescent="0.3">
      <c r="A2390">
        <v>97</v>
      </c>
      <c r="B2390">
        <v>2025</v>
      </c>
      <c r="C2390" s="2">
        <v>45744</v>
      </c>
      <c r="E2390" s="11" t="s">
        <v>69</v>
      </c>
      <c r="F2390" s="12" t="s">
        <v>45</v>
      </c>
      <c r="L2390" t="str">
        <f t="shared" si="111"/>
        <v>OK</v>
      </c>
      <c r="M2390" t="str">
        <f t="shared" si="112"/>
        <v>OK</v>
      </c>
      <c r="N2390" t="str">
        <f t="shared" si="113"/>
        <v>OK</v>
      </c>
    </row>
    <row r="2391" spans="1:14" x14ac:dyDescent="0.3">
      <c r="A2391">
        <v>97</v>
      </c>
      <c r="B2391">
        <v>2025</v>
      </c>
      <c r="C2391" s="2">
        <v>45744</v>
      </c>
      <c r="E2391" s="11" t="s">
        <v>70</v>
      </c>
      <c r="F2391" s="12" t="s">
        <v>71</v>
      </c>
      <c r="L2391" t="str">
        <f t="shared" si="111"/>
        <v>OK</v>
      </c>
      <c r="M2391" t="str">
        <f t="shared" si="112"/>
        <v>OK</v>
      </c>
      <c r="N2391" t="str">
        <f t="shared" si="113"/>
        <v>OK</v>
      </c>
    </row>
    <row r="2392" spans="1:14" x14ac:dyDescent="0.3">
      <c r="A2392">
        <v>98</v>
      </c>
      <c r="B2392">
        <v>2025</v>
      </c>
      <c r="C2392" s="2">
        <v>45751</v>
      </c>
      <c r="E2392" t="s">
        <v>12</v>
      </c>
      <c r="F2392" t="s">
        <v>13</v>
      </c>
      <c r="G2392" t="s">
        <v>466</v>
      </c>
      <c r="H2392" t="s">
        <v>463</v>
      </c>
      <c r="I2392" t="s">
        <v>466</v>
      </c>
      <c r="J2392" t="s">
        <v>475</v>
      </c>
      <c r="K2392" t="s">
        <v>466</v>
      </c>
      <c r="L2392" t="str">
        <f t="shared" si="111"/>
        <v>OK</v>
      </c>
      <c r="M2392" t="str">
        <f t="shared" si="112"/>
        <v>OK</v>
      </c>
      <c r="N2392" t="str">
        <f t="shared" si="113"/>
        <v>OK</v>
      </c>
    </row>
    <row r="2393" spans="1:14" x14ac:dyDescent="0.3">
      <c r="A2393">
        <v>98</v>
      </c>
      <c r="B2393">
        <v>2025</v>
      </c>
      <c r="C2393" s="2">
        <v>45751</v>
      </c>
      <c r="E2393" t="s">
        <v>14</v>
      </c>
      <c r="F2393" t="s">
        <v>13</v>
      </c>
      <c r="G2393" t="s">
        <v>467</v>
      </c>
      <c r="H2393" t="s">
        <v>579</v>
      </c>
      <c r="I2393" t="s">
        <v>579</v>
      </c>
      <c r="J2393" t="s">
        <v>575</v>
      </c>
      <c r="K2393" t="s">
        <v>579</v>
      </c>
      <c r="L2393" t="str">
        <f t="shared" si="111"/>
        <v>OK</v>
      </c>
      <c r="M2393" t="str">
        <f t="shared" si="112"/>
        <v>ERRO</v>
      </c>
      <c r="N2393" t="str">
        <f t="shared" si="113"/>
        <v>OK</v>
      </c>
    </row>
    <row r="2394" spans="1:14" x14ac:dyDescent="0.3">
      <c r="A2394">
        <v>98</v>
      </c>
      <c r="B2394">
        <v>2025</v>
      </c>
      <c r="C2394" s="2">
        <v>45751</v>
      </c>
      <c r="E2394" t="s">
        <v>15</v>
      </c>
      <c r="F2394" t="s">
        <v>13</v>
      </c>
      <c r="G2394" t="s">
        <v>536</v>
      </c>
      <c r="H2394" t="s">
        <v>464</v>
      </c>
      <c r="I2394" t="s">
        <v>464</v>
      </c>
      <c r="J2394" t="s">
        <v>534</v>
      </c>
      <c r="K2394" t="s">
        <v>464</v>
      </c>
      <c r="L2394" t="str">
        <f t="shared" si="111"/>
        <v>OK</v>
      </c>
      <c r="M2394" t="str">
        <f t="shared" si="112"/>
        <v>ERRO</v>
      </c>
      <c r="N2394" t="str">
        <f t="shared" si="113"/>
        <v>OK</v>
      </c>
    </row>
    <row r="2395" spans="1:14" x14ac:dyDescent="0.3">
      <c r="A2395">
        <v>98</v>
      </c>
      <c r="B2395">
        <v>2025</v>
      </c>
      <c r="C2395" s="2">
        <v>45751</v>
      </c>
      <c r="E2395" t="s">
        <v>16</v>
      </c>
      <c r="F2395" t="s">
        <v>13</v>
      </c>
      <c r="H2395" t="s">
        <v>472</v>
      </c>
      <c r="I2395" t="s">
        <v>536</v>
      </c>
      <c r="J2395" t="s">
        <v>468</v>
      </c>
      <c r="K2395" t="s">
        <v>468</v>
      </c>
      <c r="L2395" t="str">
        <f t="shared" si="111"/>
        <v>OK</v>
      </c>
      <c r="M2395" t="str">
        <f t="shared" si="112"/>
        <v>OK</v>
      </c>
      <c r="N2395" t="str">
        <f t="shared" si="113"/>
        <v>OK</v>
      </c>
    </row>
    <row r="2396" spans="1:14" x14ac:dyDescent="0.3">
      <c r="A2396">
        <v>98</v>
      </c>
      <c r="B2396">
        <v>2025</v>
      </c>
      <c r="C2396" s="2">
        <v>45751</v>
      </c>
      <c r="E2396" t="s">
        <v>17</v>
      </c>
      <c r="F2396" t="s">
        <v>13</v>
      </c>
      <c r="H2396" t="s">
        <v>472</v>
      </c>
      <c r="I2396" t="s">
        <v>536</v>
      </c>
      <c r="J2396" t="s">
        <v>468</v>
      </c>
      <c r="K2396" t="s">
        <v>468</v>
      </c>
      <c r="L2396" t="str">
        <f t="shared" si="111"/>
        <v>OK</v>
      </c>
      <c r="M2396" t="str">
        <f t="shared" si="112"/>
        <v>OK</v>
      </c>
      <c r="N2396" t="str">
        <f t="shared" si="113"/>
        <v>OK</v>
      </c>
    </row>
    <row r="2397" spans="1:14" x14ac:dyDescent="0.3">
      <c r="A2397">
        <v>98</v>
      </c>
      <c r="B2397">
        <v>2025</v>
      </c>
      <c r="C2397" s="2">
        <v>45751</v>
      </c>
      <c r="E2397" t="s">
        <v>18</v>
      </c>
      <c r="F2397" t="s">
        <v>13</v>
      </c>
      <c r="G2397" t="s">
        <v>464</v>
      </c>
      <c r="H2397" t="s">
        <v>464</v>
      </c>
      <c r="I2397" t="s">
        <v>579</v>
      </c>
      <c r="J2397" t="s">
        <v>466</v>
      </c>
      <c r="K2397" t="s">
        <v>464</v>
      </c>
      <c r="L2397" t="str">
        <f t="shared" si="111"/>
        <v>OK</v>
      </c>
      <c r="M2397" t="str">
        <f t="shared" si="112"/>
        <v>OK</v>
      </c>
      <c r="N2397" t="str">
        <f t="shared" si="113"/>
        <v>OK</v>
      </c>
    </row>
    <row r="2398" spans="1:14" x14ac:dyDescent="0.3">
      <c r="A2398">
        <v>98</v>
      </c>
      <c r="B2398">
        <v>2025</v>
      </c>
      <c r="C2398" s="2">
        <v>45751</v>
      </c>
      <c r="E2398" t="s">
        <v>19</v>
      </c>
      <c r="F2398" t="s">
        <v>13</v>
      </c>
      <c r="G2398" t="s">
        <v>467</v>
      </c>
      <c r="H2398" t="s">
        <v>467</v>
      </c>
      <c r="I2398" t="s">
        <v>673</v>
      </c>
      <c r="J2398" t="s">
        <v>511</v>
      </c>
      <c r="K2398" t="s">
        <v>467</v>
      </c>
      <c r="L2398" t="str">
        <f t="shared" si="111"/>
        <v>ERRO</v>
      </c>
      <c r="M2398" t="str">
        <f t="shared" si="112"/>
        <v>OK</v>
      </c>
      <c r="N2398" t="str">
        <f t="shared" si="113"/>
        <v>ERRO</v>
      </c>
    </row>
    <row r="2399" spans="1:14" x14ac:dyDescent="0.3">
      <c r="A2399">
        <v>98</v>
      </c>
      <c r="B2399">
        <v>2025</v>
      </c>
      <c r="C2399" s="2">
        <v>45751</v>
      </c>
      <c r="E2399" t="s">
        <v>20</v>
      </c>
      <c r="F2399" t="s">
        <v>13</v>
      </c>
      <c r="G2399" t="s">
        <v>467</v>
      </c>
      <c r="H2399" t="s">
        <v>579</v>
      </c>
      <c r="I2399" t="s">
        <v>579</v>
      </c>
      <c r="J2399" t="s">
        <v>575</v>
      </c>
      <c r="K2399" t="s">
        <v>579</v>
      </c>
      <c r="L2399" t="str">
        <f t="shared" si="111"/>
        <v>OK</v>
      </c>
      <c r="M2399" t="str">
        <f t="shared" si="112"/>
        <v>ERRO</v>
      </c>
      <c r="N2399" t="str">
        <f t="shared" si="113"/>
        <v>OK</v>
      </c>
    </row>
    <row r="2400" spans="1:14" x14ac:dyDescent="0.3">
      <c r="A2400">
        <v>98</v>
      </c>
      <c r="B2400">
        <v>2025</v>
      </c>
      <c r="C2400" s="2">
        <v>45751</v>
      </c>
      <c r="E2400" t="s">
        <v>21</v>
      </c>
      <c r="F2400" t="s">
        <v>13</v>
      </c>
      <c r="G2400" t="s">
        <v>468</v>
      </c>
      <c r="H2400" t="s">
        <v>468</v>
      </c>
      <c r="I2400" t="s">
        <v>468</v>
      </c>
      <c r="J2400" t="s">
        <v>468</v>
      </c>
      <c r="K2400" t="s">
        <v>468</v>
      </c>
      <c r="L2400" t="str">
        <f t="shared" si="111"/>
        <v>OK</v>
      </c>
      <c r="M2400" t="str">
        <f t="shared" si="112"/>
        <v>OK</v>
      </c>
      <c r="N2400" t="str">
        <f t="shared" si="113"/>
        <v>OK</v>
      </c>
    </row>
    <row r="2401" spans="1:14" x14ac:dyDescent="0.3">
      <c r="A2401">
        <v>98</v>
      </c>
      <c r="B2401">
        <v>2025</v>
      </c>
      <c r="C2401" s="2">
        <v>45751</v>
      </c>
      <c r="E2401" t="s">
        <v>73</v>
      </c>
      <c r="F2401" t="s">
        <v>13</v>
      </c>
      <c r="H2401" t="s">
        <v>673</v>
      </c>
      <c r="I2401" t="s">
        <v>507</v>
      </c>
      <c r="J2401" t="s">
        <v>509</v>
      </c>
      <c r="K2401" t="s">
        <v>671</v>
      </c>
      <c r="L2401" t="str">
        <f t="shared" si="111"/>
        <v>OK</v>
      </c>
      <c r="M2401" t="str">
        <f t="shared" si="112"/>
        <v>OK</v>
      </c>
      <c r="N2401" t="str">
        <f t="shared" si="113"/>
        <v>OK</v>
      </c>
    </row>
    <row r="2402" spans="1:14" x14ac:dyDescent="0.3">
      <c r="A2402">
        <v>98</v>
      </c>
      <c r="B2402">
        <v>2025</v>
      </c>
      <c r="C2402" s="2">
        <v>45751</v>
      </c>
      <c r="E2402" t="s">
        <v>23</v>
      </c>
      <c r="F2402" t="s">
        <v>13</v>
      </c>
      <c r="G2402" t="s">
        <v>468</v>
      </c>
      <c r="H2402" t="s">
        <v>468</v>
      </c>
      <c r="I2402" t="s">
        <v>536</v>
      </c>
      <c r="J2402" t="s">
        <v>687</v>
      </c>
      <c r="K2402" t="s">
        <v>468</v>
      </c>
      <c r="L2402" t="str">
        <f t="shared" si="111"/>
        <v>OK</v>
      </c>
      <c r="M2402" t="str">
        <f t="shared" si="112"/>
        <v>OK</v>
      </c>
      <c r="N2402" t="str">
        <f t="shared" si="113"/>
        <v>OK</v>
      </c>
    </row>
    <row r="2403" spans="1:14" x14ac:dyDescent="0.3">
      <c r="A2403">
        <v>98</v>
      </c>
      <c r="B2403">
        <v>2025</v>
      </c>
      <c r="C2403" s="2">
        <v>45751</v>
      </c>
      <c r="E2403" t="s">
        <v>24</v>
      </c>
      <c r="F2403" t="s">
        <v>13</v>
      </c>
      <c r="H2403" t="s">
        <v>464</v>
      </c>
      <c r="I2403" t="s">
        <v>467</v>
      </c>
      <c r="J2403" t="s">
        <v>466</v>
      </c>
      <c r="K2403" t="s">
        <v>466</v>
      </c>
      <c r="L2403" t="str">
        <f t="shared" si="111"/>
        <v>OK</v>
      </c>
      <c r="M2403" t="str">
        <f t="shared" si="112"/>
        <v>OK</v>
      </c>
      <c r="N2403" t="str">
        <f t="shared" si="113"/>
        <v>OK</v>
      </c>
    </row>
    <row r="2404" spans="1:14" x14ac:dyDescent="0.3">
      <c r="A2404">
        <v>98</v>
      </c>
      <c r="B2404">
        <v>2025</v>
      </c>
      <c r="C2404" s="2">
        <v>45751</v>
      </c>
      <c r="E2404" t="s">
        <v>25</v>
      </c>
      <c r="F2404" t="s">
        <v>26</v>
      </c>
      <c r="H2404" t="s">
        <v>464</v>
      </c>
      <c r="I2404" t="s">
        <v>467</v>
      </c>
      <c r="J2404" t="s">
        <v>466</v>
      </c>
      <c r="K2404" t="s">
        <v>466</v>
      </c>
      <c r="L2404" t="str">
        <f t="shared" si="111"/>
        <v>OK</v>
      </c>
      <c r="M2404" t="str">
        <f t="shared" si="112"/>
        <v>OK</v>
      </c>
      <c r="N2404" t="str">
        <f t="shared" si="113"/>
        <v>OK</v>
      </c>
    </row>
    <row r="2405" spans="1:14" x14ac:dyDescent="0.3">
      <c r="A2405">
        <v>98</v>
      </c>
      <c r="B2405">
        <v>2025</v>
      </c>
      <c r="C2405" s="2">
        <v>45751</v>
      </c>
      <c r="E2405" t="s">
        <v>27</v>
      </c>
      <c r="F2405" t="s">
        <v>13</v>
      </c>
      <c r="H2405" t="s">
        <v>466</v>
      </c>
      <c r="I2405" t="s">
        <v>579</v>
      </c>
      <c r="J2405" t="s">
        <v>467</v>
      </c>
      <c r="K2405" t="s">
        <v>467</v>
      </c>
      <c r="L2405" t="str">
        <f t="shared" si="111"/>
        <v>OK</v>
      </c>
      <c r="M2405" t="str">
        <f t="shared" si="112"/>
        <v>OK</v>
      </c>
      <c r="N2405" t="str">
        <f t="shared" si="113"/>
        <v>OK</v>
      </c>
    </row>
    <row r="2406" spans="1:14" x14ac:dyDescent="0.3">
      <c r="A2406">
        <v>98</v>
      </c>
      <c r="B2406">
        <v>2025</v>
      </c>
      <c r="C2406" s="2">
        <v>45751</v>
      </c>
      <c r="E2406" t="s">
        <v>28</v>
      </c>
      <c r="F2406" t="s">
        <v>13</v>
      </c>
      <c r="H2406" t="s">
        <v>499</v>
      </c>
      <c r="I2406" t="s">
        <v>466</v>
      </c>
      <c r="J2406" t="s">
        <v>723</v>
      </c>
      <c r="K2406" t="s">
        <v>464</v>
      </c>
      <c r="L2406" t="str">
        <f t="shared" si="111"/>
        <v>OK</v>
      </c>
      <c r="M2406" t="str">
        <f t="shared" si="112"/>
        <v>OK</v>
      </c>
      <c r="N2406" t="str">
        <f t="shared" si="113"/>
        <v>OK</v>
      </c>
    </row>
    <row r="2407" spans="1:14" x14ac:dyDescent="0.3">
      <c r="A2407">
        <v>98</v>
      </c>
      <c r="B2407">
        <v>2025</v>
      </c>
      <c r="C2407" s="2">
        <v>45751</v>
      </c>
      <c r="E2407" t="s">
        <v>29</v>
      </c>
      <c r="F2407" t="s">
        <v>13</v>
      </c>
      <c r="G2407" t="s">
        <v>464</v>
      </c>
      <c r="H2407" t="s">
        <v>463</v>
      </c>
      <c r="I2407" t="s">
        <v>464</v>
      </c>
      <c r="J2407" t="s">
        <v>539</v>
      </c>
      <c r="K2407" t="s">
        <v>464</v>
      </c>
      <c r="L2407" t="str">
        <f t="shared" si="111"/>
        <v>OK</v>
      </c>
      <c r="M2407" t="str">
        <f t="shared" si="112"/>
        <v>OK</v>
      </c>
      <c r="N2407" t="str">
        <f t="shared" si="113"/>
        <v>OK</v>
      </c>
    </row>
    <row r="2408" spans="1:14" x14ac:dyDescent="0.3">
      <c r="A2408">
        <v>98</v>
      </c>
      <c r="B2408">
        <v>2025</v>
      </c>
      <c r="C2408" s="2">
        <v>45751</v>
      </c>
      <c r="E2408" t="s">
        <v>31</v>
      </c>
      <c r="F2408" t="s">
        <v>32</v>
      </c>
      <c r="G2408" t="s">
        <v>484</v>
      </c>
      <c r="H2408" t="s">
        <v>484</v>
      </c>
      <c r="I2408" t="s">
        <v>717</v>
      </c>
      <c r="J2408" t="s">
        <v>724</v>
      </c>
      <c r="K2408" t="s">
        <v>484</v>
      </c>
      <c r="L2408" t="str">
        <f t="shared" si="111"/>
        <v>OK</v>
      </c>
      <c r="M2408" t="str">
        <f t="shared" si="112"/>
        <v>OK</v>
      </c>
      <c r="N2408" t="str">
        <f t="shared" si="113"/>
        <v>OK</v>
      </c>
    </row>
    <row r="2409" spans="1:14" x14ac:dyDescent="0.3">
      <c r="A2409">
        <v>98</v>
      </c>
      <c r="B2409">
        <v>2025</v>
      </c>
      <c r="C2409" s="2">
        <v>45751</v>
      </c>
      <c r="E2409" t="s">
        <v>34</v>
      </c>
      <c r="F2409" t="s">
        <v>35</v>
      </c>
      <c r="G2409" t="s">
        <v>494</v>
      </c>
      <c r="H2409" t="s">
        <v>496</v>
      </c>
      <c r="I2409" t="s">
        <v>496</v>
      </c>
      <c r="J2409" t="s">
        <v>725</v>
      </c>
      <c r="K2409" t="s">
        <v>496</v>
      </c>
      <c r="L2409" t="str">
        <f t="shared" si="111"/>
        <v>OK</v>
      </c>
      <c r="M2409" t="str">
        <f t="shared" si="112"/>
        <v>ERRO</v>
      </c>
      <c r="N2409" t="str">
        <f t="shared" si="113"/>
        <v>OK</v>
      </c>
    </row>
    <row r="2410" spans="1:14" x14ac:dyDescent="0.3">
      <c r="A2410">
        <v>98</v>
      </c>
      <c r="B2410">
        <v>2025</v>
      </c>
      <c r="C2410" s="2">
        <v>45751</v>
      </c>
      <c r="E2410" t="s">
        <v>36</v>
      </c>
      <c r="F2410" t="s">
        <v>35</v>
      </c>
      <c r="H2410" t="s">
        <v>525</v>
      </c>
      <c r="I2410" t="s">
        <v>494</v>
      </c>
      <c r="J2410" t="s">
        <v>468</v>
      </c>
      <c r="K2410" t="s">
        <v>468</v>
      </c>
      <c r="L2410" t="str">
        <f t="shared" si="111"/>
        <v>OK</v>
      </c>
      <c r="M2410" t="str">
        <f t="shared" si="112"/>
        <v>OK</v>
      </c>
      <c r="N2410" t="str">
        <f t="shared" si="113"/>
        <v>OK</v>
      </c>
    </row>
    <row r="2411" spans="1:14" x14ac:dyDescent="0.3">
      <c r="A2411">
        <v>98</v>
      </c>
      <c r="B2411">
        <v>2025</v>
      </c>
      <c r="C2411" s="2">
        <v>45751</v>
      </c>
      <c r="E2411" t="s">
        <v>153</v>
      </c>
      <c r="F2411" t="s">
        <v>154</v>
      </c>
      <c r="H2411" t="s">
        <v>499</v>
      </c>
      <c r="I2411" t="s">
        <v>464</v>
      </c>
      <c r="J2411" t="s">
        <v>502</v>
      </c>
      <c r="K2411" t="s">
        <v>502</v>
      </c>
      <c r="L2411" t="str">
        <f t="shared" si="111"/>
        <v>OK</v>
      </c>
      <c r="M2411" t="str">
        <f t="shared" si="112"/>
        <v>OK</v>
      </c>
      <c r="N2411" t="str">
        <f t="shared" si="113"/>
        <v>OK</v>
      </c>
    </row>
    <row r="2412" spans="1:14" x14ac:dyDescent="0.3">
      <c r="A2412">
        <v>98</v>
      </c>
      <c r="B2412">
        <v>2025</v>
      </c>
      <c r="C2412" s="2">
        <v>45751</v>
      </c>
      <c r="E2412" t="s">
        <v>39</v>
      </c>
      <c r="F2412" t="s">
        <v>40</v>
      </c>
      <c r="H2412" t="s">
        <v>464</v>
      </c>
      <c r="I2412" t="s">
        <v>492</v>
      </c>
      <c r="J2412" t="s">
        <v>476</v>
      </c>
      <c r="K2412" t="s">
        <v>476</v>
      </c>
      <c r="L2412" t="str">
        <f t="shared" si="111"/>
        <v>OK</v>
      </c>
      <c r="M2412" t="str">
        <f t="shared" si="112"/>
        <v>OK</v>
      </c>
      <c r="N2412" t="str">
        <f t="shared" si="113"/>
        <v>OK</v>
      </c>
    </row>
    <row r="2413" spans="1:14" x14ac:dyDescent="0.3">
      <c r="A2413">
        <v>98</v>
      </c>
      <c r="B2413">
        <v>2025</v>
      </c>
      <c r="C2413" s="2">
        <v>45751</v>
      </c>
      <c r="E2413" t="s">
        <v>42</v>
      </c>
      <c r="F2413" t="s">
        <v>43</v>
      </c>
      <c r="H2413" t="s">
        <v>496</v>
      </c>
      <c r="I2413" t="s">
        <v>500</v>
      </c>
      <c r="J2413" t="s">
        <v>697</v>
      </c>
      <c r="K2413" t="s">
        <v>464</v>
      </c>
      <c r="L2413" t="str">
        <f t="shared" si="111"/>
        <v>OK</v>
      </c>
      <c r="M2413" t="str">
        <f t="shared" si="112"/>
        <v>OK</v>
      </c>
      <c r="N2413" t="str">
        <f t="shared" si="113"/>
        <v>OK</v>
      </c>
    </row>
    <row r="2414" spans="1:14" x14ac:dyDescent="0.3">
      <c r="A2414">
        <v>98</v>
      </c>
      <c r="B2414">
        <v>2025</v>
      </c>
      <c r="C2414" s="2">
        <v>45751</v>
      </c>
      <c r="E2414" t="s">
        <v>44</v>
      </c>
      <c r="F2414" t="s">
        <v>45</v>
      </c>
      <c r="H2414" t="s">
        <v>503</v>
      </c>
      <c r="I2414" t="s">
        <v>464</v>
      </c>
      <c r="J2414" t="s">
        <v>601</v>
      </c>
      <c r="K2414" t="s">
        <v>496</v>
      </c>
      <c r="L2414" t="str">
        <f t="shared" si="111"/>
        <v>OK</v>
      </c>
      <c r="M2414" t="str">
        <f t="shared" si="112"/>
        <v>OK</v>
      </c>
      <c r="N2414" t="str">
        <f t="shared" si="113"/>
        <v>OK</v>
      </c>
    </row>
    <row r="2415" spans="1:14" x14ac:dyDescent="0.3">
      <c r="A2415">
        <v>98</v>
      </c>
      <c r="B2415">
        <v>2025</v>
      </c>
      <c r="C2415" s="2">
        <v>45751</v>
      </c>
      <c r="E2415" t="s">
        <v>48</v>
      </c>
      <c r="F2415" t="s">
        <v>45</v>
      </c>
      <c r="H2415" t="s">
        <v>491</v>
      </c>
      <c r="I2415" t="s">
        <v>491</v>
      </c>
      <c r="J2415" t="s">
        <v>491</v>
      </c>
      <c r="K2415" t="s">
        <v>491</v>
      </c>
      <c r="L2415" t="str">
        <f t="shared" si="111"/>
        <v>OK</v>
      </c>
      <c r="M2415" t="str">
        <f t="shared" si="112"/>
        <v>OK</v>
      </c>
      <c r="N2415" t="str">
        <f t="shared" si="113"/>
        <v>OK</v>
      </c>
    </row>
    <row r="2416" spans="1:14" x14ac:dyDescent="0.3">
      <c r="A2416">
        <v>98</v>
      </c>
      <c r="B2416">
        <v>2025</v>
      </c>
      <c r="C2416" s="2">
        <v>45751</v>
      </c>
      <c r="E2416" t="s">
        <v>49</v>
      </c>
      <c r="F2416" t="s">
        <v>50</v>
      </c>
      <c r="H2416" t="s">
        <v>499</v>
      </c>
      <c r="I2416" t="s">
        <v>476</v>
      </c>
      <c r="J2416" t="s">
        <v>464</v>
      </c>
      <c r="K2416" t="s">
        <v>464</v>
      </c>
      <c r="L2416" t="str">
        <f t="shared" si="111"/>
        <v>OK</v>
      </c>
      <c r="M2416" t="str">
        <f t="shared" si="112"/>
        <v>OK</v>
      </c>
      <c r="N2416" t="str">
        <f t="shared" si="113"/>
        <v>OK</v>
      </c>
    </row>
    <row r="2417" spans="1:14" x14ac:dyDescent="0.3">
      <c r="A2417">
        <v>98</v>
      </c>
      <c r="B2417">
        <v>2025</v>
      </c>
      <c r="C2417" s="2">
        <v>45751</v>
      </c>
      <c r="E2417" t="s">
        <v>52</v>
      </c>
      <c r="F2417" t="s">
        <v>43</v>
      </c>
      <c r="G2417" t="s">
        <v>464</v>
      </c>
      <c r="H2417" t="s">
        <v>464</v>
      </c>
      <c r="I2417" t="s">
        <v>591</v>
      </c>
      <c r="J2417" t="s">
        <v>705</v>
      </c>
      <c r="K2417" t="s">
        <v>464</v>
      </c>
      <c r="L2417" t="str">
        <f t="shared" si="111"/>
        <v>OK</v>
      </c>
      <c r="M2417" t="str">
        <f t="shared" si="112"/>
        <v>OK</v>
      </c>
      <c r="N2417" t="str">
        <f t="shared" si="113"/>
        <v>OK</v>
      </c>
    </row>
    <row r="2418" spans="1:14" x14ac:dyDescent="0.3">
      <c r="A2418">
        <v>98</v>
      </c>
      <c r="B2418">
        <v>2025</v>
      </c>
      <c r="C2418" s="2">
        <v>45751</v>
      </c>
      <c r="E2418" t="s">
        <v>53</v>
      </c>
      <c r="F2418" t="s">
        <v>43</v>
      </c>
      <c r="H2418" t="s">
        <v>476</v>
      </c>
      <c r="I2418" t="s">
        <v>511</v>
      </c>
      <c r="J2418" t="s">
        <v>492</v>
      </c>
      <c r="K2418" t="s">
        <v>492</v>
      </c>
      <c r="L2418" t="str">
        <f t="shared" si="111"/>
        <v>OK</v>
      </c>
      <c r="M2418" t="str">
        <f t="shared" si="112"/>
        <v>OK</v>
      </c>
      <c r="N2418" t="str">
        <f t="shared" si="113"/>
        <v>OK</v>
      </c>
    </row>
    <row r="2419" spans="1:14" x14ac:dyDescent="0.3">
      <c r="A2419">
        <v>98</v>
      </c>
      <c r="B2419">
        <v>2025</v>
      </c>
      <c r="C2419" s="2">
        <v>45751</v>
      </c>
      <c r="E2419" t="s">
        <v>54</v>
      </c>
      <c r="F2419" t="s">
        <v>40</v>
      </c>
      <c r="G2419" t="s">
        <v>476</v>
      </c>
      <c r="H2419" t="s">
        <v>476</v>
      </c>
      <c r="I2419" t="s">
        <v>476</v>
      </c>
      <c r="J2419" t="s">
        <v>476</v>
      </c>
      <c r="K2419" t="s">
        <v>476</v>
      </c>
      <c r="L2419" t="str">
        <f t="shared" si="111"/>
        <v>OK</v>
      </c>
      <c r="M2419" t="str">
        <f t="shared" si="112"/>
        <v>OK</v>
      </c>
      <c r="N2419" t="str">
        <f t="shared" si="113"/>
        <v>OK</v>
      </c>
    </row>
    <row r="2420" spans="1:14" x14ac:dyDescent="0.3">
      <c r="A2420">
        <v>98</v>
      </c>
      <c r="B2420">
        <v>2025</v>
      </c>
      <c r="C2420" s="2">
        <v>45751</v>
      </c>
      <c r="E2420" t="s">
        <v>56</v>
      </c>
      <c r="F2420" t="s">
        <v>43</v>
      </c>
      <c r="H2420" t="s">
        <v>491</v>
      </c>
      <c r="I2420" t="s">
        <v>491</v>
      </c>
      <c r="J2420" t="s">
        <v>491</v>
      </c>
      <c r="K2420" t="s">
        <v>491</v>
      </c>
      <c r="L2420" t="str">
        <f t="shared" si="111"/>
        <v>OK</v>
      </c>
      <c r="M2420" t="str">
        <f t="shared" si="112"/>
        <v>OK</v>
      </c>
      <c r="N2420" t="str">
        <f t="shared" si="113"/>
        <v>OK</v>
      </c>
    </row>
    <row r="2421" spans="1:14" x14ac:dyDescent="0.3">
      <c r="A2421">
        <v>98</v>
      </c>
      <c r="B2421">
        <v>2025</v>
      </c>
      <c r="C2421" s="2">
        <v>45751</v>
      </c>
      <c r="E2421" t="s">
        <v>57</v>
      </c>
      <c r="F2421" t="s">
        <v>40</v>
      </c>
      <c r="H2421" t="s">
        <v>476</v>
      </c>
      <c r="I2421" t="s">
        <v>476</v>
      </c>
      <c r="J2421" t="s">
        <v>476</v>
      </c>
      <c r="K2421" t="s">
        <v>476</v>
      </c>
      <c r="L2421" t="str">
        <f t="shared" si="111"/>
        <v>OK</v>
      </c>
      <c r="M2421" t="str">
        <f t="shared" si="112"/>
        <v>OK</v>
      </c>
      <c r="N2421" t="str">
        <f t="shared" si="113"/>
        <v>OK</v>
      </c>
    </row>
    <row r="2422" spans="1:14" x14ac:dyDescent="0.3">
      <c r="A2422">
        <v>98</v>
      </c>
      <c r="B2422">
        <v>2025</v>
      </c>
      <c r="C2422" s="2">
        <v>45751</v>
      </c>
      <c r="E2422" t="s">
        <v>58</v>
      </c>
      <c r="F2422" t="s">
        <v>40</v>
      </c>
      <c r="G2422" t="s">
        <v>492</v>
      </c>
      <c r="H2422" t="s">
        <v>492</v>
      </c>
      <c r="I2422" t="s">
        <v>511</v>
      </c>
      <c r="J2422" t="s">
        <v>533</v>
      </c>
      <c r="K2422" t="s">
        <v>492</v>
      </c>
      <c r="L2422" t="str">
        <f t="shared" si="111"/>
        <v>OK</v>
      </c>
      <c r="M2422" t="str">
        <f t="shared" si="112"/>
        <v>OK</v>
      </c>
      <c r="N2422" t="str">
        <f t="shared" si="113"/>
        <v>OK</v>
      </c>
    </row>
    <row r="2423" spans="1:14" x14ac:dyDescent="0.3">
      <c r="A2423">
        <v>98</v>
      </c>
      <c r="B2423">
        <v>2025</v>
      </c>
      <c r="C2423" s="2">
        <v>45751</v>
      </c>
      <c r="E2423" t="s">
        <v>59</v>
      </c>
      <c r="F2423" t="s">
        <v>45</v>
      </c>
      <c r="H2423" t="s">
        <v>468</v>
      </c>
      <c r="I2423" t="s">
        <v>491</v>
      </c>
      <c r="J2423" t="s">
        <v>499</v>
      </c>
      <c r="K2423" t="s">
        <v>496</v>
      </c>
      <c r="L2423" t="str">
        <f t="shared" si="111"/>
        <v>OK</v>
      </c>
      <c r="M2423" t="str">
        <f t="shared" si="112"/>
        <v>OK</v>
      </c>
      <c r="N2423" t="str">
        <f t="shared" si="113"/>
        <v>OK</v>
      </c>
    </row>
    <row r="2424" spans="1:14" x14ac:dyDescent="0.3">
      <c r="A2424">
        <v>98</v>
      </c>
      <c r="B2424">
        <v>2025</v>
      </c>
      <c r="C2424" s="2">
        <v>45751</v>
      </c>
      <c r="E2424" t="s">
        <v>60</v>
      </c>
      <c r="F2424" t="s">
        <v>61</v>
      </c>
      <c r="H2424" t="s">
        <v>511</v>
      </c>
      <c r="I2424" t="s">
        <v>558</v>
      </c>
      <c r="J2424" t="s">
        <v>715</v>
      </c>
      <c r="K2424" t="s">
        <v>521</v>
      </c>
      <c r="L2424" t="str">
        <f t="shared" si="111"/>
        <v>ERRO</v>
      </c>
      <c r="M2424" t="str">
        <f t="shared" si="112"/>
        <v>ERRO</v>
      </c>
      <c r="N2424" t="str">
        <f t="shared" si="113"/>
        <v>OK</v>
      </c>
    </row>
    <row r="2425" spans="1:14" x14ac:dyDescent="0.3">
      <c r="A2425">
        <v>98</v>
      </c>
      <c r="B2425">
        <v>2025</v>
      </c>
      <c r="C2425" s="2">
        <v>45751</v>
      </c>
      <c r="E2425" t="s">
        <v>63</v>
      </c>
      <c r="F2425" t="s">
        <v>40</v>
      </c>
      <c r="H2425" t="s">
        <v>521</v>
      </c>
      <c r="I2425" t="s">
        <v>726</v>
      </c>
      <c r="J2425" t="s">
        <v>727</v>
      </c>
      <c r="K2425" t="s">
        <v>509</v>
      </c>
      <c r="L2425" t="str">
        <f t="shared" si="111"/>
        <v>OK</v>
      </c>
      <c r="M2425" t="str">
        <f t="shared" si="112"/>
        <v>OK</v>
      </c>
      <c r="N2425" t="str">
        <f t="shared" si="113"/>
        <v>OK</v>
      </c>
    </row>
    <row r="2426" spans="1:14" x14ac:dyDescent="0.3">
      <c r="A2426">
        <v>98</v>
      </c>
      <c r="B2426">
        <v>2025</v>
      </c>
      <c r="C2426" s="2">
        <v>45751</v>
      </c>
      <c r="E2426" t="s">
        <v>64</v>
      </c>
      <c r="F2426" t="s">
        <v>40</v>
      </c>
      <c r="H2426" t="s">
        <v>514</v>
      </c>
      <c r="I2426" t="s">
        <v>514</v>
      </c>
      <c r="J2426" t="s">
        <v>514</v>
      </c>
      <c r="K2426" t="s">
        <v>514</v>
      </c>
      <c r="L2426" t="str">
        <f t="shared" si="111"/>
        <v>OK</v>
      </c>
      <c r="M2426" t="str">
        <f t="shared" si="112"/>
        <v>OK</v>
      </c>
      <c r="N2426" t="str">
        <f t="shared" si="113"/>
        <v>OK</v>
      </c>
    </row>
    <row r="2427" spans="1:14" x14ac:dyDescent="0.3">
      <c r="A2427">
        <v>98</v>
      </c>
      <c r="B2427">
        <v>2025</v>
      </c>
      <c r="C2427" s="2">
        <v>45751</v>
      </c>
      <c r="E2427" s="11" t="s">
        <v>66</v>
      </c>
      <c r="F2427" s="12" t="s">
        <v>45</v>
      </c>
      <c r="L2427" t="str">
        <f t="shared" si="111"/>
        <v>OK</v>
      </c>
      <c r="M2427" t="str">
        <f t="shared" si="112"/>
        <v>OK</v>
      </c>
      <c r="N2427" t="str">
        <f t="shared" si="113"/>
        <v>OK</v>
      </c>
    </row>
    <row r="2428" spans="1:14" x14ac:dyDescent="0.3">
      <c r="A2428">
        <v>98</v>
      </c>
      <c r="B2428">
        <v>2025</v>
      </c>
      <c r="C2428" s="2">
        <v>45751</v>
      </c>
      <c r="E2428" s="11" t="s">
        <v>67</v>
      </c>
      <c r="F2428" s="12" t="s">
        <v>45</v>
      </c>
      <c r="L2428" t="str">
        <f t="shared" si="111"/>
        <v>OK</v>
      </c>
      <c r="M2428" t="str">
        <f t="shared" si="112"/>
        <v>OK</v>
      </c>
      <c r="N2428" t="str">
        <f t="shared" si="113"/>
        <v>OK</v>
      </c>
    </row>
    <row r="2429" spans="1:14" x14ac:dyDescent="0.3">
      <c r="A2429">
        <v>98</v>
      </c>
      <c r="B2429">
        <v>2025</v>
      </c>
      <c r="C2429" s="2">
        <v>45751</v>
      </c>
      <c r="E2429" s="11" t="s">
        <v>68</v>
      </c>
      <c r="F2429" s="12" t="s">
        <v>45</v>
      </c>
      <c r="L2429" t="str">
        <f t="shared" si="111"/>
        <v>OK</v>
      </c>
      <c r="M2429" t="str">
        <f t="shared" si="112"/>
        <v>OK</v>
      </c>
      <c r="N2429" t="str">
        <f t="shared" si="113"/>
        <v>OK</v>
      </c>
    </row>
    <row r="2430" spans="1:14" x14ac:dyDescent="0.3">
      <c r="A2430">
        <v>98</v>
      </c>
      <c r="B2430">
        <v>2025</v>
      </c>
      <c r="C2430" s="2">
        <v>45751</v>
      </c>
      <c r="E2430" s="11" t="s">
        <v>69</v>
      </c>
      <c r="F2430" s="12" t="s">
        <v>45</v>
      </c>
      <c r="L2430" t="str">
        <f t="shared" si="111"/>
        <v>OK</v>
      </c>
      <c r="M2430" t="str">
        <f t="shared" si="112"/>
        <v>OK</v>
      </c>
      <c r="N2430" t="str">
        <f t="shared" si="113"/>
        <v>OK</v>
      </c>
    </row>
    <row r="2431" spans="1:14" x14ac:dyDescent="0.3">
      <c r="A2431">
        <v>98</v>
      </c>
      <c r="B2431">
        <v>2025</v>
      </c>
      <c r="C2431" s="2">
        <v>45751</v>
      </c>
      <c r="E2431" s="11" t="s">
        <v>70</v>
      </c>
      <c r="F2431" s="12" t="s">
        <v>71</v>
      </c>
      <c r="L2431" t="str">
        <f t="shared" si="111"/>
        <v>OK</v>
      </c>
      <c r="M2431" t="str">
        <f t="shared" si="112"/>
        <v>OK</v>
      </c>
      <c r="N2431" t="str">
        <f t="shared" si="113"/>
        <v>OK</v>
      </c>
    </row>
    <row r="2432" spans="1:14" x14ac:dyDescent="0.3">
      <c r="A2432">
        <v>99</v>
      </c>
      <c r="B2432">
        <v>2025</v>
      </c>
      <c r="C2432" s="2">
        <v>45758</v>
      </c>
      <c r="E2432" t="s">
        <v>12</v>
      </c>
      <c r="F2432" t="s">
        <v>13</v>
      </c>
      <c r="H2432" t="s">
        <v>464</v>
      </c>
      <c r="I2432" t="s">
        <v>466</v>
      </c>
      <c r="J2432" t="s">
        <v>728</v>
      </c>
      <c r="K2432" t="s">
        <v>476</v>
      </c>
      <c r="L2432" t="str">
        <f t="shared" si="111"/>
        <v>OK</v>
      </c>
      <c r="M2432" t="str">
        <f t="shared" si="112"/>
        <v>OK</v>
      </c>
      <c r="N2432" t="str">
        <f t="shared" si="113"/>
        <v>OK</v>
      </c>
    </row>
    <row r="2433" spans="1:14" x14ac:dyDescent="0.3">
      <c r="A2433">
        <v>99</v>
      </c>
      <c r="B2433">
        <v>2025</v>
      </c>
      <c r="C2433" s="2">
        <v>45758</v>
      </c>
      <c r="E2433" t="s">
        <v>14</v>
      </c>
      <c r="F2433" t="s">
        <v>13</v>
      </c>
      <c r="G2433" t="s">
        <v>579</v>
      </c>
      <c r="H2433" t="s">
        <v>579</v>
      </c>
      <c r="I2433" t="s">
        <v>579</v>
      </c>
      <c r="J2433" t="s">
        <v>579</v>
      </c>
      <c r="K2433" t="s">
        <v>579</v>
      </c>
      <c r="L2433" t="str">
        <f t="shared" si="111"/>
        <v>OK</v>
      </c>
      <c r="M2433" t="str">
        <f t="shared" si="112"/>
        <v>OK</v>
      </c>
      <c r="N2433" t="str">
        <f t="shared" si="113"/>
        <v>OK</v>
      </c>
    </row>
    <row r="2434" spans="1:14" x14ac:dyDescent="0.3">
      <c r="A2434">
        <v>99</v>
      </c>
      <c r="B2434">
        <v>2025</v>
      </c>
      <c r="C2434" s="2">
        <v>45758</v>
      </c>
      <c r="E2434" t="s">
        <v>15</v>
      </c>
      <c r="F2434" t="s">
        <v>13</v>
      </c>
      <c r="G2434" t="s">
        <v>463</v>
      </c>
      <c r="H2434" t="s">
        <v>463</v>
      </c>
      <c r="I2434" t="s">
        <v>463</v>
      </c>
      <c r="J2434" t="s">
        <v>463</v>
      </c>
      <c r="K2434" t="s">
        <v>463</v>
      </c>
      <c r="L2434" t="str">
        <f t="shared" si="111"/>
        <v>OK</v>
      </c>
      <c r="M2434" t="str">
        <f t="shared" si="112"/>
        <v>OK</v>
      </c>
      <c r="N2434" t="str">
        <f t="shared" si="113"/>
        <v>OK</v>
      </c>
    </row>
    <row r="2435" spans="1:14" x14ac:dyDescent="0.3">
      <c r="A2435">
        <v>99</v>
      </c>
      <c r="B2435">
        <v>2025</v>
      </c>
      <c r="C2435" s="2">
        <v>45758</v>
      </c>
      <c r="E2435" t="s">
        <v>16</v>
      </c>
      <c r="F2435" t="s">
        <v>13</v>
      </c>
      <c r="G2435" t="s">
        <v>468</v>
      </c>
      <c r="H2435" t="s">
        <v>468</v>
      </c>
      <c r="I2435" t="s">
        <v>468</v>
      </c>
      <c r="J2435" t="s">
        <v>468</v>
      </c>
      <c r="K2435" t="s">
        <v>468</v>
      </c>
      <c r="L2435" t="str">
        <f t="shared" ref="L2435:L2471" si="114">IF(H2435&gt;I2435,"ERRO","OK")</f>
        <v>OK</v>
      </c>
      <c r="M2435" t="str">
        <f t="shared" ref="M2435:M2471" si="115">IF(H2435&gt;J2435,"ERRO","OK")</f>
        <v>OK</v>
      </c>
      <c r="N2435" t="str">
        <f t="shared" ref="N2435:N2471" si="116">IF(I2435&lt;J2435,"ERRO","OK")</f>
        <v>OK</v>
      </c>
    </row>
    <row r="2436" spans="1:14" x14ac:dyDescent="0.3">
      <c r="A2436">
        <v>99</v>
      </c>
      <c r="B2436">
        <v>2025</v>
      </c>
      <c r="C2436" s="2">
        <v>45758</v>
      </c>
      <c r="E2436" t="s">
        <v>17</v>
      </c>
      <c r="F2436" t="s">
        <v>13</v>
      </c>
      <c r="G2436" t="s">
        <v>468</v>
      </c>
      <c r="H2436" t="s">
        <v>468</v>
      </c>
      <c r="I2436" t="s">
        <v>468</v>
      </c>
      <c r="J2436" t="s">
        <v>468</v>
      </c>
      <c r="K2436" t="s">
        <v>468</v>
      </c>
      <c r="L2436" t="str">
        <f t="shared" si="114"/>
        <v>OK</v>
      </c>
      <c r="M2436" t="str">
        <f t="shared" si="115"/>
        <v>OK</v>
      </c>
      <c r="N2436" t="str">
        <f t="shared" si="116"/>
        <v>OK</v>
      </c>
    </row>
    <row r="2437" spans="1:14" x14ac:dyDescent="0.3">
      <c r="A2437">
        <v>99</v>
      </c>
      <c r="B2437">
        <v>2025</v>
      </c>
      <c r="C2437" s="2">
        <v>45758</v>
      </c>
      <c r="E2437" t="s">
        <v>18</v>
      </c>
      <c r="F2437" t="s">
        <v>13</v>
      </c>
      <c r="H2437" t="s">
        <v>522</v>
      </c>
      <c r="I2437" t="s">
        <v>467</v>
      </c>
      <c r="J2437" t="s">
        <v>491</v>
      </c>
      <c r="K2437" t="s">
        <v>491</v>
      </c>
      <c r="L2437" t="str">
        <f t="shared" si="114"/>
        <v>OK</v>
      </c>
      <c r="M2437" t="str">
        <f t="shared" si="115"/>
        <v>OK</v>
      </c>
      <c r="N2437" t="str">
        <f t="shared" si="116"/>
        <v>OK</v>
      </c>
    </row>
    <row r="2438" spans="1:14" x14ac:dyDescent="0.3">
      <c r="A2438">
        <v>99</v>
      </c>
      <c r="B2438">
        <v>2025</v>
      </c>
      <c r="C2438" s="2">
        <v>45758</v>
      </c>
      <c r="E2438" t="s">
        <v>19</v>
      </c>
      <c r="F2438" t="s">
        <v>13</v>
      </c>
      <c r="G2438" t="s">
        <v>579</v>
      </c>
      <c r="H2438" t="s">
        <v>579</v>
      </c>
      <c r="I2438" t="s">
        <v>579</v>
      </c>
      <c r="J2438" t="s">
        <v>579</v>
      </c>
      <c r="K2438" t="s">
        <v>579</v>
      </c>
      <c r="L2438" t="str">
        <f t="shared" si="114"/>
        <v>OK</v>
      </c>
      <c r="M2438" t="str">
        <f t="shared" si="115"/>
        <v>OK</v>
      </c>
      <c r="N2438" t="str">
        <f t="shared" si="116"/>
        <v>OK</v>
      </c>
    </row>
    <row r="2439" spans="1:14" x14ac:dyDescent="0.3">
      <c r="A2439">
        <v>99</v>
      </c>
      <c r="B2439">
        <v>2025</v>
      </c>
      <c r="C2439" s="2">
        <v>45758</v>
      </c>
      <c r="E2439" t="s">
        <v>20</v>
      </c>
      <c r="F2439" t="s">
        <v>13</v>
      </c>
      <c r="G2439" t="s">
        <v>579</v>
      </c>
      <c r="H2439" t="s">
        <v>579</v>
      </c>
      <c r="I2439" t="s">
        <v>579</v>
      </c>
      <c r="J2439" t="s">
        <v>579</v>
      </c>
      <c r="K2439" t="s">
        <v>579</v>
      </c>
      <c r="L2439" t="str">
        <f t="shared" si="114"/>
        <v>OK</v>
      </c>
      <c r="M2439" t="str">
        <f t="shared" si="115"/>
        <v>OK</v>
      </c>
      <c r="N2439" t="str">
        <f t="shared" si="116"/>
        <v>OK</v>
      </c>
    </row>
    <row r="2440" spans="1:14" x14ac:dyDescent="0.3">
      <c r="A2440">
        <v>99</v>
      </c>
      <c r="B2440">
        <v>2025</v>
      </c>
      <c r="C2440" s="2">
        <v>45758</v>
      </c>
      <c r="E2440" t="s">
        <v>21</v>
      </c>
      <c r="F2440" t="s">
        <v>13</v>
      </c>
      <c r="H2440" t="s">
        <v>613</v>
      </c>
      <c r="I2440" t="s">
        <v>468</v>
      </c>
      <c r="J2440" t="s">
        <v>729</v>
      </c>
      <c r="K2440" t="s">
        <v>468</v>
      </c>
      <c r="L2440" t="str">
        <f t="shared" si="114"/>
        <v>OK</v>
      </c>
      <c r="M2440" t="str">
        <f t="shared" si="115"/>
        <v>OK</v>
      </c>
      <c r="N2440" t="str">
        <f t="shared" si="116"/>
        <v>OK</v>
      </c>
    </row>
    <row r="2441" spans="1:14" x14ac:dyDescent="0.3">
      <c r="A2441">
        <v>99</v>
      </c>
      <c r="B2441">
        <v>2025</v>
      </c>
      <c r="C2441" s="2">
        <v>45758</v>
      </c>
      <c r="E2441" t="s">
        <v>73</v>
      </c>
      <c r="F2441" t="s">
        <v>13</v>
      </c>
      <c r="H2441" t="s">
        <v>468</v>
      </c>
      <c r="I2441" t="s">
        <v>509</v>
      </c>
      <c r="J2441" t="s">
        <v>730</v>
      </c>
      <c r="K2441" t="s">
        <v>671</v>
      </c>
      <c r="L2441" t="str">
        <f t="shared" si="114"/>
        <v>ERRO</v>
      </c>
      <c r="M2441" t="str">
        <f t="shared" si="115"/>
        <v>ERRO</v>
      </c>
      <c r="N2441" t="str">
        <f t="shared" si="116"/>
        <v>OK</v>
      </c>
    </row>
    <row r="2442" spans="1:14" x14ac:dyDescent="0.3">
      <c r="A2442">
        <v>99</v>
      </c>
      <c r="B2442">
        <v>2025</v>
      </c>
      <c r="C2442" s="2">
        <v>45758</v>
      </c>
      <c r="E2442" t="s">
        <v>23</v>
      </c>
      <c r="F2442" t="s">
        <v>13</v>
      </c>
      <c r="H2442" t="s">
        <v>579</v>
      </c>
      <c r="I2442" t="s">
        <v>468</v>
      </c>
      <c r="J2442" t="s">
        <v>468</v>
      </c>
      <c r="K2442" t="s">
        <v>468</v>
      </c>
      <c r="L2442" t="str">
        <f t="shared" si="114"/>
        <v>ERRO</v>
      </c>
      <c r="M2442" t="str">
        <f t="shared" si="115"/>
        <v>ERRO</v>
      </c>
      <c r="N2442" t="str">
        <f t="shared" si="116"/>
        <v>OK</v>
      </c>
    </row>
    <row r="2443" spans="1:14" x14ac:dyDescent="0.3">
      <c r="A2443">
        <v>99</v>
      </c>
      <c r="B2443">
        <v>2025</v>
      </c>
      <c r="C2443" s="2">
        <v>45758</v>
      </c>
      <c r="E2443" t="s">
        <v>24</v>
      </c>
      <c r="F2443" t="s">
        <v>13</v>
      </c>
      <c r="H2443" t="s">
        <v>468</v>
      </c>
      <c r="I2443" t="s">
        <v>466</v>
      </c>
      <c r="J2443" t="s">
        <v>522</v>
      </c>
      <c r="K2443" t="s">
        <v>522</v>
      </c>
      <c r="L2443" t="str">
        <f t="shared" si="114"/>
        <v>OK</v>
      </c>
      <c r="M2443" t="str">
        <f t="shared" si="115"/>
        <v>OK</v>
      </c>
      <c r="N2443" t="str">
        <f t="shared" si="116"/>
        <v>OK</v>
      </c>
    </row>
    <row r="2444" spans="1:14" x14ac:dyDescent="0.3">
      <c r="A2444">
        <v>99</v>
      </c>
      <c r="B2444">
        <v>2025</v>
      </c>
      <c r="C2444" s="2">
        <v>45758</v>
      </c>
      <c r="E2444" t="s">
        <v>25</v>
      </c>
      <c r="F2444" t="s">
        <v>26</v>
      </c>
      <c r="H2444" t="s">
        <v>468</v>
      </c>
      <c r="I2444" t="s">
        <v>467</v>
      </c>
      <c r="J2444" t="s">
        <v>731</v>
      </c>
      <c r="K2444" t="s">
        <v>491</v>
      </c>
      <c r="L2444" t="str">
        <f t="shared" si="114"/>
        <v>OK</v>
      </c>
      <c r="M2444" t="str">
        <f t="shared" si="115"/>
        <v>OK</v>
      </c>
      <c r="N2444" t="str">
        <f t="shared" si="116"/>
        <v>OK</v>
      </c>
    </row>
    <row r="2445" spans="1:14" x14ac:dyDescent="0.3">
      <c r="A2445">
        <v>99</v>
      </c>
      <c r="B2445">
        <v>2025</v>
      </c>
      <c r="C2445" s="2">
        <v>45758</v>
      </c>
      <c r="E2445" t="s">
        <v>27</v>
      </c>
      <c r="F2445" t="s">
        <v>13</v>
      </c>
      <c r="H2445" t="s">
        <v>464</v>
      </c>
      <c r="I2445" t="s">
        <v>467</v>
      </c>
      <c r="J2445" t="s">
        <v>467</v>
      </c>
      <c r="K2445" t="s">
        <v>467</v>
      </c>
      <c r="L2445" t="str">
        <f t="shared" si="114"/>
        <v>OK</v>
      </c>
      <c r="M2445" t="str">
        <f t="shared" si="115"/>
        <v>OK</v>
      </c>
      <c r="N2445" t="str">
        <f t="shared" si="116"/>
        <v>OK</v>
      </c>
    </row>
    <row r="2446" spans="1:14" x14ac:dyDescent="0.3">
      <c r="A2446">
        <v>99</v>
      </c>
      <c r="B2446">
        <v>2025</v>
      </c>
      <c r="C2446" s="2">
        <v>45758</v>
      </c>
      <c r="E2446" t="s">
        <v>28</v>
      </c>
      <c r="F2446" t="s">
        <v>13</v>
      </c>
      <c r="H2446" t="s">
        <v>464</v>
      </c>
      <c r="I2446" t="s">
        <v>464</v>
      </c>
      <c r="J2446" t="s">
        <v>732</v>
      </c>
      <c r="K2446" t="s">
        <v>464</v>
      </c>
      <c r="L2446" t="str">
        <f t="shared" si="114"/>
        <v>OK</v>
      </c>
      <c r="M2446" t="str">
        <f t="shared" si="115"/>
        <v>ERRO</v>
      </c>
      <c r="N2446" t="str">
        <f t="shared" si="116"/>
        <v>OK</v>
      </c>
    </row>
    <row r="2447" spans="1:14" x14ac:dyDescent="0.3">
      <c r="A2447">
        <v>99</v>
      </c>
      <c r="B2447">
        <v>2025</v>
      </c>
      <c r="C2447" s="2">
        <v>45758</v>
      </c>
      <c r="E2447" t="s">
        <v>29</v>
      </c>
      <c r="F2447" t="s">
        <v>13</v>
      </c>
      <c r="H2447" t="s">
        <v>463</v>
      </c>
      <c r="I2447" t="s">
        <v>502</v>
      </c>
      <c r="J2447" t="s">
        <v>733</v>
      </c>
      <c r="K2447" t="s">
        <v>465</v>
      </c>
      <c r="L2447" t="str">
        <f t="shared" si="114"/>
        <v>OK</v>
      </c>
      <c r="M2447" t="str">
        <f t="shared" si="115"/>
        <v>OK</v>
      </c>
      <c r="N2447" t="str">
        <f t="shared" si="116"/>
        <v>OK</v>
      </c>
    </row>
    <row r="2448" spans="1:14" x14ac:dyDescent="0.3">
      <c r="A2448">
        <v>99</v>
      </c>
      <c r="B2448">
        <v>2025</v>
      </c>
      <c r="C2448" s="2">
        <v>45758</v>
      </c>
      <c r="E2448" t="s">
        <v>31</v>
      </c>
      <c r="F2448" t="s">
        <v>32</v>
      </c>
      <c r="H2448" t="s">
        <v>464</v>
      </c>
      <c r="I2448" t="s">
        <v>466</v>
      </c>
      <c r="J2448" t="s">
        <v>728</v>
      </c>
      <c r="K2448" t="s">
        <v>476</v>
      </c>
      <c r="L2448" t="str">
        <f t="shared" si="114"/>
        <v>OK</v>
      </c>
      <c r="M2448" t="str">
        <f t="shared" si="115"/>
        <v>OK</v>
      </c>
      <c r="N2448" t="str">
        <f t="shared" si="116"/>
        <v>OK</v>
      </c>
    </row>
    <row r="2449" spans="1:14" x14ac:dyDescent="0.3">
      <c r="A2449">
        <v>99</v>
      </c>
      <c r="B2449">
        <v>2025</v>
      </c>
      <c r="C2449" s="2">
        <v>45758</v>
      </c>
      <c r="E2449" t="s">
        <v>34</v>
      </c>
      <c r="F2449" t="s">
        <v>35</v>
      </c>
      <c r="G2449" t="s">
        <v>579</v>
      </c>
      <c r="H2449" t="s">
        <v>579</v>
      </c>
      <c r="I2449" t="s">
        <v>518</v>
      </c>
      <c r="J2449" t="s">
        <v>579</v>
      </c>
      <c r="K2449" t="s">
        <v>579</v>
      </c>
      <c r="L2449" t="str">
        <f t="shared" si="114"/>
        <v>ERRO</v>
      </c>
      <c r="M2449" t="str">
        <f t="shared" si="115"/>
        <v>OK</v>
      </c>
      <c r="N2449" t="str">
        <f t="shared" si="116"/>
        <v>ERRO</v>
      </c>
    </row>
    <row r="2450" spans="1:14" x14ac:dyDescent="0.3">
      <c r="A2450">
        <v>99</v>
      </c>
      <c r="B2450">
        <v>2025</v>
      </c>
      <c r="C2450" s="2">
        <v>45758</v>
      </c>
      <c r="E2450" t="s">
        <v>36</v>
      </c>
      <c r="F2450" t="s">
        <v>35</v>
      </c>
      <c r="G2450" t="s">
        <v>463</v>
      </c>
      <c r="H2450" t="s">
        <v>463</v>
      </c>
      <c r="I2450" t="s">
        <v>463</v>
      </c>
      <c r="J2450" t="s">
        <v>463</v>
      </c>
      <c r="K2450" t="s">
        <v>463</v>
      </c>
      <c r="L2450" t="str">
        <f t="shared" si="114"/>
        <v>OK</v>
      </c>
      <c r="M2450" t="str">
        <f t="shared" si="115"/>
        <v>OK</v>
      </c>
      <c r="N2450" t="str">
        <f t="shared" si="116"/>
        <v>OK</v>
      </c>
    </row>
    <row r="2451" spans="1:14" x14ac:dyDescent="0.3">
      <c r="A2451">
        <v>99</v>
      </c>
      <c r="B2451">
        <v>2025</v>
      </c>
      <c r="C2451" s="2">
        <v>45758</v>
      </c>
      <c r="E2451" t="s">
        <v>153</v>
      </c>
      <c r="F2451" t="s">
        <v>154</v>
      </c>
      <c r="H2451" t="s">
        <v>502</v>
      </c>
      <c r="I2451" t="s">
        <v>502</v>
      </c>
      <c r="J2451" t="s">
        <v>502</v>
      </c>
      <c r="K2451" t="s">
        <v>502</v>
      </c>
      <c r="L2451" t="str">
        <f t="shared" si="114"/>
        <v>OK</v>
      </c>
      <c r="M2451" t="str">
        <f t="shared" si="115"/>
        <v>OK</v>
      </c>
      <c r="N2451" t="str">
        <f t="shared" si="116"/>
        <v>OK</v>
      </c>
    </row>
    <row r="2452" spans="1:14" x14ac:dyDescent="0.3">
      <c r="A2452">
        <v>99</v>
      </c>
      <c r="B2452">
        <v>2025</v>
      </c>
      <c r="C2452" s="2">
        <v>45758</v>
      </c>
      <c r="E2452" t="s">
        <v>39</v>
      </c>
      <c r="F2452" t="s">
        <v>40</v>
      </c>
      <c r="H2452" t="s">
        <v>507</v>
      </c>
      <c r="I2452" t="s">
        <v>558</v>
      </c>
      <c r="J2452" t="s">
        <v>696</v>
      </c>
      <c r="K2452" t="s">
        <v>696</v>
      </c>
      <c r="L2452" t="str">
        <f t="shared" si="114"/>
        <v>OK</v>
      </c>
      <c r="M2452" t="str">
        <f t="shared" si="115"/>
        <v>OK</v>
      </c>
      <c r="N2452" t="str">
        <f t="shared" si="116"/>
        <v>OK</v>
      </c>
    </row>
    <row r="2453" spans="1:14" x14ac:dyDescent="0.3">
      <c r="A2453">
        <v>99</v>
      </c>
      <c r="B2453">
        <v>2025</v>
      </c>
      <c r="C2453" s="2">
        <v>45758</v>
      </c>
      <c r="E2453" t="s">
        <v>42</v>
      </c>
      <c r="F2453" t="s">
        <v>43</v>
      </c>
      <c r="H2453" t="s">
        <v>496</v>
      </c>
      <c r="I2453" t="s">
        <v>500</v>
      </c>
      <c r="J2453" t="s">
        <v>502</v>
      </c>
      <c r="K2453" t="s">
        <v>502</v>
      </c>
      <c r="L2453" t="str">
        <f t="shared" si="114"/>
        <v>OK</v>
      </c>
      <c r="M2453" t="str">
        <f t="shared" si="115"/>
        <v>OK</v>
      </c>
      <c r="N2453" t="str">
        <f t="shared" si="116"/>
        <v>OK</v>
      </c>
    </row>
    <row r="2454" spans="1:14" x14ac:dyDescent="0.3">
      <c r="A2454">
        <v>99</v>
      </c>
      <c r="B2454">
        <v>2025</v>
      </c>
      <c r="C2454" s="2">
        <v>45758</v>
      </c>
      <c r="E2454" t="s">
        <v>44</v>
      </c>
      <c r="F2454" t="s">
        <v>45</v>
      </c>
      <c r="G2454" t="s">
        <v>503</v>
      </c>
      <c r="H2454" t="s">
        <v>499</v>
      </c>
      <c r="I2454" t="s">
        <v>499</v>
      </c>
      <c r="J2454" t="s">
        <v>734</v>
      </c>
      <c r="K2454" t="s">
        <v>499</v>
      </c>
      <c r="L2454" t="str">
        <f t="shared" si="114"/>
        <v>OK</v>
      </c>
      <c r="M2454" t="str">
        <f t="shared" si="115"/>
        <v>ERRO</v>
      </c>
      <c r="N2454" t="str">
        <f t="shared" si="116"/>
        <v>OK</v>
      </c>
    </row>
    <row r="2455" spans="1:14" x14ac:dyDescent="0.3">
      <c r="A2455">
        <v>99</v>
      </c>
      <c r="B2455">
        <v>2025</v>
      </c>
      <c r="C2455" s="2">
        <v>45758</v>
      </c>
      <c r="E2455" t="s">
        <v>48</v>
      </c>
      <c r="F2455" t="s">
        <v>45</v>
      </c>
      <c r="H2455" t="s">
        <v>492</v>
      </c>
      <c r="I2455" t="s">
        <v>492</v>
      </c>
      <c r="J2455" t="s">
        <v>492</v>
      </c>
      <c r="K2455" t="s">
        <v>492</v>
      </c>
      <c r="L2455" t="str">
        <f t="shared" si="114"/>
        <v>OK</v>
      </c>
      <c r="M2455" t="str">
        <f t="shared" si="115"/>
        <v>OK</v>
      </c>
      <c r="N2455" t="str">
        <f t="shared" si="116"/>
        <v>OK</v>
      </c>
    </row>
    <row r="2456" spans="1:14" x14ac:dyDescent="0.3">
      <c r="A2456">
        <v>99</v>
      </c>
      <c r="B2456">
        <v>2025</v>
      </c>
      <c r="C2456" s="2">
        <v>45758</v>
      </c>
      <c r="E2456" t="s">
        <v>49</v>
      </c>
      <c r="F2456" t="s">
        <v>50</v>
      </c>
      <c r="H2456" t="s">
        <v>502</v>
      </c>
      <c r="I2456" t="s">
        <v>500</v>
      </c>
      <c r="J2456" t="s">
        <v>464</v>
      </c>
      <c r="K2456" t="s">
        <v>464</v>
      </c>
      <c r="L2456" t="str">
        <f t="shared" si="114"/>
        <v>OK</v>
      </c>
      <c r="M2456" t="str">
        <f t="shared" si="115"/>
        <v>OK</v>
      </c>
      <c r="N2456" t="str">
        <f t="shared" si="116"/>
        <v>OK</v>
      </c>
    </row>
    <row r="2457" spans="1:14" x14ac:dyDescent="0.3">
      <c r="A2457">
        <v>99</v>
      </c>
      <c r="B2457">
        <v>2025</v>
      </c>
      <c r="C2457" s="2">
        <v>45758</v>
      </c>
      <c r="E2457" t="s">
        <v>52</v>
      </c>
      <c r="F2457" t="s">
        <v>43</v>
      </c>
      <c r="H2457" t="s">
        <v>499</v>
      </c>
      <c r="I2457" t="s">
        <v>492</v>
      </c>
      <c r="J2457" t="s">
        <v>480</v>
      </c>
      <c r="K2457" t="s">
        <v>464</v>
      </c>
      <c r="L2457" t="str">
        <f t="shared" si="114"/>
        <v>OK</v>
      </c>
      <c r="M2457" t="str">
        <f t="shared" si="115"/>
        <v>OK</v>
      </c>
      <c r="N2457" t="str">
        <f t="shared" si="116"/>
        <v>OK</v>
      </c>
    </row>
    <row r="2458" spans="1:14" x14ac:dyDescent="0.3">
      <c r="A2458">
        <v>99</v>
      </c>
      <c r="B2458">
        <v>2025</v>
      </c>
      <c r="C2458" s="2">
        <v>45758</v>
      </c>
      <c r="E2458" t="s">
        <v>53</v>
      </c>
      <c r="F2458" t="s">
        <v>43</v>
      </c>
      <c r="H2458" t="s">
        <v>499</v>
      </c>
      <c r="I2458" t="s">
        <v>492</v>
      </c>
      <c r="J2458" t="s">
        <v>500</v>
      </c>
      <c r="K2458" t="s">
        <v>500</v>
      </c>
      <c r="L2458" t="str">
        <f t="shared" si="114"/>
        <v>OK</v>
      </c>
      <c r="M2458" t="str">
        <f t="shared" si="115"/>
        <v>OK</v>
      </c>
      <c r="N2458" t="str">
        <f t="shared" si="116"/>
        <v>OK</v>
      </c>
    </row>
    <row r="2459" spans="1:14" x14ac:dyDescent="0.3">
      <c r="A2459">
        <v>99</v>
      </c>
      <c r="B2459">
        <v>2025</v>
      </c>
      <c r="C2459" s="2">
        <v>45758</v>
      </c>
      <c r="E2459" t="s">
        <v>54</v>
      </c>
      <c r="F2459" t="s">
        <v>40</v>
      </c>
      <c r="H2459" t="s">
        <v>464</v>
      </c>
      <c r="I2459" t="s">
        <v>492</v>
      </c>
      <c r="J2459" t="s">
        <v>476</v>
      </c>
      <c r="K2459" t="s">
        <v>476</v>
      </c>
      <c r="L2459" t="str">
        <f t="shared" si="114"/>
        <v>OK</v>
      </c>
      <c r="M2459" t="str">
        <f t="shared" si="115"/>
        <v>OK</v>
      </c>
      <c r="N2459" t="str">
        <f t="shared" si="116"/>
        <v>OK</v>
      </c>
    </row>
    <row r="2460" spans="1:14" x14ac:dyDescent="0.3">
      <c r="A2460">
        <v>99</v>
      </c>
      <c r="B2460">
        <v>2025</v>
      </c>
      <c r="C2460" s="2">
        <v>45758</v>
      </c>
      <c r="E2460" t="s">
        <v>56</v>
      </c>
      <c r="F2460" t="s">
        <v>43</v>
      </c>
      <c r="H2460" t="s">
        <v>491</v>
      </c>
      <c r="I2460" t="s">
        <v>491</v>
      </c>
      <c r="J2460" t="s">
        <v>491</v>
      </c>
      <c r="K2460" t="s">
        <v>491</v>
      </c>
      <c r="L2460" t="str">
        <f t="shared" si="114"/>
        <v>OK</v>
      </c>
      <c r="M2460" t="str">
        <f t="shared" si="115"/>
        <v>OK</v>
      </c>
      <c r="N2460" t="str">
        <f t="shared" si="116"/>
        <v>OK</v>
      </c>
    </row>
    <row r="2461" spans="1:14" x14ac:dyDescent="0.3">
      <c r="A2461">
        <v>99</v>
      </c>
      <c r="B2461">
        <v>2025</v>
      </c>
      <c r="C2461" s="2">
        <v>45758</v>
      </c>
      <c r="E2461" t="s">
        <v>57</v>
      </c>
      <c r="F2461" t="s">
        <v>40</v>
      </c>
      <c r="H2461" t="s">
        <v>476</v>
      </c>
      <c r="I2461" t="s">
        <v>476</v>
      </c>
      <c r="J2461" t="s">
        <v>476</v>
      </c>
      <c r="K2461" t="s">
        <v>476</v>
      </c>
      <c r="L2461" t="str">
        <f t="shared" si="114"/>
        <v>OK</v>
      </c>
      <c r="M2461" t="str">
        <f t="shared" si="115"/>
        <v>OK</v>
      </c>
      <c r="N2461" t="str">
        <f t="shared" si="116"/>
        <v>OK</v>
      </c>
    </row>
    <row r="2462" spans="1:14" x14ac:dyDescent="0.3">
      <c r="A2462">
        <v>99</v>
      </c>
      <c r="B2462">
        <v>2025</v>
      </c>
      <c r="C2462" s="2">
        <v>45758</v>
      </c>
      <c r="E2462" t="s">
        <v>58</v>
      </c>
      <c r="F2462" t="s">
        <v>40</v>
      </c>
      <c r="H2462" t="s">
        <v>491</v>
      </c>
      <c r="I2462" t="s">
        <v>511</v>
      </c>
      <c r="J2462" t="s">
        <v>681</v>
      </c>
      <c r="K2462" t="s">
        <v>492</v>
      </c>
      <c r="L2462" t="str">
        <f t="shared" si="114"/>
        <v>OK</v>
      </c>
      <c r="M2462" t="str">
        <f t="shared" si="115"/>
        <v>OK</v>
      </c>
      <c r="N2462" t="str">
        <f t="shared" si="116"/>
        <v>OK</v>
      </c>
    </row>
    <row r="2463" spans="1:14" x14ac:dyDescent="0.3">
      <c r="A2463">
        <v>99</v>
      </c>
      <c r="B2463">
        <v>2025</v>
      </c>
      <c r="C2463" s="2">
        <v>45758</v>
      </c>
      <c r="E2463" t="s">
        <v>59</v>
      </c>
      <c r="F2463" t="s">
        <v>45</v>
      </c>
      <c r="H2463" t="s">
        <v>468</v>
      </c>
      <c r="I2463" t="s">
        <v>464</v>
      </c>
      <c r="J2463" t="s">
        <v>734</v>
      </c>
      <c r="K2463" t="s">
        <v>499</v>
      </c>
      <c r="L2463" t="str">
        <f t="shared" si="114"/>
        <v>OK</v>
      </c>
      <c r="M2463" t="str">
        <f t="shared" si="115"/>
        <v>OK</v>
      </c>
      <c r="N2463" t="str">
        <f t="shared" si="116"/>
        <v>OK</v>
      </c>
    </row>
    <row r="2464" spans="1:14" x14ac:dyDescent="0.3">
      <c r="A2464">
        <v>99</v>
      </c>
      <c r="B2464">
        <v>2025</v>
      </c>
      <c r="C2464" s="2">
        <v>45758</v>
      </c>
      <c r="E2464" t="s">
        <v>60</v>
      </c>
      <c r="F2464" t="s">
        <v>61</v>
      </c>
      <c r="H2464" t="s">
        <v>507</v>
      </c>
      <c r="I2464" t="s">
        <v>517</v>
      </c>
      <c r="J2464" t="s">
        <v>735</v>
      </c>
      <c r="K2464" t="s">
        <v>514</v>
      </c>
      <c r="L2464" t="str">
        <f t="shared" si="114"/>
        <v>OK</v>
      </c>
      <c r="M2464" t="str">
        <f t="shared" si="115"/>
        <v>OK</v>
      </c>
      <c r="N2464" t="str">
        <f t="shared" si="116"/>
        <v>OK</v>
      </c>
    </row>
    <row r="2465" spans="1:14" x14ac:dyDescent="0.3">
      <c r="A2465">
        <v>99</v>
      </c>
      <c r="B2465">
        <v>2025</v>
      </c>
      <c r="C2465" s="2">
        <v>45758</v>
      </c>
      <c r="E2465" t="s">
        <v>63</v>
      </c>
      <c r="F2465" t="s">
        <v>40</v>
      </c>
      <c r="G2465" t="s">
        <v>509</v>
      </c>
      <c r="H2465" t="s">
        <v>509</v>
      </c>
      <c r="I2465" t="s">
        <v>507</v>
      </c>
      <c r="J2465" t="s">
        <v>530</v>
      </c>
      <c r="K2465" t="s">
        <v>509</v>
      </c>
      <c r="L2465" t="str">
        <f t="shared" si="114"/>
        <v>OK</v>
      </c>
      <c r="M2465" t="str">
        <f t="shared" si="115"/>
        <v>OK</v>
      </c>
      <c r="N2465" t="str">
        <f t="shared" si="116"/>
        <v>OK</v>
      </c>
    </row>
    <row r="2466" spans="1:14" x14ac:dyDescent="0.3">
      <c r="A2466">
        <v>99</v>
      </c>
      <c r="B2466">
        <v>2025</v>
      </c>
      <c r="C2466" s="2">
        <v>45758</v>
      </c>
      <c r="E2466" t="s">
        <v>64</v>
      </c>
      <c r="F2466" t="s">
        <v>40</v>
      </c>
      <c r="H2466" t="s">
        <v>736</v>
      </c>
      <c r="I2466" t="s">
        <v>736</v>
      </c>
      <c r="J2466" t="s">
        <v>736</v>
      </c>
      <c r="K2466" t="s">
        <v>736</v>
      </c>
      <c r="L2466" t="str">
        <f t="shared" si="114"/>
        <v>OK</v>
      </c>
      <c r="M2466" t="str">
        <f t="shared" si="115"/>
        <v>OK</v>
      </c>
      <c r="N2466" t="str">
        <f t="shared" si="116"/>
        <v>OK</v>
      </c>
    </row>
    <row r="2467" spans="1:14" x14ac:dyDescent="0.3">
      <c r="A2467">
        <v>99</v>
      </c>
      <c r="B2467">
        <v>2025</v>
      </c>
      <c r="C2467" s="2">
        <v>45758</v>
      </c>
      <c r="E2467" s="11" t="s">
        <v>66</v>
      </c>
      <c r="F2467" s="12" t="s">
        <v>45</v>
      </c>
      <c r="L2467" t="str">
        <f t="shared" si="114"/>
        <v>OK</v>
      </c>
      <c r="M2467" t="str">
        <f t="shared" si="115"/>
        <v>OK</v>
      </c>
      <c r="N2467" t="str">
        <f t="shared" si="116"/>
        <v>OK</v>
      </c>
    </row>
    <row r="2468" spans="1:14" x14ac:dyDescent="0.3">
      <c r="A2468">
        <v>99</v>
      </c>
      <c r="B2468">
        <v>2025</v>
      </c>
      <c r="C2468" s="2">
        <v>45758</v>
      </c>
      <c r="E2468" s="11" t="s">
        <v>67</v>
      </c>
      <c r="F2468" s="12" t="s">
        <v>45</v>
      </c>
      <c r="L2468" t="str">
        <f t="shared" si="114"/>
        <v>OK</v>
      </c>
      <c r="M2468" t="str">
        <f t="shared" si="115"/>
        <v>OK</v>
      </c>
      <c r="N2468" t="str">
        <f t="shared" si="116"/>
        <v>OK</v>
      </c>
    </row>
    <row r="2469" spans="1:14" x14ac:dyDescent="0.3">
      <c r="A2469">
        <v>99</v>
      </c>
      <c r="B2469">
        <v>2025</v>
      </c>
      <c r="C2469" s="2">
        <v>45758</v>
      </c>
      <c r="E2469" s="11" t="s">
        <v>68</v>
      </c>
      <c r="F2469" s="12" t="s">
        <v>45</v>
      </c>
      <c r="L2469" t="str">
        <f t="shared" si="114"/>
        <v>OK</v>
      </c>
      <c r="M2469" t="str">
        <f t="shared" si="115"/>
        <v>OK</v>
      </c>
      <c r="N2469" t="str">
        <f t="shared" si="116"/>
        <v>OK</v>
      </c>
    </row>
    <row r="2470" spans="1:14" x14ac:dyDescent="0.3">
      <c r="A2470">
        <v>99</v>
      </c>
      <c r="B2470">
        <v>2025</v>
      </c>
      <c r="C2470" s="2">
        <v>45758</v>
      </c>
      <c r="E2470" s="11" t="s">
        <v>69</v>
      </c>
      <c r="F2470" s="12" t="s">
        <v>45</v>
      </c>
      <c r="L2470" t="str">
        <f t="shared" si="114"/>
        <v>OK</v>
      </c>
      <c r="M2470" t="str">
        <f t="shared" si="115"/>
        <v>OK</v>
      </c>
      <c r="N2470" t="str">
        <f t="shared" si="116"/>
        <v>OK</v>
      </c>
    </row>
    <row r="2471" spans="1:14" x14ac:dyDescent="0.3">
      <c r="A2471">
        <v>99</v>
      </c>
      <c r="B2471">
        <v>2025</v>
      </c>
      <c r="C2471" s="2">
        <v>45758</v>
      </c>
      <c r="D2471" s="15"/>
      <c r="E2471" s="11" t="s">
        <v>70</v>
      </c>
      <c r="F2471" s="12" t="s">
        <v>71</v>
      </c>
      <c r="L2471" t="str">
        <f t="shared" si="114"/>
        <v>OK</v>
      </c>
      <c r="M2471" t="str">
        <f t="shared" si="115"/>
        <v>OK</v>
      </c>
      <c r="N2471" t="str">
        <f t="shared" si="116"/>
        <v>OK</v>
      </c>
    </row>
  </sheetData>
  <autoFilter ref="C1:O1" xr:uid="{00000000-0001-0000-0000-000000000000}"/>
  <conditionalFormatting sqref="L2:N2471">
    <cfRule type="cellIs" dxfId="0" priority="1" operator="equal">
      <formula>"ERRO"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topLeftCell="A196" zoomScaleNormal="100" workbookViewId="0">
      <selection activeCell="C122" sqref="C122:I201"/>
    </sheetView>
  </sheetViews>
  <sheetFormatPr defaultColWidth="11.5546875" defaultRowHeight="14.4" x14ac:dyDescent="0.3"/>
  <sheetData>
    <row r="1" spans="1:9" ht="28.8" x14ac:dyDescent="0.3">
      <c r="A1" t="s">
        <v>354</v>
      </c>
      <c r="B1" t="s">
        <v>355</v>
      </c>
      <c r="C1" s="11" t="s">
        <v>4</v>
      </c>
      <c r="D1" s="11" t="s">
        <v>356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</row>
    <row r="2" spans="1:9" x14ac:dyDescent="0.3">
      <c r="A2">
        <v>88</v>
      </c>
      <c r="B2">
        <v>2024</v>
      </c>
      <c r="C2" s="11" t="s">
        <v>12</v>
      </c>
      <c r="D2" s="12" t="s">
        <v>13</v>
      </c>
      <c r="E2" s="12" t="s">
        <v>353</v>
      </c>
      <c r="F2" s="13">
        <v>36</v>
      </c>
      <c r="G2" s="13">
        <v>72</v>
      </c>
      <c r="H2" s="13">
        <v>54</v>
      </c>
      <c r="I2" s="13">
        <v>54</v>
      </c>
    </row>
    <row r="3" spans="1:9" x14ac:dyDescent="0.3">
      <c r="A3">
        <v>88</v>
      </c>
      <c r="B3">
        <v>2024</v>
      </c>
      <c r="C3" s="11" t="s">
        <v>14</v>
      </c>
      <c r="D3" s="12" t="s">
        <v>13</v>
      </c>
      <c r="E3" s="13">
        <v>96</v>
      </c>
      <c r="F3" s="13">
        <v>54</v>
      </c>
      <c r="G3" s="13">
        <v>96</v>
      </c>
      <c r="H3" s="13">
        <v>82.5</v>
      </c>
      <c r="I3" s="13">
        <v>90</v>
      </c>
    </row>
    <row r="4" spans="1:9" ht="28.8" x14ac:dyDescent="0.3">
      <c r="A4">
        <v>88</v>
      </c>
      <c r="B4">
        <v>2024</v>
      </c>
      <c r="C4" s="11" t="s">
        <v>15</v>
      </c>
      <c r="D4" s="12" t="s">
        <v>13</v>
      </c>
      <c r="E4" s="12" t="s">
        <v>353</v>
      </c>
      <c r="F4" s="13">
        <v>40</v>
      </c>
      <c r="G4" s="13">
        <v>60</v>
      </c>
      <c r="H4" s="13">
        <v>48.25</v>
      </c>
      <c r="I4" s="13">
        <v>46.5</v>
      </c>
    </row>
    <row r="5" spans="1:9" ht="28.8" x14ac:dyDescent="0.3">
      <c r="A5">
        <v>88</v>
      </c>
      <c r="B5">
        <v>2024</v>
      </c>
      <c r="C5" s="11" t="s">
        <v>16</v>
      </c>
      <c r="D5" s="12" t="s">
        <v>13</v>
      </c>
      <c r="E5" s="13">
        <v>30</v>
      </c>
      <c r="F5" s="13">
        <v>25</v>
      </c>
      <c r="G5" s="13">
        <v>50</v>
      </c>
      <c r="H5" s="13">
        <v>33.75</v>
      </c>
      <c r="I5" s="13">
        <v>30</v>
      </c>
    </row>
    <row r="6" spans="1:9" x14ac:dyDescent="0.3">
      <c r="A6">
        <v>88</v>
      </c>
      <c r="B6">
        <v>2024</v>
      </c>
      <c r="C6" s="11" t="s">
        <v>17</v>
      </c>
      <c r="D6" s="12" t="s">
        <v>13</v>
      </c>
      <c r="E6" s="13">
        <v>30</v>
      </c>
      <c r="F6" s="13">
        <v>25</v>
      </c>
      <c r="G6" s="13">
        <v>50</v>
      </c>
      <c r="H6" s="13">
        <v>33.75</v>
      </c>
      <c r="I6" s="13">
        <v>30</v>
      </c>
    </row>
    <row r="7" spans="1:9" x14ac:dyDescent="0.3">
      <c r="A7">
        <v>88</v>
      </c>
      <c r="B7">
        <v>2024</v>
      </c>
      <c r="C7" s="11" t="s">
        <v>18</v>
      </c>
      <c r="D7" s="12" t="s">
        <v>13</v>
      </c>
      <c r="E7" s="13">
        <v>60</v>
      </c>
      <c r="F7" s="13">
        <v>60</v>
      </c>
      <c r="G7" s="13">
        <v>120</v>
      </c>
      <c r="H7" s="13">
        <v>76.5</v>
      </c>
      <c r="I7" s="13">
        <v>63</v>
      </c>
    </row>
    <row r="8" spans="1:9" ht="43.2" x14ac:dyDescent="0.3">
      <c r="A8">
        <v>88</v>
      </c>
      <c r="B8">
        <v>2024</v>
      </c>
      <c r="C8" s="11" t="s">
        <v>19</v>
      </c>
      <c r="D8" s="12" t="s">
        <v>13</v>
      </c>
      <c r="E8" s="13">
        <v>84</v>
      </c>
      <c r="F8" s="13">
        <v>78</v>
      </c>
      <c r="G8" s="13">
        <v>84</v>
      </c>
      <c r="H8" s="13">
        <v>81</v>
      </c>
      <c r="I8" s="13">
        <v>81</v>
      </c>
    </row>
    <row r="9" spans="1:9" ht="28.8" x14ac:dyDescent="0.3">
      <c r="A9">
        <v>88</v>
      </c>
      <c r="B9">
        <v>2024</v>
      </c>
      <c r="C9" s="11" t="s">
        <v>20</v>
      </c>
      <c r="D9" s="12" t="s">
        <v>13</v>
      </c>
      <c r="E9" s="13">
        <v>84</v>
      </c>
      <c r="F9" s="13">
        <v>72</v>
      </c>
      <c r="G9" s="13">
        <v>96</v>
      </c>
      <c r="H9" s="13">
        <v>84</v>
      </c>
      <c r="I9" s="13">
        <v>84</v>
      </c>
    </row>
    <row r="10" spans="1:9" ht="28.8" x14ac:dyDescent="0.3">
      <c r="A10">
        <v>88</v>
      </c>
      <c r="B10">
        <v>2024</v>
      </c>
      <c r="C10" s="11" t="s">
        <v>21</v>
      </c>
      <c r="D10" s="12" t="s">
        <v>13</v>
      </c>
      <c r="E10" s="13">
        <v>24</v>
      </c>
      <c r="F10" s="13">
        <v>24</v>
      </c>
      <c r="G10" s="13">
        <v>30</v>
      </c>
      <c r="H10" s="13">
        <v>25.5</v>
      </c>
      <c r="I10" s="13">
        <v>24</v>
      </c>
    </row>
    <row r="11" spans="1:9" x14ac:dyDescent="0.3">
      <c r="A11">
        <v>88</v>
      </c>
      <c r="B11">
        <v>2024</v>
      </c>
      <c r="C11" s="11" t="s">
        <v>73</v>
      </c>
      <c r="D11" s="12" t="s">
        <v>13</v>
      </c>
      <c r="E11" s="13">
        <v>96</v>
      </c>
      <c r="F11" s="13">
        <v>72</v>
      </c>
      <c r="G11" s="13">
        <v>96</v>
      </c>
      <c r="H11" s="13">
        <v>87</v>
      </c>
      <c r="I11" s="13">
        <v>90</v>
      </c>
    </row>
    <row r="12" spans="1:9" x14ac:dyDescent="0.3">
      <c r="A12">
        <v>88</v>
      </c>
      <c r="B12">
        <v>2024</v>
      </c>
      <c r="C12" s="11" t="s">
        <v>23</v>
      </c>
      <c r="D12" s="12" t="s">
        <v>13</v>
      </c>
      <c r="E12" s="13">
        <v>30</v>
      </c>
      <c r="F12" s="13">
        <v>25</v>
      </c>
      <c r="G12" s="13">
        <v>36</v>
      </c>
      <c r="H12" s="13">
        <v>30.25</v>
      </c>
      <c r="I12" s="13">
        <v>30</v>
      </c>
    </row>
    <row r="13" spans="1:9" x14ac:dyDescent="0.3">
      <c r="A13">
        <v>88</v>
      </c>
      <c r="B13">
        <v>2024</v>
      </c>
      <c r="C13" s="11" t="s">
        <v>24</v>
      </c>
      <c r="D13" s="12" t="s">
        <v>13</v>
      </c>
      <c r="E13" s="13">
        <v>72</v>
      </c>
      <c r="F13" s="13">
        <v>60</v>
      </c>
      <c r="G13" s="13">
        <v>84</v>
      </c>
      <c r="H13" s="13">
        <v>72</v>
      </c>
      <c r="I13" s="13">
        <v>72</v>
      </c>
    </row>
    <row r="14" spans="1:9" x14ac:dyDescent="0.3">
      <c r="A14">
        <v>88</v>
      </c>
      <c r="B14">
        <v>2024</v>
      </c>
      <c r="C14" s="11" t="s">
        <v>25</v>
      </c>
      <c r="D14" s="12" t="s">
        <v>26</v>
      </c>
      <c r="E14" s="13">
        <v>72</v>
      </c>
      <c r="F14" s="13">
        <v>60</v>
      </c>
      <c r="G14" s="13">
        <v>96</v>
      </c>
      <c r="H14" s="13">
        <v>75</v>
      </c>
      <c r="I14" s="13">
        <v>72</v>
      </c>
    </row>
    <row r="15" spans="1:9" ht="28.8" x14ac:dyDescent="0.3">
      <c r="A15">
        <v>88</v>
      </c>
      <c r="B15">
        <v>2024</v>
      </c>
      <c r="C15" s="11" t="s">
        <v>27</v>
      </c>
      <c r="D15" s="12" t="s">
        <v>13</v>
      </c>
      <c r="E15" s="13">
        <v>60</v>
      </c>
      <c r="F15" s="13">
        <v>54</v>
      </c>
      <c r="G15" s="13">
        <v>72</v>
      </c>
      <c r="H15" s="13">
        <v>61.5</v>
      </c>
      <c r="I15" s="13">
        <v>60</v>
      </c>
    </row>
    <row r="16" spans="1:9" ht="28.8" x14ac:dyDescent="0.3">
      <c r="A16">
        <v>88</v>
      </c>
      <c r="B16">
        <v>2024</v>
      </c>
      <c r="C16" s="11" t="s">
        <v>28</v>
      </c>
      <c r="D16" s="12" t="s">
        <v>13</v>
      </c>
      <c r="E16" s="13">
        <v>48</v>
      </c>
      <c r="F16" s="13">
        <v>36</v>
      </c>
      <c r="G16" s="13">
        <v>48</v>
      </c>
      <c r="H16" s="13">
        <v>42</v>
      </c>
      <c r="I16" s="13">
        <v>42</v>
      </c>
    </row>
    <row r="17" spans="1:9" x14ac:dyDescent="0.3">
      <c r="A17">
        <v>88</v>
      </c>
      <c r="B17">
        <v>2024</v>
      </c>
      <c r="C17" s="11" t="s">
        <v>29</v>
      </c>
      <c r="D17" s="12" t="s">
        <v>13</v>
      </c>
      <c r="E17" s="13">
        <v>54</v>
      </c>
      <c r="F17" s="13">
        <v>48</v>
      </c>
      <c r="G17" s="13">
        <v>60</v>
      </c>
      <c r="H17" s="13">
        <v>54</v>
      </c>
      <c r="I17" s="13">
        <v>54</v>
      </c>
    </row>
    <row r="18" spans="1:9" x14ac:dyDescent="0.3">
      <c r="A18">
        <v>88</v>
      </c>
      <c r="B18">
        <v>2024</v>
      </c>
      <c r="C18" s="11" t="s">
        <v>31</v>
      </c>
      <c r="D18" s="12" t="s">
        <v>32</v>
      </c>
      <c r="E18" s="13">
        <v>5</v>
      </c>
      <c r="F18" s="13">
        <v>5</v>
      </c>
      <c r="G18" s="13">
        <v>5</v>
      </c>
      <c r="H18" s="13">
        <v>5</v>
      </c>
      <c r="I18" s="13">
        <v>5</v>
      </c>
    </row>
    <row r="19" spans="1:9" x14ac:dyDescent="0.3">
      <c r="A19">
        <v>88</v>
      </c>
      <c r="B19">
        <v>2024</v>
      </c>
      <c r="C19" s="11" t="s">
        <v>34</v>
      </c>
      <c r="D19" s="12" t="s">
        <v>35</v>
      </c>
      <c r="E19" s="13">
        <v>20</v>
      </c>
      <c r="F19" s="13">
        <v>20</v>
      </c>
      <c r="G19" s="13">
        <v>25</v>
      </c>
      <c r="H19" s="13">
        <v>22.5</v>
      </c>
      <c r="I19" s="13">
        <v>22.5</v>
      </c>
    </row>
    <row r="20" spans="1:9" x14ac:dyDescent="0.3">
      <c r="A20">
        <v>88</v>
      </c>
      <c r="B20">
        <v>2024</v>
      </c>
      <c r="C20" s="11" t="s">
        <v>36</v>
      </c>
      <c r="D20" s="12" t="s">
        <v>35</v>
      </c>
      <c r="E20" s="13">
        <v>25</v>
      </c>
      <c r="F20" s="13">
        <v>25</v>
      </c>
      <c r="G20" s="13">
        <v>30</v>
      </c>
      <c r="H20" s="13">
        <v>27.5</v>
      </c>
      <c r="I20" s="13">
        <v>27.5</v>
      </c>
    </row>
    <row r="21" spans="1:9" ht="28.8" x14ac:dyDescent="0.3">
      <c r="A21">
        <v>88</v>
      </c>
      <c r="B21">
        <v>2024</v>
      </c>
      <c r="C21" s="11" t="s">
        <v>352</v>
      </c>
      <c r="D21" s="12" t="s">
        <v>154</v>
      </c>
      <c r="E21" s="13">
        <v>70</v>
      </c>
      <c r="F21" s="13">
        <v>70</v>
      </c>
      <c r="G21" s="13">
        <v>75</v>
      </c>
      <c r="H21" s="13">
        <v>71.67</v>
      </c>
      <c r="I21" s="13">
        <v>70</v>
      </c>
    </row>
    <row r="22" spans="1:9" ht="28.8" x14ac:dyDescent="0.3">
      <c r="A22">
        <v>88</v>
      </c>
      <c r="B22">
        <v>2024</v>
      </c>
      <c r="C22" s="11" t="s">
        <v>39</v>
      </c>
      <c r="D22" s="12" t="s">
        <v>40</v>
      </c>
      <c r="E22" s="13">
        <v>50</v>
      </c>
      <c r="F22" s="13">
        <v>50</v>
      </c>
      <c r="G22" s="13">
        <v>60</v>
      </c>
      <c r="H22" s="13">
        <v>53.33</v>
      </c>
      <c r="I22" s="13">
        <v>50</v>
      </c>
    </row>
    <row r="23" spans="1:9" x14ac:dyDescent="0.3">
      <c r="A23">
        <v>88</v>
      </c>
      <c r="B23">
        <v>2024</v>
      </c>
      <c r="C23" s="11" t="s">
        <v>42</v>
      </c>
      <c r="D23" s="12" t="s">
        <v>43</v>
      </c>
      <c r="E23" s="13">
        <v>70</v>
      </c>
      <c r="F23" s="13">
        <v>45</v>
      </c>
      <c r="G23" s="13">
        <v>70</v>
      </c>
      <c r="H23" s="13">
        <v>62.5</v>
      </c>
      <c r="I23" s="13">
        <v>67.5</v>
      </c>
    </row>
    <row r="24" spans="1:9" ht="28.8" x14ac:dyDescent="0.3">
      <c r="A24">
        <v>88</v>
      </c>
      <c r="B24">
        <v>2024</v>
      </c>
      <c r="C24" s="11" t="s">
        <v>44</v>
      </c>
      <c r="D24" s="12" t="s">
        <v>45</v>
      </c>
      <c r="E24" s="12" t="s">
        <v>353</v>
      </c>
      <c r="F24" s="13">
        <v>40</v>
      </c>
      <c r="G24" s="13">
        <v>65</v>
      </c>
      <c r="H24" s="13">
        <v>53.75</v>
      </c>
      <c r="I24" s="13">
        <v>55</v>
      </c>
    </row>
    <row r="25" spans="1:9" ht="28.8" x14ac:dyDescent="0.3">
      <c r="A25">
        <v>88</v>
      </c>
      <c r="B25">
        <v>2024</v>
      </c>
      <c r="C25" s="11" t="s">
        <v>48</v>
      </c>
      <c r="D25" s="12" t="s">
        <v>45</v>
      </c>
      <c r="E25" s="12" t="s">
        <v>353</v>
      </c>
      <c r="F25" s="13">
        <v>65</v>
      </c>
      <c r="G25" s="13">
        <v>75</v>
      </c>
      <c r="H25" s="13">
        <v>70</v>
      </c>
      <c r="I25" s="13">
        <v>70</v>
      </c>
    </row>
    <row r="26" spans="1:9" x14ac:dyDescent="0.3">
      <c r="A26">
        <v>88</v>
      </c>
      <c r="B26">
        <v>2024</v>
      </c>
      <c r="C26" s="11" t="s">
        <v>49</v>
      </c>
      <c r="D26" s="12" t="s">
        <v>50</v>
      </c>
      <c r="E26" s="13">
        <v>60</v>
      </c>
      <c r="F26" s="13">
        <v>50</v>
      </c>
      <c r="G26" s="13">
        <v>60</v>
      </c>
      <c r="H26" s="13">
        <v>55</v>
      </c>
      <c r="I26" s="13">
        <v>55</v>
      </c>
    </row>
    <row r="27" spans="1:9" x14ac:dyDescent="0.3">
      <c r="A27">
        <v>88</v>
      </c>
      <c r="B27">
        <v>2024</v>
      </c>
      <c r="C27" s="11" t="s">
        <v>52</v>
      </c>
      <c r="D27" s="12" t="s">
        <v>43</v>
      </c>
      <c r="E27" s="12" t="s">
        <v>353</v>
      </c>
      <c r="F27" s="13">
        <v>60</v>
      </c>
      <c r="G27" s="13">
        <v>100</v>
      </c>
      <c r="H27" s="13">
        <v>80</v>
      </c>
      <c r="I27" s="13">
        <v>80</v>
      </c>
    </row>
    <row r="28" spans="1:9" x14ac:dyDescent="0.3">
      <c r="A28">
        <v>88</v>
      </c>
      <c r="B28">
        <v>2024</v>
      </c>
      <c r="C28" s="11" t="s">
        <v>53</v>
      </c>
      <c r="D28" s="12" t="s">
        <v>43</v>
      </c>
      <c r="E28" s="12" t="s">
        <v>353</v>
      </c>
      <c r="F28" s="13">
        <v>45</v>
      </c>
      <c r="G28" s="13">
        <v>90</v>
      </c>
      <c r="H28" s="13">
        <v>63.75</v>
      </c>
      <c r="I28" s="13">
        <v>60</v>
      </c>
    </row>
    <row r="29" spans="1:9" x14ac:dyDescent="0.3">
      <c r="A29">
        <v>88</v>
      </c>
      <c r="B29">
        <v>2024</v>
      </c>
      <c r="C29" s="11" t="s">
        <v>54</v>
      </c>
      <c r="D29" s="12" t="s">
        <v>40</v>
      </c>
      <c r="E29" s="12" t="s">
        <v>353</v>
      </c>
      <c r="F29" s="13">
        <v>70</v>
      </c>
      <c r="G29" s="13">
        <v>100</v>
      </c>
      <c r="H29" s="13">
        <v>85</v>
      </c>
      <c r="I29" s="13">
        <v>85</v>
      </c>
    </row>
    <row r="30" spans="1:9" x14ac:dyDescent="0.3">
      <c r="A30">
        <v>88</v>
      </c>
      <c r="B30">
        <v>2024</v>
      </c>
      <c r="C30" s="11" t="s">
        <v>56</v>
      </c>
      <c r="D30" s="12" t="s">
        <v>43</v>
      </c>
      <c r="E30" s="12" t="s">
        <v>353</v>
      </c>
      <c r="F30" s="13">
        <v>50</v>
      </c>
      <c r="G30" s="13">
        <v>75</v>
      </c>
      <c r="H30" s="13">
        <v>62.5</v>
      </c>
      <c r="I30" s="13">
        <v>62.5</v>
      </c>
    </row>
    <row r="31" spans="1:9" ht="28.8" x14ac:dyDescent="0.3">
      <c r="A31">
        <v>88</v>
      </c>
      <c r="B31">
        <v>2024</v>
      </c>
      <c r="C31" s="11" t="s">
        <v>57</v>
      </c>
      <c r="D31" s="12" t="s">
        <v>40</v>
      </c>
      <c r="E31" s="13">
        <v>80</v>
      </c>
      <c r="F31" s="13">
        <v>45</v>
      </c>
      <c r="G31" s="13">
        <v>80</v>
      </c>
      <c r="H31" s="13">
        <v>68.33</v>
      </c>
      <c r="I31" s="13">
        <v>80</v>
      </c>
    </row>
    <row r="32" spans="1:9" ht="28.8" x14ac:dyDescent="0.3">
      <c r="A32">
        <v>88</v>
      </c>
      <c r="B32">
        <v>2024</v>
      </c>
      <c r="C32" s="11" t="s">
        <v>58</v>
      </c>
      <c r="D32" s="12" t="s">
        <v>40</v>
      </c>
      <c r="E32" s="13">
        <v>90</v>
      </c>
      <c r="F32" s="13">
        <v>80</v>
      </c>
      <c r="G32" s="13">
        <v>120</v>
      </c>
      <c r="H32" s="13">
        <v>95</v>
      </c>
      <c r="I32" s="13">
        <v>90</v>
      </c>
    </row>
    <row r="33" spans="1:9" ht="28.8" x14ac:dyDescent="0.3">
      <c r="A33">
        <v>88</v>
      </c>
      <c r="B33">
        <v>2024</v>
      </c>
      <c r="C33" s="11" t="s">
        <v>59</v>
      </c>
      <c r="D33" s="12" t="s">
        <v>45</v>
      </c>
      <c r="E33" s="13">
        <v>30</v>
      </c>
      <c r="F33" s="13">
        <v>20</v>
      </c>
      <c r="G33" s="13">
        <v>40</v>
      </c>
      <c r="H33" s="13">
        <v>30</v>
      </c>
      <c r="I33" s="13">
        <v>30</v>
      </c>
    </row>
    <row r="34" spans="1:9" x14ac:dyDescent="0.3">
      <c r="A34">
        <v>88</v>
      </c>
      <c r="B34">
        <v>2024</v>
      </c>
      <c r="C34" s="11" t="s">
        <v>60</v>
      </c>
      <c r="D34" s="12" t="s">
        <v>61</v>
      </c>
      <c r="E34" s="13">
        <v>90</v>
      </c>
      <c r="F34" s="13">
        <v>50</v>
      </c>
      <c r="G34" s="13">
        <v>90</v>
      </c>
      <c r="H34" s="13">
        <v>78.75</v>
      </c>
      <c r="I34" s="13">
        <v>87.5</v>
      </c>
    </row>
    <row r="35" spans="1:9" ht="28.8" x14ac:dyDescent="0.3">
      <c r="A35">
        <v>88</v>
      </c>
      <c r="B35">
        <v>2024</v>
      </c>
      <c r="C35" s="11" t="s">
        <v>63</v>
      </c>
      <c r="D35" s="12" t="s">
        <v>40</v>
      </c>
      <c r="E35" s="12" t="s">
        <v>353</v>
      </c>
      <c r="F35" s="13">
        <v>60</v>
      </c>
      <c r="G35" s="13">
        <v>120</v>
      </c>
      <c r="H35" s="13">
        <v>92.5</v>
      </c>
      <c r="I35" s="13">
        <v>95</v>
      </c>
    </row>
    <row r="36" spans="1:9" ht="28.8" x14ac:dyDescent="0.3">
      <c r="A36">
        <v>88</v>
      </c>
      <c r="B36">
        <v>2024</v>
      </c>
      <c r="C36" s="11" t="s">
        <v>64</v>
      </c>
      <c r="D36" s="12" t="s">
        <v>40</v>
      </c>
      <c r="E36" s="13">
        <v>50</v>
      </c>
      <c r="F36" s="13">
        <v>50</v>
      </c>
      <c r="G36" s="13">
        <v>70</v>
      </c>
      <c r="H36" s="13">
        <v>56.67</v>
      </c>
      <c r="I36" s="13">
        <v>50</v>
      </c>
    </row>
    <row r="37" spans="1:9" x14ac:dyDescent="0.3">
      <c r="A37">
        <v>88</v>
      </c>
      <c r="B37">
        <v>2024</v>
      </c>
      <c r="C37" s="11" t="s">
        <v>66</v>
      </c>
      <c r="D37" s="12" t="s">
        <v>45</v>
      </c>
      <c r="E37" s="12" t="s">
        <v>353</v>
      </c>
      <c r="F37" s="12" t="s">
        <v>353</v>
      </c>
      <c r="G37" s="12" t="s">
        <v>353</v>
      </c>
      <c r="H37" s="12" t="s">
        <v>353</v>
      </c>
      <c r="I37" s="12" t="s">
        <v>353</v>
      </c>
    </row>
    <row r="38" spans="1:9" ht="28.8" x14ac:dyDescent="0.3">
      <c r="A38">
        <v>88</v>
      </c>
      <c r="B38">
        <v>2024</v>
      </c>
      <c r="C38" s="11" t="s">
        <v>67</v>
      </c>
      <c r="D38" s="12" t="s">
        <v>45</v>
      </c>
      <c r="E38" s="12" t="s">
        <v>353</v>
      </c>
      <c r="F38" s="12" t="s">
        <v>353</v>
      </c>
      <c r="G38" s="12" t="s">
        <v>353</v>
      </c>
      <c r="H38" s="12" t="s">
        <v>353</v>
      </c>
      <c r="I38" s="12" t="s">
        <v>353</v>
      </c>
    </row>
    <row r="39" spans="1:9" ht="28.8" x14ac:dyDescent="0.3">
      <c r="A39">
        <v>88</v>
      </c>
      <c r="B39">
        <v>2024</v>
      </c>
      <c r="C39" s="11" t="s">
        <v>68</v>
      </c>
      <c r="D39" s="12" t="s">
        <v>45</v>
      </c>
      <c r="E39" s="12" t="s">
        <v>353</v>
      </c>
      <c r="F39" s="12" t="s">
        <v>353</v>
      </c>
      <c r="G39" s="12" t="s">
        <v>353</v>
      </c>
      <c r="H39" s="12" t="s">
        <v>353</v>
      </c>
      <c r="I39" s="12" t="s">
        <v>353</v>
      </c>
    </row>
    <row r="40" spans="1:9" x14ac:dyDescent="0.3">
      <c r="A40">
        <v>88</v>
      </c>
      <c r="B40">
        <v>2024</v>
      </c>
      <c r="C40" s="11" t="s">
        <v>69</v>
      </c>
      <c r="D40" s="12" t="s">
        <v>45</v>
      </c>
      <c r="E40" s="12" t="s">
        <v>353</v>
      </c>
      <c r="F40" s="12" t="s">
        <v>353</v>
      </c>
      <c r="G40" s="12" t="s">
        <v>353</v>
      </c>
      <c r="H40" s="12" t="s">
        <v>353</v>
      </c>
      <c r="I40" s="12" t="s">
        <v>353</v>
      </c>
    </row>
    <row r="41" spans="1:9" ht="28.8" x14ac:dyDescent="0.3">
      <c r="A41">
        <v>88</v>
      </c>
      <c r="B41">
        <v>2024</v>
      </c>
      <c r="C41" s="11" t="s">
        <v>70</v>
      </c>
      <c r="D41" s="12" t="s">
        <v>71</v>
      </c>
      <c r="E41" s="12" t="s">
        <v>353</v>
      </c>
      <c r="F41" s="12" t="s">
        <v>353</v>
      </c>
      <c r="G41" s="12" t="s">
        <v>353</v>
      </c>
      <c r="H41" s="12" t="s">
        <v>353</v>
      </c>
      <c r="I41" s="12" t="s">
        <v>353</v>
      </c>
    </row>
    <row r="42" spans="1:9" x14ac:dyDescent="0.3">
      <c r="A42">
        <v>85</v>
      </c>
      <c r="B42">
        <v>2024</v>
      </c>
      <c r="C42" s="11" t="s">
        <v>12</v>
      </c>
      <c r="D42" s="12" t="s">
        <v>13</v>
      </c>
      <c r="E42" s="12" t="s">
        <v>353</v>
      </c>
      <c r="F42" s="13">
        <v>36</v>
      </c>
      <c r="G42" s="13">
        <v>72</v>
      </c>
      <c r="H42" s="13">
        <v>54</v>
      </c>
      <c r="I42" s="13">
        <v>54</v>
      </c>
    </row>
    <row r="43" spans="1:9" x14ac:dyDescent="0.3">
      <c r="A43">
        <v>85</v>
      </c>
      <c r="B43">
        <v>2024</v>
      </c>
      <c r="C43" s="11" t="s">
        <v>14</v>
      </c>
      <c r="D43" s="12" t="s">
        <v>13</v>
      </c>
      <c r="E43" s="13">
        <v>96</v>
      </c>
      <c r="F43" s="13">
        <v>54</v>
      </c>
      <c r="G43" s="13">
        <v>96</v>
      </c>
      <c r="H43" s="13">
        <v>82.5</v>
      </c>
      <c r="I43" s="13">
        <v>90</v>
      </c>
    </row>
    <row r="44" spans="1:9" ht="28.8" x14ac:dyDescent="0.3">
      <c r="A44">
        <v>85</v>
      </c>
      <c r="B44">
        <v>2024</v>
      </c>
      <c r="C44" s="11" t="s">
        <v>15</v>
      </c>
      <c r="D44" s="12" t="s">
        <v>13</v>
      </c>
      <c r="E44" s="12" t="s">
        <v>353</v>
      </c>
      <c r="F44" s="13">
        <v>40</v>
      </c>
      <c r="G44" s="13">
        <v>60</v>
      </c>
      <c r="H44" s="13">
        <v>48.25</v>
      </c>
      <c r="I44" s="13">
        <v>46.5</v>
      </c>
    </row>
    <row r="45" spans="1:9" ht="28.8" x14ac:dyDescent="0.3">
      <c r="A45">
        <v>85</v>
      </c>
      <c r="B45">
        <v>2024</v>
      </c>
      <c r="C45" s="11" t="s">
        <v>16</v>
      </c>
      <c r="D45" s="12" t="s">
        <v>13</v>
      </c>
      <c r="E45" s="13">
        <v>30</v>
      </c>
      <c r="F45" s="13">
        <v>25</v>
      </c>
      <c r="G45" s="13">
        <v>50</v>
      </c>
      <c r="H45" s="13">
        <v>33.75</v>
      </c>
      <c r="I45" s="13">
        <v>30</v>
      </c>
    </row>
    <row r="46" spans="1:9" x14ac:dyDescent="0.3">
      <c r="A46">
        <v>85</v>
      </c>
      <c r="B46">
        <v>2024</v>
      </c>
      <c r="C46" s="11" t="s">
        <v>17</v>
      </c>
      <c r="D46" s="12" t="s">
        <v>13</v>
      </c>
      <c r="E46" s="13">
        <v>30</v>
      </c>
      <c r="F46" s="13">
        <v>25</v>
      </c>
      <c r="G46" s="13">
        <v>50</v>
      </c>
      <c r="H46" s="13">
        <v>33.75</v>
      </c>
      <c r="I46" s="13">
        <v>30</v>
      </c>
    </row>
    <row r="47" spans="1:9" x14ac:dyDescent="0.3">
      <c r="A47">
        <v>85</v>
      </c>
      <c r="B47">
        <v>2024</v>
      </c>
      <c r="C47" s="11" t="s">
        <v>18</v>
      </c>
      <c r="D47" s="12" t="s">
        <v>13</v>
      </c>
      <c r="E47" s="13">
        <v>60</v>
      </c>
      <c r="F47" s="13">
        <v>60</v>
      </c>
      <c r="G47" s="13">
        <v>120</v>
      </c>
      <c r="H47" s="13">
        <v>76.5</v>
      </c>
      <c r="I47" s="13">
        <v>63</v>
      </c>
    </row>
    <row r="48" spans="1:9" ht="43.2" x14ac:dyDescent="0.3">
      <c r="A48">
        <v>85</v>
      </c>
      <c r="B48">
        <v>2024</v>
      </c>
      <c r="C48" s="11" t="s">
        <v>19</v>
      </c>
      <c r="D48" s="12" t="s">
        <v>13</v>
      </c>
      <c r="E48" s="13">
        <v>84</v>
      </c>
      <c r="F48" s="13">
        <v>78</v>
      </c>
      <c r="G48" s="13">
        <v>84</v>
      </c>
      <c r="H48" s="13">
        <v>81</v>
      </c>
      <c r="I48" s="13">
        <v>81</v>
      </c>
    </row>
    <row r="49" spans="1:9" ht="28.8" x14ac:dyDescent="0.3">
      <c r="A49">
        <v>85</v>
      </c>
      <c r="B49">
        <v>2024</v>
      </c>
      <c r="C49" s="11" t="s">
        <v>20</v>
      </c>
      <c r="D49" s="12" t="s">
        <v>13</v>
      </c>
      <c r="E49" s="13">
        <v>84</v>
      </c>
      <c r="F49" s="13">
        <v>72</v>
      </c>
      <c r="G49" s="13">
        <v>96</v>
      </c>
      <c r="H49" s="13">
        <v>84</v>
      </c>
      <c r="I49" s="13">
        <v>84</v>
      </c>
    </row>
    <row r="50" spans="1:9" ht="28.8" x14ac:dyDescent="0.3">
      <c r="A50">
        <v>85</v>
      </c>
      <c r="B50">
        <v>2024</v>
      </c>
      <c r="C50" s="11" t="s">
        <v>21</v>
      </c>
      <c r="D50" s="12" t="s">
        <v>13</v>
      </c>
      <c r="E50" s="13">
        <v>24</v>
      </c>
      <c r="F50" s="13">
        <v>24</v>
      </c>
      <c r="G50" s="13">
        <v>30</v>
      </c>
      <c r="H50" s="13">
        <v>25.5</v>
      </c>
      <c r="I50" s="13">
        <v>24</v>
      </c>
    </row>
    <row r="51" spans="1:9" x14ac:dyDescent="0.3">
      <c r="A51">
        <v>85</v>
      </c>
      <c r="B51">
        <v>2024</v>
      </c>
      <c r="C51" s="11" t="s">
        <v>73</v>
      </c>
      <c r="D51" s="12" t="s">
        <v>13</v>
      </c>
      <c r="E51" s="13">
        <v>96</v>
      </c>
      <c r="F51" s="13">
        <v>72</v>
      </c>
      <c r="G51" s="13">
        <v>96</v>
      </c>
      <c r="H51" s="13">
        <v>87</v>
      </c>
      <c r="I51" s="13">
        <v>90</v>
      </c>
    </row>
    <row r="52" spans="1:9" x14ac:dyDescent="0.3">
      <c r="A52">
        <v>85</v>
      </c>
      <c r="B52">
        <v>2024</v>
      </c>
      <c r="C52" s="11" t="s">
        <v>23</v>
      </c>
      <c r="D52" s="12" t="s">
        <v>13</v>
      </c>
      <c r="E52" s="13">
        <v>30</v>
      </c>
      <c r="F52" s="13">
        <v>25</v>
      </c>
      <c r="G52" s="13">
        <v>36</v>
      </c>
      <c r="H52" s="13">
        <v>30.25</v>
      </c>
      <c r="I52" s="13">
        <v>30</v>
      </c>
    </row>
    <row r="53" spans="1:9" x14ac:dyDescent="0.3">
      <c r="A53">
        <v>85</v>
      </c>
      <c r="B53">
        <v>2024</v>
      </c>
      <c r="C53" s="11" t="s">
        <v>24</v>
      </c>
      <c r="D53" s="12" t="s">
        <v>13</v>
      </c>
      <c r="E53" s="13">
        <v>72</v>
      </c>
      <c r="F53" s="13">
        <v>60</v>
      </c>
      <c r="G53" s="13">
        <v>84</v>
      </c>
      <c r="H53" s="13">
        <v>72</v>
      </c>
      <c r="I53" s="13">
        <v>72</v>
      </c>
    </row>
    <row r="54" spans="1:9" x14ac:dyDescent="0.3">
      <c r="A54">
        <v>85</v>
      </c>
      <c r="B54">
        <v>2024</v>
      </c>
      <c r="C54" s="11" t="s">
        <v>25</v>
      </c>
      <c r="D54" s="12" t="s">
        <v>26</v>
      </c>
      <c r="E54" s="13">
        <v>72</v>
      </c>
      <c r="F54" s="13">
        <v>60</v>
      </c>
      <c r="G54" s="13">
        <v>96</v>
      </c>
      <c r="H54" s="13">
        <v>75</v>
      </c>
      <c r="I54" s="13">
        <v>72</v>
      </c>
    </row>
    <row r="55" spans="1:9" ht="28.8" x14ac:dyDescent="0.3">
      <c r="A55">
        <v>85</v>
      </c>
      <c r="B55">
        <v>2024</v>
      </c>
      <c r="C55" s="11" t="s">
        <v>27</v>
      </c>
      <c r="D55" s="12" t="s">
        <v>13</v>
      </c>
      <c r="E55" s="13">
        <v>60</v>
      </c>
      <c r="F55" s="13">
        <v>54</v>
      </c>
      <c r="G55" s="13">
        <v>72</v>
      </c>
      <c r="H55" s="13">
        <v>61.5</v>
      </c>
      <c r="I55" s="13">
        <v>60</v>
      </c>
    </row>
    <row r="56" spans="1:9" ht="28.8" x14ac:dyDescent="0.3">
      <c r="A56">
        <v>85</v>
      </c>
      <c r="B56">
        <v>2024</v>
      </c>
      <c r="C56" s="11" t="s">
        <v>28</v>
      </c>
      <c r="D56" s="12" t="s">
        <v>13</v>
      </c>
      <c r="E56" s="13">
        <v>48</v>
      </c>
      <c r="F56" s="13">
        <v>36</v>
      </c>
      <c r="G56" s="13">
        <v>48</v>
      </c>
      <c r="H56" s="13">
        <v>42</v>
      </c>
      <c r="I56" s="13">
        <v>42</v>
      </c>
    </row>
    <row r="57" spans="1:9" x14ac:dyDescent="0.3">
      <c r="A57">
        <v>85</v>
      </c>
      <c r="B57">
        <v>2024</v>
      </c>
      <c r="C57" s="11" t="s">
        <v>29</v>
      </c>
      <c r="D57" s="12" t="s">
        <v>13</v>
      </c>
      <c r="E57" s="13">
        <v>54</v>
      </c>
      <c r="F57" s="13">
        <v>48</v>
      </c>
      <c r="G57" s="13">
        <v>60</v>
      </c>
      <c r="H57" s="13">
        <v>54</v>
      </c>
      <c r="I57" s="13">
        <v>54</v>
      </c>
    </row>
    <row r="58" spans="1:9" x14ac:dyDescent="0.3">
      <c r="A58">
        <v>85</v>
      </c>
      <c r="B58">
        <v>2024</v>
      </c>
      <c r="C58" s="11" t="s">
        <v>31</v>
      </c>
      <c r="D58" s="12" t="s">
        <v>32</v>
      </c>
      <c r="E58" s="13">
        <v>5</v>
      </c>
      <c r="F58" s="13">
        <v>5</v>
      </c>
      <c r="G58" s="13">
        <v>5</v>
      </c>
      <c r="H58" s="13">
        <v>5</v>
      </c>
      <c r="I58" s="13">
        <v>5</v>
      </c>
    </row>
    <row r="59" spans="1:9" x14ac:dyDescent="0.3">
      <c r="A59">
        <v>85</v>
      </c>
      <c r="B59">
        <v>2024</v>
      </c>
      <c r="C59" s="11" t="s">
        <v>34</v>
      </c>
      <c r="D59" s="12" t="s">
        <v>35</v>
      </c>
      <c r="E59" s="13">
        <v>20</v>
      </c>
      <c r="F59" s="13">
        <v>20</v>
      </c>
      <c r="G59" s="13">
        <v>25</v>
      </c>
      <c r="H59" s="13">
        <v>22.5</v>
      </c>
      <c r="I59" s="13">
        <v>22.5</v>
      </c>
    </row>
    <row r="60" spans="1:9" x14ac:dyDescent="0.3">
      <c r="A60">
        <v>85</v>
      </c>
      <c r="B60">
        <v>2024</v>
      </c>
      <c r="C60" s="11" t="s">
        <v>36</v>
      </c>
      <c r="D60" s="12" t="s">
        <v>35</v>
      </c>
      <c r="E60" s="13">
        <v>25</v>
      </c>
      <c r="F60" s="13">
        <v>25</v>
      </c>
      <c r="G60" s="13">
        <v>30</v>
      </c>
      <c r="H60" s="13">
        <v>27.5</v>
      </c>
      <c r="I60" s="13">
        <v>27.5</v>
      </c>
    </row>
    <row r="61" spans="1:9" ht="28.8" x14ac:dyDescent="0.3">
      <c r="A61">
        <v>85</v>
      </c>
      <c r="B61">
        <v>2024</v>
      </c>
      <c r="C61" s="11" t="s">
        <v>352</v>
      </c>
      <c r="D61" s="12" t="s">
        <v>154</v>
      </c>
      <c r="E61" s="13">
        <v>70</v>
      </c>
      <c r="F61" s="13">
        <v>70</v>
      </c>
      <c r="G61" s="13">
        <v>75</v>
      </c>
      <c r="H61" s="13">
        <v>71.67</v>
      </c>
      <c r="I61" s="13">
        <v>70</v>
      </c>
    </row>
    <row r="62" spans="1:9" ht="28.8" x14ac:dyDescent="0.3">
      <c r="A62">
        <v>85</v>
      </c>
      <c r="B62">
        <v>2024</v>
      </c>
      <c r="C62" s="11" t="s">
        <v>39</v>
      </c>
      <c r="D62" s="12" t="s">
        <v>40</v>
      </c>
      <c r="E62" s="13">
        <v>50</v>
      </c>
      <c r="F62" s="13">
        <v>50</v>
      </c>
      <c r="G62" s="13">
        <v>60</v>
      </c>
      <c r="H62" s="13">
        <v>53.33</v>
      </c>
      <c r="I62" s="13">
        <v>50</v>
      </c>
    </row>
    <row r="63" spans="1:9" x14ac:dyDescent="0.3">
      <c r="A63">
        <v>85</v>
      </c>
      <c r="B63">
        <v>2024</v>
      </c>
      <c r="C63" s="11" t="s">
        <v>42</v>
      </c>
      <c r="D63" s="12" t="s">
        <v>43</v>
      </c>
      <c r="E63" s="13">
        <v>70</v>
      </c>
      <c r="F63" s="13">
        <v>45</v>
      </c>
      <c r="G63" s="13">
        <v>70</v>
      </c>
      <c r="H63" s="13">
        <v>62.5</v>
      </c>
      <c r="I63" s="13">
        <v>67.5</v>
      </c>
    </row>
    <row r="64" spans="1:9" ht="28.8" x14ac:dyDescent="0.3">
      <c r="A64">
        <v>85</v>
      </c>
      <c r="B64">
        <v>2024</v>
      </c>
      <c r="C64" s="11" t="s">
        <v>44</v>
      </c>
      <c r="D64" s="12" t="s">
        <v>45</v>
      </c>
      <c r="E64" s="12" t="s">
        <v>353</v>
      </c>
      <c r="F64" s="13">
        <v>40</v>
      </c>
      <c r="G64" s="13">
        <v>65</v>
      </c>
      <c r="H64" s="13">
        <v>53.75</v>
      </c>
      <c r="I64" s="13">
        <v>55</v>
      </c>
    </row>
    <row r="65" spans="1:9" ht="28.8" x14ac:dyDescent="0.3">
      <c r="A65">
        <v>85</v>
      </c>
      <c r="B65">
        <v>2024</v>
      </c>
      <c r="C65" s="11" t="s">
        <v>48</v>
      </c>
      <c r="D65" s="12" t="s">
        <v>45</v>
      </c>
      <c r="E65" s="12" t="s">
        <v>353</v>
      </c>
      <c r="F65" s="13">
        <v>65</v>
      </c>
      <c r="G65" s="13">
        <v>75</v>
      </c>
      <c r="H65" s="13">
        <v>70</v>
      </c>
      <c r="I65" s="13">
        <v>70</v>
      </c>
    </row>
    <row r="66" spans="1:9" x14ac:dyDescent="0.3">
      <c r="A66">
        <v>85</v>
      </c>
      <c r="B66">
        <v>2024</v>
      </c>
      <c r="C66" s="11" t="s">
        <v>49</v>
      </c>
      <c r="D66" s="12" t="s">
        <v>50</v>
      </c>
      <c r="E66" s="13">
        <v>60</v>
      </c>
      <c r="F66" s="13">
        <v>50</v>
      </c>
      <c r="G66" s="13">
        <v>60</v>
      </c>
      <c r="H66" s="13">
        <v>55</v>
      </c>
      <c r="I66" s="13">
        <v>55</v>
      </c>
    </row>
    <row r="67" spans="1:9" x14ac:dyDescent="0.3">
      <c r="A67">
        <v>85</v>
      </c>
      <c r="B67">
        <v>2024</v>
      </c>
      <c r="C67" s="11" t="s">
        <v>52</v>
      </c>
      <c r="D67" s="12" t="s">
        <v>43</v>
      </c>
      <c r="E67" s="12" t="s">
        <v>353</v>
      </c>
      <c r="F67" s="13">
        <v>60</v>
      </c>
      <c r="G67" s="13">
        <v>100</v>
      </c>
      <c r="H67" s="13">
        <v>80</v>
      </c>
      <c r="I67" s="13">
        <v>80</v>
      </c>
    </row>
    <row r="68" spans="1:9" x14ac:dyDescent="0.3">
      <c r="A68">
        <v>85</v>
      </c>
      <c r="B68">
        <v>2024</v>
      </c>
      <c r="C68" s="11" t="s">
        <v>53</v>
      </c>
      <c r="D68" s="12" t="s">
        <v>43</v>
      </c>
      <c r="E68" s="12" t="s">
        <v>353</v>
      </c>
      <c r="F68" s="13">
        <v>45</v>
      </c>
      <c r="G68" s="13">
        <v>90</v>
      </c>
      <c r="H68" s="13">
        <v>63.75</v>
      </c>
      <c r="I68" s="13">
        <v>60</v>
      </c>
    </row>
    <row r="69" spans="1:9" x14ac:dyDescent="0.3">
      <c r="A69">
        <v>85</v>
      </c>
      <c r="B69">
        <v>2024</v>
      </c>
      <c r="C69" s="11" t="s">
        <v>54</v>
      </c>
      <c r="D69" s="12" t="s">
        <v>40</v>
      </c>
      <c r="E69" s="12" t="s">
        <v>353</v>
      </c>
      <c r="F69" s="13">
        <v>70</v>
      </c>
      <c r="G69" s="13">
        <v>100</v>
      </c>
      <c r="H69" s="13">
        <v>85</v>
      </c>
      <c r="I69" s="13">
        <v>85</v>
      </c>
    </row>
    <row r="70" spans="1:9" x14ac:dyDescent="0.3">
      <c r="A70">
        <v>85</v>
      </c>
      <c r="B70">
        <v>2024</v>
      </c>
      <c r="C70" s="11" t="s">
        <v>56</v>
      </c>
      <c r="D70" s="12" t="s">
        <v>43</v>
      </c>
      <c r="E70" s="12" t="s">
        <v>353</v>
      </c>
      <c r="F70" s="13">
        <v>50</v>
      </c>
      <c r="G70" s="13">
        <v>75</v>
      </c>
      <c r="H70" s="13">
        <v>62.5</v>
      </c>
      <c r="I70" s="13">
        <v>62.5</v>
      </c>
    </row>
    <row r="71" spans="1:9" ht="28.8" x14ac:dyDescent="0.3">
      <c r="A71">
        <v>85</v>
      </c>
      <c r="B71">
        <v>2024</v>
      </c>
      <c r="C71" s="11" t="s">
        <v>57</v>
      </c>
      <c r="D71" s="12" t="s">
        <v>40</v>
      </c>
      <c r="E71" s="13">
        <v>80</v>
      </c>
      <c r="F71" s="13">
        <v>45</v>
      </c>
      <c r="G71" s="13">
        <v>80</v>
      </c>
      <c r="H71" s="13">
        <v>68.33</v>
      </c>
      <c r="I71" s="13">
        <v>80</v>
      </c>
    </row>
    <row r="72" spans="1:9" ht="28.8" x14ac:dyDescent="0.3">
      <c r="A72">
        <v>85</v>
      </c>
      <c r="B72">
        <v>2024</v>
      </c>
      <c r="C72" s="11" t="s">
        <v>58</v>
      </c>
      <c r="D72" s="12" t="s">
        <v>40</v>
      </c>
      <c r="E72" s="13">
        <v>90</v>
      </c>
      <c r="F72" s="13">
        <v>80</v>
      </c>
      <c r="G72" s="13">
        <v>120</v>
      </c>
      <c r="H72" s="13">
        <v>95</v>
      </c>
      <c r="I72" s="13">
        <v>90</v>
      </c>
    </row>
    <row r="73" spans="1:9" ht="28.8" x14ac:dyDescent="0.3">
      <c r="A73">
        <v>85</v>
      </c>
      <c r="B73">
        <v>2024</v>
      </c>
      <c r="C73" s="11" t="s">
        <v>59</v>
      </c>
      <c r="D73" s="12" t="s">
        <v>45</v>
      </c>
      <c r="E73" s="13">
        <v>30</v>
      </c>
      <c r="F73" s="13">
        <v>20</v>
      </c>
      <c r="G73" s="13">
        <v>40</v>
      </c>
      <c r="H73" s="13">
        <v>30</v>
      </c>
      <c r="I73" s="13">
        <v>30</v>
      </c>
    </row>
    <row r="74" spans="1:9" x14ac:dyDescent="0.3">
      <c r="A74">
        <v>85</v>
      </c>
      <c r="B74">
        <v>2024</v>
      </c>
      <c r="C74" s="11" t="s">
        <v>60</v>
      </c>
      <c r="D74" s="12" t="s">
        <v>61</v>
      </c>
      <c r="E74" s="13">
        <v>90</v>
      </c>
      <c r="F74" s="13">
        <v>50</v>
      </c>
      <c r="G74" s="13">
        <v>90</v>
      </c>
      <c r="H74" s="13">
        <v>78.75</v>
      </c>
      <c r="I74" s="13">
        <v>87.5</v>
      </c>
    </row>
    <row r="75" spans="1:9" ht="28.8" x14ac:dyDescent="0.3">
      <c r="A75">
        <v>85</v>
      </c>
      <c r="B75">
        <v>2024</v>
      </c>
      <c r="C75" s="11" t="s">
        <v>63</v>
      </c>
      <c r="D75" s="12" t="s">
        <v>40</v>
      </c>
      <c r="E75" s="12" t="s">
        <v>353</v>
      </c>
      <c r="F75" s="13">
        <v>60</v>
      </c>
      <c r="G75" s="13">
        <v>120</v>
      </c>
      <c r="H75" s="13">
        <v>92.5</v>
      </c>
      <c r="I75" s="13">
        <v>95</v>
      </c>
    </row>
    <row r="76" spans="1:9" ht="28.8" x14ac:dyDescent="0.3">
      <c r="A76">
        <v>85</v>
      </c>
      <c r="B76">
        <v>2024</v>
      </c>
      <c r="C76" s="11" t="s">
        <v>64</v>
      </c>
      <c r="D76" s="12" t="s">
        <v>40</v>
      </c>
      <c r="E76" s="13">
        <v>50</v>
      </c>
      <c r="F76" s="13">
        <v>50</v>
      </c>
      <c r="G76" s="13">
        <v>70</v>
      </c>
      <c r="H76" s="13">
        <v>56.67</v>
      </c>
      <c r="I76" s="13">
        <v>50</v>
      </c>
    </row>
    <row r="77" spans="1:9" x14ac:dyDescent="0.3">
      <c r="A77">
        <v>85</v>
      </c>
      <c r="B77">
        <v>2024</v>
      </c>
      <c r="C77" s="11" t="s">
        <v>66</v>
      </c>
      <c r="D77" s="12" t="s">
        <v>45</v>
      </c>
      <c r="E77" s="12" t="s">
        <v>353</v>
      </c>
      <c r="F77" s="12" t="s">
        <v>353</v>
      </c>
      <c r="G77" s="12" t="s">
        <v>353</v>
      </c>
      <c r="H77" s="12" t="s">
        <v>353</v>
      </c>
      <c r="I77" s="12" t="s">
        <v>353</v>
      </c>
    </row>
    <row r="78" spans="1:9" ht="28.8" x14ac:dyDescent="0.3">
      <c r="A78">
        <v>85</v>
      </c>
      <c r="B78">
        <v>2024</v>
      </c>
      <c r="C78" s="11" t="s">
        <v>67</v>
      </c>
      <c r="D78" s="12" t="s">
        <v>45</v>
      </c>
      <c r="E78" s="12" t="s">
        <v>353</v>
      </c>
      <c r="F78" s="12" t="s">
        <v>353</v>
      </c>
      <c r="G78" s="12" t="s">
        <v>353</v>
      </c>
      <c r="H78" s="12" t="s">
        <v>353</v>
      </c>
      <c r="I78" s="12" t="s">
        <v>353</v>
      </c>
    </row>
    <row r="79" spans="1:9" ht="28.8" x14ac:dyDescent="0.3">
      <c r="A79">
        <v>85</v>
      </c>
      <c r="B79">
        <v>2024</v>
      </c>
      <c r="C79" s="11" t="s">
        <v>68</v>
      </c>
      <c r="D79" s="12" t="s">
        <v>45</v>
      </c>
      <c r="E79" s="12" t="s">
        <v>353</v>
      </c>
      <c r="F79" s="12" t="s">
        <v>353</v>
      </c>
      <c r="G79" s="12" t="s">
        <v>353</v>
      </c>
      <c r="H79" s="12" t="s">
        <v>353</v>
      </c>
      <c r="I79" s="12" t="s">
        <v>353</v>
      </c>
    </row>
    <row r="80" spans="1:9" x14ac:dyDescent="0.3">
      <c r="A80">
        <v>85</v>
      </c>
      <c r="B80">
        <v>2024</v>
      </c>
      <c r="C80" s="11" t="s">
        <v>69</v>
      </c>
      <c r="D80" s="12" t="s">
        <v>45</v>
      </c>
      <c r="E80" s="12" t="s">
        <v>353</v>
      </c>
      <c r="F80" s="12" t="s">
        <v>353</v>
      </c>
      <c r="G80" s="12" t="s">
        <v>353</v>
      </c>
      <c r="H80" s="12" t="s">
        <v>353</v>
      </c>
      <c r="I80" s="12" t="s">
        <v>353</v>
      </c>
    </row>
    <row r="81" spans="1:9" ht="28.8" x14ac:dyDescent="0.3">
      <c r="A81">
        <v>85</v>
      </c>
      <c r="B81">
        <v>2024</v>
      </c>
      <c r="C81" s="11" t="s">
        <v>70</v>
      </c>
      <c r="D81" s="12" t="s">
        <v>71</v>
      </c>
      <c r="E81" s="12" t="s">
        <v>353</v>
      </c>
      <c r="F81" s="12" t="s">
        <v>353</v>
      </c>
      <c r="G81" s="12" t="s">
        <v>353</v>
      </c>
      <c r="H81" s="12" t="s">
        <v>353</v>
      </c>
      <c r="I81" s="12" t="s">
        <v>353</v>
      </c>
    </row>
    <row r="82" spans="1:9" x14ac:dyDescent="0.3">
      <c r="A82">
        <v>61</v>
      </c>
      <c r="B82">
        <v>2024</v>
      </c>
      <c r="C82" s="11" t="s">
        <v>12</v>
      </c>
      <c r="D82" s="12" t="s">
        <v>13</v>
      </c>
      <c r="E82" s="13">
        <v>60</v>
      </c>
      <c r="F82" s="13">
        <v>48</v>
      </c>
      <c r="G82" s="13">
        <v>60</v>
      </c>
      <c r="H82" s="13">
        <v>54</v>
      </c>
      <c r="I82" s="13">
        <v>54</v>
      </c>
    </row>
    <row r="83" spans="1:9" x14ac:dyDescent="0.3">
      <c r="A83">
        <v>61</v>
      </c>
      <c r="B83">
        <v>2024</v>
      </c>
      <c r="C83" s="11" t="s">
        <v>14</v>
      </c>
      <c r="D83" s="12" t="s">
        <v>13</v>
      </c>
      <c r="E83" s="13">
        <v>84</v>
      </c>
      <c r="F83" s="13">
        <v>72</v>
      </c>
      <c r="G83" s="13">
        <v>84</v>
      </c>
      <c r="H83" s="13">
        <v>78</v>
      </c>
      <c r="I83" s="13">
        <v>78</v>
      </c>
    </row>
    <row r="84" spans="1:9" ht="28.8" x14ac:dyDescent="0.3">
      <c r="A84">
        <v>61</v>
      </c>
      <c r="B84">
        <v>2024</v>
      </c>
      <c r="C84" s="11" t="s">
        <v>15</v>
      </c>
      <c r="D84" s="12" t="s">
        <v>13</v>
      </c>
      <c r="E84" s="13">
        <v>36</v>
      </c>
      <c r="F84" s="13">
        <v>35</v>
      </c>
      <c r="G84" s="13">
        <v>42</v>
      </c>
      <c r="H84" s="13">
        <v>37.25</v>
      </c>
      <c r="I84" s="13">
        <v>36</v>
      </c>
    </row>
    <row r="85" spans="1:9" ht="28.8" x14ac:dyDescent="0.3">
      <c r="A85">
        <v>61</v>
      </c>
      <c r="B85">
        <v>2024</v>
      </c>
      <c r="C85" s="11" t="s">
        <v>16</v>
      </c>
      <c r="D85" s="12" t="s">
        <v>13</v>
      </c>
      <c r="E85" s="13">
        <v>18</v>
      </c>
      <c r="F85" s="13">
        <v>18</v>
      </c>
      <c r="G85" s="13">
        <v>24</v>
      </c>
      <c r="H85" s="13">
        <v>21</v>
      </c>
      <c r="I85" s="13">
        <v>21</v>
      </c>
    </row>
    <row r="86" spans="1:9" x14ac:dyDescent="0.3">
      <c r="A86">
        <v>61</v>
      </c>
      <c r="B86">
        <v>2024</v>
      </c>
      <c r="C86" s="11" t="s">
        <v>17</v>
      </c>
      <c r="D86" s="12" t="s">
        <v>13</v>
      </c>
      <c r="E86" s="13">
        <v>18</v>
      </c>
      <c r="F86" s="13">
        <v>18</v>
      </c>
      <c r="G86" s="13">
        <v>24</v>
      </c>
      <c r="H86" s="13">
        <v>21</v>
      </c>
      <c r="I86" s="13">
        <v>21</v>
      </c>
    </row>
    <row r="87" spans="1:9" x14ac:dyDescent="0.3">
      <c r="A87">
        <v>61</v>
      </c>
      <c r="B87">
        <v>2024</v>
      </c>
      <c r="C87" s="11" t="s">
        <v>18</v>
      </c>
      <c r="D87" s="12" t="s">
        <v>13</v>
      </c>
      <c r="E87" s="13">
        <v>60</v>
      </c>
      <c r="F87" s="13">
        <v>60</v>
      </c>
      <c r="G87" s="13">
        <v>60</v>
      </c>
      <c r="H87" s="13">
        <v>60</v>
      </c>
      <c r="I87" s="13">
        <v>60</v>
      </c>
    </row>
    <row r="88" spans="1:9" ht="43.2" x14ac:dyDescent="0.3">
      <c r="A88">
        <v>61</v>
      </c>
      <c r="B88">
        <v>2024</v>
      </c>
      <c r="C88" s="11" t="s">
        <v>19</v>
      </c>
      <c r="D88" s="12" t="s">
        <v>13</v>
      </c>
      <c r="E88" s="13">
        <v>60</v>
      </c>
      <c r="F88" s="13">
        <v>48</v>
      </c>
      <c r="G88" s="13">
        <v>60</v>
      </c>
      <c r="H88" s="13">
        <v>57</v>
      </c>
      <c r="I88" s="13">
        <v>60</v>
      </c>
    </row>
    <row r="89" spans="1:9" ht="28.8" x14ac:dyDescent="0.3">
      <c r="A89">
        <v>61</v>
      </c>
      <c r="B89">
        <v>2024</v>
      </c>
      <c r="C89" s="11" t="s">
        <v>20</v>
      </c>
      <c r="D89" s="12" t="s">
        <v>13</v>
      </c>
      <c r="E89" s="13">
        <v>72</v>
      </c>
      <c r="F89" s="13">
        <v>72</v>
      </c>
      <c r="G89" s="13">
        <v>84</v>
      </c>
      <c r="H89" s="13">
        <v>78</v>
      </c>
      <c r="I89" s="13">
        <v>78</v>
      </c>
    </row>
    <row r="90" spans="1:9" ht="28.8" x14ac:dyDescent="0.3">
      <c r="A90">
        <v>61</v>
      </c>
      <c r="B90">
        <v>2024</v>
      </c>
      <c r="C90" s="11" t="s">
        <v>21</v>
      </c>
      <c r="D90" s="12" t="s">
        <v>13</v>
      </c>
      <c r="E90" s="13">
        <v>24</v>
      </c>
      <c r="F90" s="13">
        <v>24</v>
      </c>
      <c r="G90" s="13">
        <v>25</v>
      </c>
      <c r="H90" s="13">
        <v>24.25</v>
      </c>
      <c r="I90" s="13">
        <v>24</v>
      </c>
    </row>
    <row r="91" spans="1:9" x14ac:dyDescent="0.3">
      <c r="A91">
        <v>61</v>
      </c>
      <c r="B91">
        <v>2024</v>
      </c>
      <c r="C91" s="11" t="s">
        <v>73</v>
      </c>
      <c r="D91" s="12" t="s">
        <v>13</v>
      </c>
      <c r="E91" s="12" t="s">
        <v>353</v>
      </c>
      <c r="F91" s="13">
        <v>50</v>
      </c>
      <c r="G91" s="13">
        <v>84</v>
      </c>
      <c r="H91" s="13">
        <v>66.5</v>
      </c>
      <c r="I91" s="13">
        <v>66</v>
      </c>
    </row>
    <row r="92" spans="1:9" x14ac:dyDescent="0.3">
      <c r="A92">
        <v>61</v>
      </c>
      <c r="B92">
        <v>2024</v>
      </c>
      <c r="C92" s="11" t="s">
        <v>23</v>
      </c>
      <c r="D92" s="12" t="s">
        <v>13</v>
      </c>
      <c r="E92" s="13">
        <v>18</v>
      </c>
      <c r="F92" s="13">
        <v>18</v>
      </c>
      <c r="G92" s="13">
        <v>24</v>
      </c>
      <c r="H92" s="13">
        <v>21</v>
      </c>
      <c r="I92" s="13">
        <v>21</v>
      </c>
    </row>
    <row r="93" spans="1:9" x14ac:dyDescent="0.3">
      <c r="A93">
        <v>61</v>
      </c>
      <c r="B93">
        <v>2024</v>
      </c>
      <c r="C93" s="11" t="s">
        <v>24</v>
      </c>
      <c r="D93" s="12" t="s">
        <v>13</v>
      </c>
      <c r="E93" s="13">
        <v>60</v>
      </c>
      <c r="F93" s="13">
        <v>60</v>
      </c>
      <c r="G93" s="13">
        <v>72</v>
      </c>
      <c r="H93" s="13">
        <v>63</v>
      </c>
      <c r="I93" s="13">
        <v>60</v>
      </c>
    </row>
    <row r="94" spans="1:9" x14ac:dyDescent="0.3">
      <c r="A94">
        <v>61</v>
      </c>
      <c r="B94">
        <v>2024</v>
      </c>
      <c r="C94" s="11" t="s">
        <v>25</v>
      </c>
      <c r="D94" s="12" t="s">
        <v>26</v>
      </c>
      <c r="E94" s="13">
        <v>60</v>
      </c>
      <c r="F94" s="13">
        <v>60</v>
      </c>
      <c r="G94" s="13">
        <v>60</v>
      </c>
      <c r="H94" s="13">
        <v>60</v>
      </c>
      <c r="I94" s="13">
        <v>60</v>
      </c>
    </row>
    <row r="95" spans="1:9" ht="28.8" x14ac:dyDescent="0.3">
      <c r="A95">
        <v>61</v>
      </c>
      <c r="B95">
        <v>2024</v>
      </c>
      <c r="C95" s="11" t="s">
        <v>27</v>
      </c>
      <c r="D95" s="12" t="s">
        <v>13</v>
      </c>
      <c r="E95" s="12" t="s">
        <v>353</v>
      </c>
      <c r="F95" s="13">
        <v>45</v>
      </c>
      <c r="G95" s="13">
        <v>72</v>
      </c>
      <c r="H95" s="13">
        <v>56.25</v>
      </c>
      <c r="I95" s="13">
        <v>54</v>
      </c>
    </row>
    <row r="96" spans="1:9" ht="28.8" x14ac:dyDescent="0.3">
      <c r="A96">
        <v>61</v>
      </c>
      <c r="B96">
        <v>2024</v>
      </c>
      <c r="C96" s="11" t="s">
        <v>28</v>
      </c>
      <c r="D96" s="12" t="s">
        <v>13</v>
      </c>
      <c r="E96" s="13">
        <v>48</v>
      </c>
      <c r="F96" s="13">
        <v>40</v>
      </c>
      <c r="G96" s="13">
        <v>48</v>
      </c>
      <c r="H96" s="13">
        <v>46</v>
      </c>
      <c r="I96" s="13">
        <v>48</v>
      </c>
    </row>
    <row r="97" spans="1:9" x14ac:dyDescent="0.3">
      <c r="A97">
        <v>61</v>
      </c>
      <c r="B97">
        <v>2024</v>
      </c>
      <c r="C97" s="11" t="s">
        <v>29</v>
      </c>
      <c r="D97" s="12" t="s">
        <v>13</v>
      </c>
      <c r="E97" s="13">
        <v>54</v>
      </c>
      <c r="F97" s="13">
        <v>48</v>
      </c>
      <c r="G97" s="13">
        <v>54</v>
      </c>
      <c r="H97" s="13">
        <v>51</v>
      </c>
      <c r="I97" s="13">
        <v>51</v>
      </c>
    </row>
    <row r="98" spans="1:9" x14ac:dyDescent="0.3">
      <c r="A98">
        <v>61</v>
      </c>
      <c r="B98">
        <v>2024</v>
      </c>
      <c r="C98" s="11" t="s">
        <v>31</v>
      </c>
      <c r="D98" s="12" t="s">
        <v>32</v>
      </c>
      <c r="E98" s="13">
        <v>5</v>
      </c>
      <c r="F98" s="13">
        <v>4</v>
      </c>
      <c r="G98" s="13">
        <v>5</v>
      </c>
      <c r="H98" s="13">
        <v>4.75</v>
      </c>
      <c r="I98" s="13">
        <v>5</v>
      </c>
    </row>
    <row r="99" spans="1:9" x14ac:dyDescent="0.3">
      <c r="A99">
        <v>61</v>
      </c>
      <c r="B99">
        <v>2024</v>
      </c>
      <c r="C99" s="11" t="s">
        <v>34</v>
      </c>
      <c r="D99" s="12" t="s">
        <v>35</v>
      </c>
      <c r="E99" s="13">
        <v>15</v>
      </c>
      <c r="F99" s="13">
        <v>12</v>
      </c>
      <c r="G99" s="13">
        <v>15</v>
      </c>
      <c r="H99" s="13">
        <v>14.25</v>
      </c>
      <c r="I99" s="13">
        <v>15</v>
      </c>
    </row>
    <row r="100" spans="1:9" x14ac:dyDescent="0.3">
      <c r="A100">
        <v>61</v>
      </c>
      <c r="B100">
        <v>2024</v>
      </c>
      <c r="C100" s="11" t="s">
        <v>36</v>
      </c>
      <c r="D100" s="12" t="s">
        <v>35</v>
      </c>
      <c r="E100" s="13">
        <v>30</v>
      </c>
      <c r="F100" s="13">
        <v>20</v>
      </c>
      <c r="G100" s="13">
        <v>30</v>
      </c>
      <c r="H100" s="13">
        <v>26.25</v>
      </c>
      <c r="I100" s="13">
        <v>27.5</v>
      </c>
    </row>
    <row r="101" spans="1:9" ht="28.8" x14ac:dyDescent="0.3">
      <c r="A101">
        <v>61</v>
      </c>
      <c r="B101">
        <v>2024</v>
      </c>
      <c r="C101" s="11" t="s">
        <v>352</v>
      </c>
      <c r="D101" s="12" t="s">
        <v>154</v>
      </c>
      <c r="E101" s="12" t="s">
        <v>353</v>
      </c>
      <c r="F101" s="12" t="s">
        <v>353</v>
      </c>
      <c r="G101" s="12" t="s">
        <v>353</v>
      </c>
      <c r="H101" s="12" t="s">
        <v>353</v>
      </c>
      <c r="I101" s="12" t="s">
        <v>353</v>
      </c>
    </row>
    <row r="102" spans="1:9" ht="28.8" x14ac:dyDescent="0.3">
      <c r="A102">
        <v>61</v>
      </c>
      <c r="B102">
        <v>2024</v>
      </c>
      <c r="C102" s="11" t="s">
        <v>39</v>
      </c>
      <c r="D102" s="12" t="s">
        <v>40</v>
      </c>
      <c r="E102" s="12" t="s">
        <v>353</v>
      </c>
      <c r="F102" s="13">
        <v>35</v>
      </c>
      <c r="G102" s="13">
        <v>75</v>
      </c>
      <c r="H102" s="13">
        <v>55.71</v>
      </c>
      <c r="I102" s="13">
        <v>55</v>
      </c>
    </row>
    <row r="103" spans="1:9" x14ac:dyDescent="0.3">
      <c r="A103">
        <v>61</v>
      </c>
      <c r="B103">
        <v>2024</v>
      </c>
      <c r="C103" s="11" t="s">
        <v>42</v>
      </c>
      <c r="D103" s="12" t="s">
        <v>43</v>
      </c>
      <c r="E103" s="13">
        <v>70</v>
      </c>
      <c r="F103" s="13">
        <v>45</v>
      </c>
      <c r="G103" s="13">
        <v>70</v>
      </c>
      <c r="H103" s="13">
        <v>58.75</v>
      </c>
      <c r="I103" s="13">
        <v>60</v>
      </c>
    </row>
    <row r="104" spans="1:9" ht="28.8" x14ac:dyDescent="0.3">
      <c r="A104">
        <v>61</v>
      </c>
      <c r="B104">
        <v>2024</v>
      </c>
      <c r="C104" s="11" t="s">
        <v>44</v>
      </c>
      <c r="D104" s="12" t="s">
        <v>45</v>
      </c>
      <c r="E104" s="13">
        <v>60</v>
      </c>
      <c r="F104" s="13">
        <v>30</v>
      </c>
      <c r="G104" s="13">
        <v>60</v>
      </c>
      <c r="H104" s="13">
        <v>48</v>
      </c>
      <c r="I104" s="13">
        <v>50</v>
      </c>
    </row>
    <row r="105" spans="1:9" ht="28.8" x14ac:dyDescent="0.3">
      <c r="A105">
        <v>61</v>
      </c>
      <c r="B105">
        <v>2024</v>
      </c>
      <c r="C105" s="11" t="s">
        <v>48</v>
      </c>
      <c r="D105" s="12" t="s">
        <v>45</v>
      </c>
      <c r="E105" s="12" t="s">
        <v>353</v>
      </c>
      <c r="F105" s="13">
        <v>45</v>
      </c>
      <c r="G105" s="13">
        <v>65</v>
      </c>
      <c r="H105" s="13">
        <v>55</v>
      </c>
      <c r="I105" s="13">
        <v>55</v>
      </c>
    </row>
    <row r="106" spans="1:9" x14ac:dyDescent="0.3">
      <c r="A106">
        <v>61</v>
      </c>
      <c r="B106">
        <v>2024</v>
      </c>
      <c r="C106" s="11" t="s">
        <v>49</v>
      </c>
      <c r="D106" s="12" t="s">
        <v>50</v>
      </c>
      <c r="E106" s="13">
        <v>70</v>
      </c>
      <c r="F106" s="13">
        <v>60</v>
      </c>
      <c r="G106" s="13">
        <v>90</v>
      </c>
      <c r="H106" s="13">
        <v>74</v>
      </c>
      <c r="I106" s="13">
        <v>70</v>
      </c>
    </row>
    <row r="107" spans="1:9" x14ac:dyDescent="0.3">
      <c r="A107">
        <v>61</v>
      </c>
      <c r="B107">
        <v>2024</v>
      </c>
      <c r="C107" s="11" t="s">
        <v>52</v>
      </c>
      <c r="D107" s="12" t="s">
        <v>43</v>
      </c>
      <c r="E107" s="13">
        <v>60</v>
      </c>
      <c r="F107" s="13">
        <v>40</v>
      </c>
      <c r="G107" s="13">
        <v>65</v>
      </c>
      <c r="H107" s="13">
        <v>55</v>
      </c>
      <c r="I107" s="13">
        <v>60</v>
      </c>
    </row>
    <row r="108" spans="1:9" x14ac:dyDescent="0.3">
      <c r="A108">
        <v>61</v>
      </c>
      <c r="B108">
        <v>2024</v>
      </c>
      <c r="C108" s="11" t="s">
        <v>53</v>
      </c>
      <c r="D108" s="12" t="s">
        <v>43</v>
      </c>
      <c r="E108" s="13">
        <v>60</v>
      </c>
      <c r="F108" s="13">
        <v>30</v>
      </c>
      <c r="G108" s="13">
        <v>60</v>
      </c>
      <c r="H108" s="13">
        <v>47.5</v>
      </c>
      <c r="I108" s="13">
        <v>47.5</v>
      </c>
    </row>
    <row r="109" spans="1:9" x14ac:dyDescent="0.3">
      <c r="A109">
        <v>61</v>
      </c>
      <c r="B109">
        <v>2024</v>
      </c>
      <c r="C109" s="11" t="s">
        <v>54</v>
      </c>
      <c r="D109" s="12" t="s">
        <v>40</v>
      </c>
      <c r="E109" s="13">
        <v>100</v>
      </c>
      <c r="F109" s="13">
        <v>80</v>
      </c>
      <c r="G109" s="13">
        <v>100</v>
      </c>
      <c r="H109" s="13">
        <v>95</v>
      </c>
      <c r="I109" s="13">
        <v>100</v>
      </c>
    </row>
    <row r="110" spans="1:9" x14ac:dyDescent="0.3">
      <c r="A110">
        <v>61</v>
      </c>
      <c r="B110">
        <v>2024</v>
      </c>
      <c r="C110" s="11" t="s">
        <v>56</v>
      </c>
      <c r="D110" s="12" t="s">
        <v>43</v>
      </c>
      <c r="E110" s="12" t="s">
        <v>353</v>
      </c>
      <c r="F110" s="13">
        <v>65</v>
      </c>
      <c r="G110" s="13">
        <v>65</v>
      </c>
      <c r="H110" s="13">
        <v>65</v>
      </c>
      <c r="I110" s="13">
        <v>65</v>
      </c>
    </row>
    <row r="111" spans="1:9" ht="28.8" x14ac:dyDescent="0.3">
      <c r="A111">
        <v>61</v>
      </c>
      <c r="B111">
        <v>2024</v>
      </c>
      <c r="C111" s="11" t="s">
        <v>57</v>
      </c>
      <c r="D111" s="12" t="s">
        <v>40</v>
      </c>
      <c r="E111" s="13">
        <v>50</v>
      </c>
      <c r="F111" s="13">
        <v>50</v>
      </c>
      <c r="G111" s="13">
        <v>70</v>
      </c>
      <c r="H111" s="13">
        <v>57.5</v>
      </c>
      <c r="I111" s="13">
        <v>55</v>
      </c>
    </row>
    <row r="112" spans="1:9" ht="28.8" x14ac:dyDescent="0.3">
      <c r="A112">
        <v>61</v>
      </c>
      <c r="B112">
        <v>2024</v>
      </c>
      <c r="C112" s="11" t="s">
        <v>58</v>
      </c>
      <c r="D112" s="12" t="s">
        <v>40</v>
      </c>
      <c r="E112" s="13">
        <v>80</v>
      </c>
      <c r="F112" s="13">
        <v>70</v>
      </c>
      <c r="G112" s="13">
        <v>95</v>
      </c>
      <c r="H112" s="13">
        <v>81.25</v>
      </c>
      <c r="I112" s="13">
        <v>80</v>
      </c>
    </row>
    <row r="113" spans="1:9" ht="28.8" x14ac:dyDescent="0.3">
      <c r="A113">
        <v>61</v>
      </c>
      <c r="B113">
        <v>2024</v>
      </c>
      <c r="C113" s="11" t="s">
        <v>59</v>
      </c>
      <c r="D113" s="12" t="s">
        <v>45</v>
      </c>
      <c r="E113" s="13">
        <v>60</v>
      </c>
      <c r="F113" s="13">
        <v>50</v>
      </c>
      <c r="G113" s="13">
        <v>60</v>
      </c>
      <c r="H113" s="13">
        <v>57</v>
      </c>
      <c r="I113" s="13">
        <v>60</v>
      </c>
    </row>
    <row r="114" spans="1:9" x14ac:dyDescent="0.3">
      <c r="A114">
        <v>61</v>
      </c>
      <c r="B114">
        <v>2024</v>
      </c>
      <c r="C114" s="11" t="s">
        <v>60</v>
      </c>
      <c r="D114" s="12" t="s">
        <v>61</v>
      </c>
      <c r="E114" s="13">
        <v>100</v>
      </c>
      <c r="F114" s="13">
        <v>100</v>
      </c>
      <c r="G114" s="13">
        <v>150</v>
      </c>
      <c r="H114" s="13">
        <v>116.67</v>
      </c>
      <c r="I114" s="13">
        <v>100</v>
      </c>
    </row>
    <row r="115" spans="1:9" ht="28.8" x14ac:dyDescent="0.3">
      <c r="A115">
        <v>61</v>
      </c>
      <c r="B115">
        <v>2024</v>
      </c>
      <c r="C115" s="11" t="s">
        <v>63</v>
      </c>
      <c r="D115" s="12" t="s">
        <v>40</v>
      </c>
      <c r="E115" s="13">
        <v>80</v>
      </c>
      <c r="F115" s="13">
        <v>45</v>
      </c>
      <c r="G115" s="13">
        <v>80</v>
      </c>
      <c r="H115" s="13">
        <v>65.83</v>
      </c>
      <c r="I115" s="13">
        <v>65</v>
      </c>
    </row>
    <row r="116" spans="1:9" ht="28.8" x14ac:dyDescent="0.3">
      <c r="A116">
        <v>61</v>
      </c>
      <c r="B116">
        <v>2024</v>
      </c>
      <c r="C116" s="11" t="s">
        <v>64</v>
      </c>
      <c r="D116" s="12" t="s">
        <v>40</v>
      </c>
      <c r="E116" s="12" t="s">
        <v>353</v>
      </c>
      <c r="F116" s="13">
        <v>100</v>
      </c>
      <c r="G116" s="13">
        <v>140</v>
      </c>
      <c r="H116" s="13">
        <v>120</v>
      </c>
      <c r="I116" s="13">
        <v>120</v>
      </c>
    </row>
    <row r="117" spans="1:9" x14ac:dyDescent="0.3">
      <c r="A117">
        <v>61</v>
      </c>
      <c r="B117">
        <v>2024</v>
      </c>
      <c r="C117" s="11" t="s">
        <v>66</v>
      </c>
      <c r="D117" s="12" t="s">
        <v>45</v>
      </c>
      <c r="E117" s="12" t="s">
        <v>353</v>
      </c>
      <c r="F117" s="12" t="s">
        <v>353</v>
      </c>
      <c r="G117" s="12" t="s">
        <v>353</v>
      </c>
      <c r="H117" s="12" t="s">
        <v>353</v>
      </c>
      <c r="I117" s="12" t="s">
        <v>353</v>
      </c>
    </row>
    <row r="118" spans="1:9" ht="28.8" x14ac:dyDescent="0.3">
      <c r="A118">
        <v>61</v>
      </c>
      <c r="B118">
        <v>2024</v>
      </c>
      <c r="C118" s="11" t="s">
        <v>67</v>
      </c>
      <c r="D118" s="12" t="s">
        <v>45</v>
      </c>
      <c r="E118" s="12" t="s">
        <v>353</v>
      </c>
      <c r="F118" s="12" t="s">
        <v>353</v>
      </c>
      <c r="G118" s="12" t="s">
        <v>353</v>
      </c>
      <c r="H118" s="12" t="s">
        <v>353</v>
      </c>
      <c r="I118" s="12" t="s">
        <v>353</v>
      </c>
    </row>
    <row r="119" spans="1:9" ht="28.8" x14ac:dyDescent="0.3">
      <c r="A119">
        <v>61</v>
      </c>
      <c r="B119">
        <v>2024</v>
      </c>
      <c r="C119" s="11" t="s">
        <v>68</v>
      </c>
      <c r="D119" s="12" t="s">
        <v>45</v>
      </c>
      <c r="E119" s="12" t="s">
        <v>353</v>
      </c>
      <c r="F119" s="12" t="s">
        <v>353</v>
      </c>
      <c r="G119" s="12" t="s">
        <v>353</v>
      </c>
      <c r="H119" s="12" t="s">
        <v>353</v>
      </c>
      <c r="I119" s="12" t="s">
        <v>353</v>
      </c>
    </row>
    <row r="120" spans="1:9" x14ac:dyDescent="0.3">
      <c r="A120">
        <v>61</v>
      </c>
      <c r="B120">
        <v>2024</v>
      </c>
      <c r="C120" s="11" t="s">
        <v>69</v>
      </c>
      <c r="D120" s="12" t="s">
        <v>45</v>
      </c>
      <c r="E120" s="12" t="s">
        <v>353</v>
      </c>
      <c r="F120" s="13">
        <v>50</v>
      </c>
      <c r="G120" s="13">
        <v>50</v>
      </c>
      <c r="H120" s="13">
        <v>50</v>
      </c>
      <c r="I120" s="13">
        <v>50</v>
      </c>
    </row>
    <row r="121" spans="1:9" ht="28.8" x14ac:dyDescent="0.3">
      <c r="A121">
        <v>61</v>
      </c>
      <c r="B121">
        <v>2024</v>
      </c>
      <c r="C121" s="11" t="s">
        <v>70</v>
      </c>
      <c r="D121" s="12" t="s">
        <v>71</v>
      </c>
      <c r="E121" s="12" t="s">
        <v>353</v>
      </c>
      <c r="F121" s="13">
        <v>75</v>
      </c>
      <c r="G121" s="13">
        <v>75</v>
      </c>
      <c r="H121" s="13">
        <v>75</v>
      </c>
      <c r="I121" s="13">
        <v>75</v>
      </c>
    </row>
    <row r="122" spans="1:9" x14ac:dyDescent="0.3">
      <c r="A122">
        <v>74</v>
      </c>
      <c r="B122">
        <v>2024</v>
      </c>
      <c r="C122" s="11" t="s">
        <v>12</v>
      </c>
      <c r="D122" s="12" t="s">
        <v>13</v>
      </c>
      <c r="E122" s="13">
        <v>48</v>
      </c>
      <c r="F122" s="13">
        <v>36</v>
      </c>
      <c r="G122" s="13">
        <v>60</v>
      </c>
      <c r="H122" s="13">
        <v>48</v>
      </c>
      <c r="I122" s="13">
        <v>48</v>
      </c>
    </row>
    <row r="123" spans="1:9" x14ac:dyDescent="0.3">
      <c r="A123">
        <v>74</v>
      </c>
      <c r="B123">
        <v>2024</v>
      </c>
      <c r="C123" s="11" t="s">
        <v>14</v>
      </c>
      <c r="D123" s="12" t="s">
        <v>13</v>
      </c>
      <c r="E123" s="13">
        <v>84</v>
      </c>
      <c r="F123" s="13">
        <v>72</v>
      </c>
      <c r="G123" s="13">
        <v>84</v>
      </c>
      <c r="H123" s="13">
        <v>80</v>
      </c>
      <c r="I123" s="13">
        <v>84</v>
      </c>
    </row>
    <row r="124" spans="1:9" ht="28.8" x14ac:dyDescent="0.3">
      <c r="A124">
        <v>74</v>
      </c>
      <c r="B124">
        <v>2024</v>
      </c>
      <c r="C124" s="11" t="s">
        <v>15</v>
      </c>
      <c r="D124" s="12" t="s">
        <v>13</v>
      </c>
      <c r="E124" s="13">
        <v>36</v>
      </c>
      <c r="F124" s="13">
        <v>25</v>
      </c>
      <c r="G124" s="13">
        <v>42</v>
      </c>
      <c r="H124" s="13">
        <v>34.75</v>
      </c>
      <c r="I124" s="13">
        <v>36</v>
      </c>
    </row>
    <row r="125" spans="1:9" ht="28.8" x14ac:dyDescent="0.3">
      <c r="A125">
        <v>74</v>
      </c>
      <c r="B125">
        <v>2024</v>
      </c>
      <c r="C125" s="11" t="s">
        <v>16</v>
      </c>
      <c r="D125" s="12" t="s">
        <v>13</v>
      </c>
      <c r="E125" s="13">
        <v>18</v>
      </c>
      <c r="F125" s="13">
        <v>18</v>
      </c>
      <c r="G125" s="13">
        <v>24</v>
      </c>
      <c r="H125" s="13">
        <v>21</v>
      </c>
      <c r="I125" s="13">
        <v>21</v>
      </c>
    </row>
    <row r="126" spans="1:9" x14ac:dyDescent="0.3">
      <c r="A126">
        <v>74</v>
      </c>
      <c r="B126">
        <v>2024</v>
      </c>
      <c r="C126" s="11" t="s">
        <v>17</v>
      </c>
      <c r="D126" s="12" t="s">
        <v>13</v>
      </c>
      <c r="E126" s="13">
        <v>18</v>
      </c>
      <c r="F126" s="13">
        <v>18</v>
      </c>
      <c r="G126" s="13">
        <v>24</v>
      </c>
      <c r="H126" s="13">
        <v>21</v>
      </c>
      <c r="I126" s="13">
        <v>21</v>
      </c>
    </row>
    <row r="127" spans="1:9" x14ac:dyDescent="0.3">
      <c r="A127">
        <v>74</v>
      </c>
      <c r="B127">
        <v>2024</v>
      </c>
      <c r="C127" s="11" t="s">
        <v>18</v>
      </c>
      <c r="D127" s="12" t="s">
        <v>13</v>
      </c>
      <c r="E127" s="13">
        <v>60</v>
      </c>
      <c r="F127" s="13">
        <v>60</v>
      </c>
      <c r="G127" s="13">
        <v>60</v>
      </c>
      <c r="H127" s="13">
        <v>60</v>
      </c>
      <c r="I127" s="13">
        <v>60</v>
      </c>
    </row>
    <row r="128" spans="1:9" ht="43.2" x14ac:dyDescent="0.3">
      <c r="A128">
        <v>74</v>
      </c>
      <c r="B128">
        <v>2024</v>
      </c>
      <c r="C128" s="11" t="s">
        <v>19</v>
      </c>
      <c r="D128" s="12" t="s">
        <v>13</v>
      </c>
      <c r="E128" s="12" t="s">
        <v>353</v>
      </c>
      <c r="F128" s="13">
        <v>42</v>
      </c>
      <c r="G128" s="13">
        <v>72</v>
      </c>
      <c r="H128" s="13">
        <v>58</v>
      </c>
      <c r="I128" s="13">
        <v>60</v>
      </c>
    </row>
    <row r="129" spans="1:9" ht="28.8" x14ac:dyDescent="0.3">
      <c r="A129">
        <v>74</v>
      </c>
      <c r="B129">
        <v>2024</v>
      </c>
      <c r="C129" s="11" t="s">
        <v>20</v>
      </c>
      <c r="D129" s="12" t="s">
        <v>13</v>
      </c>
      <c r="E129" s="13">
        <v>72</v>
      </c>
      <c r="F129" s="13">
        <v>60</v>
      </c>
      <c r="G129" s="13">
        <v>72</v>
      </c>
      <c r="H129" s="13">
        <v>69</v>
      </c>
      <c r="I129" s="13">
        <v>72</v>
      </c>
    </row>
    <row r="130" spans="1:9" ht="28.8" x14ac:dyDescent="0.3">
      <c r="A130">
        <v>74</v>
      </c>
      <c r="B130">
        <v>2024</v>
      </c>
      <c r="C130" s="11" t="s">
        <v>21</v>
      </c>
      <c r="D130" s="12" t="s">
        <v>13</v>
      </c>
      <c r="E130" s="13">
        <v>18</v>
      </c>
      <c r="F130" s="13">
        <v>18</v>
      </c>
      <c r="G130" s="13">
        <v>24</v>
      </c>
      <c r="H130" s="13">
        <v>21</v>
      </c>
      <c r="I130" s="13">
        <v>21</v>
      </c>
    </row>
    <row r="131" spans="1:9" x14ac:dyDescent="0.3">
      <c r="A131">
        <v>74</v>
      </c>
      <c r="B131">
        <v>2024</v>
      </c>
      <c r="C131" s="11" t="s">
        <v>73</v>
      </c>
      <c r="D131" s="12" t="s">
        <v>13</v>
      </c>
      <c r="E131" s="12" t="s">
        <v>353</v>
      </c>
      <c r="F131" s="13">
        <v>50</v>
      </c>
      <c r="G131" s="13">
        <v>78</v>
      </c>
      <c r="H131" s="13">
        <v>62.67</v>
      </c>
      <c r="I131" s="13">
        <v>60</v>
      </c>
    </row>
    <row r="132" spans="1:9" x14ac:dyDescent="0.3">
      <c r="A132">
        <v>74</v>
      </c>
      <c r="B132">
        <v>2024</v>
      </c>
      <c r="C132" s="11" t="s">
        <v>23</v>
      </c>
      <c r="D132" s="12" t="s">
        <v>13</v>
      </c>
      <c r="E132" s="13">
        <v>18</v>
      </c>
      <c r="F132" s="13">
        <v>18</v>
      </c>
      <c r="G132" s="13">
        <v>24</v>
      </c>
      <c r="H132" s="13">
        <v>21</v>
      </c>
      <c r="I132" s="13">
        <v>21</v>
      </c>
    </row>
    <row r="133" spans="1:9" x14ac:dyDescent="0.3">
      <c r="A133">
        <v>74</v>
      </c>
      <c r="B133">
        <v>2024</v>
      </c>
      <c r="C133" s="11" t="s">
        <v>24</v>
      </c>
      <c r="D133" s="12" t="s">
        <v>13</v>
      </c>
      <c r="E133" s="13">
        <v>60</v>
      </c>
      <c r="F133" s="13">
        <v>48</v>
      </c>
      <c r="G133" s="13">
        <v>60</v>
      </c>
      <c r="H133" s="13">
        <v>56</v>
      </c>
      <c r="I133" s="13">
        <v>60</v>
      </c>
    </row>
    <row r="134" spans="1:9" x14ac:dyDescent="0.3">
      <c r="A134">
        <v>74</v>
      </c>
      <c r="B134">
        <v>2024</v>
      </c>
      <c r="C134" s="11" t="s">
        <v>25</v>
      </c>
      <c r="D134" s="12" t="s">
        <v>26</v>
      </c>
      <c r="E134" s="13">
        <v>60</v>
      </c>
      <c r="F134" s="13">
        <v>36</v>
      </c>
      <c r="G134" s="13">
        <v>60</v>
      </c>
      <c r="H134" s="13">
        <v>51</v>
      </c>
      <c r="I134" s="13">
        <v>54</v>
      </c>
    </row>
    <row r="135" spans="1:9" ht="28.8" x14ac:dyDescent="0.3">
      <c r="A135">
        <v>74</v>
      </c>
      <c r="B135">
        <v>2024</v>
      </c>
      <c r="C135" s="11" t="s">
        <v>27</v>
      </c>
      <c r="D135" s="12" t="s">
        <v>13</v>
      </c>
      <c r="E135" s="12" t="s">
        <v>353</v>
      </c>
      <c r="F135" s="13">
        <v>48</v>
      </c>
      <c r="G135" s="13">
        <v>72</v>
      </c>
      <c r="H135" s="13">
        <v>60</v>
      </c>
      <c r="I135" s="13">
        <v>60</v>
      </c>
    </row>
    <row r="136" spans="1:9" ht="28.8" x14ac:dyDescent="0.3">
      <c r="A136">
        <v>74</v>
      </c>
      <c r="B136">
        <v>2024</v>
      </c>
      <c r="C136" s="11" t="s">
        <v>28</v>
      </c>
      <c r="D136" s="12" t="s">
        <v>13</v>
      </c>
      <c r="E136" s="13">
        <v>24</v>
      </c>
      <c r="F136" s="13">
        <v>24</v>
      </c>
      <c r="G136" s="13">
        <v>36</v>
      </c>
      <c r="H136" s="13">
        <v>28.5</v>
      </c>
      <c r="I136" s="13">
        <v>27</v>
      </c>
    </row>
    <row r="137" spans="1:9" x14ac:dyDescent="0.3">
      <c r="A137">
        <v>74</v>
      </c>
      <c r="B137">
        <v>2024</v>
      </c>
      <c r="C137" s="11" t="s">
        <v>29</v>
      </c>
      <c r="D137" s="12" t="s">
        <v>13</v>
      </c>
      <c r="E137" s="13">
        <v>48</v>
      </c>
      <c r="F137" s="13">
        <v>48</v>
      </c>
      <c r="G137" s="13">
        <v>48</v>
      </c>
      <c r="H137" s="13">
        <v>48</v>
      </c>
      <c r="I137" s="13">
        <v>48</v>
      </c>
    </row>
    <row r="138" spans="1:9" x14ac:dyDescent="0.3">
      <c r="A138">
        <v>74</v>
      </c>
      <c r="B138">
        <v>2024</v>
      </c>
      <c r="C138" s="11" t="s">
        <v>31</v>
      </c>
      <c r="D138" s="12" t="s">
        <v>32</v>
      </c>
      <c r="E138" s="13">
        <v>5</v>
      </c>
      <c r="F138" s="13">
        <v>5</v>
      </c>
      <c r="G138" s="13">
        <v>5</v>
      </c>
      <c r="H138" s="13">
        <v>5</v>
      </c>
      <c r="I138" s="13">
        <v>5</v>
      </c>
    </row>
    <row r="139" spans="1:9" x14ac:dyDescent="0.3">
      <c r="A139">
        <v>74</v>
      </c>
      <c r="B139">
        <v>2024</v>
      </c>
      <c r="C139" s="11" t="s">
        <v>34</v>
      </c>
      <c r="D139" s="12" t="s">
        <v>35</v>
      </c>
      <c r="E139" s="13">
        <v>12</v>
      </c>
      <c r="F139" s="13">
        <v>12</v>
      </c>
      <c r="G139" s="13">
        <v>15</v>
      </c>
      <c r="H139" s="13">
        <v>13.5</v>
      </c>
      <c r="I139" s="13">
        <v>13.5</v>
      </c>
    </row>
    <row r="140" spans="1:9" x14ac:dyDescent="0.3">
      <c r="A140">
        <v>74</v>
      </c>
      <c r="B140">
        <v>2024</v>
      </c>
      <c r="C140" s="11" t="s">
        <v>36</v>
      </c>
      <c r="D140" s="12" t="s">
        <v>35</v>
      </c>
      <c r="E140" s="13">
        <v>35</v>
      </c>
      <c r="F140" s="13">
        <v>20</v>
      </c>
      <c r="G140" s="13">
        <v>35</v>
      </c>
      <c r="H140" s="13">
        <v>28.75</v>
      </c>
      <c r="I140" s="13">
        <v>30</v>
      </c>
    </row>
    <row r="141" spans="1:9" ht="28.8" x14ac:dyDescent="0.3">
      <c r="A141">
        <v>74</v>
      </c>
      <c r="B141">
        <v>2024</v>
      </c>
      <c r="C141" s="11" t="s">
        <v>352</v>
      </c>
      <c r="D141" s="12" t="s">
        <v>154</v>
      </c>
      <c r="E141" s="12" t="s">
        <v>353</v>
      </c>
      <c r="F141" s="13">
        <v>80</v>
      </c>
      <c r="G141" s="13">
        <v>80</v>
      </c>
      <c r="H141" s="13">
        <v>80</v>
      </c>
      <c r="I141" s="13">
        <v>80</v>
      </c>
    </row>
    <row r="142" spans="1:9" ht="28.8" x14ac:dyDescent="0.3">
      <c r="A142">
        <v>74</v>
      </c>
      <c r="B142">
        <v>2024</v>
      </c>
      <c r="C142" s="11" t="s">
        <v>39</v>
      </c>
      <c r="D142" s="12" t="s">
        <v>40</v>
      </c>
      <c r="E142" s="13">
        <v>40</v>
      </c>
      <c r="F142" s="13">
        <v>30</v>
      </c>
      <c r="G142" s="13">
        <v>40</v>
      </c>
      <c r="H142" s="13">
        <v>35</v>
      </c>
      <c r="I142" s="13">
        <v>35</v>
      </c>
    </row>
    <row r="143" spans="1:9" x14ac:dyDescent="0.3">
      <c r="A143">
        <v>74</v>
      </c>
      <c r="B143">
        <v>2024</v>
      </c>
      <c r="C143" s="11" t="s">
        <v>42</v>
      </c>
      <c r="D143" s="12" t="s">
        <v>43</v>
      </c>
      <c r="E143" s="13">
        <v>45</v>
      </c>
      <c r="F143" s="13">
        <v>45</v>
      </c>
      <c r="G143" s="13">
        <v>70</v>
      </c>
      <c r="H143" s="13">
        <v>56.25</v>
      </c>
      <c r="I143" s="13">
        <v>55</v>
      </c>
    </row>
    <row r="144" spans="1:9" ht="28.8" x14ac:dyDescent="0.3">
      <c r="A144">
        <v>74</v>
      </c>
      <c r="B144">
        <v>2024</v>
      </c>
      <c r="C144" s="11" t="s">
        <v>44</v>
      </c>
      <c r="D144" s="12" t="s">
        <v>45</v>
      </c>
      <c r="E144" s="12" t="s">
        <v>353</v>
      </c>
      <c r="F144" s="13">
        <v>50</v>
      </c>
      <c r="G144" s="13">
        <v>70</v>
      </c>
      <c r="H144" s="13">
        <v>60</v>
      </c>
      <c r="I144" s="13">
        <v>60</v>
      </c>
    </row>
    <row r="145" spans="1:9" ht="28.8" x14ac:dyDescent="0.3">
      <c r="A145">
        <v>74</v>
      </c>
      <c r="B145">
        <v>2024</v>
      </c>
      <c r="C145" s="11" t="s">
        <v>48</v>
      </c>
      <c r="D145" s="12" t="s">
        <v>45</v>
      </c>
      <c r="E145" s="12" t="s">
        <v>353</v>
      </c>
      <c r="F145" s="13">
        <v>45</v>
      </c>
      <c r="G145" s="13">
        <v>110</v>
      </c>
      <c r="H145" s="13">
        <v>81.67</v>
      </c>
      <c r="I145" s="13">
        <v>90</v>
      </c>
    </row>
    <row r="146" spans="1:9" x14ac:dyDescent="0.3">
      <c r="A146">
        <v>74</v>
      </c>
      <c r="B146">
        <v>2024</v>
      </c>
      <c r="C146" s="11" t="s">
        <v>49</v>
      </c>
      <c r="D146" s="12" t="s">
        <v>50</v>
      </c>
      <c r="E146" s="12" t="s">
        <v>353</v>
      </c>
      <c r="F146" s="13">
        <v>55</v>
      </c>
      <c r="G146" s="13">
        <v>70</v>
      </c>
      <c r="H146" s="13">
        <v>62.5</v>
      </c>
      <c r="I146" s="13">
        <v>62.5</v>
      </c>
    </row>
    <row r="147" spans="1:9" x14ac:dyDescent="0.3">
      <c r="A147">
        <v>74</v>
      </c>
      <c r="B147">
        <v>2024</v>
      </c>
      <c r="C147" s="11" t="s">
        <v>52</v>
      </c>
      <c r="D147" s="12" t="s">
        <v>43</v>
      </c>
      <c r="E147" s="13">
        <v>55</v>
      </c>
      <c r="F147" s="13">
        <v>40</v>
      </c>
      <c r="G147" s="13">
        <v>55</v>
      </c>
      <c r="H147" s="13">
        <v>48.75</v>
      </c>
      <c r="I147" s="13">
        <v>50</v>
      </c>
    </row>
    <row r="148" spans="1:9" x14ac:dyDescent="0.3">
      <c r="A148">
        <v>74</v>
      </c>
      <c r="B148">
        <v>2024</v>
      </c>
      <c r="C148" s="11" t="s">
        <v>53</v>
      </c>
      <c r="D148" s="12" t="s">
        <v>43</v>
      </c>
      <c r="E148" s="12" t="s">
        <v>353</v>
      </c>
      <c r="F148" s="13">
        <v>55</v>
      </c>
      <c r="G148" s="13">
        <v>85</v>
      </c>
      <c r="H148" s="13">
        <v>68.75</v>
      </c>
      <c r="I148" s="13">
        <v>67.5</v>
      </c>
    </row>
    <row r="149" spans="1:9" x14ac:dyDescent="0.3">
      <c r="A149">
        <v>74</v>
      </c>
      <c r="B149">
        <v>2024</v>
      </c>
      <c r="C149" s="11" t="s">
        <v>54</v>
      </c>
      <c r="D149" s="12" t="s">
        <v>40</v>
      </c>
      <c r="E149" s="12" t="s">
        <v>353</v>
      </c>
      <c r="F149" s="13">
        <v>90</v>
      </c>
      <c r="G149" s="13">
        <v>100</v>
      </c>
      <c r="H149" s="13">
        <v>95</v>
      </c>
      <c r="I149" s="13">
        <v>95</v>
      </c>
    </row>
    <row r="150" spans="1:9" x14ac:dyDescent="0.3">
      <c r="A150">
        <v>74</v>
      </c>
      <c r="B150">
        <v>2024</v>
      </c>
      <c r="C150" s="11" t="s">
        <v>56</v>
      </c>
      <c r="D150" s="12" t="s">
        <v>43</v>
      </c>
      <c r="E150" s="12" t="s">
        <v>353</v>
      </c>
      <c r="F150" s="13">
        <v>70</v>
      </c>
      <c r="G150" s="13">
        <v>70</v>
      </c>
      <c r="H150" s="13">
        <v>70</v>
      </c>
      <c r="I150" s="13">
        <v>70</v>
      </c>
    </row>
    <row r="151" spans="1:9" ht="28.8" x14ac:dyDescent="0.3">
      <c r="A151">
        <v>74</v>
      </c>
      <c r="B151">
        <v>2024</v>
      </c>
      <c r="C151" s="11" t="s">
        <v>57</v>
      </c>
      <c r="D151" s="12" t="s">
        <v>40</v>
      </c>
      <c r="E151" s="12" t="s">
        <v>353</v>
      </c>
      <c r="F151" s="13">
        <v>70</v>
      </c>
      <c r="G151" s="13">
        <v>80</v>
      </c>
      <c r="H151" s="13">
        <v>75</v>
      </c>
      <c r="I151" s="13">
        <v>75</v>
      </c>
    </row>
    <row r="152" spans="1:9" ht="28.8" x14ac:dyDescent="0.3">
      <c r="A152">
        <v>74</v>
      </c>
      <c r="B152">
        <v>2024</v>
      </c>
      <c r="C152" s="11" t="s">
        <v>58</v>
      </c>
      <c r="D152" s="12" t="s">
        <v>40</v>
      </c>
      <c r="E152" s="13">
        <v>100</v>
      </c>
      <c r="F152" s="13">
        <v>75</v>
      </c>
      <c r="G152" s="13">
        <v>100</v>
      </c>
      <c r="H152" s="13">
        <v>88.75</v>
      </c>
      <c r="I152" s="13">
        <v>90</v>
      </c>
    </row>
    <row r="153" spans="1:9" ht="28.8" x14ac:dyDescent="0.3">
      <c r="A153">
        <v>74</v>
      </c>
      <c r="B153">
        <v>2024</v>
      </c>
      <c r="C153" s="11" t="s">
        <v>59</v>
      </c>
      <c r="D153" s="12" t="s">
        <v>45</v>
      </c>
      <c r="E153" s="13">
        <v>45</v>
      </c>
      <c r="F153" s="13">
        <v>45</v>
      </c>
      <c r="G153" s="13">
        <v>85</v>
      </c>
      <c r="H153" s="13">
        <v>57.5</v>
      </c>
      <c r="I153" s="13">
        <v>50</v>
      </c>
    </row>
    <row r="154" spans="1:9" x14ac:dyDescent="0.3">
      <c r="A154">
        <v>74</v>
      </c>
      <c r="B154">
        <v>2024</v>
      </c>
      <c r="C154" s="11" t="s">
        <v>60</v>
      </c>
      <c r="D154" s="12" t="s">
        <v>61</v>
      </c>
      <c r="E154" s="13">
        <v>160</v>
      </c>
      <c r="F154" s="13">
        <v>150</v>
      </c>
      <c r="G154" s="13">
        <v>180</v>
      </c>
      <c r="H154" s="13">
        <v>162.5</v>
      </c>
      <c r="I154" s="13">
        <v>160</v>
      </c>
    </row>
    <row r="155" spans="1:9" ht="28.8" x14ac:dyDescent="0.3">
      <c r="A155">
        <v>74</v>
      </c>
      <c r="B155">
        <v>2024</v>
      </c>
      <c r="C155" s="11" t="s">
        <v>63</v>
      </c>
      <c r="D155" s="12" t="s">
        <v>40</v>
      </c>
      <c r="E155" s="12" t="s">
        <v>353</v>
      </c>
      <c r="F155" s="13">
        <v>50</v>
      </c>
      <c r="G155" s="13">
        <v>80</v>
      </c>
      <c r="H155" s="13">
        <v>65</v>
      </c>
      <c r="I155" s="13">
        <v>65</v>
      </c>
    </row>
    <row r="156" spans="1:9" ht="28.8" x14ac:dyDescent="0.3">
      <c r="A156">
        <v>74</v>
      </c>
      <c r="B156">
        <v>2024</v>
      </c>
      <c r="C156" s="11" t="s">
        <v>64</v>
      </c>
      <c r="D156" s="12" t="s">
        <v>40</v>
      </c>
      <c r="E156" s="12" t="s">
        <v>353</v>
      </c>
      <c r="F156" s="13">
        <v>90</v>
      </c>
      <c r="G156" s="13">
        <v>120</v>
      </c>
      <c r="H156" s="13">
        <v>103.33</v>
      </c>
      <c r="I156" s="13">
        <v>100</v>
      </c>
    </row>
    <row r="157" spans="1:9" x14ac:dyDescent="0.3">
      <c r="A157">
        <v>74</v>
      </c>
      <c r="B157">
        <v>2024</v>
      </c>
      <c r="C157" s="11" t="s">
        <v>66</v>
      </c>
      <c r="D157" s="12" t="s">
        <v>45</v>
      </c>
      <c r="E157" s="12" t="s">
        <v>353</v>
      </c>
      <c r="F157" s="12" t="s">
        <v>353</v>
      </c>
      <c r="G157" s="12" t="s">
        <v>353</v>
      </c>
      <c r="H157" s="12" t="s">
        <v>353</v>
      </c>
      <c r="I157" s="12" t="s">
        <v>353</v>
      </c>
    </row>
    <row r="158" spans="1:9" ht="28.8" x14ac:dyDescent="0.3">
      <c r="A158">
        <v>74</v>
      </c>
      <c r="B158">
        <v>2024</v>
      </c>
      <c r="C158" s="11" t="s">
        <v>67</v>
      </c>
      <c r="D158" s="12" t="s">
        <v>45</v>
      </c>
      <c r="E158" s="12" t="s">
        <v>353</v>
      </c>
      <c r="F158" s="12" t="s">
        <v>353</v>
      </c>
      <c r="G158" s="12" t="s">
        <v>353</v>
      </c>
      <c r="H158" s="12" t="s">
        <v>353</v>
      </c>
      <c r="I158" s="12" t="s">
        <v>353</v>
      </c>
    </row>
    <row r="159" spans="1:9" ht="28.8" x14ac:dyDescent="0.3">
      <c r="A159">
        <v>74</v>
      </c>
      <c r="B159">
        <v>2024</v>
      </c>
      <c r="C159" s="11" t="s">
        <v>68</v>
      </c>
      <c r="D159" s="12" t="s">
        <v>45</v>
      </c>
      <c r="E159" s="12" t="s">
        <v>353</v>
      </c>
      <c r="F159" s="12" t="s">
        <v>353</v>
      </c>
      <c r="G159" s="12" t="s">
        <v>353</v>
      </c>
      <c r="H159" s="12" t="s">
        <v>353</v>
      </c>
      <c r="I159" s="12" t="s">
        <v>353</v>
      </c>
    </row>
    <row r="160" spans="1:9" x14ac:dyDescent="0.3">
      <c r="A160">
        <v>74</v>
      </c>
      <c r="B160">
        <v>2024</v>
      </c>
      <c r="C160" s="11" t="s">
        <v>69</v>
      </c>
      <c r="D160" s="12" t="s">
        <v>45</v>
      </c>
      <c r="E160" s="12" t="s">
        <v>353</v>
      </c>
      <c r="F160" s="13">
        <v>70</v>
      </c>
      <c r="G160" s="13">
        <v>70</v>
      </c>
      <c r="H160" s="13">
        <v>70</v>
      </c>
      <c r="I160" s="13">
        <v>70</v>
      </c>
    </row>
    <row r="161" spans="1:9" ht="28.8" x14ac:dyDescent="0.3">
      <c r="A161">
        <v>74</v>
      </c>
      <c r="B161">
        <v>2024</v>
      </c>
      <c r="C161" s="11" t="s">
        <v>70</v>
      </c>
      <c r="D161" s="12" t="s">
        <v>71</v>
      </c>
      <c r="E161" s="12" t="s">
        <v>353</v>
      </c>
      <c r="F161" s="12" t="s">
        <v>353</v>
      </c>
      <c r="G161" s="12" t="s">
        <v>353</v>
      </c>
      <c r="H161" s="12" t="s">
        <v>353</v>
      </c>
      <c r="I161" s="12" t="s">
        <v>353</v>
      </c>
    </row>
    <row r="162" spans="1:9" x14ac:dyDescent="0.3">
      <c r="A162">
        <v>75</v>
      </c>
      <c r="B162">
        <v>2024</v>
      </c>
      <c r="C162" s="11" t="s">
        <v>12</v>
      </c>
      <c r="D162" s="12" t="s">
        <v>13</v>
      </c>
      <c r="E162" s="12" t="s">
        <v>353</v>
      </c>
      <c r="F162" s="13">
        <v>36</v>
      </c>
      <c r="G162" s="13">
        <v>60</v>
      </c>
      <c r="H162" s="13">
        <v>48</v>
      </c>
      <c r="I162" s="13">
        <v>48</v>
      </c>
    </row>
    <row r="163" spans="1:9" x14ac:dyDescent="0.3">
      <c r="A163">
        <v>75</v>
      </c>
      <c r="B163">
        <v>2024</v>
      </c>
      <c r="C163" s="11" t="s">
        <v>14</v>
      </c>
      <c r="D163" s="12" t="s">
        <v>13</v>
      </c>
      <c r="E163" s="13">
        <v>72</v>
      </c>
      <c r="F163" s="13">
        <v>78</v>
      </c>
      <c r="G163" s="13">
        <v>84</v>
      </c>
      <c r="H163" s="13">
        <v>78</v>
      </c>
      <c r="I163" s="13">
        <v>78</v>
      </c>
    </row>
    <row r="164" spans="1:9" ht="28.8" x14ac:dyDescent="0.3">
      <c r="A164">
        <v>75</v>
      </c>
      <c r="B164">
        <v>2024</v>
      </c>
      <c r="C164" s="11" t="s">
        <v>15</v>
      </c>
      <c r="D164" s="12" t="s">
        <v>13</v>
      </c>
      <c r="E164" s="13">
        <v>30</v>
      </c>
      <c r="F164" s="13">
        <v>30</v>
      </c>
      <c r="G164" s="13">
        <v>30</v>
      </c>
      <c r="H164" s="13">
        <v>30</v>
      </c>
      <c r="I164" s="13">
        <v>30</v>
      </c>
    </row>
    <row r="165" spans="1:9" ht="28.8" x14ac:dyDescent="0.3">
      <c r="A165">
        <v>75</v>
      </c>
      <c r="B165">
        <v>2024</v>
      </c>
      <c r="C165" s="11" t="s">
        <v>16</v>
      </c>
      <c r="D165" s="12" t="s">
        <v>13</v>
      </c>
      <c r="E165" s="13">
        <v>18</v>
      </c>
      <c r="F165" s="13">
        <v>18</v>
      </c>
      <c r="G165" s="13">
        <v>20</v>
      </c>
      <c r="H165" s="13">
        <v>18.670000000000002</v>
      </c>
      <c r="I165" s="13">
        <v>18</v>
      </c>
    </row>
    <row r="166" spans="1:9" x14ac:dyDescent="0.3">
      <c r="A166">
        <v>75</v>
      </c>
      <c r="B166">
        <v>2024</v>
      </c>
      <c r="C166" s="11" t="s">
        <v>17</v>
      </c>
      <c r="D166" s="12" t="s">
        <v>13</v>
      </c>
      <c r="E166" s="13">
        <v>18</v>
      </c>
      <c r="F166" s="13">
        <v>18</v>
      </c>
      <c r="G166" s="13">
        <v>20</v>
      </c>
      <c r="H166" s="13">
        <v>18.670000000000002</v>
      </c>
      <c r="I166" s="13">
        <v>18</v>
      </c>
    </row>
    <row r="167" spans="1:9" x14ac:dyDescent="0.3">
      <c r="A167">
        <v>75</v>
      </c>
      <c r="B167">
        <v>2024</v>
      </c>
      <c r="C167" s="11" t="s">
        <v>18</v>
      </c>
      <c r="D167" s="12" t="s">
        <v>13</v>
      </c>
      <c r="E167" s="13">
        <v>48</v>
      </c>
      <c r="F167" s="12" t="s">
        <v>353</v>
      </c>
      <c r="G167" s="13">
        <v>60</v>
      </c>
      <c r="H167" s="13">
        <v>54</v>
      </c>
      <c r="I167" s="13">
        <v>54</v>
      </c>
    </row>
    <row r="168" spans="1:9" ht="43.2" x14ac:dyDescent="0.3">
      <c r="A168">
        <v>75</v>
      </c>
      <c r="B168">
        <v>2024</v>
      </c>
      <c r="C168" s="11" t="s">
        <v>19</v>
      </c>
      <c r="D168" s="12" t="s">
        <v>13</v>
      </c>
      <c r="E168" s="13">
        <v>60</v>
      </c>
      <c r="F168" s="12" t="s">
        <v>353</v>
      </c>
      <c r="G168" s="13">
        <v>72</v>
      </c>
      <c r="H168" s="13">
        <v>66</v>
      </c>
      <c r="I168" s="13">
        <v>66</v>
      </c>
    </row>
    <row r="169" spans="1:9" ht="28.8" x14ac:dyDescent="0.3">
      <c r="A169">
        <v>75</v>
      </c>
      <c r="B169">
        <v>2024</v>
      </c>
      <c r="C169" s="11" t="s">
        <v>20</v>
      </c>
      <c r="D169" s="12" t="s">
        <v>13</v>
      </c>
      <c r="E169" s="13">
        <v>72</v>
      </c>
      <c r="F169" s="13">
        <v>72</v>
      </c>
      <c r="G169" s="13">
        <v>72</v>
      </c>
      <c r="H169" s="13">
        <v>72</v>
      </c>
      <c r="I169" s="13">
        <v>72</v>
      </c>
    </row>
    <row r="170" spans="1:9" ht="28.8" x14ac:dyDescent="0.3">
      <c r="A170">
        <v>75</v>
      </c>
      <c r="B170">
        <v>2024</v>
      </c>
      <c r="C170" s="11" t="s">
        <v>21</v>
      </c>
      <c r="D170" s="12" t="s">
        <v>13</v>
      </c>
      <c r="E170" s="13">
        <v>18</v>
      </c>
      <c r="F170" s="13">
        <v>18</v>
      </c>
      <c r="G170" s="13">
        <v>25</v>
      </c>
      <c r="H170" s="13">
        <v>20.329999999999998</v>
      </c>
      <c r="I170" s="13">
        <v>18</v>
      </c>
    </row>
    <row r="171" spans="1:9" x14ac:dyDescent="0.3">
      <c r="A171">
        <v>75</v>
      </c>
      <c r="B171">
        <v>2024</v>
      </c>
      <c r="C171" s="11" t="s">
        <v>73</v>
      </c>
      <c r="D171" s="12" t="s">
        <v>13</v>
      </c>
      <c r="E171" s="13">
        <v>72</v>
      </c>
      <c r="F171" s="13">
        <v>72</v>
      </c>
      <c r="G171" s="13">
        <v>72</v>
      </c>
      <c r="H171" s="13">
        <v>72</v>
      </c>
      <c r="I171" s="13">
        <v>72</v>
      </c>
    </row>
    <row r="172" spans="1:9" x14ac:dyDescent="0.3">
      <c r="A172">
        <v>75</v>
      </c>
      <c r="B172">
        <v>2024</v>
      </c>
      <c r="C172" s="11" t="s">
        <v>23</v>
      </c>
      <c r="D172" s="12" t="s">
        <v>13</v>
      </c>
      <c r="E172" s="13">
        <v>18</v>
      </c>
      <c r="F172" s="13">
        <v>18</v>
      </c>
      <c r="G172" s="13">
        <v>20</v>
      </c>
      <c r="H172" s="13">
        <v>18.670000000000002</v>
      </c>
      <c r="I172" s="13">
        <v>18</v>
      </c>
    </row>
    <row r="173" spans="1:9" x14ac:dyDescent="0.3">
      <c r="A173">
        <v>75</v>
      </c>
      <c r="B173">
        <v>2024</v>
      </c>
      <c r="C173" s="11" t="s">
        <v>24</v>
      </c>
      <c r="D173" s="12" t="s">
        <v>13</v>
      </c>
      <c r="E173" s="13">
        <v>48</v>
      </c>
      <c r="F173" s="13">
        <v>48</v>
      </c>
      <c r="G173" s="13">
        <v>72</v>
      </c>
      <c r="H173" s="13">
        <v>60</v>
      </c>
      <c r="I173" s="13">
        <v>60</v>
      </c>
    </row>
    <row r="174" spans="1:9" x14ac:dyDescent="0.3">
      <c r="A174">
        <v>75</v>
      </c>
      <c r="B174">
        <v>2024</v>
      </c>
      <c r="C174" s="11" t="s">
        <v>25</v>
      </c>
      <c r="D174" s="12" t="s">
        <v>26</v>
      </c>
      <c r="E174" s="13">
        <v>48</v>
      </c>
      <c r="F174" s="13">
        <v>40</v>
      </c>
      <c r="G174" s="13">
        <v>60</v>
      </c>
      <c r="H174" s="13">
        <v>52</v>
      </c>
      <c r="I174" s="13">
        <v>50</v>
      </c>
    </row>
    <row r="175" spans="1:9" ht="28.8" x14ac:dyDescent="0.3">
      <c r="A175">
        <v>75</v>
      </c>
      <c r="B175">
        <v>2024</v>
      </c>
      <c r="C175" s="11" t="s">
        <v>27</v>
      </c>
      <c r="D175" s="12" t="s">
        <v>13</v>
      </c>
      <c r="E175" s="13">
        <v>48</v>
      </c>
      <c r="F175" s="12" t="s">
        <v>353</v>
      </c>
      <c r="G175" s="13">
        <v>60</v>
      </c>
      <c r="H175" s="13">
        <v>50</v>
      </c>
      <c r="I175" s="12" t="s">
        <v>353</v>
      </c>
    </row>
    <row r="176" spans="1:9" ht="28.8" x14ac:dyDescent="0.3">
      <c r="A176">
        <v>75</v>
      </c>
      <c r="B176">
        <v>2024</v>
      </c>
      <c r="C176" s="11" t="s">
        <v>28</v>
      </c>
      <c r="D176" s="12" t="s">
        <v>13</v>
      </c>
      <c r="E176" s="13">
        <v>30</v>
      </c>
      <c r="F176" s="13">
        <v>24</v>
      </c>
      <c r="G176" s="13">
        <v>30</v>
      </c>
      <c r="H176" s="13">
        <v>28</v>
      </c>
      <c r="I176" s="13">
        <v>30</v>
      </c>
    </row>
    <row r="177" spans="1:9" x14ac:dyDescent="0.3">
      <c r="A177">
        <v>75</v>
      </c>
      <c r="B177">
        <v>2024</v>
      </c>
      <c r="C177" s="11" t="s">
        <v>29</v>
      </c>
      <c r="D177" s="12" t="s">
        <v>13</v>
      </c>
      <c r="E177" s="13">
        <v>48</v>
      </c>
      <c r="F177" s="12" t="s">
        <v>353</v>
      </c>
      <c r="G177" s="13">
        <v>60</v>
      </c>
      <c r="H177" s="13">
        <v>54</v>
      </c>
      <c r="I177" s="13">
        <v>54</v>
      </c>
    </row>
    <row r="178" spans="1:9" x14ac:dyDescent="0.3">
      <c r="A178">
        <v>75</v>
      </c>
      <c r="B178">
        <v>2024</v>
      </c>
      <c r="C178" s="11" t="s">
        <v>31</v>
      </c>
      <c r="D178" s="12" t="s">
        <v>32</v>
      </c>
      <c r="E178" s="13">
        <v>5</v>
      </c>
      <c r="F178" s="13">
        <v>5</v>
      </c>
      <c r="G178" s="13">
        <v>5</v>
      </c>
      <c r="H178" s="13">
        <v>5</v>
      </c>
      <c r="I178" s="13">
        <v>5</v>
      </c>
    </row>
    <row r="179" spans="1:9" x14ac:dyDescent="0.3">
      <c r="A179">
        <v>75</v>
      </c>
      <c r="B179">
        <v>2024</v>
      </c>
      <c r="C179" s="11" t="s">
        <v>34</v>
      </c>
      <c r="D179" s="12" t="s">
        <v>35</v>
      </c>
      <c r="E179" s="13">
        <v>15</v>
      </c>
      <c r="F179" s="13">
        <v>12</v>
      </c>
      <c r="G179" s="13">
        <v>15</v>
      </c>
      <c r="H179" s="13">
        <v>14</v>
      </c>
      <c r="I179" s="13">
        <v>15</v>
      </c>
    </row>
    <row r="180" spans="1:9" x14ac:dyDescent="0.3">
      <c r="A180">
        <v>75</v>
      </c>
      <c r="B180">
        <v>2024</v>
      </c>
      <c r="C180" s="11" t="s">
        <v>36</v>
      </c>
      <c r="D180" s="12" t="s">
        <v>35</v>
      </c>
      <c r="E180" s="13">
        <v>25</v>
      </c>
      <c r="F180" s="13">
        <v>25</v>
      </c>
      <c r="G180" s="13">
        <v>30</v>
      </c>
      <c r="H180" s="13">
        <v>26.67</v>
      </c>
      <c r="I180" s="13">
        <v>25</v>
      </c>
    </row>
    <row r="181" spans="1:9" ht="28.8" x14ac:dyDescent="0.3">
      <c r="A181">
        <v>75</v>
      </c>
      <c r="B181">
        <v>2024</v>
      </c>
      <c r="C181" s="11" t="s">
        <v>352</v>
      </c>
      <c r="D181" s="12" t="s">
        <v>154</v>
      </c>
      <c r="E181" s="13">
        <v>75</v>
      </c>
      <c r="F181" s="13">
        <v>75</v>
      </c>
      <c r="G181" s="13">
        <v>80</v>
      </c>
      <c r="H181" s="13">
        <v>76.67</v>
      </c>
      <c r="I181" s="13">
        <v>75</v>
      </c>
    </row>
    <row r="182" spans="1:9" ht="28.8" x14ac:dyDescent="0.3">
      <c r="A182">
        <v>75</v>
      </c>
      <c r="B182">
        <v>2024</v>
      </c>
      <c r="C182" s="11" t="s">
        <v>39</v>
      </c>
      <c r="D182" s="12" t="s">
        <v>40</v>
      </c>
      <c r="E182" s="13">
        <v>25</v>
      </c>
      <c r="F182" s="13">
        <v>25</v>
      </c>
      <c r="G182" s="13">
        <v>40</v>
      </c>
      <c r="H182" s="13">
        <v>28.57</v>
      </c>
      <c r="I182" s="13">
        <v>25</v>
      </c>
    </row>
    <row r="183" spans="1:9" x14ac:dyDescent="0.3">
      <c r="A183">
        <v>75</v>
      </c>
      <c r="B183">
        <v>2024</v>
      </c>
      <c r="C183" s="11" t="s">
        <v>42</v>
      </c>
      <c r="D183" s="12" t="s">
        <v>43</v>
      </c>
      <c r="E183" s="13">
        <v>70</v>
      </c>
      <c r="F183" s="13">
        <v>45</v>
      </c>
      <c r="G183" s="13">
        <v>70</v>
      </c>
      <c r="H183" s="13">
        <v>60.83</v>
      </c>
      <c r="I183" s="13">
        <v>67.5</v>
      </c>
    </row>
    <row r="184" spans="1:9" ht="28.8" x14ac:dyDescent="0.3">
      <c r="A184">
        <v>75</v>
      </c>
      <c r="B184">
        <v>2024</v>
      </c>
      <c r="C184" s="11" t="s">
        <v>44</v>
      </c>
      <c r="D184" s="12" t="s">
        <v>45</v>
      </c>
      <c r="E184" s="13">
        <v>50</v>
      </c>
      <c r="F184" s="13">
        <v>50</v>
      </c>
      <c r="G184" s="13">
        <v>65</v>
      </c>
      <c r="H184" s="13">
        <v>56</v>
      </c>
      <c r="I184" s="13">
        <v>55</v>
      </c>
    </row>
    <row r="185" spans="1:9" ht="28.8" x14ac:dyDescent="0.3">
      <c r="A185">
        <v>75</v>
      </c>
      <c r="B185">
        <v>2024</v>
      </c>
      <c r="C185" s="11" t="s">
        <v>48</v>
      </c>
      <c r="D185" s="12" t="s">
        <v>45</v>
      </c>
      <c r="E185" s="13">
        <v>45</v>
      </c>
      <c r="F185" s="12" t="s">
        <v>353</v>
      </c>
      <c r="G185" s="13">
        <v>80</v>
      </c>
      <c r="H185" s="13">
        <v>66.67</v>
      </c>
      <c r="I185" s="13">
        <v>75</v>
      </c>
    </row>
    <row r="186" spans="1:9" x14ac:dyDescent="0.3">
      <c r="A186">
        <v>75</v>
      </c>
      <c r="B186">
        <v>2024</v>
      </c>
      <c r="C186" s="11" t="s">
        <v>49</v>
      </c>
      <c r="D186" s="12" t="s">
        <v>50</v>
      </c>
      <c r="E186" s="13">
        <v>50</v>
      </c>
      <c r="F186" s="13">
        <v>50</v>
      </c>
      <c r="G186" s="13">
        <v>65</v>
      </c>
      <c r="H186" s="13">
        <v>57.5</v>
      </c>
      <c r="I186" s="13">
        <v>56.67</v>
      </c>
    </row>
    <row r="187" spans="1:9" x14ac:dyDescent="0.3">
      <c r="A187">
        <v>75</v>
      </c>
      <c r="B187">
        <v>2024</v>
      </c>
      <c r="C187" s="11" t="s">
        <v>52</v>
      </c>
      <c r="D187" s="12" t="s">
        <v>43</v>
      </c>
      <c r="E187" s="13">
        <v>45</v>
      </c>
      <c r="F187" s="13">
        <v>40</v>
      </c>
      <c r="G187" s="13">
        <v>60</v>
      </c>
      <c r="H187" s="13">
        <v>48.57</v>
      </c>
      <c r="I187" s="13">
        <v>45</v>
      </c>
    </row>
    <row r="188" spans="1:9" x14ac:dyDescent="0.3">
      <c r="A188">
        <v>75</v>
      </c>
      <c r="B188">
        <v>2024</v>
      </c>
      <c r="C188" s="11" t="s">
        <v>53</v>
      </c>
      <c r="D188" s="12" t="s">
        <v>43</v>
      </c>
      <c r="E188" s="13">
        <v>40</v>
      </c>
      <c r="F188" s="13">
        <v>55</v>
      </c>
      <c r="G188" s="13">
        <v>55</v>
      </c>
      <c r="H188" s="13">
        <v>51.43</v>
      </c>
      <c r="I188" s="13">
        <v>55</v>
      </c>
    </row>
    <row r="189" spans="1:9" x14ac:dyDescent="0.3">
      <c r="A189">
        <v>75</v>
      </c>
      <c r="B189">
        <v>2024</v>
      </c>
      <c r="C189" s="11" t="s">
        <v>54</v>
      </c>
      <c r="D189" s="12" t="s">
        <v>40</v>
      </c>
      <c r="E189" s="13">
        <v>100</v>
      </c>
      <c r="F189" s="13">
        <v>120</v>
      </c>
      <c r="G189" s="13">
        <v>130</v>
      </c>
      <c r="H189" s="13">
        <v>116</v>
      </c>
      <c r="I189" s="13">
        <v>120</v>
      </c>
    </row>
    <row r="190" spans="1:9" x14ac:dyDescent="0.3">
      <c r="A190">
        <v>75</v>
      </c>
      <c r="B190">
        <v>2024</v>
      </c>
      <c r="C190" s="11" t="s">
        <v>56</v>
      </c>
      <c r="D190" s="12" t="s">
        <v>43</v>
      </c>
      <c r="E190" s="13">
        <v>55</v>
      </c>
      <c r="F190" s="12" t="s">
        <v>353</v>
      </c>
      <c r="G190" s="13">
        <v>55</v>
      </c>
      <c r="H190" s="13">
        <v>55</v>
      </c>
      <c r="I190" s="13">
        <v>55</v>
      </c>
    </row>
    <row r="191" spans="1:9" ht="28.8" x14ac:dyDescent="0.3">
      <c r="A191">
        <v>75</v>
      </c>
      <c r="B191">
        <v>2024</v>
      </c>
      <c r="C191" s="11" t="s">
        <v>57</v>
      </c>
      <c r="D191" s="12" t="s">
        <v>40</v>
      </c>
      <c r="E191" s="13">
        <v>60</v>
      </c>
      <c r="F191" s="13">
        <v>50</v>
      </c>
      <c r="G191" s="13">
        <v>85</v>
      </c>
      <c r="H191" s="13">
        <v>60</v>
      </c>
      <c r="I191" s="13">
        <v>63.75</v>
      </c>
    </row>
    <row r="192" spans="1:9" ht="28.8" x14ac:dyDescent="0.3">
      <c r="A192">
        <v>75</v>
      </c>
      <c r="B192">
        <v>2024</v>
      </c>
      <c r="C192" s="11" t="s">
        <v>58</v>
      </c>
      <c r="D192" s="12" t="s">
        <v>40</v>
      </c>
      <c r="E192" s="13">
        <v>75</v>
      </c>
      <c r="F192" s="12" t="s">
        <v>353</v>
      </c>
      <c r="G192" s="13">
        <v>100</v>
      </c>
      <c r="H192" s="13">
        <v>87.5</v>
      </c>
      <c r="I192" s="13">
        <v>87.5</v>
      </c>
    </row>
    <row r="193" spans="1:9" ht="28.8" x14ac:dyDescent="0.3">
      <c r="A193">
        <v>75</v>
      </c>
      <c r="B193">
        <v>2024</v>
      </c>
      <c r="C193" s="11" t="s">
        <v>59</v>
      </c>
      <c r="D193" s="12" t="s">
        <v>45</v>
      </c>
      <c r="E193" s="13">
        <v>40</v>
      </c>
      <c r="F193" s="13">
        <v>50</v>
      </c>
      <c r="G193" s="13">
        <v>70</v>
      </c>
      <c r="H193" s="13">
        <v>52.14</v>
      </c>
      <c r="I193" s="13">
        <v>50</v>
      </c>
    </row>
    <row r="194" spans="1:9" x14ac:dyDescent="0.3">
      <c r="A194">
        <v>75</v>
      </c>
      <c r="B194">
        <v>2024</v>
      </c>
      <c r="C194" s="11" t="s">
        <v>60</v>
      </c>
      <c r="D194" s="12" t="s">
        <v>61</v>
      </c>
      <c r="E194" s="13">
        <v>180</v>
      </c>
      <c r="F194" s="13">
        <v>150</v>
      </c>
      <c r="G194" s="13">
        <v>180</v>
      </c>
      <c r="H194" s="13">
        <v>166.67</v>
      </c>
      <c r="I194" s="13">
        <v>165</v>
      </c>
    </row>
    <row r="195" spans="1:9" ht="28.8" x14ac:dyDescent="0.3">
      <c r="A195">
        <v>75</v>
      </c>
      <c r="B195">
        <v>2024</v>
      </c>
      <c r="C195" s="11" t="s">
        <v>63</v>
      </c>
      <c r="D195" s="12" t="s">
        <v>40</v>
      </c>
      <c r="E195" s="13">
        <v>60</v>
      </c>
      <c r="F195" s="13">
        <v>70</v>
      </c>
      <c r="G195" s="13">
        <v>80</v>
      </c>
      <c r="H195" s="13">
        <v>68.569999999999993</v>
      </c>
      <c r="I195" s="13">
        <v>70</v>
      </c>
    </row>
    <row r="196" spans="1:9" ht="28.8" x14ac:dyDescent="0.3">
      <c r="A196">
        <v>75</v>
      </c>
      <c r="B196">
        <v>2024</v>
      </c>
      <c r="C196" s="11" t="s">
        <v>64</v>
      </c>
      <c r="D196" s="12" t="s">
        <v>40</v>
      </c>
      <c r="E196" s="13">
        <v>80</v>
      </c>
      <c r="F196" s="12" t="s">
        <v>353</v>
      </c>
      <c r="G196" s="13">
        <v>120</v>
      </c>
      <c r="H196" s="13">
        <v>95</v>
      </c>
      <c r="I196" s="13">
        <v>97.5</v>
      </c>
    </row>
    <row r="197" spans="1:9" x14ac:dyDescent="0.3">
      <c r="A197">
        <v>75</v>
      </c>
      <c r="B197">
        <v>2024</v>
      </c>
      <c r="C197" s="11" t="s">
        <v>66</v>
      </c>
      <c r="D197" s="12" t="s">
        <v>45</v>
      </c>
      <c r="E197" s="12" t="s">
        <v>353</v>
      </c>
      <c r="F197" s="12" t="s">
        <v>353</v>
      </c>
      <c r="G197" s="12" t="s">
        <v>353</v>
      </c>
      <c r="H197" s="12" t="s">
        <v>353</v>
      </c>
      <c r="I197" s="12" t="s">
        <v>353</v>
      </c>
    </row>
    <row r="198" spans="1:9" ht="28.8" x14ac:dyDescent="0.3">
      <c r="A198">
        <v>75</v>
      </c>
      <c r="B198">
        <v>2024</v>
      </c>
      <c r="C198" s="11" t="s">
        <v>67</v>
      </c>
      <c r="D198" s="12" t="s">
        <v>45</v>
      </c>
      <c r="E198" s="12" t="s">
        <v>353</v>
      </c>
      <c r="F198" s="12" t="s">
        <v>353</v>
      </c>
      <c r="G198" s="12" t="s">
        <v>353</v>
      </c>
      <c r="H198" s="12" t="s">
        <v>353</v>
      </c>
      <c r="I198" s="12" t="s">
        <v>353</v>
      </c>
    </row>
    <row r="199" spans="1:9" ht="28.8" x14ac:dyDescent="0.3">
      <c r="A199">
        <v>75</v>
      </c>
      <c r="B199">
        <v>2024</v>
      </c>
      <c r="C199" s="11" t="s">
        <v>68</v>
      </c>
      <c r="D199" s="12" t="s">
        <v>45</v>
      </c>
      <c r="E199" s="12" t="s">
        <v>353</v>
      </c>
      <c r="F199" s="12" t="s">
        <v>353</v>
      </c>
      <c r="G199" s="12" t="s">
        <v>353</v>
      </c>
      <c r="H199" s="12" t="s">
        <v>353</v>
      </c>
      <c r="I199" s="12" t="s">
        <v>353</v>
      </c>
    </row>
    <row r="200" spans="1:9" x14ac:dyDescent="0.3">
      <c r="A200">
        <v>75</v>
      </c>
      <c r="B200">
        <v>2024</v>
      </c>
      <c r="C200" s="11" t="s">
        <v>69</v>
      </c>
      <c r="D200" s="12" t="s">
        <v>45</v>
      </c>
      <c r="E200" s="12" t="s">
        <v>353</v>
      </c>
      <c r="F200" s="12" t="s">
        <v>353</v>
      </c>
      <c r="G200" s="12" t="s">
        <v>353</v>
      </c>
      <c r="H200" s="12" t="s">
        <v>353</v>
      </c>
      <c r="I200" s="12" t="s">
        <v>353</v>
      </c>
    </row>
    <row r="201" spans="1:9" ht="28.8" x14ac:dyDescent="0.3">
      <c r="A201">
        <v>75</v>
      </c>
      <c r="B201">
        <v>2024</v>
      </c>
      <c r="C201" s="11" t="s">
        <v>70</v>
      </c>
      <c r="D201" s="12" t="s">
        <v>71</v>
      </c>
      <c r="E201" s="12" t="s">
        <v>353</v>
      </c>
      <c r="F201" s="12" t="s">
        <v>353</v>
      </c>
      <c r="G201" s="12" t="s">
        <v>353</v>
      </c>
      <c r="H201" s="12" t="s">
        <v>353</v>
      </c>
      <c r="I201" s="12" t="s">
        <v>353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zoomScaleNormal="100" workbookViewId="0">
      <selection activeCell="D2" sqref="D2:D5"/>
    </sheetView>
  </sheetViews>
  <sheetFormatPr defaultColWidth="8.44140625" defaultRowHeight="14.4" x14ac:dyDescent="0.3"/>
  <cols>
    <col min="2" max="2" width="9.21875" customWidth="1"/>
    <col min="3" max="3" width="72.109375" customWidth="1"/>
  </cols>
  <sheetData>
    <row r="1" spans="1:4" x14ac:dyDescent="0.3">
      <c r="A1" t="s">
        <v>365</v>
      </c>
      <c r="B1" t="s">
        <v>366</v>
      </c>
      <c r="C1" t="s">
        <v>367</v>
      </c>
    </row>
    <row r="2" spans="1:4" x14ac:dyDescent="0.3">
      <c r="A2">
        <v>1</v>
      </c>
      <c r="B2" t="s">
        <v>368</v>
      </c>
      <c r="C2" t="s">
        <v>369</v>
      </c>
      <c r="D2" t="str">
        <f>"INSERT INTO GRUPO_ALIMENTAR (grp_id, grp_nome, grp_desc) VALUES ("&amp;A2&amp;", '"&amp;B2&amp;"', '"&amp;C2&amp;"');"</f>
        <v>INSERT INTO GRUPO_ALIMENTAR (grp_id, grp_nome, grp_desc) VALUES (1, 'A', 'Verduras (folhosas, flores e hastes)');</v>
      </c>
    </row>
    <row r="3" spans="1:4" x14ac:dyDescent="0.3">
      <c r="A3">
        <v>2</v>
      </c>
      <c r="B3" t="s">
        <v>370</v>
      </c>
      <c r="C3" t="s">
        <v>371</v>
      </c>
      <c r="D3" t="str">
        <f t="shared" ref="D3:D5" si="0">"INSERT INTO GRUPO_ALIMENTAR (grp_id, grp_nome, grp_desc) VALUES ("&amp;A3&amp;", '"&amp;B3&amp;"', '"&amp;C3&amp;"');"</f>
        <v>INSERT INTO GRUPO_ALIMENTAR (grp_id, grp_nome, grp_desc) VALUES (2, 'B', 'Hortaliças condimentares (temperos)');</v>
      </c>
    </row>
    <row r="4" spans="1:4" x14ac:dyDescent="0.3">
      <c r="A4">
        <v>3</v>
      </c>
      <c r="B4" t="s">
        <v>372</v>
      </c>
      <c r="C4" t="s">
        <v>373</v>
      </c>
      <c r="D4" t="str">
        <f t="shared" si="0"/>
        <v>INSERT INTO GRUPO_ALIMENTAR (grp_id, grp_nome, grp_desc) VALUES (3, 'C', 'Hortaliças legumes (leguminosas (vagens), frutos, raízes tuberosas, tuberculos, bulbos)');</v>
      </c>
    </row>
    <row r="5" spans="1:4" x14ac:dyDescent="0.3">
      <c r="A5">
        <v>4</v>
      </c>
      <c r="B5" t="s">
        <v>374</v>
      </c>
      <c r="C5" t="s">
        <v>375</v>
      </c>
      <c r="D5" t="str">
        <f t="shared" si="0"/>
        <v>INSERT INTO GRUPO_ALIMENTAR (grp_id, grp_nome, grp_desc) VALUES (4, 'D', 'Frutas');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zoomScaleNormal="100" workbookViewId="0">
      <selection activeCell="E2" sqref="E2:E6"/>
    </sheetView>
  </sheetViews>
  <sheetFormatPr defaultColWidth="8.44140625" defaultRowHeight="14.4" x14ac:dyDescent="0.3"/>
  <cols>
    <col min="2" max="2" width="10.21875" customWidth="1"/>
  </cols>
  <sheetData>
    <row r="1" spans="1:5" x14ac:dyDescent="0.3">
      <c r="A1" t="s">
        <v>422</v>
      </c>
      <c r="B1" t="s">
        <v>423</v>
      </c>
      <c r="C1" t="s">
        <v>424</v>
      </c>
    </row>
    <row r="2" spans="1:5" x14ac:dyDescent="0.3">
      <c r="A2">
        <v>1</v>
      </c>
      <c r="B2" t="s">
        <v>425</v>
      </c>
      <c r="C2" t="s">
        <v>426</v>
      </c>
      <c r="E2" t="str">
        <f>"INSERT INTO UNIDADE_MEDIDA (umd_id, umd_nome, umd_sigla) VALUES ("&amp;A2&amp;", '"&amp;B2&amp;"', '"&amp;C2&amp;"');"</f>
        <v>INSERT INTO UNIDADE_MEDIDA (umd_id, umd_nome, umd_sigla) VALUES (1, 'Quilograma', 'kg');</v>
      </c>
    </row>
    <row r="3" spans="1:5" x14ac:dyDescent="0.3">
      <c r="A3">
        <v>1</v>
      </c>
      <c r="B3" t="s">
        <v>427</v>
      </c>
      <c r="C3" t="s">
        <v>428</v>
      </c>
      <c r="E3" t="str">
        <f t="shared" ref="E3:E6" si="0">"INSERT INTO UNIDADE_MEDIDA (umd_id, umd_nome, umd_sigla) VALUES ("&amp;A3&amp;", '"&amp;B3&amp;"', '"&amp;C3&amp;"');"</f>
        <v>INSERT INTO UNIDADE_MEDIDA (umd_id, umd_nome, umd_sigla) VALUES (1, 'Grama', 'g');</v>
      </c>
    </row>
    <row r="4" spans="1:5" x14ac:dyDescent="0.3">
      <c r="A4">
        <v>1</v>
      </c>
      <c r="B4" t="s">
        <v>5</v>
      </c>
      <c r="C4" t="s">
        <v>429</v>
      </c>
      <c r="E4" t="str">
        <f t="shared" si="0"/>
        <v>INSERT INTO UNIDADE_MEDIDA (umd_id, umd_nome, umd_sigla) VALUES (1, 'Unidade', 'un');</v>
      </c>
    </row>
    <row r="5" spans="1:5" x14ac:dyDescent="0.3">
      <c r="A5">
        <v>1</v>
      </c>
      <c r="B5" t="s">
        <v>430</v>
      </c>
      <c r="C5" t="s">
        <v>431</v>
      </c>
      <c r="E5" t="str">
        <f t="shared" si="0"/>
        <v>INSERT INTO UNIDADE_MEDIDA (umd_id, umd_nome, umd_sigla) VALUES (1, 'Mililitro', 'ml');</v>
      </c>
    </row>
    <row r="6" spans="1:5" x14ac:dyDescent="0.3">
      <c r="A6">
        <v>1</v>
      </c>
      <c r="B6" t="s">
        <v>432</v>
      </c>
      <c r="C6" t="s">
        <v>433</v>
      </c>
      <c r="E6" t="str">
        <f t="shared" si="0"/>
        <v>INSERT INTO UNIDADE_MEDIDA (umd_id, umd_nome, umd_sigla) VALUES (1, 'Litro', 'L');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9"/>
  <sheetViews>
    <sheetView topLeftCell="A79" zoomScale="115" zoomScaleNormal="115" workbookViewId="0">
      <selection activeCell="C86" sqref="C86"/>
    </sheetView>
  </sheetViews>
  <sheetFormatPr defaultColWidth="8.44140625" defaultRowHeight="14.4" x14ac:dyDescent="0.3"/>
  <cols>
    <col min="4" max="4" width="11.109375" bestFit="1" customWidth="1"/>
    <col min="5" max="5" width="11.5546875" customWidth="1"/>
  </cols>
  <sheetData>
    <row r="1" spans="1:6" x14ac:dyDescent="0.3">
      <c r="A1" t="s">
        <v>358</v>
      </c>
      <c r="B1" t="s">
        <v>0</v>
      </c>
      <c r="C1" t="s">
        <v>1</v>
      </c>
      <c r="D1" t="s">
        <v>2</v>
      </c>
      <c r="E1" t="s">
        <v>440</v>
      </c>
    </row>
    <row r="2" spans="1:6" x14ac:dyDescent="0.3">
      <c r="A2">
        <v>1</v>
      </c>
      <c r="B2">
        <v>1</v>
      </c>
      <c r="C2">
        <v>2022</v>
      </c>
      <c r="D2" s="2">
        <v>44643</v>
      </c>
      <c r="E2" s="21">
        <f ca="1">TODAY()</f>
        <v>46292</v>
      </c>
      <c r="F2" t="str">
        <f>"INSERT INTO BOLETIM (blt_id, blt_numero, blt_ano, blt_data_lev, blt_data_cad) VALUES ("&amp;A2&amp;", "&amp;B2&amp;", "&amp;C2&amp;", TO_DATE('"&amp;TEXT(D2,"DD/MM/AAAA")&amp;"', 'DD/MM/YYYY'), SYSDATE);"</f>
        <v>INSERT INTO BOLETIM (blt_id, blt_numero, blt_ano, blt_data_lev, blt_data_cad) VALUES (1, 1, 2022, TO_DATE('23/03/2022', 'DD/MM/YYYY'), SYSDATE);</v>
      </c>
    </row>
    <row r="3" spans="1:6" x14ac:dyDescent="0.3">
      <c r="A3">
        <v>2</v>
      </c>
      <c r="B3">
        <v>2</v>
      </c>
      <c r="C3">
        <v>2022</v>
      </c>
      <c r="D3" s="2">
        <v>44651</v>
      </c>
      <c r="E3" s="21">
        <f t="shared" ref="E3:E66" ca="1" si="0">TODAY()</f>
        <v>46292</v>
      </c>
      <c r="F3" t="str">
        <f t="shared" ref="F3:F66" si="1">"INSERT INTO BOLETIM (blt_id, blt_numero, blt_ano, blt_data_lev, blt_data_cad) VALUES ("&amp;A3&amp;", "&amp;B3&amp;", "&amp;C3&amp;", TO_DATE('"&amp;TEXT(D3,"DD/MM/AAAA")&amp;"', 'DD/MM/YYYY'), SYSDATE);"</f>
        <v>INSERT INTO BOLETIM (blt_id, blt_numero, blt_ano, blt_data_lev, blt_data_cad) VALUES (2, 2, 2022, TO_DATE('31/03/2022', 'DD/MM/YYYY'), SYSDATE);</v>
      </c>
    </row>
    <row r="4" spans="1:6" x14ac:dyDescent="0.3">
      <c r="A4">
        <v>3</v>
      </c>
      <c r="B4">
        <v>3</v>
      </c>
      <c r="C4">
        <v>2022</v>
      </c>
      <c r="D4" s="2">
        <v>44658</v>
      </c>
      <c r="E4" s="21">
        <f t="shared" ca="1" si="0"/>
        <v>46292</v>
      </c>
      <c r="F4" t="str">
        <f t="shared" si="1"/>
        <v>INSERT INTO BOLETIM (blt_id, blt_numero, blt_ano, blt_data_lev, blt_data_cad) VALUES (3, 3, 2022, TO_DATE('07/04/2022', 'DD/MM/YYYY'), SYSDATE);</v>
      </c>
    </row>
    <row r="5" spans="1:6" x14ac:dyDescent="0.3">
      <c r="A5">
        <v>4</v>
      </c>
      <c r="B5">
        <v>4</v>
      </c>
      <c r="C5">
        <v>2022</v>
      </c>
      <c r="D5" s="2">
        <v>44679</v>
      </c>
      <c r="E5" s="21">
        <f t="shared" ca="1" si="0"/>
        <v>46292</v>
      </c>
      <c r="F5" t="str">
        <f t="shared" si="1"/>
        <v>INSERT INTO BOLETIM (blt_id, blt_numero, blt_ano, blt_data_lev, blt_data_cad) VALUES (4, 4, 2022, TO_DATE('28/04/2022', 'DD/MM/YYYY'), SYSDATE);</v>
      </c>
    </row>
    <row r="6" spans="1:6" x14ac:dyDescent="0.3">
      <c r="A6">
        <v>5</v>
      </c>
      <c r="B6">
        <v>5</v>
      </c>
      <c r="C6">
        <v>2022</v>
      </c>
      <c r="D6" s="2">
        <v>44686</v>
      </c>
      <c r="E6" s="21">
        <f t="shared" ca="1" si="0"/>
        <v>46292</v>
      </c>
      <c r="F6" t="str">
        <f t="shared" si="1"/>
        <v>INSERT INTO BOLETIM (blt_id, blt_numero, blt_ano, blt_data_lev, blt_data_cad) VALUES (5, 5, 2022, TO_DATE('05/05/2022', 'DD/MM/YYYY'), SYSDATE);</v>
      </c>
    </row>
    <row r="7" spans="1:6" x14ac:dyDescent="0.3">
      <c r="A7">
        <v>6</v>
      </c>
      <c r="B7">
        <v>6</v>
      </c>
      <c r="C7">
        <v>2022</v>
      </c>
      <c r="D7" s="2">
        <v>44693</v>
      </c>
      <c r="E7" s="21">
        <f t="shared" ca="1" si="0"/>
        <v>46292</v>
      </c>
      <c r="F7" t="str">
        <f t="shared" si="1"/>
        <v>INSERT INTO BOLETIM (blt_id, blt_numero, blt_ano, blt_data_lev, blt_data_cad) VALUES (6, 6, 2022, TO_DATE('12/05/2022', 'DD/MM/YYYY'), SYSDATE);</v>
      </c>
    </row>
    <row r="8" spans="1:6" x14ac:dyDescent="0.3">
      <c r="A8">
        <v>7</v>
      </c>
      <c r="B8">
        <v>7</v>
      </c>
      <c r="C8">
        <v>2022</v>
      </c>
      <c r="D8" s="2">
        <v>44700</v>
      </c>
      <c r="E8" s="21">
        <f t="shared" ca="1" si="0"/>
        <v>46292</v>
      </c>
      <c r="F8" t="str">
        <f t="shared" si="1"/>
        <v>INSERT INTO BOLETIM (blt_id, blt_numero, blt_ano, blt_data_lev, blt_data_cad) VALUES (7, 7, 2022, TO_DATE('19/05/2022', 'DD/MM/YYYY'), SYSDATE);</v>
      </c>
    </row>
    <row r="9" spans="1:6" x14ac:dyDescent="0.3">
      <c r="A9">
        <v>8</v>
      </c>
      <c r="B9">
        <v>8</v>
      </c>
      <c r="C9">
        <v>2022</v>
      </c>
      <c r="D9" s="2">
        <v>44707</v>
      </c>
      <c r="E9" s="21">
        <f t="shared" ca="1" si="0"/>
        <v>46292</v>
      </c>
      <c r="F9" t="str">
        <f t="shared" si="1"/>
        <v>INSERT INTO BOLETIM (blt_id, blt_numero, blt_ano, blt_data_lev, blt_data_cad) VALUES (8, 8, 2022, TO_DATE('26/05/2022', 'DD/MM/YYYY'), SYSDATE);</v>
      </c>
    </row>
    <row r="10" spans="1:6" x14ac:dyDescent="0.3">
      <c r="A10">
        <v>9</v>
      </c>
      <c r="B10">
        <v>9</v>
      </c>
      <c r="C10">
        <v>2022</v>
      </c>
      <c r="D10" s="2">
        <v>44714</v>
      </c>
      <c r="E10" s="21">
        <f t="shared" ca="1" si="0"/>
        <v>46292</v>
      </c>
      <c r="F10" t="str">
        <f t="shared" si="1"/>
        <v>INSERT INTO BOLETIM (blt_id, blt_numero, blt_ano, blt_data_lev, blt_data_cad) VALUES (9, 9, 2022, TO_DATE('02/06/2022', 'DD/MM/YYYY'), SYSDATE);</v>
      </c>
    </row>
    <row r="11" spans="1:6" x14ac:dyDescent="0.3">
      <c r="A11">
        <v>10</v>
      </c>
      <c r="B11">
        <v>10</v>
      </c>
      <c r="C11">
        <v>2022</v>
      </c>
      <c r="D11" s="2">
        <v>44721</v>
      </c>
      <c r="E11" s="21">
        <f t="shared" ca="1" si="0"/>
        <v>46292</v>
      </c>
      <c r="F11" t="str">
        <f t="shared" si="1"/>
        <v>INSERT INTO BOLETIM (blt_id, blt_numero, blt_ano, blt_data_lev, blt_data_cad) VALUES (10, 10, 2022, TO_DATE('09/06/2022', 'DD/MM/YYYY'), SYSDATE);</v>
      </c>
    </row>
    <row r="12" spans="1:6" x14ac:dyDescent="0.3">
      <c r="A12">
        <v>11</v>
      </c>
      <c r="B12">
        <v>11</v>
      </c>
      <c r="C12">
        <v>2022</v>
      </c>
      <c r="D12" s="2">
        <v>44728</v>
      </c>
      <c r="E12" s="21">
        <f t="shared" ca="1" si="0"/>
        <v>46292</v>
      </c>
      <c r="F12" t="str">
        <f t="shared" si="1"/>
        <v>INSERT INTO BOLETIM (blt_id, blt_numero, blt_ano, blt_data_lev, blt_data_cad) VALUES (11, 11, 2022, TO_DATE('16/06/2022', 'DD/MM/YYYY'), SYSDATE);</v>
      </c>
    </row>
    <row r="13" spans="1:6" x14ac:dyDescent="0.3">
      <c r="A13">
        <v>12</v>
      </c>
      <c r="B13">
        <v>12</v>
      </c>
      <c r="C13">
        <v>2022</v>
      </c>
      <c r="D13" s="2">
        <v>44735</v>
      </c>
      <c r="E13" s="21">
        <f t="shared" ca="1" si="0"/>
        <v>46292</v>
      </c>
      <c r="F13" t="str">
        <f t="shared" si="1"/>
        <v>INSERT INTO BOLETIM (blt_id, blt_numero, blt_ano, blt_data_lev, blt_data_cad) VALUES (12, 12, 2022, TO_DATE('23/06/2022', 'DD/MM/YYYY'), SYSDATE);</v>
      </c>
    </row>
    <row r="14" spans="1:6" x14ac:dyDescent="0.3">
      <c r="A14">
        <v>13</v>
      </c>
      <c r="B14">
        <v>13</v>
      </c>
      <c r="C14">
        <v>2022</v>
      </c>
      <c r="D14" s="2">
        <v>44742</v>
      </c>
      <c r="E14" s="21">
        <f t="shared" ca="1" si="0"/>
        <v>46292</v>
      </c>
      <c r="F14" t="str">
        <f t="shared" si="1"/>
        <v>INSERT INTO BOLETIM (blt_id, blt_numero, blt_ano, blt_data_lev, blt_data_cad) VALUES (13, 13, 2022, TO_DATE('30/06/2022', 'DD/MM/YYYY'), SYSDATE);</v>
      </c>
    </row>
    <row r="15" spans="1:6" x14ac:dyDescent="0.3">
      <c r="A15">
        <v>14</v>
      </c>
      <c r="B15">
        <v>14</v>
      </c>
      <c r="C15">
        <v>2022</v>
      </c>
      <c r="D15" s="2">
        <v>44749</v>
      </c>
      <c r="E15" s="21">
        <f t="shared" ca="1" si="0"/>
        <v>46292</v>
      </c>
      <c r="F15" t="str">
        <f t="shared" si="1"/>
        <v>INSERT INTO BOLETIM (blt_id, blt_numero, blt_ano, blt_data_lev, blt_data_cad) VALUES (14, 14, 2022, TO_DATE('07/07/2022', 'DD/MM/YYYY'), SYSDATE);</v>
      </c>
    </row>
    <row r="16" spans="1:6" x14ac:dyDescent="0.3">
      <c r="A16">
        <v>15</v>
      </c>
      <c r="B16">
        <v>15</v>
      </c>
      <c r="C16">
        <v>2022</v>
      </c>
      <c r="D16" s="2">
        <v>44756</v>
      </c>
      <c r="E16" s="21">
        <f t="shared" ca="1" si="0"/>
        <v>46292</v>
      </c>
      <c r="F16" t="str">
        <f t="shared" si="1"/>
        <v>INSERT INTO BOLETIM (blt_id, blt_numero, blt_ano, blt_data_lev, blt_data_cad) VALUES (15, 15, 2022, TO_DATE('14/07/2022', 'DD/MM/YYYY'), SYSDATE);</v>
      </c>
    </row>
    <row r="17" spans="1:6" x14ac:dyDescent="0.3">
      <c r="A17">
        <v>16</v>
      </c>
      <c r="B17">
        <v>16</v>
      </c>
      <c r="C17">
        <v>2022</v>
      </c>
      <c r="D17" s="2">
        <v>44770</v>
      </c>
      <c r="E17" s="21">
        <f t="shared" ca="1" si="0"/>
        <v>46292</v>
      </c>
      <c r="F17" t="str">
        <f t="shared" si="1"/>
        <v>INSERT INTO BOLETIM (blt_id, blt_numero, blt_ano, blt_data_lev, blt_data_cad) VALUES (16, 16, 2022, TO_DATE('28/07/2022', 'DD/MM/YYYY'), SYSDATE);</v>
      </c>
    </row>
    <row r="18" spans="1:6" x14ac:dyDescent="0.3">
      <c r="A18">
        <v>17</v>
      </c>
      <c r="B18">
        <v>17</v>
      </c>
      <c r="C18">
        <v>2022</v>
      </c>
      <c r="D18" s="2">
        <v>44777</v>
      </c>
      <c r="E18" s="21">
        <f t="shared" ca="1" si="0"/>
        <v>46292</v>
      </c>
      <c r="F18" t="str">
        <f t="shared" si="1"/>
        <v>INSERT INTO BOLETIM (blt_id, blt_numero, blt_ano, blt_data_lev, blt_data_cad) VALUES (17, 17, 2022, TO_DATE('04/08/2022', 'DD/MM/YYYY'), SYSDATE);</v>
      </c>
    </row>
    <row r="19" spans="1:6" x14ac:dyDescent="0.3">
      <c r="A19">
        <v>18</v>
      </c>
      <c r="B19">
        <v>18</v>
      </c>
      <c r="C19">
        <v>2022</v>
      </c>
      <c r="D19" s="2">
        <v>44784</v>
      </c>
      <c r="E19" s="21">
        <f t="shared" ca="1" si="0"/>
        <v>46292</v>
      </c>
      <c r="F19" t="str">
        <f t="shared" si="1"/>
        <v>INSERT INTO BOLETIM (blt_id, blt_numero, blt_ano, blt_data_lev, blt_data_cad) VALUES (18, 18, 2022, TO_DATE('11/08/2022', 'DD/MM/YYYY'), SYSDATE);</v>
      </c>
    </row>
    <row r="20" spans="1:6" x14ac:dyDescent="0.3">
      <c r="A20">
        <v>19</v>
      </c>
      <c r="B20">
        <v>19</v>
      </c>
      <c r="C20">
        <v>2022</v>
      </c>
      <c r="D20" s="2">
        <v>44791</v>
      </c>
      <c r="E20" s="21">
        <f t="shared" ca="1" si="0"/>
        <v>46292</v>
      </c>
      <c r="F20" t="str">
        <f t="shared" si="1"/>
        <v>INSERT INTO BOLETIM (blt_id, blt_numero, blt_ano, blt_data_lev, blt_data_cad) VALUES (19, 19, 2022, TO_DATE('18/08/2022', 'DD/MM/YYYY'), SYSDATE);</v>
      </c>
    </row>
    <row r="21" spans="1:6" x14ac:dyDescent="0.3">
      <c r="A21">
        <v>20</v>
      </c>
      <c r="B21">
        <v>20</v>
      </c>
      <c r="C21">
        <v>2022</v>
      </c>
      <c r="D21" s="2">
        <v>44812</v>
      </c>
      <c r="E21" s="21">
        <f t="shared" ca="1" si="0"/>
        <v>46292</v>
      </c>
      <c r="F21" t="str">
        <f t="shared" si="1"/>
        <v>INSERT INTO BOLETIM (blt_id, blt_numero, blt_ano, blt_data_lev, blt_data_cad) VALUES (20, 20, 2022, TO_DATE('08/09/2022', 'DD/MM/YYYY'), SYSDATE);</v>
      </c>
    </row>
    <row r="22" spans="1:6" x14ac:dyDescent="0.3">
      <c r="A22">
        <v>21</v>
      </c>
      <c r="B22">
        <v>21</v>
      </c>
      <c r="C22">
        <v>2022</v>
      </c>
      <c r="D22" s="2">
        <v>44819</v>
      </c>
      <c r="E22" s="21">
        <f t="shared" ca="1" si="0"/>
        <v>46292</v>
      </c>
      <c r="F22" t="str">
        <f t="shared" si="1"/>
        <v>INSERT INTO BOLETIM (blt_id, blt_numero, blt_ano, blt_data_lev, blt_data_cad) VALUES (21, 21, 2022, TO_DATE('15/09/2022', 'DD/MM/YYYY'), SYSDATE);</v>
      </c>
    </row>
    <row r="23" spans="1:6" x14ac:dyDescent="0.3">
      <c r="A23">
        <v>22</v>
      </c>
      <c r="B23">
        <v>22</v>
      </c>
      <c r="C23">
        <v>2022</v>
      </c>
      <c r="D23" s="2">
        <v>44826</v>
      </c>
      <c r="E23" s="21">
        <f t="shared" ca="1" si="0"/>
        <v>46292</v>
      </c>
      <c r="F23" t="str">
        <f t="shared" si="1"/>
        <v>INSERT INTO BOLETIM (blt_id, blt_numero, blt_ano, blt_data_lev, blt_data_cad) VALUES (22, 22, 2022, TO_DATE('22/09/2022', 'DD/MM/YYYY'), SYSDATE);</v>
      </c>
    </row>
    <row r="24" spans="1:6" x14ac:dyDescent="0.3">
      <c r="A24">
        <v>23</v>
      </c>
      <c r="B24">
        <v>23</v>
      </c>
      <c r="C24">
        <v>2022</v>
      </c>
      <c r="D24" s="2">
        <v>44833</v>
      </c>
      <c r="E24" s="21">
        <f t="shared" ca="1" si="0"/>
        <v>46292</v>
      </c>
      <c r="F24" t="str">
        <f t="shared" si="1"/>
        <v>INSERT INTO BOLETIM (blt_id, blt_numero, blt_ano, blt_data_lev, blt_data_cad) VALUES (23, 23, 2022, TO_DATE('29/09/2022', 'DD/MM/YYYY'), SYSDATE);</v>
      </c>
    </row>
    <row r="25" spans="1:6" x14ac:dyDescent="0.3">
      <c r="A25">
        <v>24</v>
      </c>
      <c r="B25">
        <v>24</v>
      </c>
      <c r="C25">
        <v>2022</v>
      </c>
      <c r="D25" s="2">
        <v>44833</v>
      </c>
      <c r="E25" s="21">
        <f t="shared" ca="1" si="0"/>
        <v>46292</v>
      </c>
      <c r="F25" t="str">
        <f t="shared" si="1"/>
        <v>INSERT INTO BOLETIM (blt_id, blt_numero, blt_ano, blt_data_lev, blt_data_cad) VALUES (24, 24, 2022, TO_DATE('29/09/2022', 'DD/MM/YYYY'), SYSDATE);</v>
      </c>
    </row>
    <row r="26" spans="1:6" x14ac:dyDescent="0.3">
      <c r="A26">
        <v>25</v>
      </c>
      <c r="B26">
        <v>25</v>
      </c>
      <c r="C26">
        <v>2022</v>
      </c>
      <c r="D26" s="2">
        <v>44840</v>
      </c>
      <c r="E26" s="21">
        <f t="shared" ca="1" si="0"/>
        <v>46292</v>
      </c>
      <c r="F26" t="str">
        <f t="shared" si="1"/>
        <v>INSERT INTO BOLETIM (blt_id, blt_numero, blt_ano, blt_data_lev, blt_data_cad) VALUES (25, 25, 2022, TO_DATE('06/10/2022', 'DD/MM/YYYY'), SYSDATE);</v>
      </c>
    </row>
    <row r="27" spans="1:6" x14ac:dyDescent="0.3">
      <c r="A27">
        <v>26</v>
      </c>
      <c r="B27">
        <v>26</v>
      </c>
      <c r="C27">
        <v>2022</v>
      </c>
      <c r="D27" s="2">
        <v>44847</v>
      </c>
      <c r="E27" s="21">
        <f t="shared" ca="1" si="0"/>
        <v>46292</v>
      </c>
      <c r="F27" t="str">
        <f t="shared" si="1"/>
        <v>INSERT INTO BOLETIM (blt_id, blt_numero, blt_ano, blt_data_lev, blt_data_cad) VALUES (26, 26, 2022, TO_DATE('13/10/2022', 'DD/MM/YYYY'), SYSDATE);</v>
      </c>
    </row>
    <row r="28" spans="1:6" x14ac:dyDescent="0.3">
      <c r="A28">
        <v>27</v>
      </c>
      <c r="B28">
        <v>27</v>
      </c>
      <c r="C28">
        <v>2022</v>
      </c>
      <c r="D28" s="2">
        <v>44854</v>
      </c>
      <c r="E28" s="21">
        <f t="shared" ca="1" si="0"/>
        <v>46292</v>
      </c>
      <c r="F28" t="str">
        <f t="shared" si="1"/>
        <v>INSERT INTO BOLETIM (blt_id, blt_numero, blt_ano, blt_data_lev, blt_data_cad) VALUES (27, 27, 2022, TO_DATE('20/10/2022', 'DD/MM/YYYY'), SYSDATE);</v>
      </c>
    </row>
    <row r="29" spans="1:6" x14ac:dyDescent="0.3">
      <c r="A29">
        <v>28</v>
      </c>
      <c r="B29">
        <v>28</v>
      </c>
      <c r="C29">
        <v>2022</v>
      </c>
      <c r="D29" s="2">
        <v>44868</v>
      </c>
      <c r="E29" s="21">
        <f t="shared" ca="1" si="0"/>
        <v>46292</v>
      </c>
      <c r="F29" t="str">
        <f t="shared" si="1"/>
        <v>INSERT INTO BOLETIM (blt_id, blt_numero, blt_ano, blt_data_lev, blt_data_cad) VALUES (28, 28, 2022, TO_DATE('03/11/2022', 'DD/MM/YYYY'), SYSDATE);</v>
      </c>
    </row>
    <row r="30" spans="1:6" x14ac:dyDescent="0.3">
      <c r="A30">
        <v>29</v>
      </c>
      <c r="B30">
        <v>29</v>
      </c>
      <c r="C30">
        <v>2022</v>
      </c>
      <c r="D30" s="2">
        <v>44875</v>
      </c>
      <c r="E30" s="21">
        <f t="shared" ca="1" si="0"/>
        <v>46292</v>
      </c>
      <c r="F30" t="str">
        <f t="shared" si="1"/>
        <v>INSERT INTO BOLETIM (blt_id, blt_numero, blt_ano, blt_data_lev, blt_data_cad) VALUES (29, 29, 2022, TO_DATE('10/11/2022', 'DD/MM/YYYY'), SYSDATE);</v>
      </c>
    </row>
    <row r="31" spans="1:6" x14ac:dyDescent="0.3">
      <c r="A31">
        <v>30</v>
      </c>
      <c r="B31">
        <v>30</v>
      </c>
      <c r="C31">
        <v>2022</v>
      </c>
      <c r="D31" s="2">
        <v>44882</v>
      </c>
      <c r="E31" s="21">
        <f t="shared" ca="1" si="0"/>
        <v>46292</v>
      </c>
      <c r="F31" t="str">
        <f t="shared" si="1"/>
        <v>INSERT INTO BOLETIM (blt_id, blt_numero, blt_ano, blt_data_lev, blt_data_cad) VALUES (30, 30, 2022, TO_DATE('17/11/2022', 'DD/MM/YYYY'), SYSDATE);</v>
      </c>
    </row>
    <row r="32" spans="1:6" x14ac:dyDescent="0.3">
      <c r="A32">
        <v>31</v>
      </c>
      <c r="B32">
        <v>31</v>
      </c>
      <c r="C32">
        <v>2022</v>
      </c>
      <c r="D32" s="2">
        <v>44889</v>
      </c>
      <c r="E32" s="21">
        <f t="shared" ca="1" si="0"/>
        <v>46292</v>
      </c>
      <c r="F32" t="str">
        <f t="shared" si="1"/>
        <v>INSERT INTO BOLETIM (blt_id, blt_numero, blt_ano, blt_data_lev, blt_data_cad) VALUES (31, 31, 2022, TO_DATE('24/11/2022', 'DD/MM/YYYY'), SYSDATE);</v>
      </c>
    </row>
    <row r="33" spans="1:6" x14ac:dyDescent="0.3">
      <c r="A33">
        <v>32</v>
      </c>
      <c r="B33">
        <v>32</v>
      </c>
      <c r="C33">
        <v>2022</v>
      </c>
      <c r="D33" s="2">
        <v>44896</v>
      </c>
      <c r="E33" s="21">
        <f t="shared" ca="1" si="0"/>
        <v>46292</v>
      </c>
      <c r="F33" t="str">
        <f t="shared" si="1"/>
        <v>INSERT INTO BOLETIM (blt_id, blt_numero, blt_ano, blt_data_lev, blt_data_cad) VALUES (32, 32, 2022, TO_DATE('01/12/2022', 'DD/MM/YYYY'), SYSDATE);</v>
      </c>
    </row>
    <row r="34" spans="1:6" x14ac:dyDescent="0.3">
      <c r="A34">
        <v>33</v>
      </c>
      <c r="B34">
        <v>33</v>
      </c>
      <c r="C34">
        <v>2022</v>
      </c>
      <c r="D34" s="2">
        <v>44903</v>
      </c>
      <c r="E34" s="21">
        <f t="shared" ca="1" si="0"/>
        <v>46292</v>
      </c>
      <c r="F34" t="str">
        <f t="shared" si="1"/>
        <v>INSERT INTO BOLETIM (blt_id, blt_numero, blt_ano, blt_data_lev, blt_data_cad) VALUES (33, 33, 2022, TO_DATE('08/12/2022', 'DD/MM/YYYY'), SYSDATE);</v>
      </c>
    </row>
    <row r="35" spans="1:6" x14ac:dyDescent="0.3">
      <c r="A35">
        <v>34</v>
      </c>
      <c r="B35">
        <v>34</v>
      </c>
      <c r="C35">
        <v>2022</v>
      </c>
      <c r="D35" s="2">
        <v>44910</v>
      </c>
      <c r="E35" s="21">
        <f t="shared" ca="1" si="0"/>
        <v>46292</v>
      </c>
      <c r="F35" t="str">
        <f t="shared" si="1"/>
        <v>INSERT INTO BOLETIM (blt_id, blt_numero, blt_ano, blt_data_lev, blt_data_cad) VALUES (34, 34, 2022, TO_DATE('15/12/2022', 'DD/MM/YYYY'), SYSDATE);</v>
      </c>
    </row>
    <row r="36" spans="1:6" x14ac:dyDescent="0.3">
      <c r="A36">
        <v>35</v>
      </c>
      <c r="B36">
        <v>35</v>
      </c>
      <c r="C36">
        <v>2022</v>
      </c>
      <c r="D36" s="2">
        <v>44917</v>
      </c>
      <c r="E36" s="21">
        <f t="shared" ca="1" si="0"/>
        <v>46292</v>
      </c>
      <c r="F36" t="str">
        <f t="shared" si="1"/>
        <v>INSERT INTO BOLETIM (blt_id, blt_numero, blt_ano, blt_data_lev, blt_data_cad) VALUES (35, 35, 2022, TO_DATE('22/12/2022', 'DD/MM/YYYY'), SYSDATE);</v>
      </c>
    </row>
    <row r="37" spans="1:6" x14ac:dyDescent="0.3">
      <c r="A37">
        <v>36</v>
      </c>
      <c r="B37">
        <v>36</v>
      </c>
      <c r="C37">
        <v>2022</v>
      </c>
      <c r="D37" s="2">
        <v>44924</v>
      </c>
      <c r="E37" s="21">
        <f t="shared" ca="1" si="0"/>
        <v>46292</v>
      </c>
      <c r="F37" t="str">
        <f t="shared" si="1"/>
        <v>INSERT INTO BOLETIM (blt_id, blt_numero, blt_ano, blt_data_lev, blt_data_cad) VALUES (36, 36, 2022, TO_DATE('29/12/2022', 'DD/MM/YYYY'), SYSDATE);</v>
      </c>
    </row>
    <row r="38" spans="1:6" x14ac:dyDescent="0.3">
      <c r="A38">
        <v>37</v>
      </c>
      <c r="B38">
        <v>37</v>
      </c>
      <c r="C38">
        <v>2023</v>
      </c>
      <c r="D38" s="2">
        <v>44931</v>
      </c>
      <c r="E38" s="21">
        <f t="shared" ca="1" si="0"/>
        <v>46292</v>
      </c>
      <c r="F38" t="str">
        <f t="shared" si="1"/>
        <v>INSERT INTO BOLETIM (blt_id, blt_numero, blt_ano, blt_data_lev, blt_data_cad) VALUES (37, 37, 2023, TO_DATE('05/01/2023', 'DD/MM/YYYY'), SYSDATE);</v>
      </c>
    </row>
    <row r="39" spans="1:6" x14ac:dyDescent="0.3">
      <c r="A39">
        <v>38</v>
      </c>
      <c r="B39">
        <v>38</v>
      </c>
      <c r="C39">
        <v>2023</v>
      </c>
      <c r="D39" s="2">
        <v>44938</v>
      </c>
      <c r="E39" s="21">
        <f t="shared" ca="1" si="0"/>
        <v>46292</v>
      </c>
      <c r="F39" t="str">
        <f t="shared" si="1"/>
        <v>INSERT INTO BOLETIM (blt_id, blt_numero, blt_ano, blt_data_lev, blt_data_cad) VALUES (38, 38, 2023, TO_DATE('12/01/2023', 'DD/MM/YYYY'), SYSDATE);</v>
      </c>
    </row>
    <row r="40" spans="1:6" x14ac:dyDescent="0.3">
      <c r="A40">
        <v>39</v>
      </c>
      <c r="B40">
        <v>39</v>
      </c>
      <c r="C40">
        <v>2023</v>
      </c>
      <c r="D40" s="2">
        <v>44945</v>
      </c>
      <c r="E40" s="21">
        <f t="shared" ca="1" si="0"/>
        <v>46292</v>
      </c>
      <c r="F40" t="str">
        <f t="shared" si="1"/>
        <v>INSERT INTO BOLETIM (blt_id, blt_numero, blt_ano, blt_data_lev, blt_data_cad) VALUES (39, 39, 2023, TO_DATE('19/01/2023', 'DD/MM/YYYY'), SYSDATE);</v>
      </c>
    </row>
    <row r="41" spans="1:6" x14ac:dyDescent="0.3">
      <c r="A41">
        <v>40</v>
      </c>
      <c r="B41">
        <v>40</v>
      </c>
      <c r="C41">
        <v>2023</v>
      </c>
      <c r="D41" s="2">
        <v>44952</v>
      </c>
      <c r="E41" s="21">
        <f t="shared" ca="1" si="0"/>
        <v>46292</v>
      </c>
      <c r="F41" t="str">
        <f t="shared" si="1"/>
        <v>INSERT INTO BOLETIM (blt_id, blt_numero, blt_ano, blt_data_lev, blt_data_cad) VALUES (40, 40, 2023, TO_DATE('26/01/2023', 'DD/MM/YYYY'), SYSDATE);</v>
      </c>
    </row>
    <row r="42" spans="1:6" x14ac:dyDescent="0.3">
      <c r="A42">
        <v>41</v>
      </c>
      <c r="B42">
        <v>41</v>
      </c>
      <c r="C42">
        <v>2023</v>
      </c>
      <c r="D42" s="2">
        <v>44959</v>
      </c>
      <c r="E42" s="21">
        <f t="shared" ca="1" si="0"/>
        <v>46292</v>
      </c>
      <c r="F42" t="str">
        <f t="shared" si="1"/>
        <v>INSERT INTO BOLETIM (blt_id, blt_numero, blt_ano, blt_data_lev, blt_data_cad) VALUES (41, 41, 2023, TO_DATE('02/02/2023', 'DD/MM/YYYY'), SYSDATE);</v>
      </c>
    </row>
    <row r="43" spans="1:6" x14ac:dyDescent="0.3">
      <c r="A43">
        <v>42</v>
      </c>
      <c r="B43">
        <v>42</v>
      </c>
      <c r="C43">
        <v>2023</v>
      </c>
      <c r="D43" s="2">
        <v>44966</v>
      </c>
      <c r="E43" s="21">
        <f t="shared" ca="1" si="0"/>
        <v>46292</v>
      </c>
      <c r="F43" t="str">
        <f t="shared" si="1"/>
        <v>INSERT INTO BOLETIM (blt_id, blt_numero, blt_ano, blt_data_lev, blt_data_cad) VALUES (42, 42, 2023, TO_DATE('09/02/2023', 'DD/MM/YYYY'), SYSDATE);</v>
      </c>
    </row>
    <row r="44" spans="1:6" x14ac:dyDescent="0.3">
      <c r="A44">
        <v>43</v>
      </c>
      <c r="B44">
        <v>43</v>
      </c>
      <c r="C44">
        <v>2023</v>
      </c>
      <c r="D44" s="2">
        <v>44973</v>
      </c>
      <c r="E44" s="21">
        <f t="shared" ca="1" si="0"/>
        <v>46292</v>
      </c>
      <c r="F44" t="str">
        <f t="shared" si="1"/>
        <v>INSERT INTO BOLETIM (blt_id, blt_numero, blt_ano, blt_data_lev, blt_data_cad) VALUES (43, 43, 2023, TO_DATE('16/02/2023', 'DD/MM/YYYY'), SYSDATE);</v>
      </c>
    </row>
    <row r="45" spans="1:6" x14ac:dyDescent="0.3">
      <c r="A45">
        <v>44</v>
      </c>
      <c r="B45">
        <v>44</v>
      </c>
      <c r="C45">
        <v>2024</v>
      </c>
      <c r="D45" s="2">
        <v>45357</v>
      </c>
      <c r="E45" s="21">
        <f t="shared" ca="1" si="0"/>
        <v>46292</v>
      </c>
      <c r="F45" t="str">
        <f t="shared" si="1"/>
        <v>INSERT INTO BOLETIM (blt_id, blt_numero, blt_ano, blt_data_lev, blt_data_cad) VALUES (44, 44, 2024, TO_DATE('06/03/2024', 'DD/MM/YYYY'), SYSDATE);</v>
      </c>
    </row>
    <row r="46" spans="1:6" x14ac:dyDescent="0.3">
      <c r="A46">
        <v>45</v>
      </c>
      <c r="B46">
        <v>45</v>
      </c>
      <c r="C46">
        <v>2024</v>
      </c>
      <c r="D46" s="2">
        <v>45364</v>
      </c>
      <c r="E46" s="21">
        <f t="shared" ca="1" si="0"/>
        <v>46292</v>
      </c>
      <c r="F46" t="str">
        <f t="shared" si="1"/>
        <v>INSERT INTO BOLETIM (blt_id, blt_numero, blt_ano, blt_data_lev, blt_data_cad) VALUES (45, 45, 2024, TO_DATE('13/03/2024', 'DD/MM/YYYY'), SYSDATE);</v>
      </c>
    </row>
    <row r="47" spans="1:6" x14ac:dyDescent="0.3">
      <c r="A47">
        <v>46</v>
      </c>
      <c r="B47">
        <v>46</v>
      </c>
      <c r="C47">
        <v>2024</v>
      </c>
      <c r="D47" s="2">
        <v>45371</v>
      </c>
      <c r="E47" s="21">
        <f t="shared" ca="1" si="0"/>
        <v>46292</v>
      </c>
      <c r="F47" t="str">
        <f t="shared" si="1"/>
        <v>INSERT INTO BOLETIM (blt_id, blt_numero, blt_ano, blt_data_lev, blt_data_cad) VALUES (46, 46, 2024, TO_DATE('20/03/2024', 'DD/MM/YYYY'), SYSDATE);</v>
      </c>
    </row>
    <row r="48" spans="1:6" x14ac:dyDescent="0.3">
      <c r="A48">
        <v>47</v>
      </c>
      <c r="B48">
        <v>47</v>
      </c>
      <c r="C48">
        <v>2024</v>
      </c>
      <c r="D48" s="2">
        <v>45385</v>
      </c>
      <c r="E48" s="21">
        <f t="shared" ca="1" si="0"/>
        <v>46292</v>
      </c>
      <c r="F48" t="str">
        <f t="shared" si="1"/>
        <v>INSERT INTO BOLETIM (blt_id, blt_numero, blt_ano, blt_data_lev, blt_data_cad) VALUES (47, 47, 2024, TO_DATE('03/04/2024', 'DD/MM/YYYY'), SYSDATE);</v>
      </c>
    </row>
    <row r="49" spans="1:6" x14ac:dyDescent="0.3">
      <c r="A49">
        <v>48</v>
      </c>
      <c r="B49">
        <v>48</v>
      </c>
      <c r="C49">
        <v>2024</v>
      </c>
      <c r="D49" s="2">
        <v>45392</v>
      </c>
      <c r="E49" s="21">
        <f t="shared" ca="1" si="0"/>
        <v>46292</v>
      </c>
      <c r="F49" t="str">
        <f t="shared" si="1"/>
        <v>INSERT INTO BOLETIM (blt_id, blt_numero, blt_ano, blt_data_lev, blt_data_cad) VALUES (48, 48, 2024, TO_DATE('10/04/2024', 'DD/MM/YYYY'), SYSDATE);</v>
      </c>
    </row>
    <row r="50" spans="1:6" x14ac:dyDescent="0.3">
      <c r="A50">
        <v>49</v>
      </c>
      <c r="B50">
        <v>49</v>
      </c>
      <c r="C50">
        <v>2024</v>
      </c>
      <c r="D50" s="2">
        <v>45399</v>
      </c>
      <c r="E50" s="21">
        <f t="shared" ca="1" si="0"/>
        <v>46292</v>
      </c>
      <c r="F50" t="str">
        <f t="shared" si="1"/>
        <v>INSERT INTO BOLETIM (blt_id, blt_numero, blt_ano, blt_data_lev, blt_data_cad) VALUES (49, 49, 2024, TO_DATE('17/04/2024', 'DD/MM/YYYY'), SYSDATE);</v>
      </c>
    </row>
    <row r="51" spans="1:6" x14ac:dyDescent="0.3">
      <c r="A51">
        <v>50</v>
      </c>
      <c r="B51">
        <v>50</v>
      </c>
      <c r="C51">
        <v>2024</v>
      </c>
      <c r="D51" s="2">
        <v>45406</v>
      </c>
      <c r="E51" s="21">
        <f t="shared" ca="1" si="0"/>
        <v>46292</v>
      </c>
      <c r="F51" t="str">
        <f t="shared" si="1"/>
        <v>INSERT INTO BOLETIM (blt_id, blt_numero, blt_ano, blt_data_lev, blt_data_cad) VALUES (50, 50, 2024, TO_DATE('24/04/2024', 'DD/MM/YYYY'), SYSDATE);</v>
      </c>
    </row>
    <row r="52" spans="1:6" x14ac:dyDescent="0.3">
      <c r="A52">
        <v>51</v>
      </c>
      <c r="B52">
        <v>51</v>
      </c>
      <c r="C52">
        <v>2024</v>
      </c>
      <c r="D52" s="2">
        <v>45420</v>
      </c>
      <c r="E52" s="21">
        <f t="shared" ca="1" si="0"/>
        <v>46292</v>
      </c>
      <c r="F52" t="str">
        <f t="shared" si="1"/>
        <v>INSERT INTO BOLETIM (blt_id, blt_numero, blt_ano, blt_data_lev, blt_data_cad) VALUES (51, 51, 2024, TO_DATE('08/05/2024', 'DD/MM/YYYY'), SYSDATE);</v>
      </c>
    </row>
    <row r="53" spans="1:6" x14ac:dyDescent="0.3">
      <c r="A53">
        <v>52</v>
      </c>
      <c r="B53">
        <v>52</v>
      </c>
      <c r="C53">
        <v>2024</v>
      </c>
      <c r="D53" s="2">
        <v>45427</v>
      </c>
      <c r="E53" s="21">
        <f t="shared" ca="1" si="0"/>
        <v>46292</v>
      </c>
      <c r="F53" t="str">
        <f t="shared" si="1"/>
        <v>INSERT INTO BOLETIM (blt_id, blt_numero, blt_ano, blt_data_lev, blt_data_cad) VALUES (52, 52, 2024, TO_DATE('15/05/2024', 'DD/MM/YYYY'), SYSDATE);</v>
      </c>
    </row>
    <row r="54" spans="1:6" x14ac:dyDescent="0.3">
      <c r="A54">
        <v>53</v>
      </c>
      <c r="B54">
        <v>53</v>
      </c>
      <c r="C54">
        <v>2024</v>
      </c>
      <c r="D54" s="2">
        <v>45434</v>
      </c>
      <c r="E54" s="21">
        <f t="shared" ca="1" si="0"/>
        <v>46292</v>
      </c>
      <c r="F54" t="str">
        <f t="shared" si="1"/>
        <v>INSERT INTO BOLETIM (blt_id, blt_numero, blt_ano, blt_data_lev, blt_data_cad) VALUES (53, 53, 2024, TO_DATE('22/05/2024', 'DD/MM/YYYY'), SYSDATE);</v>
      </c>
    </row>
    <row r="55" spans="1:6" x14ac:dyDescent="0.3">
      <c r="A55">
        <v>54</v>
      </c>
      <c r="B55">
        <v>54</v>
      </c>
      <c r="C55">
        <v>2024</v>
      </c>
      <c r="D55" s="2">
        <v>45441</v>
      </c>
      <c r="E55" s="21">
        <f t="shared" ca="1" si="0"/>
        <v>46292</v>
      </c>
      <c r="F55" t="str">
        <f t="shared" si="1"/>
        <v>INSERT INTO BOLETIM (blt_id, blt_numero, blt_ano, blt_data_lev, blt_data_cad) VALUES (54, 54, 2024, TO_DATE('29/05/2024', 'DD/MM/YYYY'), SYSDATE);</v>
      </c>
    </row>
    <row r="56" spans="1:6" x14ac:dyDescent="0.3">
      <c r="A56">
        <v>55</v>
      </c>
      <c r="B56">
        <v>55</v>
      </c>
      <c r="C56">
        <v>2024</v>
      </c>
      <c r="D56" s="2">
        <v>45448</v>
      </c>
      <c r="E56" s="21">
        <f t="shared" ca="1" si="0"/>
        <v>46292</v>
      </c>
      <c r="F56" t="str">
        <f t="shared" si="1"/>
        <v>INSERT INTO BOLETIM (blt_id, blt_numero, blt_ano, blt_data_lev, blt_data_cad) VALUES (55, 55, 2024, TO_DATE('05/06/2024', 'DD/MM/YYYY'), SYSDATE);</v>
      </c>
    </row>
    <row r="57" spans="1:6" x14ac:dyDescent="0.3">
      <c r="A57">
        <v>56</v>
      </c>
      <c r="B57">
        <v>56</v>
      </c>
      <c r="C57">
        <v>2024</v>
      </c>
      <c r="D57" s="2">
        <v>45455</v>
      </c>
      <c r="E57" s="21">
        <f t="shared" ca="1" si="0"/>
        <v>46292</v>
      </c>
      <c r="F57" t="str">
        <f t="shared" si="1"/>
        <v>INSERT INTO BOLETIM (blt_id, blt_numero, blt_ano, blt_data_lev, blt_data_cad) VALUES (56, 56, 2024, TO_DATE('12/06/2024', 'DD/MM/YYYY'), SYSDATE);</v>
      </c>
    </row>
    <row r="58" spans="1:6" x14ac:dyDescent="0.3">
      <c r="A58">
        <v>57</v>
      </c>
      <c r="B58">
        <v>57</v>
      </c>
      <c r="C58">
        <v>2024</v>
      </c>
      <c r="D58" s="2">
        <v>45462</v>
      </c>
      <c r="E58" s="21">
        <f t="shared" ca="1" si="0"/>
        <v>46292</v>
      </c>
      <c r="F58" t="str">
        <f t="shared" si="1"/>
        <v>INSERT INTO BOLETIM (blt_id, blt_numero, blt_ano, blt_data_lev, blt_data_cad) VALUES (57, 57, 2024, TO_DATE('19/06/2024', 'DD/MM/YYYY'), SYSDATE);</v>
      </c>
    </row>
    <row r="59" spans="1:6" x14ac:dyDescent="0.3">
      <c r="A59">
        <v>58</v>
      </c>
      <c r="B59">
        <v>58</v>
      </c>
      <c r="C59">
        <v>2024</v>
      </c>
      <c r="D59" s="2">
        <v>45469</v>
      </c>
      <c r="E59" s="21">
        <f t="shared" ca="1" si="0"/>
        <v>46292</v>
      </c>
      <c r="F59" t="str">
        <f t="shared" si="1"/>
        <v>INSERT INTO BOLETIM (blt_id, blt_numero, blt_ano, blt_data_lev, blt_data_cad) VALUES (58, 58, 2024, TO_DATE('26/06/2024', 'DD/MM/YYYY'), SYSDATE);</v>
      </c>
    </row>
    <row r="60" spans="1:6" x14ac:dyDescent="0.3">
      <c r="A60">
        <v>59</v>
      </c>
      <c r="B60">
        <v>59</v>
      </c>
      <c r="C60">
        <v>2024</v>
      </c>
      <c r="D60" s="2">
        <v>45476</v>
      </c>
      <c r="E60" s="21">
        <f t="shared" ca="1" si="0"/>
        <v>46292</v>
      </c>
      <c r="F60" t="str">
        <f t="shared" si="1"/>
        <v>INSERT INTO BOLETIM (blt_id, blt_numero, blt_ano, blt_data_lev, blt_data_cad) VALUES (59, 59, 2024, TO_DATE('03/07/2024', 'DD/MM/YYYY'), SYSDATE);</v>
      </c>
    </row>
    <row r="61" spans="1:6" x14ac:dyDescent="0.3">
      <c r="A61">
        <v>60</v>
      </c>
      <c r="B61">
        <v>60</v>
      </c>
      <c r="C61">
        <v>2024</v>
      </c>
      <c r="D61" s="2">
        <v>45483</v>
      </c>
      <c r="E61" s="21">
        <f t="shared" ca="1" si="0"/>
        <v>46292</v>
      </c>
      <c r="F61" t="str">
        <f t="shared" si="1"/>
        <v>INSERT INTO BOLETIM (blt_id, blt_numero, blt_ano, blt_data_lev, blt_data_cad) VALUES (60, 60, 2024, TO_DATE('10/07/2024', 'DD/MM/YYYY'), SYSDATE);</v>
      </c>
    </row>
    <row r="62" spans="1:6" x14ac:dyDescent="0.3">
      <c r="A62">
        <v>61</v>
      </c>
      <c r="B62">
        <v>61</v>
      </c>
      <c r="C62">
        <v>2024</v>
      </c>
      <c r="D62" s="2">
        <v>45490</v>
      </c>
      <c r="E62" s="21">
        <f t="shared" ca="1" si="0"/>
        <v>46292</v>
      </c>
      <c r="F62" t="str">
        <f t="shared" si="1"/>
        <v>INSERT INTO BOLETIM (blt_id, blt_numero, blt_ano, blt_data_lev, blt_data_cad) VALUES (61, 61, 2024, TO_DATE('17/07/2024', 'DD/MM/YYYY'), SYSDATE);</v>
      </c>
    </row>
    <row r="63" spans="1:6" x14ac:dyDescent="0.3">
      <c r="A63">
        <v>62</v>
      </c>
      <c r="B63">
        <v>62</v>
      </c>
      <c r="C63">
        <v>2024</v>
      </c>
      <c r="D63" s="2">
        <v>45497</v>
      </c>
      <c r="E63" s="21">
        <f t="shared" ca="1" si="0"/>
        <v>46292</v>
      </c>
      <c r="F63" t="str">
        <f t="shared" si="1"/>
        <v>INSERT INTO BOLETIM (blt_id, blt_numero, blt_ano, blt_data_lev, blt_data_cad) VALUES (62, 62, 2024, TO_DATE('24/07/2024', 'DD/MM/YYYY'), SYSDATE);</v>
      </c>
    </row>
    <row r="64" spans="1:6" x14ac:dyDescent="0.3">
      <c r="A64">
        <v>63</v>
      </c>
      <c r="B64">
        <v>63</v>
      </c>
      <c r="C64">
        <v>2024</v>
      </c>
      <c r="D64" s="2">
        <v>45505</v>
      </c>
      <c r="E64" s="21">
        <f t="shared" ca="1" si="0"/>
        <v>46292</v>
      </c>
      <c r="F64" t="str">
        <f t="shared" si="1"/>
        <v>INSERT INTO BOLETIM (blt_id, blt_numero, blt_ano, blt_data_lev, blt_data_cad) VALUES (63, 63, 2024, TO_DATE('01/08/2024', 'DD/MM/YYYY'), SYSDATE);</v>
      </c>
    </row>
    <row r="65" spans="1:6" x14ac:dyDescent="0.3">
      <c r="A65">
        <v>64</v>
      </c>
      <c r="B65">
        <v>64</v>
      </c>
      <c r="C65">
        <v>2024</v>
      </c>
      <c r="D65" s="2">
        <v>45513</v>
      </c>
      <c r="E65" s="21">
        <f t="shared" ca="1" si="0"/>
        <v>46292</v>
      </c>
      <c r="F65" t="str">
        <f t="shared" si="1"/>
        <v>INSERT INTO BOLETIM (blt_id, blt_numero, blt_ano, blt_data_lev, blt_data_cad) VALUES (64, 64, 2024, TO_DATE('09/08/2024', 'DD/MM/YYYY'), SYSDATE);</v>
      </c>
    </row>
    <row r="66" spans="1:6" x14ac:dyDescent="0.3">
      <c r="A66">
        <v>65</v>
      </c>
      <c r="B66">
        <v>65</v>
      </c>
      <c r="C66">
        <v>2024</v>
      </c>
      <c r="D66" s="2">
        <v>45520</v>
      </c>
      <c r="E66" s="21">
        <f t="shared" ca="1" si="0"/>
        <v>46292</v>
      </c>
      <c r="F66" t="str">
        <f t="shared" si="1"/>
        <v>INSERT INTO BOLETIM (blt_id, blt_numero, blt_ano, blt_data_lev, blt_data_cad) VALUES (65, 65, 2024, TO_DATE('16/08/2024', 'DD/MM/YYYY'), SYSDATE);</v>
      </c>
    </row>
    <row r="67" spans="1:6" x14ac:dyDescent="0.3">
      <c r="A67">
        <v>66</v>
      </c>
      <c r="B67">
        <v>66</v>
      </c>
      <c r="C67">
        <v>2024</v>
      </c>
      <c r="D67" s="2">
        <v>45527</v>
      </c>
      <c r="E67" s="21">
        <f t="shared" ref="E67:E129" ca="1" si="2">TODAY()</f>
        <v>46292</v>
      </c>
      <c r="F67" t="str">
        <f t="shared" ref="F67:F129" si="3">"INSERT INTO BOLETIM (blt_id, blt_numero, blt_ano, blt_data_lev, blt_data_cad) VALUES ("&amp;A67&amp;", "&amp;B67&amp;", "&amp;C67&amp;", TO_DATE('"&amp;TEXT(D67,"DD/MM/AAAA")&amp;"', 'DD/MM/YYYY'), SYSDATE);"</f>
        <v>INSERT INTO BOLETIM (blt_id, blt_numero, blt_ano, blt_data_lev, blt_data_cad) VALUES (66, 66, 2024, TO_DATE('23/08/2024', 'DD/MM/YYYY'), SYSDATE);</v>
      </c>
    </row>
    <row r="68" spans="1:6" x14ac:dyDescent="0.3">
      <c r="A68">
        <v>67</v>
      </c>
      <c r="B68">
        <v>67</v>
      </c>
      <c r="C68">
        <v>2024</v>
      </c>
      <c r="D68" s="2">
        <v>45534</v>
      </c>
      <c r="E68" s="21">
        <f t="shared" ca="1" si="2"/>
        <v>46292</v>
      </c>
      <c r="F68" t="str">
        <f t="shared" si="3"/>
        <v>INSERT INTO BOLETIM (blt_id, blt_numero, blt_ano, blt_data_lev, blt_data_cad) VALUES (67, 67, 2024, TO_DATE('30/08/2024', 'DD/MM/YYYY'), SYSDATE);</v>
      </c>
    </row>
    <row r="69" spans="1:6" x14ac:dyDescent="0.3">
      <c r="A69">
        <v>68</v>
      </c>
      <c r="B69">
        <v>68</v>
      </c>
      <c r="C69">
        <v>2024</v>
      </c>
      <c r="D69" s="2">
        <v>45541</v>
      </c>
      <c r="E69" s="21">
        <f t="shared" ca="1" si="2"/>
        <v>46292</v>
      </c>
      <c r="F69" t="str">
        <f t="shared" si="3"/>
        <v>INSERT INTO BOLETIM (blt_id, blt_numero, blt_ano, blt_data_lev, blt_data_cad) VALUES (68, 68, 2024, TO_DATE('06/09/2024', 'DD/MM/YYYY'), SYSDATE);</v>
      </c>
    </row>
    <row r="70" spans="1:6" x14ac:dyDescent="0.3">
      <c r="A70">
        <v>69</v>
      </c>
      <c r="B70">
        <v>69</v>
      </c>
      <c r="C70">
        <v>2024</v>
      </c>
      <c r="D70" s="2">
        <v>45548</v>
      </c>
      <c r="E70" s="21">
        <f t="shared" ca="1" si="2"/>
        <v>46292</v>
      </c>
      <c r="F70" t="str">
        <f t="shared" si="3"/>
        <v>INSERT INTO BOLETIM (blt_id, blt_numero, blt_ano, blt_data_lev, blt_data_cad) VALUES (69, 69, 2024, TO_DATE('13/09/2024', 'DD/MM/YYYY'), SYSDATE);</v>
      </c>
    </row>
    <row r="71" spans="1:6" x14ac:dyDescent="0.3">
      <c r="A71">
        <v>70</v>
      </c>
      <c r="B71">
        <v>70</v>
      </c>
      <c r="C71">
        <v>2024</v>
      </c>
      <c r="D71" s="2">
        <v>45555</v>
      </c>
      <c r="E71" s="21">
        <f t="shared" ca="1" si="2"/>
        <v>46292</v>
      </c>
      <c r="F71" t="str">
        <f t="shared" si="3"/>
        <v>INSERT INTO BOLETIM (blt_id, blt_numero, blt_ano, blt_data_lev, blt_data_cad) VALUES (70, 70, 2024, TO_DATE('20/09/2024', 'DD/MM/YYYY'), SYSDATE);</v>
      </c>
    </row>
    <row r="72" spans="1:6" x14ac:dyDescent="0.3">
      <c r="A72">
        <v>71</v>
      </c>
      <c r="B72">
        <v>71</v>
      </c>
      <c r="C72">
        <v>2024</v>
      </c>
      <c r="D72" s="2">
        <v>45562</v>
      </c>
      <c r="E72" s="21">
        <f t="shared" ca="1" si="2"/>
        <v>46292</v>
      </c>
      <c r="F72" t="str">
        <f t="shared" si="3"/>
        <v>INSERT INTO BOLETIM (blt_id, blt_numero, blt_ano, blt_data_lev, blt_data_cad) VALUES (71, 71, 2024, TO_DATE('27/09/2024', 'DD/MM/YYYY'), SYSDATE);</v>
      </c>
    </row>
    <row r="73" spans="1:6" x14ac:dyDescent="0.3">
      <c r="A73">
        <v>72</v>
      </c>
      <c r="B73">
        <v>72</v>
      </c>
      <c r="C73">
        <v>2024</v>
      </c>
      <c r="D73" s="2">
        <v>45569</v>
      </c>
      <c r="E73" s="21">
        <f t="shared" ca="1" si="2"/>
        <v>46292</v>
      </c>
      <c r="F73" t="str">
        <f t="shared" si="3"/>
        <v>INSERT INTO BOLETIM (blt_id, blt_numero, blt_ano, blt_data_lev, blt_data_cad) VALUES (72, 72, 2024, TO_DATE('04/10/2024', 'DD/MM/YYYY'), SYSDATE);</v>
      </c>
    </row>
    <row r="74" spans="1:6" x14ac:dyDescent="0.3">
      <c r="A74">
        <v>73</v>
      </c>
      <c r="B74">
        <v>73</v>
      </c>
      <c r="C74">
        <v>2024</v>
      </c>
      <c r="D74" s="2">
        <v>45576</v>
      </c>
      <c r="E74" s="21">
        <f t="shared" ca="1" si="2"/>
        <v>46292</v>
      </c>
      <c r="F74" t="str">
        <f t="shared" si="3"/>
        <v>INSERT INTO BOLETIM (blt_id, blt_numero, blt_ano, blt_data_lev, blt_data_cad) VALUES (73, 73, 2024, TO_DATE('11/10/2024', 'DD/MM/YYYY'), SYSDATE);</v>
      </c>
    </row>
    <row r="75" spans="1:6" x14ac:dyDescent="0.3">
      <c r="A75">
        <v>74</v>
      </c>
      <c r="B75">
        <v>74</v>
      </c>
      <c r="C75">
        <v>2024</v>
      </c>
      <c r="D75" s="2">
        <v>45583</v>
      </c>
      <c r="E75" s="21">
        <f t="shared" ca="1" si="2"/>
        <v>46292</v>
      </c>
      <c r="F75" t="str">
        <f t="shared" si="3"/>
        <v>INSERT INTO BOLETIM (blt_id, blt_numero, blt_ano, blt_data_lev, blt_data_cad) VALUES (74, 74, 2024, TO_DATE('18/10/2024', 'DD/MM/YYYY'), SYSDATE);</v>
      </c>
    </row>
    <row r="76" spans="1:6" x14ac:dyDescent="0.3">
      <c r="A76">
        <v>75</v>
      </c>
      <c r="B76">
        <v>75</v>
      </c>
      <c r="C76">
        <v>2024</v>
      </c>
      <c r="D76" s="2">
        <v>45590</v>
      </c>
      <c r="E76" s="21">
        <f t="shared" ca="1" si="2"/>
        <v>46292</v>
      </c>
      <c r="F76" t="str">
        <f t="shared" si="3"/>
        <v>INSERT INTO BOLETIM (blt_id, blt_numero, blt_ano, blt_data_lev, blt_data_cad) VALUES (75, 75, 2024, TO_DATE('25/10/2024', 'DD/MM/YYYY'), SYSDATE);</v>
      </c>
    </row>
    <row r="77" spans="1:6" x14ac:dyDescent="0.3">
      <c r="A77">
        <v>76</v>
      </c>
      <c r="B77">
        <v>76</v>
      </c>
      <c r="C77">
        <v>2024</v>
      </c>
      <c r="D77" s="2">
        <v>45597</v>
      </c>
      <c r="E77" s="21">
        <f t="shared" ca="1" si="2"/>
        <v>46292</v>
      </c>
      <c r="F77" t="str">
        <f t="shared" si="3"/>
        <v>INSERT INTO BOLETIM (blt_id, blt_numero, blt_ano, blt_data_lev, blt_data_cad) VALUES (76, 76, 2024, TO_DATE('01/11/2024', 'DD/MM/YYYY'), SYSDATE);</v>
      </c>
    </row>
    <row r="78" spans="1:6" x14ac:dyDescent="0.3">
      <c r="A78">
        <v>77</v>
      </c>
      <c r="B78">
        <v>77</v>
      </c>
      <c r="C78">
        <v>2024</v>
      </c>
      <c r="D78" s="2">
        <v>45604</v>
      </c>
      <c r="E78" s="21">
        <f t="shared" ca="1" si="2"/>
        <v>46292</v>
      </c>
      <c r="F78" t="str">
        <f t="shared" si="3"/>
        <v>INSERT INTO BOLETIM (blt_id, blt_numero, blt_ano, blt_data_lev, blt_data_cad) VALUES (77, 77, 2024, TO_DATE('08/11/2024', 'DD/MM/YYYY'), SYSDATE);</v>
      </c>
    </row>
    <row r="79" spans="1:6" x14ac:dyDescent="0.3">
      <c r="A79">
        <v>78</v>
      </c>
      <c r="B79">
        <v>78</v>
      </c>
      <c r="C79">
        <v>2024</v>
      </c>
      <c r="D79" s="2">
        <v>45611</v>
      </c>
      <c r="E79" s="21">
        <f t="shared" ca="1" si="2"/>
        <v>46292</v>
      </c>
      <c r="F79" t="str">
        <f t="shared" si="3"/>
        <v>INSERT INTO BOLETIM (blt_id, blt_numero, blt_ano, blt_data_lev, blt_data_cad) VALUES (78, 78, 2024, TO_DATE('15/11/2024', 'DD/MM/YYYY'), SYSDATE);</v>
      </c>
    </row>
    <row r="80" spans="1:6" x14ac:dyDescent="0.3">
      <c r="A80">
        <v>79</v>
      </c>
      <c r="B80">
        <v>79</v>
      </c>
      <c r="C80">
        <v>2024</v>
      </c>
      <c r="D80" s="2">
        <v>45618</v>
      </c>
      <c r="E80" s="21">
        <f t="shared" ca="1" si="2"/>
        <v>46292</v>
      </c>
      <c r="F80" t="str">
        <f t="shared" si="3"/>
        <v>INSERT INTO BOLETIM (blt_id, blt_numero, blt_ano, blt_data_lev, blt_data_cad) VALUES (79, 79, 2024, TO_DATE('22/11/2024', 'DD/MM/YYYY'), SYSDATE);</v>
      </c>
    </row>
    <row r="81" spans="1:6" x14ac:dyDescent="0.3">
      <c r="A81">
        <v>80</v>
      </c>
      <c r="B81">
        <v>80</v>
      </c>
      <c r="C81">
        <v>2024</v>
      </c>
      <c r="D81" s="2">
        <v>45625</v>
      </c>
      <c r="E81" s="21">
        <f t="shared" ca="1" si="2"/>
        <v>46292</v>
      </c>
      <c r="F81" t="str">
        <f t="shared" si="3"/>
        <v>INSERT INTO BOLETIM (blt_id, blt_numero, blt_ano, blt_data_lev, blt_data_cad) VALUES (80, 80, 2024, TO_DATE('29/11/2024', 'DD/MM/YYYY'), SYSDATE);</v>
      </c>
    </row>
    <row r="82" spans="1:6" x14ac:dyDescent="0.3">
      <c r="A82">
        <v>81</v>
      </c>
      <c r="B82">
        <v>81</v>
      </c>
      <c r="C82">
        <v>2024</v>
      </c>
      <c r="D82" s="2">
        <v>45632</v>
      </c>
      <c r="E82" s="21">
        <f t="shared" ca="1" si="2"/>
        <v>46292</v>
      </c>
      <c r="F82" t="str">
        <f t="shared" si="3"/>
        <v>INSERT INTO BOLETIM (blt_id, blt_numero, blt_ano, blt_data_lev, blt_data_cad) VALUES (81, 81, 2024, TO_DATE('06/12/2024', 'DD/MM/YYYY'), SYSDATE);</v>
      </c>
    </row>
    <row r="83" spans="1:6" x14ac:dyDescent="0.3">
      <c r="A83">
        <v>82</v>
      </c>
      <c r="B83">
        <v>82</v>
      </c>
      <c r="C83">
        <v>2024</v>
      </c>
      <c r="D83" s="2">
        <v>45639</v>
      </c>
      <c r="E83" s="21">
        <f t="shared" ca="1" si="2"/>
        <v>46292</v>
      </c>
      <c r="F83" t="str">
        <f t="shared" si="3"/>
        <v>INSERT INTO BOLETIM (blt_id, blt_numero, blt_ano, blt_data_lev, blt_data_cad) VALUES (82, 82, 2024, TO_DATE('13/12/2024', 'DD/MM/YYYY'), SYSDATE);</v>
      </c>
    </row>
    <row r="84" spans="1:6" x14ac:dyDescent="0.3">
      <c r="A84">
        <v>83</v>
      </c>
      <c r="B84">
        <v>83</v>
      </c>
      <c r="C84">
        <v>2024</v>
      </c>
      <c r="D84" s="2">
        <v>45646</v>
      </c>
      <c r="E84" s="21">
        <f t="shared" ca="1" si="2"/>
        <v>46292</v>
      </c>
      <c r="F84" t="str">
        <f t="shared" si="3"/>
        <v>INSERT INTO BOLETIM (blt_id, blt_numero, blt_ano, blt_data_lev, blt_data_cad) VALUES (83, 83, 2024, TO_DATE('20/12/2024', 'DD/MM/YYYY'), SYSDATE);</v>
      </c>
    </row>
    <row r="85" spans="1:6" x14ac:dyDescent="0.3">
      <c r="A85">
        <v>84</v>
      </c>
      <c r="B85">
        <v>84</v>
      </c>
      <c r="C85">
        <v>2024</v>
      </c>
      <c r="D85" s="2">
        <v>45653</v>
      </c>
      <c r="E85" s="21">
        <f t="shared" ca="1" si="2"/>
        <v>46292</v>
      </c>
      <c r="F85" t="str">
        <f t="shared" si="3"/>
        <v>INSERT INTO BOLETIM (blt_id, blt_numero, blt_ano, blt_data_lev, blt_data_cad) VALUES (84, 84, 2024, TO_DATE('27/12/2024', 'DD/MM/YYYY'), SYSDATE);</v>
      </c>
    </row>
    <row r="86" spans="1:6" x14ac:dyDescent="0.3">
      <c r="A86">
        <v>85</v>
      </c>
      <c r="B86">
        <v>85</v>
      </c>
      <c r="C86">
        <v>2025</v>
      </c>
      <c r="D86" s="2">
        <v>45660</v>
      </c>
      <c r="E86" s="21">
        <f t="shared" ca="1" si="2"/>
        <v>46292</v>
      </c>
      <c r="F86" t="str">
        <f t="shared" si="3"/>
        <v>INSERT INTO BOLETIM (blt_id, blt_numero, blt_ano, blt_data_lev, blt_data_cad) VALUES (85, 85, 2025, TO_DATE('03/01/2025', 'DD/MM/YYYY'), SYSDATE);</v>
      </c>
    </row>
    <row r="87" spans="1:6" x14ac:dyDescent="0.3">
      <c r="A87">
        <v>86</v>
      </c>
      <c r="B87">
        <v>86</v>
      </c>
      <c r="C87">
        <v>2025</v>
      </c>
      <c r="D87" s="2">
        <v>45667</v>
      </c>
      <c r="E87" s="21">
        <f t="shared" ca="1" si="2"/>
        <v>46292</v>
      </c>
      <c r="F87" t="str">
        <f t="shared" si="3"/>
        <v>INSERT INTO BOLETIM (blt_id, blt_numero, blt_ano, blt_data_lev, blt_data_cad) VALUES (86, 86, 2025, TO_DATE('10/01/2025', 'DD/MM/YYYY'), SYSDATE);</v>
      </c>
    </row>
    <row r="88" spans="1:6" x14ac:dyDescent="0.3">
      <c r="A88">
        <v>87</v>
      </c>
      <c r="B88">
        <v>87</v>
      </c>
      <c r="C88">
        <v>2025</v>
      </c>
      <c r="D88" s="2">
        <v>45674</v>
      </c>
      <c r="E88" s="21">
        <f t="shared" ca="1" si="2"/>
        <v>46292</v>
      </c>
      <c r="F88" t="str">
        <f t="shared" si="3"/>
        <v>INSERT INTO BOLETIM (blt_id, blt_numero, blt_ano, blt_data_lev, blt_data_cad) VALUES (87, 87, 2025, TO_DATE('17/01/2025', 'DD/MM/YYYY'), SYSDATE);</v>
      </c>
    </row>
    <row r="89" spans="1:6" x14ac:dyDescent="0.3">
      <c r="A89">
        <v>88</v>
      </c>
      <c r="B89">
        <v>88</v>
      </c>
      <c r="C89">
        <v>2025</v>
      </c>
      <c r="D89" s="2">
        <v>45681</v>
      </c>
      <c r="E89" s="21">
        <f t="shared" ca="1" si="2"/>
        <v>46292</v>
      </c>
      <c r="F89" t="str">
        <f t="shared" si="3"/>
        <v>INSERT INTO BOLETIM (blt_id, blt_numero, blt_ano, blt_data_lev, blt_data_cad) VALUES (88, 88, 2025, TO_DATE('24/01/2025', 'DD/MM/YYYY'), SYSDATE);</v>
      </c>
    </row>
    <row r="90" spans="1:6" x14ac:dyDescent="0.3">
      <c r="A90">
        <v>89</v>
      </c>
      <c r="B90">
        <v>89</v>
      </c>
      <c r="C90">
        <v>2025</v>
      </c>
      <c r="D90" s="2">
        <v>45688</v>
      </c>
      <c r="E90" s="21">
        <f t="shared" ca="1" si="2"/>
        <v>46292</v>
      </c>
      <c r="F90" t="str">
        <f t="shared" si="3"/>
        <v>INSERT INTO BOLETIM (blt_id, blt_numero, blt_ano, blt_data_lev, blt_data_cad) VALUES (89, 89, 2025, TO_DATE('31/01/2025', 'DD/MM/YYYY'), SYSDATE);</v>
      </c>
    </row>
    <row r="91" spans="1:6" x14ac:dyDescent="0.3">
      <c r="A91">
        <v>90</v>
      </c>
      <c r="B91">
        <v>90</v>
      </c>
      <c r="C91">
        <v>2025</v>
      </c>
      <c r="D91" s="2">
        <v>45695</v>
      </c>
      <c r="E91" s="21">
        <f t="shared" ca="1" si="2"/>
        <v>46292</v>
      </c>
      <c r="F91" t="str">
        <f t="shared" si="3"/>
        <v>INSERT INTO BOLETIM (blt_id, blt_numero, blt_ano, blt_data_lev, blt_data_cad) VALUES (90, 90, 2025, TO_DATE('07/02/2025', 'DD/MM/YYYY'), SYSDATE);</v>
      </c>
    </row>
    <row r="92" spans="1:6" x14ac:dyDescent="0.3">
      <c r="A92">
        <v>91</v>
      </c>
      <c r="B92">
        <v>91</v>
      </c>
      <c r="C92">
        <v>2025</v>
      </c>
      <c r="D92" s="2">
        <v>45702</v>
      </c>
      <c r="E92" s="21">
        <f t="shared" ca="1" si="2"/>
        <v>46292</v>
      </c>
      <c r="F92" t="str">
        <f t="shared" si="3"/>
        <v>INSERT INTO BOLETIM (blt_id, blt_numero, blt_ano, blt_data_lev, blt_data_cad) VALUES (91, 91, 2025, TO_DATE('14/02/2025', 'DD/MM/YYYY'), SYSDATE);</v>
      </c>
    </row>
    <row r="93" spans="1:6" x14ac:dyDescent="0.3">
      <c r="A93">
        <v>92</v>
      </c>
      <c r="B93">
        <v>92</v>
      </c>
      <c r="C93">
        <v>2025</v>
      </c>
      <c r="D93" s="2">
        <v>45709</v>
      </c>
      <c r="E93" s="21">
        <f t="shared" ca="1" si="2"/>
        <v>46292</v>
      </c>
      <c r="F93" t="str">
        <f t="shared" si="3"/>
        <v>INSERT INTO BOLETIM (blt_id, blt_numero, blt_ano, blt_data_lev, blt_data_cad) VALUES (92, 92, 2025, TO_DATE('21/02/2025', 'DD/MM/YYYY'), SYSDATE);</v>
      </c>
    </row>
    <row r="94" spans="1:6" x14ac:dyDescent="0.3">
      <c r="A94">
        <v>93</v>
      </c>
      <c r="B94">
        <v>93</v>
      </c>
      <c r="C94">
        <v>2025</v>
      </c>
      <c r="D94" s="2">
        <v>45716</v>
      </c>
      <c r="E94" s="21">
        <f t="shared" ca="1" si="2"/>
        <v>46292</v>
      </c>
      <c r="F94" t="str">
        <f t="shared" si="3"/>
        <v>INSERT INTO BOLETIM (blt_id, blt_numero, blt_ano, blt_data_lev, blt_data_cad) VALUES (93, 93, 2025, TO_DATE('28/02/2025', 'DD/MM/YYYY'), SYSDATE);</v>
      </c>
    </row>
    <row r="95" spans="1:6" x14ac:dyDescent="0.3">
      <c r="A95">
        <v>94</v>
      </c>
      <c r="B95">
        <v>94</v>
      </c>
      <c r="C95">
        <v>2025</v>
      </c>
      <c r="D95" s="2">
        <v>45723</v>
      </c>
      <c r="E95" s="21">
        <f t="shared" ca="1" si="2"/>
        <v>46292</v>
      </c>
      <c r="F95" t="str">
        <f t="shared" si="3"/>
        <v>INSERT INTO BOLETIM (blt_id, blt_numero, blt_ano, blt_data_lev, blt_data_cad) VALUES (94, 94, 2025, TO_DATE('07/03/2025', 'DD/MM/YYYY'), SYSDATE);</v>
      </c>
    </row>
    <row r="96" spans="1:6" x14ac:dyDescent="0.3">
      <c r="A96">
        <v>95</v>
      </c>
      <c r="B96">
        <v>95</v>
      </c>
      <c r="C96">
        <v>2025</v>
      </c>
      <c r="D96" s="2">
        <v>45730</v>
      </c>
      <c r="E96" s="21">
        <f t="shared" ca="1" si="2"/>
        <v>46292</v>
      </c>
      <c r="F96" t="str">
        <f t="shared" si="3"/>
        <v>INSERT INTO BOLETIM (blt_id, blt_numero, blt_ano, blt_data_lev, blt_data_cad) VALUES (95, 95, 2025, TO_DATE('14/03/2025', 'DD/MM/YYYY'), SYSDATE);</v>
      </c>
    </row>
    <row r="97" spans="1:6" x14ac:dyDescent="0.3">
      <c r="A97">
        <v>96</v>
      </c>
      <c r="B97">
        <v>96</v>
      </c>
      <c r="C97">
        <v>2025</v>
      </c>
      <c r="D97" s="2">
        <v>45737</v>
      </c>
      <c r="E97" s="21">
        <f t="shared" ca="1" si="2"/>
        <v>46292</v>
      </c>
      <c r="F97" t="str">
        <f t="shared" si="3"/>
        <v>INSERT INTO BOLETIM (blt_id, blt_numero, blt_ano, blt_data_lev, blt_data_cad) VALUES (96, 96, 2025, TO_DATE('21/03/2025', 'DD/MM/YYYY'), SYSDATE);</v>
      </c>
    </row>
    <row r="98" spans="1:6" x14ac:dyDescent="0.3">
      <c r="A98">
        <v>97</v>
      </c>
      <c r="B98">
        <v>97</v>
      </c>
      <c r="C98">
        <v>2025</v>
      </c>
      <c r="D98" s="2">
        <v>45744</v>
      </c>
      <c r="E98" s="21">
        <f t="shared" ca="1" si="2"/>
        <v>46292</v>
      </c>
      <c r="F98" t="str">
        <f t="shared" si="3"/>
        <v>INSERT INTO BOLETIM (blt_id, blt_numero, blt_ano, blt_data_lev, blt_data_cad) VALUES (97, 97, 2025, TO_DATE('28/03/2025', 'DD/MM/YYYY'), SYSDATE);</v>
      </c>
    </row>
    <row r="99" spans="1:6" x14ac:dyDescent="0.3">
      <c r="A99">
        <v>98</v>
      </c>
      <c r="B99">
        <v>98</v>
      </c>
      <c r="C99">
        <v>2025</v>
      </c>
      <c r="D99" s="2">
        <v>45751</v>
      </c>
      <c r="E99" s="21">
        <f t="shared" ca="1" si="2"/>
        <v>46292</v>
      </c>
      <c r="F99" t="str">
        <f t="shared" si="3"/>
        <v>INSERT INTO BOLETIM (blt_id, blt_numero, blt_ano, blt_data_lev, blt_data_cad) VALUES (98, 98, 2025, TO_DATE('04/04/2025', 'DD/MM/YYYY'), SYSDATE);</v>
      </c>
    </row>
    <row r="100" spans="1:6" x14ac:dyDescent="0.3">
      <c r="A100">
        <v>99</v>
      </c>
      <c r="B100">
        <v>99</v>
      </c>
      <c r="C100">
        <v>2025</v>
      </c>
      <c r="D100" s="2">
        <v>45758</v>
      </c>
      <c r="E100" s="21">
        <f t="shared" ca="1" si="2"/>
        <v>46292</v>
      </c>
      <c r="F100" t="str">
        <f t="shared" si="3"/>
        <v>INSERT INTO BOLETIM (blt_id, blt_numero, blt_ano, blt_data_lev, blt_data_cad) VALUES (99, 99, 2025, TO_DATE('11/04/2025', 'DD/MM/YYYY'), SYSDATE);</v>
      </c>
    </row>
    <row r="101" spans="1:6" x14ac:dyDescent="0.3">
      <c r="A101">
        <v>100</v>
      </c>
      <c r="B101">
        <v>100</v>
      </c>
      <c r="C101">
        <v>2025</v>
      </c>
      <c r="D101" s="2">
        <v>45765</v>
      </c>
      <c r="E101" s="21">
        <f t="shared" ca="1" si="2"/>
        <v>46292</v>
      </c>
      <c r="F101" t="str">
        <f t="shared" si="3"/>
        <v>INSERT INTO BOLETIM (blt_id, blt_numero, blt_ano, blt_data_lev, blt_data_cad) VALUES (100, 100, 2025, TO_DATE('18/04/2025', 'DD/MM/YYYY'), SYSDATE);</v>
      </c>
    </row>
    <row r="102" spans="1:6" x14ac:dyDescent="0.3">
      <c r="A102">
        <v>101</v>
      </c>
      <c r="B102">
        <v>101</v>
      </c>
      <c r="C102">
        <v>2025</v>
      </c>
      <c r="D102" s="2">
        <v>45772</v>
      </c>
      <c r="E102" s="21">
        <f t="shared" ca="1" si="2"/>
        <v>46292</v>
      </c>
      <c r="F102" t="str">
        <f t="shared" si="3"/>
        <v>INSERT INTO BOLETIM (blt_id, blt_numero, blt_ano, blt_data_lev, blt_data_cad) VALUES (101, 101, 2025, TO_DATE('25/04/2025', 'DD/MM/YYYY'), SYSDATE);</v>
      </c>
    </row>
    <row r="103" spans="1:6" x14ac:dyDescent="0.3">
      <c r="A103">
        <v>102</v>
      </c>
      <c r="B103">
        <v>102</v>
      </c>
      <c r="C103">
        <v>2025</v>
      </c>
      <c r="D103" s="2">
        <v>45779</v>
      </c>
      <c r="E103" s="21">
        <f t="shared" ca="1" si="2"/>
        <v>46292</v>
      </c>
      <c r="F103" t="str">
        <f t="shared" si="3"/>
        <v>INSERT INTO BOLETIM (blt_id, blt_numero, blt_ano, blt_data_lev, blt_data_cad) VALUES (102, 102, 2025, TO_DATE('02/05/2025', 'DD/MM/YYYY'), SYSDATE);</v>
      </c>
    </row>
    <row r="104" spans="1:6" x14ac:dyDescent="0.3">
      <c r="A104">
        <v>103</v>
      </c>
      <c r="B104">
        <v>103</v>
      </c>
      <c r="C104">
        <v>2025</v>
      </c>
      <c r="D104" s="2">
        <v>45786</v>
      </c>
      <c r="E104" s="21">
        <f t="shared" ca="1" si="2"/>
        <v>46292</v>
      </c>
      <c r="F104" t="str">
        <f t="shared" si="3"/>
        <v>INSERT INTO BOLETIM (blt_id, blt_numero, blt_ano, blt_data_lev, blt_data_cad) VALUES (103, 103, 2025, TO_DATE('09/05/2025', 'DD/MM/YYYY'), SYSDATE);</v>
      </c>
    </row>
    <row r="105" spans="1:6" x14ac:dyDescent="0.3">
      <c r="A105">
        <v>104</v>
      </c>
      <c r="B105">
        <v>104</v>
      </c>
      <c r="C105">
        <v>2025</v>
      </c>
      <c r="D105" s="2">
        <v>45793</v>
      </c>
      <c r="E105" s="21">
        <f t="shared" ca="1" si="2"/>
        <v>46292</v>
      </c>
      <c r="F105" t="str">
        <f t="shared" si="3"/>
        <v>INSERT INTO BOLETIM (blt_id, blt_numero, blt_ano, blt_data_lev, blt_data_cad) VALUES (104, 104, 2025, TO_DATE('16/05/2025', 'DD/MM/YYYY'), SYSDATE);</v>
      </c>
    </row>
    <row r="106" spans="1:6" x14ac:dyDescent="0.3">
      <c r="A106">
        <v>105</v>
      </c>
      <c r="B106">
        <v>105</v>
      </c>
      <c r="C106">
        <v>2025</v>
      </c>
      <c r="D106" s="2">
        <v>45800</v>
      </c>
      <c r="E106" s="21">
        <f t="shared" ca="1" si="2"/>
        <v>46292</v>
      </c>
      <c r="F106" t="str">
        <f t="shared" si="3"/>
        <v>INSERT INTO BOLETIM (blt_id, blt_numero, blt_ano, blt_data_lev, blt_data_cad) VALUES (105, 105, 2025, TO_DATE('23/05/2025', 'DD/MM/YYYY'), SYSDATE);</v>
      </c>
    </row>
    <row r="107" spans="1:6" x14ac:dyDescent="0.3">
      <c r="A107">
        <v>106</v>
      </c>
      <c r="B107">
        <v>106</v>
      </c>
      <c r="C107">
        <v>2025</v>
      </c>
      <c r="D107" s="2">
        <v>45807</v>
      </c>
      <c r="E107" s="21">
        <f t="shared" ca="1" si="2"/>
        <v>46292</v>
      </c>
      <c r="F107" t="str">
        <f t="shared" si="3"/>
        <v>INSERT INTO BOLETIM (blt_id, blt_numero, blt_ano, blt_data_lev, blt_data_cad) VALUES (106, 106, 2025, TO_DATE('30/05/2025', 'DD/MM/YYYY'), SYSDATE);</v>
      </c>
    </row>
    <row r="108" spans="1:6" x14ac:dyDescent="0.3">
      <c r="A108">
        <v>107</v>
      </c>
      <c r="B108">
        <v>107</v>
      </c>
      <c r="C108">
        <v>2025</v>
      </c>
      <c r="D108" s="2">
        <v>45814</v>
      </c>
      <c r="E108" s="21">
        <f t="shared" ca="1" si="2"/>
        <v>46292</v>
      </c>
      <c r="F108" t="str">
        <f t="shared" si="3"/>
        <v>INSERT INTO BOLETIM (blt_id, blt_numero, blt_ano, blt_data_lev, blt_data_cad) VALUES (107, 107, 2025, TO_DATE('06/06/2025', 'DD/MM/YYYY'), SYSDATE);</v>
      </c>
    </row>
    <row r="109" spans="1:6" x14ac:dyDescent="0.3">
      <c r="A109">
        <v>108</v>
      </c>
      <c r="B109">
        <v>108</v>
      </c>
      <c r="C109">
        <v>2025</v>
      </c>
      <c r="D109" s="2">
        <v>45821</v>
      </c>
      <c r="E109" s="21">
        <f t="shared" ca="1" si="2"/>
        <v>46292</v>
      </c>
      <c r="F109" t="str">
        <f t="shared" si="3"/>
        <v>INSERT INTO BOLETIM (blt_id, blt_numero, blt_ano, blt_data_lev, blt_data_cad) VALUES (108, 108, 2025, TO_DATE('13/06/2025', 'DD/MM/YYYY'), SYSDATE);</v>
      </c>
    </row>
    <row r="110" spans="1:6" x14ac:dyDescent="0.3">
      <c r="A110">
        <v>109</v>
      </c>
      <c r="B110">
        <v>109</v>
      </c>
      <c r="C110">
        <v>2025</v>
      </c>
      <c r="D110" s="2">
        <v>45828</v>
      </c>
      <c r="E110" s="21">
        <f t="shared" ca="1" si="2"/>
        <v>46292</v>
      </c>
      <c r="F110" t="str">
        <f t="shared" si="3"/>
        <v>INSERT INTO BOLETIM (blt_id, blt_numero, blt_ano, blt_data_lev, blt_data_cad) VALUES (109, 109, 2025, TO_DATE('20/06/2025', 'DD/MM/YYYY'), SYSDATE);</v>
      </c>
    </row>
    <row r="111" spans="1:6" x14ac:dyDescent="0.3">
      <c r="A111">
        <v>110</v>
      </c>
      <c r="B111">
        <v>110</v>
      </c>
      <c r="C111">
        <v>2025</v>
      </c>
      <c r="D111" s="2">
        <v>45835</v>
      </c>
      <c r="E111" s="21">
        <f t="shared" ca="1" si="2"/>
        <v>46292</v>
      </c>
      <c r="F111" t="str">
        <f t="shared" si="3"/>
        <v>INSERT INTO BOLETIM (blt_id, blt_numero, blt_ano, blt_data_lev, blt_data_cad) VALUES (110, 110, 2025, TO_DATE('27/06/2025', 'DD/MM/YYYY'), SYSDATE);</v>
      </c>
    </row>
    <row r="112" spans="1:6" x14ac:dyDescent="0.3">
      <c r="A112">
        <v>111</v>
      </c>
      <c r="B112">
        <v>111</v>
      </c>
      <c r="C112">
        <v>2025</v>
      </c>
      <c r="D112" s="2">
        <v>45842</v>
      </c>
      <c r="E112" s="21">
        <f t="shared" ca="1" si="2"/>
        <v>46292</v>
      </c>
      <c r="F112" t="str">
        <f t="shared" si="3"/>
        <v>INSERT INTO BOLETIM (blt_id, blt_numero, blt_ano, blt_data_lev, blt_data_cad) VALUES (111, 111, 2025, TO_DATE('04/07/2025', 'DD/MM/YYYY'), SYSDATE);</v>
      </c>
    </row>
    <row r="113" spans="1:6" x14ac:dyDescent="0.3">
      <c r="A113">
        <v>112</v>
      </c>
      <c r="B113">
        <v>112</v>
      </c>
      <c r="C113">
        <v>2025</v>
      </c>
      <c r="D113" s="2">
        <v>45849</v>
      </c>
      <c r="E113" s="21">
        <f t="shared" ca="1" si="2"/>
        <v>46292</v>
      </c>
      <c r="F113" t="str">
        <f t="shared" si="3"/>
        <v>INSERT INTO BOLETIM (blt_id, blt_numero, blt_ano, blt_data_lev, blt_data_cad) VALUES (112, 112, 2025, TO_DATE('11/07/2025', 'DD/MM/YYYY'), SYSDATE);</v>
      </c>
    </row>
    <row r="114" spans="1:6" x14ac:dyDescent="0.3">
      <c r="A114">
        <v>113</v>
      </c>
      <c r="B114">
        <v>113</v>
      </c>
      <c r="C114">
        <v>2025</v>
      </c>
      <c r="D114" s="2">
        <v>45856</v>
      </c>
      <c r="E114" s="21">
        <f t="shared" ca="1" si="2"/>
        <v>46292</v>
      </c>
      <c r="F114" t="str">
        <f t="shared" si="3"/>
        <v>INSERT INTO BOLETIM (blt_id, blt_numero, blt_ano, blt_data_lev, blt_data_cad) VALUES (113, 113, 2025, TO_DATE('18/07/2025', 'DD/MM/YYYY'), SYSDATE);</v>
      </c>
    </row>
    <row r="115" spans="1:6" x14ac:dyDescent="0.3">
      <c r="A115">
        <v>114</v>
      </c>
      <c r="B115">
        <v>114</v>
      </c>
      <c r="C115">
        <v>2025</v>
      </c>
      <c r="D115" s="2">
        <v>45863</v>
      </c>
      <c r="E115" s="21">
        <f t="shared" ca="1" si="2"/>
        <v>46292</v>
      </c>
      <c r="F115" t="str">
        <f t="shared" si="3"/>
        <v>INSERT INTO BOLETIM (blt_id, blt_numero, blt_ano, blt_data_lev, blt_data_cad) VALUES (114, 114, 2025, TO_DATE('25/07/2025', 'DD/MM/YYYY'), SYSDATE);</v>
      </c>
    </row>
    <row r="116" spans="1:6" x14ac:dyDescent="0.3">
      <c r="A116">
        <v>115</v>
      </c>
      <c r="B116">
        <v>115</v>
      </c>
      <c r="C116">
        <v>2025</v>
      </c>
      <c r="D116" s="2">
        <v>45870</v>
      </c>
      <c r="E116" s="21">
        <f t="shared" ca="1" si="2"/>
        <v>46292</v>
      </c>
      <c r="F116" t="str">
        <f t="shared" si="3"/>
        <v>INSERT INTO BOLETIM (blt_id, blt_numero, blt_ano, blt_data_lev, blt_data_cad) VALUES (115, 115, 2025, TO_DATE('01/08/2025', 'DD/MM/YYYY'), SYSDATE);</v>
      </c>
    </row>
    <row r="117" spans="1:6" x14ac:dyDescent="0.3">
      <c r="A117">
        <v>116</v>
      </c>
      <c r="B117">
        <v>116</v>
      </c>
      <c r="C117">
        <v>2025</v>
      </c>
      <c r="D117" s="2">
        <v>45877</v>
      </c>
      <c r="E117" s="21">
        <f t="shared" ca="1" si="2"/>
        <v>46292</v>
      </c>
      <c r="F117" t="str">
        <f t="shared" si="3"/>
        <v>INSERT INTO BOLETIM (blt_id, blt_numero, blt_ano, blt_data_lev, blt_data_cad) VALUES (116, 116, 2025, TO_DATE('08/08/2025', 'DD/MM/YYYY'), SYSDATE);</v>
      </c>
    </row>
    <row r="118" spans="1:6" x14ac:dyDescent="0.3">
      <c r="A118">
        <v>117</v>
      </c>
      <c r="B118">
        <v>117</v>
      </c>
      <c r="C118">
        <v>2025</v>
      </c>
      <c r="D118" s="2">
        <v>45884</v>
      </c>
      <c r="E118" s="21">
        <f t="shared" ca="1" si="2"/>
        <v>46292</v>
      </c>
      <c r="F118" t="str">
        <f t="shared" si="3"/>
        <v>INSERT INTO BOLETIM (blt_id, blt_numero, blt_ano, blt_data_lev, blt_data_cad) VALUES (117, 117, 2025, TO_DATE('15/08/2025', 'DD/MM/YYYY'), SYSDATE);</v>
      </c>
    </row>
    <row r="119" spans="1:6" x14ac:dyDescent="0.3">
      <c r="A119">
        <v>118</v>
      </c>
      <c r="B119">
        <v>118</v>
      </c>
      <c r="C119">
        <v>2025</v>
      </c>
      <c r="D119" s="2">
        <v>45891</v>
      </c>
      <c r="E119" s="21">
        <f t="shared" ca="1" si="2"/>
        <v>46292</v>
      </c>
      <c r="F119" t="str">
        <f t="shared" si="3"/>
        <v>INSERT INTO BOLETIM (blt_id, blt_numero, blt_ano, blt_data_lev, blt_data_cad) VALUES (118, 118, 2025, TO_DATE('22/08/2025', 'DD/MM/YYYY'), SYSDATE);</v>
      </c>
    </row>
    <row r="120" spans="1:6" x14ac:dyDescent="0.3">
      <c r="A120">
        <v>119</v>
      </c>
      <c r="B120">
        <v>119</v>
      </c>
      <c r="C120">
        <v>2025</v>
      </c>
      <c r="D120" s="2">
        <v>45898</v>
      </c>
      <c r="E120" s="21">
        <f t="shared" ca="1" si="2"/>
        <v>46292</v>
      </c>
      <c r="F120" t="str">
        <f t="shared" si="3"/>
        <v>INSERT INTO BOLETIM (blt_id, blt_numero, blt_ano, blt_data_lev, blt_data_cad) VALUES (119, 119, 2025, TO_DATE('29/08/2025', 'DD/MM/YYYY'), SYSDATE);</v>
      </c>
    </row>
    <row r="121" spans="1:6" x14ac:dyDescent="0.3">
      <c r="A121">
        <v>120</v>
      </c>
      <c r="B121">
        <v>120</v>
      </c>
      <c r="C121">
        <v>2025</v>
      </c>
      <c r="D121" s="2">
        <v>45905</v>
      </c>
      <c r="E121" s="21">
        <f t="shared" ca="1" si="2"/>
        <v>46292</v>
      </c>
      <c r="F121" t="str">
        <f t="shared" si="3"/>
        <v>INSERT INTO BOLETIM (blt_id, blt_numero, blt_ano, blt_data_lev, blt_data_cad) VALUES (120, 120, 2025, TO_DATE('05/09/2025', 'DD/MM/YYYY'), SYSDATE);</v>
      </c>
    </row>
    <row r="122" spans="1:6" x14ac:dyDescent="0.3">
      <c r="A122">
        <v>121</v>
      </c>
      <c r="B122">
        <v>121</v>
      </c>
      <c r="C122">
        <v>2025</v>
      </c>
      <c r="D122" s="2">
        <v>45912</v>
      </c>
      <c r="E122" s="21">
        <f t="shared" ca="1" si="2"/>
        <v>46292</v>
      </c>
      <c r="F122" t="str">
        <f t="shared" si="3"/>
        <v>INSERT INTO BOLETIM (blt_id, blt_numero, blt_ano, blt_data_lev, blt_data_cad) VALUES (121, 121, 2025, TO_DATE('12/09/2025', 'DD/MM/YYYY'), SYSDATE);</v>
      </c>
    </row>
    <row r="123" spans="1:6" x14ac:dyDescent="0.3">
      <c r="A123">
        <v>122</v>
      </c>
      <c r="B123">
        <v>122</v>
      </c>
      <c r="C123">
        <v>2025</v>
      </c>
      <c r="D123" s="2">
        <v>45919</v>
      </c>
      <c r="E123" s="21">
        <f t="shared" ca="1" si="2"/>
        <v>46292</v>
      </c>
      <c r="F123" t="str">
        <f t="shared" si="3"/>
        <v>INSERT INTO BOLETIM (blt_id, blt_numero, blt_ano, blt_data_lev, blt_data_cad) VALUES (122, 122, 2025, TO_DATE('19/09/2025', 'DD/MM/YYYY'), SYSDATE);</v>
      </c>
    </row>
    <row r="124" spans="1:6" x14ac:dyDescent="0.3">
      <c r="A124">
        <v>123</v>
      </c>
      <c r="B124">
        <v>123</v>
      </c>
      <c r="C124">
        <v>2025</v>
      </c>
      <c r="D124" s="2">
        <v>45926</v>
      </c>
      <c r="E124" s="21">
        <f t="shared" ca="1" si="2"/>
        <v>46292</v>
      </c>
      <c r="F124" t="str">
        <f t="shared" si="3"/>
        <v>INSERT INTO BOLETIM (blt_id, blt_numero, blt_ano, blt_data_lev, blt_data_cad) VALUES (123, 123, 2025, TO_DATE('26/09/2025', 'DD/MM/YYYY'), SYSDATE);</v>
      </c>
    </row>
    <row r="125" spans="1:6" x14ac:dyDescent="0.3">
      <c r="A125">
        <v>124</v>
      </c>
      <c r="B125">
        <v>124</v>
      </c>
      <c r="C125">
        <v>2025</v>
      </c>
      <c r="D125" s="2">
        <v>45933</v>
      </c>
      <c r="E125" s="21">
        <f t="shared" ca="1" si="2"/>
        <v>46292</v>
      </c>
      <c r="F125" t="str">
        <f t="shared" si="3"/>
        <v>INSERT INTO BOLETIM (blt_id, blt_numero, blt_ano, blt_data_lev, blt_data_cad) VALUES (124, 124, 2025, TO_DATE('03/10/2025', 'DD/MM/YYYY'), SYSDATE);</v>
      </c>
    </row>
    <row r="126" spans="1:6" x14ac:dyDescent="0.3">
      <c r="A126">
        <v>125</v>
      </c>
      <c r="B126">
        <v>125</v>
      </c>
      <c r="C126">
        <v>2025</v>
      </c>
      <c r="D126" s="2">
        <v>45940</v>
      </c>
      <c r="E126" s="21">
        <f t="shared" ca="1" si="2"/>
        <v>46292</v>
      </c>
      <c r="F126" t="str">
        <f t="shared" si="3"/>
        <v>INSERT INTO BOLETIM (blt_id, blt_numero, blt_ano, blt_data_lev, blt_data_cad) VALUES (125, 125, 2025, TO_DATE('10/10/2025', 'DD/MM/YYYY'), SYSDATE);</v>
      </c>
    </row>
    <row r="127" spans="1:6" x14ac:dyDescent="0.3">
      <c r="A127">
        <v>126</v>
      </c>
      <c r="B127">
        <v>126</v>
      </c>
      <c r="C127">
        <v>2025</v>
      </c>
      <c r="D127" s="2">
        <v>45947</v>
      </c>
      <c r="E127" s="21">
        <f t="shared" ca="1" si="2"/>
        <v>46292</v>
      </c>
      <c r="F127" t="str">
        <f t="shared" si="3"/>
        <v>INSERT INTO BOLETIM (blt_id, blt_numero, blt_ano, blt_data_lev, blt_data_cad) VALUES (126, 126, 2025, TO_DATE('17/10/2025', 'DD/MM/YYYY'), SYSDATE);</v>
      </c>
    </row>
    <row r="128" spans="1:6" x14ac:dyDescent="0.3">
      <c r="A128">
        <v>127</v>
      </c>
      <c r="B128">
        <v>127</v>
      </c>
      <c r="C128">
        <v>2025</v>
      </c>
      <c r="D128" s="2">
        <v>45954</v>
      </c>
      <c r="E128" s="21">
        <f t="shared" ca="1" si="2"/>
        <v>46292</v>
      </c>
      <c r="F128" t="str">
        <f t="shared" si="3"/>
        <v>INSERT INTO BOLETIM (blt_id, blt_numero, blt_ano, blt_data_lev, blt_data_cad) VALUES (127, 127, 2025, TO_DATE('24/10/2025', 'DD/MM/YYYY'), SYSDATE);</v>
      </c>
    </row>
    <row r="129" spans="1:6" x14ac:dyDescent="0.3">
      <c r="A129">
        <v>128</v>
      </c>
      <c r="B129">
        <v>128</v>
      </c>
      <c r="C129">
        <v>2025</v>
      </c>
      <c r="D129" s="2">
        <v>45961</v>
      </c>
      <c r="E129" s="21">
        <f t="shared" ca="1" si="2"/>
        <v>46292</v>
      </c>
      <c r="F129" t="str">
        <f t="shared" si="3"/>
        <v>INSERT INTO BOLETIM (blt_id, blt_numero, blt_ano, blt_data_lev, blt_data_cad) VALUES (128, 128, 2025, TO_DATE('31/10/2025', 'DD/MM/YYYY'), SYSDATE);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zoomScaleNormal="100" workbookViewId="0">
      <selection activeCell="E2" sqref="E2:E5"/>
    </sheetView>
  </sheetViews>
  <sheetFormatPr defaultColWidth="8.44140625" defaultRowHeight="14.4" x14ac:dyDescent="0.3"/>
  <sheetData>
    <row r="1" spans="1:5" x14ac:dyDescent="0.3">
      <c r="A1" t="s">
        <v>434</v>
      </c>
      <c r="B1" t="s">
        <v>435</v>
      </c>
    </row>
    <row r="2" spans="1:5" x14ac:dyDescent="0.3">
      <c r="A2">
        <v>1</v>
      </c>
      <c r="B2" t="s">
        <v>436</v>
      </c>
      <c r="E2" t="str">
        <f>"INSERT INTO TIPO_APRESENTACAO (tap_id, tap_nome) VALUES ("&amp;A2&amp;", '"&amp;B2&amp;"');"</f>
        <v>INSERT INTO TIPO_APRESENTACAO (tap_id, tap_nome) VALUES (1, 'caixa');</v>
      </c>
    </row>
    <row r="3" spans="1:5" x14ac:dyDescent="0.3">
      <c r="A3">
        <v>2</v>
      </c>
      <c r="B3" t="s">
        <v>437</v>
      </c>
      <c r="E3" t="str">
        <f t="shared" ref="E3:E5" si="0">"INSERT INTO TIPO_APRESENTACAO (tap_id, tap_nome) VALUES ("&amp;A3&amp;", '"&amp;B3&amp;"');"</f>
        <v>INSERT INTO TIPO_APRESENTACAO (tap_id, tap_nome) VALUES (2, 'maço');</v>
      </c>
    </row>
    <row r="4" spans="1:5" x14ac:dyDescent="0.3">
      <c r="A4">
        <v>3</v>
      </c>
      <c r="B4" t="s">
        <v>438</v>
      </c>
      <c r="E4" t="str">
        <f t="shared" si="0"/>
        <v>INSERT INTO TIPO_APRESENTACAO (tap_id, tap_nome) VALUES (3, 'dúzia');</v>
      </c>
    </row>
    <row r="5" spans="1:5" x14ac:dyDescent="0.3">
      <c r="A5">
        <v>4</v>
      </c>
      <c r="B5" t="s">
        <v>439</v>
      </c>
      <c r="E5" t="str">
        <f t="shared" si="0"/>
        <v>INSERT INTO TIPO_APRESENTACAO (tap_id, tap_nome) VALUES (4, 'saco');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zoomScaleNormal="100" workbookViewId="0">
      <selection activeCell="E2" sqref="E2:E11"/>
    </sheetView>
  </sheetViews>
  <sheetFormatPr defaultColWidth="8.44140625" defaultRowHeight="14.4" x14ac:dyDescent="0.3"/>
  <sheetData>
    <row r="1" spans="1:5" x14ac:dyDescent="0.3">
      <c r="A1" t="s">
        <v>376</v>
      </c>
      <c r="B1" t="s">
        <v>446</v>
      </c>
      <c r="C1" t="s">
        <v>377</v>
      </c>
    </row>
    <row r="2" spans="1:5" x14ac:dyDescent="0.3">
      <c r="A2">
        <v>1</v>
      </c>
      <c r="B2">
        <v>1</v>
      </c>
      <c r="C2" t="s">
        <v>378</v>
      </c>
      <c r="E2" t="str">
        <f>"INSERT INTO CATEGORIA (cat_id, cat_grp_id, cat_nome) VALUES ("&amp;A2&amp;", "&amp;B2&amp;", '"&amp;C2&amp;"');"</f>
        <v>INSERT INTO CATEGORIA (cat_id, cat_grp_id, cat_nome) VALUES (1, 1, 'Folhosas');</v>
      </c>
    </row>
    <row r="3" spans="1:5" x14ac:dyDescent="0.3">
      <c r="A3">
        <v>2</v>
      </c>
      <c r="B3">
        <v>1</v>
      </c>
      <c r="C3" t="s">
        <v>379</v>
      </c>
      <c r="E3" t="str">
        <f t="shared" ref="E3:E11" si="0">"INSERT INTO CATEGORIA (cat_id, cat_grp_id, cat_nome) VALUES ("&amp;A3&amp;", "&amp;B3&amp;", '"&amp;C3&amp;"');"</f>
        <v>INSERT INTO CATEGORIA (cat_id, cat_grp_id, cat_nome) VALUES (2, 1, 'Flores');</v>
      </c>
    </row>
    <row r="4" spans="1:5" x14ac:dyDescent="0.3">
      <c r="A4">
        <v>3</v>
      </c>
      <c r="B4">
        <v>1</v>
      </c>
      <c r="C4" t="s">
        <v>380</v>
      </c>
      <c r="E4" t="str">
        <f t="shared" si="0"/>
        <v>INSERT INTO CATEGORIA (cat_id, cat_grp_id, cat_nome) VALUES (3, 1, 'Hastes');</v>
      </c>
    </row>
    <row r="5" spans="1:5" x14ac:dyDescent="0.3">
      <c r="A5">
        <v>4</v>
      </c>
      <c r="B5">
        <v>2</v>
      </c>
      <c r="C5" t="s">
        <v>381</v>
      </c>
      <c r="E5" t="str">
        <f t="shared" si="0"/>
        <v>INSERT INTO CATEGORIA (cat_id, cat_grp_id, cat_nome) VALUES (4, 2, 'Temperos');</v>
      </c>
    </row>
    <row r="6" spans="1:5" x14ac:dyDescent="0.3">
      <c r="A6">
        <v>5</v>
      </c>
      <c r="B6">
        <v>3</v>
      </c>
      <c r="C6" t="s">
        <v>382</v>
      </c>
      <c r="E6" t="str">
        <f t="shared" si="0"/>
        <v>INSERT INTO CATEGORIA (cat_id, cat_grp_id, cat_nome) VALUES (5, 3, 'Leguminosas (vagens)');</v>
      </c>
    </row>
    <row r="7" spans="1:5" x14ac:dyDescent="0.3">
      <c r="A7">
        <v>6</v>
      </c>
      <c r="B7">
        <v>3</v>
      </c>
      <c r="C7" t="s">
        <v>383</v>
      </c>
      <c r="E7" t="str">
        <f t="shared" si="0"/>
        <v>INSERT INTO CATEGORIA (cat_id, cat_grp_id, cat_nome) VALUES (6, 3, 'Frutos');</v>
      </c>
    </row>
    <row r="8" spans="1:5" x14ac:dyDescent="0.3">
      <c r="A8">
        <v>7</v>
      </c>
      <c r="B8">
        <v>3</v>
      </c>
      <c r="C8" t="s">
        <v>384</v>
      </c>
      <c r="E8" t="str">
        <f t="shared" si="0"/>
        <v>INSERT INTO CATEGORIA (cat_id, cat_grp_id, cat_nome) VALUES (7, 3, 'Raízes Tuberosas');</v>
      </c>
    </row>
    <row r="9" spans="1:5" x14ac:dyDescent="0.3">
      <c r="A9">
        <v>8</v>
      </c>
      <c r="B9">
        <v>3</v>
      </c>
      <c r="C9" t="s">
        <v>385</v>
      </c>
      <c r="E9" t="str">
        <f t="shared" si="0"/>
        <v>INSERT INTO CATEGORIA (cat_id, cat_grp_id, cat_nome) VALUES (8, 3, 'Tubérculos');</v>
      </c>
    </row>
    <row r="10" spans="1:5" x14ac:dyDescent="0.3">
      <c r="A10">
        <v>9</v>
      </c>
      <c r="B10">
        <v>3</v>
      </c>
      <c r="C10" t="s">
        <v>386</v>
      </c>
      <c r="E10" t="str">
        <f t="shared" si="0"/>
        <v>INSERT INTO CATEGORIA (cat_id, cat_grp_id, cat_nome) VALUES (9, 3, 'Bulbos');</v>
      </c>
    </row>
    <row r="11" spans="1:5" x14ac:dyDescent="0.3">
      <c r="A11">
        <v>10</v>
      </c>
      <c r="B11">
        <v>4</v>
      </c>
      <c r="C11" t="s">
        <v>375</v>
      </c>
      <c r="E11" t="str">
        <f t="shared" si="0"/>
        <v>INSERT INTO CATEGORIA (cat_id, cat_grp_id, cat_nome) VALUES (10, 4, 'Frutas');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zoomScaleNormal="100" workbookViewId="0">
      <pane ySplit="1" topLeftCell="A2" activePane="bottomLeft" state="frozen"/>
      <selection pane="bottomLeft" activeCell="G2" sqref="G2:G41"/>
    </sheetView>
  </sheetViews>
  <sheetFormatPr defaultColWidth="8.44140625" defaultRowHeight="14.4" x14ac:dyDescent="0.3"/>
  <cols>
    <col min="3" max="3" width="19.88671875" customWidth="1"/>
    <col min="4" max="4" width="12.5546875" customWidth="1"/>
  </cols>
  <sheetData>
    <row r="1" spans="1:7" x14ac:dyDescent="0.3">
      <c r="A1" t="s">
        <v>387</v>
      </c>
      <c r="B1" t="s">
        <v>447</v>
      </c>
      <c r="C1" t="s">
        <v>388</v>
      </c>
      <c r="D1" t="s">
        <v>389</v>
      </c>
      <c r="E1" t="s">
        <v>390</v>
      </c>
    </row>
    <row r="2" spans="1:7" x14ac:dyDescent="0.3">
      <c r="A2">
        <v>1</v>
      </c>
      <c r="B2">
        <v>1</v>
      </c>
      <c r="C2" t="s">
        <v>12</v>
      </c>
      <c r="E2">
        <v>1</v>
      </c>
      <c r="G2" t="str">
        <f>"INSERT INTO PRODUTO (prd_id, prd_cat_id, prd_nome, prd_var, prd_atv) VALUES ("&amp;A2&amp;", "&amp;B2&amp;", '"&amp;C2&amp;"', '"&amp;D2&amp;"', "&amp;E2&amp;");"</f>
        <v>INSERT INTO PRODUTO (prd_id, prd_cat_id, prd_nome, prd_var, prd_atv) VALUES (1, 1, 'Acelga', '', 1);</v>
      </c>
    </row>
    <row r="3" spans="1:7" x14ac:dyDescent="0.3">
      <c r="A3">
        <v>2</v>
      </c>
      <c r="B3">
        <v>1</v>
      </c>
      <c r="C3" t="s">
        <v>14</v>
      </c>
      <c r="E3">
        <v>1</v>
      </c>
      <c r="G3" t="str">
        <f t="shared" ref="G3:G41" si="0">"INSERT INTO PRODUTO (prd_id, prd_cat_id, prd_nome, prd_var, prd_atv) VALUES ("&amp;A3&amp;", "&amp;B3&amp;", '"&amp;C3&amp;"', '"&amp;D3&amp;"', "&amp;E3&amp;");"</f>
        <v>INSERT INTO PRODUTO (prd_id, prd_cat_id, prd_nome, prd_var, prd_atv) VALUES (2, 1, 'Agrião', '', 1);</v>
      </c>
    </row>
    <row r="4" spans="1:7" x14ac:dyDescent="0.3">
      <c r="A4">
        <v>3</v>
      </c>
      <c r="B4">
        <v>1</v>
      </c>
      <c r="C4" t="s">
        <v>391</v>
      </c>
      <c r="D4" t="s">
        <v>392</v>
      </c>
      <c r="E4">
        <v>1</v>
      </c>
      <c r="G4" t="str">
        <f t="shared" si="0"/>
        <v>INSERT INTO PRODUTO (prd_id, prd_cat_id, prd_nome, prd_var, prd_atv) VALUES (3, 1, 'Alface', 'Americana', 1);</v>
      </c>
    </row>
    <row r="5" spans="1:7" x14ac:dyDescent="0.3">
      <c r="A5">
        <v>4</v>
      </c>
      <c r="B5">
        <v>1</v>
      </c>
      <c r="C5" t="s">
        <v>391</v>
      </c>
      <c r="D5" t="s">
        <v>393</v>
      </c>
      <c r="E5">
        <v>1</v>
      </c>
      <c r="G5" t="str">
        <f t="shared" si="0"/>
        <v>INSERT INTO PRODUTO (prd_id, prd_cat_id, prd_nome, prd_var, prd_atv) VALUES (4, 1, 'Alface', 'Crespa', 1);</v>
      </c>
    </row>
    <row r="6" spans="1:7" x14ac:dyDescent="0.3">
      <c r="A6">
        <v>5</v>
      </c>
      <c r="B6">
        <v>1</v>
      </c>
      <c r="C6" t="s">
        <v>391</v>
      </c>
      <c r="D6" t="s">
        <v>394</v>
      </c>
      <c r="E6">
        <v>1</v>
      </c>
      <c r="G6" t="str">
        <f t="shared" si="0"/>
        <v>INSERT INTO PRODUTO (prd_id, prd_cat_id, prd_nome, prd_var, prd_atv) VALUES (5, 1, 'Alface', 'Lisa', 1);</v>
      </c>
    </row>
    <row r="7" spans="1:7" x14ac:dyDescent="0.3">
      <c r="A7">
        <v>6</v>
      </c>
      <c r="B7">
        <v>1</v>
      </c>
      <c r="C7" t="s">
        <v>18</v>
      </c>
      <c r="E7">
        <v>1</v>
      </c>
      <c r="G7" t="str">
        <f t="shared" si="0"/>
        <v>INSERT INTO PRODUTO (prd_id, prd_cat_id, prd_nome, prd_var, prd_atv) VALUES (6, 1, 'Almeirão', '', 1);</v>
      </c>
    </row>
    <row r="8" spans="1:7" x14ac:dyDescent="0.3">
      <c r="A8">
        <v>7</v>
      </c>
      <c r="B8">
        <v>2</v>
      </c>
      <c r="C8" t="s">
        <v>395</v>
      </c>
      <c r="D8" t="s">
        <v>396</v>
      </c>
      <c r="E8">
        <v>1</v>
      </c>
      <c r="G8" t="str">
        <f t="shared" si="0"/>
        <v>INSERT INTO PRODUTO (prd_id, prd_cat_id, prd_nome, prd_var, prd_atv) VALUES (7, 2, 'Brócolis', 'Ninja/Japonês', 1);</v>
      </c>
    </row>
    <row r="9" spans="1:7" x14ac:dyDescent="0.3">
      <c r="A9">
        <v>8</v>
      </c>
      <c r="B9">
        <v>2</v>
      </c>
      <c r="C9" t="s">
        <v>395</v>
      </c>
      <c r="D9" t="s">
        <v>397</v>
      </c>
      <c r="E9">
        <v>1</v>
      </c>
      <c r="G9" t="str">
        <f t="shared" si="0"/>
        <v>INSERT INTO PRODUTO (prd_id, prd_cat_id, prd_nome, prd_var, prd_atv) VALUES (8, 2, 'Brócolis', 'Ramoso', 1);</v>
      </c>
    </row>
    <row r="10" spans="1:7" x14ac:dyDescent="0.3">
      <c r="A10">
        <v>9</v>
      </c>
      <c r="B10">
        <v>1</v>
      </c>
      <c r="C10" t="s">
        <v>22</v>
      </c>
      <c r="D10" t="s">
        <v>398</v>
      </c>
      <c r="E10">
        <v>1</v>
      </c>
      <c r="G10" t="str">
        <f t="shared" si="0"/>
        <v>INSERT INTO PRODUTO (prd_id, prd_cat_id, prd_nome, prd_var, prd_atv) VALUES (9, 1, 'Couve', 'Manteiga', 1);</v>
      </c>
    </row>
    <row r="11" spans="1:7" x14ac:dyDescent="0.3">
      <c r="A11">
        <v>10</v>
      </c>
      <c r="B11">
        <v>2</v>
      </c>
      <c r="C11" t="s">
        <v>399</v>
      </c>
      <c r="E11">
        <v>1</v>
      </c>
      <c r="G11" t="str">
        <f t="shared" si="0"/>
        <v>INSERT INTO PRODUTO (prd_id, prd_cat_id, prd_nome, prd_var, prd_atv) VALUES (10, 2, 'Couve-Flor', '', 1);</v>
      </c>
    </row>
    <row r="12" spans="1:7" x14ac:dyDescent="0.3">
      <c r="A12">
        <v>11</v>
      </c>
      <c r="B12">
        <v>1</v>
      </c>
      <c r="C12" t="s">
        <v>23</v>
      </c>
      <c r="E12">
        <v>1</v>
      </c>
      <c r="G12" t="str">
        <f t="shared" si="0"/>
        <v>INSERT INTO PRODUTO (prd_id, prd_cat_id, prd_nome, prd_var, prd_atv) VALUES (11, 1, 'Escarola', '', 1);</v>
      </c>
    </row>
    <row r="13" spans="1:7" x14ac:dyDescent="0.3">
      <c r="A13">
        <v>12</v>
      </c>
      <c r="B13">
        <v>1</v>
      </c>
      <c r="C13" t="s">
        <v>24</v>
      </c>
      <c r="E13">
        <v>1</v>
      </c>
      <c r="G13" t="str">
        <f t="shared" si="0"/>
        <v>INSERT INTO PRODUTO (prd_id, prd_cat_id, prd_nome, prd_var, prd_atv) VALUES (12, 1, 'Espinafre', '', 1);</v>
      </c>
    </row>
    <row r="14" spans="1:7" x14ac:dyDescent="0.3">
      <c r="A14">
        <v>13</v>
      </c>
      <c r="B14">
        <v>7</v>
      </c>
      <c r="C14" t="s">
        <v>25</v>
      </c>
      <c r="E14">
        <v>1</v>
      </c>
      <c r="G14" t="str">
        <f t="shared" si="0"/>
        <v>INSERT INTO PRODUTO (prd_id, prd_cat_id, prd_nome, prd_var, prd_atv) VALUES (13, 7, 'Rabanete', '', 1);</v>
      </c>
    </row>
    <row r="15" spans="1:7" x14ac:dyDescent="0.3">
      <c r="A15">
        <v>14</v>
      </c>
      <c r="B15">
        <v>1</v>
      </c>
      <c r="C15" t="s">
        <v>400</v>
      </c>
      <c r="D15" t="s">
        <v>401</v>
      </c>
      <c r="E15">
        <v>1</v>
      </c>
      <c r="G15" t="str">
        <f t="shared" si="0"/>
        <v>INSERT INTO PRODUTO (prd_id, prd_cat_id, prd_nome, prd_var, prd_atv) VALUES (14, 1, 'Repolho', 'Roxo', 1);</v>
      </c>
    </row>
    <row r="16" spans="1:7" x14ac:dyDescent="0.3">
      <c r="A16">
        <v>15</v>
      </c>
      <c r="B16">
        <v>1</v>
      </c>
      <c r="C16" t="s">
        <v>400</v>
      </c>
      <c r="D16" t="s">
        <v>402</v>
      </c>
      <c r="E16">
        <v>1</v>
      </c>
      <c r="G16" t="str">
        <f t="shared" si="0"/>
        <v>INSERT INTO PRODUTO (prd_id, prd_cat_id, prd_nome, prd_var, prd_atv) VALUES (15, 1, 'Repolho', 'Verde', 1);</v>
      </c>
    </row>
    <row r="17" spans="1:7" x14ac:dyDescent="0.3">
      <c r="A17">
        <v>16</v>
      </c>
      <c r="B17">
        <v>1</v>
      </c>
      <c r="C17" t="s">
        <v>29</v>
      </c>
      <c r="E17">
        <v>1</v>
      </c>
      <c r="G17" t="str">
        <f t="shared" si="0"/>
        <v>INSERT INTO PRODUTO (prd_id, prd_cat_id, prd_nome, prd_var, prd_atv) VALUES (16, 1, 'Rúcula', '', 1);</v>
      </c>
    </row>
    <row r="18" spans="1:7" x14ac:dyDescent="0.3">
      <c r="A18">
        <v>17</v>
      </c>
      <c r="B18">
        <v>4</v>
      </c>
      <c r="C18" t="s">
        <v>31</v>
      </c>
      <c r="E18">
        <v>1</v>
      </c>
      <c r="G18" t="str">
        <f t="shared" si="0"/>
        <v>INSERT INTO PRODUTO (prd_id, prd_cat_id, prd_nome, prd_var, prd_atv) VALUES (17, 4, 'Cebolinha', '', 1);</v>
      </c>
    </row>
    <row r="19" spans="1:7" x14ac:dyDescent="0.3">
      <c r="A19">
        <v>18</v>
      </c>
      <c r="B19">
        <v>4</v>
      </c>
      <c r="C19" t="s">
        <v>34</v>
      </c>
      <c r="E19">
        <v>1</v>
      </c>
      <c r="G19" t="str">
        <f t="shared" si="0"/>
        <v>INSERT INTO PRODUTO (prd_id, prd_cat_id, prd_nome, prd_var, prd_atv) VALUES (18, 4, 'Coentro', '', 1);</v>
      </c>
    </row>
    <row r="20" spans="1:7" x14ac:dyDescent="0.3">
      <c r="A20">
        <v>19</v>
      </c>
      <c r="B20">
        <v>4</v>
      </c>
      <c r="C20" t="s">
        <v>36</v>
      </c>
      <c r="E20">
        <v>1</v>
      </c>
      <c r="G20" t="str">
        <f t="shared" si="0"/>
        <v>INSERT INTO PRODUTO (prd_id, prd_cat_id, prd_nome, prd_var, prd_atv) VALUES (19, 4, 'Salsinha', '', 1);</v>
      </c>
    </row>
    <row r="21" spans="1:7" x14ac:dyDescent="0.3">
      <c r="A21">
        <v>20</v>
      </c>
      <c r="B21">
        <v>6</v>
      </c>
      <c r="C21" t="s">
        <v>403</v>
      </c>
      <c r="D21" t="s">
        <v>404</v>
      </c>
      <c r="E21">
        <v>1</v>
      </c>
      <c r="G21" t="str">
        <f t="shared" si="0"/>
        <v>INSERT INTO PRODUTO (prd_id, prd_cat_id, prd_nome, prd_var, prd_atv) VALUES (20, 6, 'Abóbora', 'Cabotiá', 1);</v>
      </c>
    </row>
    <row r="22" spans="1:7" x14ac:dyDescent="0.3">
      <c r="A22">
        <v>21</v>
      </c>
      <c r="B22">
        <v>6</v>
      </c>
      <c r="C22" t="s">
        <v>405</v>
      </c>
      <c r="D22" t="s">
        <v>406</v>
      </c>
      <c r="E22">
        <v>1</v>
      </c>
      <c r="G22" t="str">
        <f t="shared" si="0"/>
        <v>INSERT INTO PRODUTO (prd_id, prd_cat_id, prd_nome, prd_var, prd_atv) VALUES (21, 6, 'Abobrinha', 'Italiana', 1);</v>
      </c>
    </row>
    <row r="23" spans="1:7" x14ac:dyDescent="0.3">
      <c r="A23">
        <v>22</v>
      </c>
      <c r="B23">
        <v>7</v>
      </c>
      <c r="C23" t="s">
        <v>42</v>
      </c>
      <c r="E23">
        <v>1</v>
      </c>
      <c r="G23" t="str">
        <f t="shared" si="0"/>
        <v>INSERT INTO PRODUTO (prd_id, prd_cat_id, prd_nome, prd_var, prd_atv) VALUES (22, 7, 'Batata-doce', '', 1);</v>
      </c>
    </row>
    <row r="24" spans="1:7" x14ac:dyDescent="0.3">
      <c r="A24">
        <v>23</v>
      </c>
      <c r="B24">
        <v>6</v>
      </c>
      <c r="C24" t="s">
        <v>407</v>
      </c>
      <c r="D24" t="s">
        <v>6</v>
      </c>
      <c r="E24">
        <v>1</v>
      </c>
      <c r="G24" t="str">
        <f t="shared" si="0"/>
        <v>INSERT INTO PRODUTO (prd_id, prd_cat_id, prd_nome, prd_var, prd_atv) VALUES (23, 6, 'Berinjela', 'Comum', 1);</v>
      </c>
    </row>
    <row r="25" spans="1:7" x14ac:dyDescent="0.3">
      <c r="A25">
        <v>24</v>
      </c>
      <c r="B25">
        <v>6</v>
      </c>
      <c r="C25" t="s">
        <v>407</v>
      </c>
      <c r="D25" t="s">
        <v>408</v>
      </c>
      <c r="E25">
        <v>1</v>
      </c>
      <c r="G25" t="str">
        <f t="shared" si="0"/>
        <v>INSERT INTO PRODUTO (prd_id, prd_cat_id, prd_nome, prd_var, prd_atv) VALUES (24, 6, 'Berinjela', 'Japonesa', 1);</v>
      </c>
    </row>
    <row r="26" spans="1:7" x14ac:dyDescent="0.3">
      <c r="A26">
        <v>25</v>
      </c>
      <c r="B26">
        <v>7</v>
      </c>
      <c r="C26" t="s">
        <v>49</v>
      </c>
      <c r="E26">
        <v>1</v>
      </c>
      <c r="G26" t="str">
        <f t="shared" si="0"/>
        <v>INSERT INTO PRODUTO (prd_id, prd_cat_id, prd_nome, prd_var, prd_atv) VALUES (25, 7, 'Beterraba', '', 1);</v>
      </c>
    </row>
    <row r="27" spans="1:7" x14ac:dyDescent="0.3">
      <c r="A27">
        <v>26</v>
      </c>
      <c r="B27">
        <v>7</v>
      </c>
      <c r="C27" t="s">
        <v>52</v>
      </c>
      <c r="E27">
        <v>1</v>
      </c>
      <c r="G27" t="str">
        <f t="shared" si="0"/>
        <v>INSERT INTO PRODUTO (prd_id, prd_cat_id, prd_nome, prd_var, prd_atv) VALUES (26, 7, 'Cenoura', '', 1);</v>
      </c>
    </row>
    <row r="28" spans="1:7" x14ac:dyDescent="0.3">
      <c r="A28">
        <v>27</v>
      </c>
      <c r="B28">
        <v>6</v>
      </c>
      <c r="C28" t="s">
        <v>53</v>
      </c>
      <c r="E28">
        <v>1</v>
      </c>
      <c r="G28" t="str">
        <f t="shared" si="0"/>
        <v>INSERT INTO PRODUTO (prd_id, prd_cat_id, prd_nome, prd_var, prd_atv) VALUES (27, 6, 'Chuchu', '', 1);</v>
      </c>
    </row>
    <row r="29" spans="1:7" x14ac:dyDescent="0.3">
      <c r="A29">
        <v>28</v>
      </c>
      <c r="B29">
        <v>6</v>
      </c>
      <c r="C29" t="s">
        <v>54</v>
      </c>
      <c r="E29">
        <v>1</v>
      </c>
      <c r="G29" t="str">
        <f t="shared" si="0"/>
        <v>INSERT INTO PRODUTO (prd_id, prd_cat_id, prd_nome, prd_var, prd_atv) VALUES (28, 6, 'Jiló', '', 1);</v>
      </c>
    </row>
    <row r="30" spans="1:7" x14ac:dyDescent="0.3">
      <c r="A30">
        <v>29</v>
      </c>
      <c r="B30">
        <v>7</v>
      </c>
      <c r="C30" t="s">
        <v>56</v>
      </c>
      <c r="E30">
        <v>1</v>
      </c>
      <c r="G30" t="str">
        <f t="shared" si="0"/>
        <v>INSERT INTO PRODUTO (prd_id, prd_cat_id, prd_nome, prd_var, prd_atv) VALUES (29, 7, 'Mandioca', '', 1);</v>
      </c>
    </row>
    <row r="31" spans="1:7" x14ac:dyDescent="0.3">
      <c r="A31">
        <v>30</v>
      </c>
      <c r="B31">
        <v>6</v>
      </c>
      <c r="C31" t="s">
        <v>409</v>
      </c>
      <c r="D31" t="s">
        <v>6</v>
      </c>
      <c r="E31">
        <v>1</v>
      </c>
      <c r="G31" t="str">
        <f t="shared" si="0"/>
        <v>INSERT INTO PRODUTO (prd_id, prd_cat_id, prd_nome, prd_var, prd_atv) VALUES (30, 6, 'Pepino', 'Comum', 1);</v>
      </c>
    </row>
    <row r="32" spans="1:7" x14ac:dyDescent="0.3">
      <c r="A32">
        <v>31</v>
      </c>
      <c r="B32">
        <v>6</v>
      </c>
      <c r="C32" t="s">
        <v>409</v>
      </c>
      <c r="D32" t="s">
        <v>410</v>
      </c>
      <c r="E32">
        <v>1</v>
      </c>
      <c r="G32" t="str">
        <f t="shared" si="0"/>
        <v>INSERT INTO PRODUTO (prd_id, prd_cat_id, prd_nome, prd_var, prd_atv) VALUES (31, 6, 'Pepino', 'Japonês', 1);</v>
      </c>
    </row>
    <row r="33" spans="1:7" x14ac:dyDescent="0.3">
      <c r="A33">
        <v>32</v>
      </c>
      <c r="B33">
        <v>6</v>
      </c>
      <c r="C33" t="s">
        <v>411</v>
      </c>
      <c r="D33" t="s">
        <v>402</v>
      </c>
      <c r="E33">
        <v>1</v>
      </c>
      <c r="G33" t="str">
        <f t="shared" si="0"/>
        <v>INSERT INTO PRODUTO (prd_id, prd_cat_id, prd_nome, prd_var, prd_atv) VALUES (32, 6, 'Pimentão', 'Verde', 1);</v>
      </c>
    </row>
    <row r="34" spans="1:7" x14ac:dyDescent="0.3">
      <c r="A34">
        <v>33</v>
      </c>
      <c r="B34">
        <v>6</v>
      </c>
      <c r="C34" t="s">
        <v>60</v>
      </c>
      <c r="E34">
        <v>1</v>
      </c>
      <c r="G34" t="str">
        <f t="shared" si="0"/>
        <v>INSERT INTO PRODUTO (prd_id, prd_cat_id, prd_nome, prd_var, prd_atv) VALUES (33, 6, 'Quiabo', '', 1);</v>
      </c>
    </row>
    <row r="35" spans="1:7" x14ac:dyDescent="0.3">
      <c r="A35">
        <v>34</v>
      </c>
      <c r="B35">
        <v>6</v>
      </c>
      <c r="C35" t="s">
        <v>412</v>
      </c>
      <c r="D35" t="s">
        <v>413</v>
      </c>
      <c r="E35">
        <v>1</v>
      </c>
      <c r="G35" t="str">
        <f t="shared" si="0"/>
        <v>INSERT INTO PRODUTO (prd_id, prd_cat_id, prd_nome, prd_var, prd_atv) VALUES (34, 6, 'Tomate', 'Débora', 1);</v>
      </c>
    </row>
    <row r="36" spans="1:7" x14ac:dyDescent="0.3">
      <c r="A36">
        <v>35</v>
      </c>
      <c r="B36">
        <v>5</v>
      </c>
      <c r="C36" t="s">
        <v>414</v>
      </c>
      <c r="D36" t="s">
        <v>415</v>
      </c>
      <c r="E36">
        <v>1</v>
      </c>
      <c r="G36" t="str">
        <f t="shared" si="0"/>
        <v>INSERT INTO PRODUTO (prd_id, prd_cat_id, prd_nome, prd_var, prd_atv) VALUES (35, 5, 'Vagem', 'Macarrão', 1);</v>
      </c>
    </row>
    <row r="37" spans="1:7" x14ac:dyDescent="0.3">
      <c r="A37">
        <v>36</v>
      </c>
      <c r="B37">
        <v>10</v>
      </c>
      <c r="C37" t="s">
        <v>416</v>
      </c>
      <c r="D37" t="s">
        <v>417</v>
      </c>
      <c r="E37">
        <v>1</v>
      </c>
      <c r="G37" t="str">
        <f t="shared" si="0"/>
        <v>INSERT INTO PRODUTO (prd_id, prd_cat_id, prd_nome, prd_var, prd_atv) VALUES (36, 10, 'Caqui', 'Fuyu', 1);</v>
      </c>
    </row>
    <row r="38" spans="1:7" x14ac:dyDescent="0.3">
      <c r="A38">
        <v>37</v>
      </c>
      <c r="B38">
        <v>10</v>
      </c>
      <c r="C38" t="s">
        <v>416</v>
      </c>
      <c r="D38" t="s">
        <v>418</v>
      </c>
      <c r="E38">
        <v>1</v>
      </c>
      <c r="G38" t="str">
        <f t="shared" si="0"/>
        <v>INSERT INTO PRODUTO (prd_id, prd_cat_id, prd_nome, prd_var, prd_atv) VALUES (37, 10, 'Caqui', 'Guiombo', 1);</v>
      </c>
    </row>
    <row r="39" spans="1:7" x14ac:dyDescent="0.3">
      <c r="A39">
        <v>38</v>
      </c>
      <c r="B39">
        <v>10</v>
      </c>
      <c r="C39" t="s">
        <v>416</v>
      </c>
      <c r="D39" t="s">
        <v>419</v>
      </c>
      <c r="E39">
        <v>1</v>
      </c>
      <c r="G39" t="str">
        <f t="shared" si="0"/>
        <v>INSERT INTO PRODUTO (prd_id, prd_cat_id, prd_nome, prd_var, prd_atv) VALUES (38, 10, 'Caqui', 'Rama Forte', 1);</v>
      </c>
    </row>
    <row r="40" spans="1:7" x14ac:dyDescent="0.3">
      <c r="A40">
        <v>39</v>
      </c>
      <c r="B40">
        <v>10</v>
      </c>
      <c r="C40" t="s">
        <v>69</v>
      </c>
      <c r="E40">
        <v>1</v>
      </c>
      <c r="G40" t="str">
        <f t="shared" si="0"/>
        <v>INSERT INTO PRODUTO (prd_id, prd_cat_id, prd_nome, prd_var, prd_atv) VALUES (39, 10, 'Goiaba', '', 1);</v>
      </c>
    </row>
    <row r="41" spans="1:7" x14ac:dyDescent="0.3">
      <c r="A41">
        <v>40</v>
      </c>
      <c r="B41">
        <v>10</v>
      </c>
      <c r="C41" t="s">
        <v>420</v>
      </c>
      <c r="D41" t="s">
        <v>421</v>
      </c>
      <c r="E41">
        <v>1</v>
      </c>
      <c r="G41" t="str">
        <f t="shared" si="0"/>
        <v>INSERT INTO PRODUTO (prd_id, prd_cat_id, prd_nome, prd_var, prd_atv) VALUES (40, 10, 'Mexerica', 'Ponkan', 1);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1"/>
  <sheetViews>
    <sheetView topLeftCell="A10" zoomScaleNormal="100" workbookViewId="0">
      <selection activeCell="H2" sqref="H2:H41"/>
    </sheetView>
  </sheetViews>
  <sheetFormatPr defaultColWidth="8.44140625" defaultRowHeight="14.4" x14ac:dyDescent="0.3"/>
  <sheetData>
    <row r="1" spans="1:8" x14ac:dyDescent="0.3">
      <c r="A1" t="s">
        <v>359</v>
      </c>
      <c r="B1" t="s">
        <v>448</v>
      </c>
      <c r="C1" t="s">
        <v>449</v>
      </c>
      <c r="D1" t="s">
        <v>441</v>
      </c>
      <c r="E1" t="s">
        <v>450</v>
      </c>
      <c r="F1" t="s">
        <v>442</v>
      </c>
    </row>
    <row r="2" spans="1:8" x14ac:dyDescent="0.3">
      <c r="A2">
        <v>1</v>
      </c>
      <c r="B2">
        <v>1</v>
      </c>
      <c r="C2">
        <v>3</v>
      </c>
      <c r="D2">
        <v>1</v>
      </c>
      <c r="F2" s="15">
        <v>1</v>
      </c>
      <c r="G2" t="str">
        <f>"INSERT INTO PRODUTO_APRESENTACAO (pap_id, pap_prd_id, pap_tap_id, pap_qtd, pap_umd_id, pap_atv) VALUES ("&amp;A2&amp;", "&amp;B2&amp;", "&amp;C2&amp;", "&amp;D2&amp;", "&amp;IF(E2="","NULL",E2)&amp;", "&amp;F2&amp;");"</f>
        <v>INSERT INTO PRODUTO_APRESENTACAO (pap_id, pap_prd_id, pap_tap_id, pap_qtd, pap_umd_id, pap_atv) VALUES (1, 1, 3, 1, NULL, 1);</v>
      </c>
      <c r="H2" t="str">
        <f>"UPDATE PRODUTO_APRESENTACAO SET pap_prd_id = "&amp;B2&amp;", pap_tap_id = "&amp;C2&amp;", pap_qtd = "&amp;D2&amp;", pap_umd_id = "&amp;IF(E2="","NULL",E2)&amp;", pap_atv = "&amp;F2&amp;" WHERE pap_id = "&amp;A2&amp;";"</f>
        <v>UPDATE PRODUTO_APRESENTACAO SET pap_prd_id = 1, pap_tap_id = 3, pap_qtd = 1, pap_umd_id = NULL, pap_atv = 1 WHERE pap_id = 1;</v>
      </c>
    </row>
    <row r="3" spans="1:8" x14ac:dyDescent="0.3">
      <c r="A3">
        <v>2</v>
      </c>
      <c r="B3">
        <v>2</v>
      </c>
      <c r="C3">
        <v>3</v>
      </c>
      <c r="D3">
        <v>1</v>
      </c>
      <c r="F3">
        <v>1</v>
      </c>
      <c r="G3" t="str">
        <f t="shared" ref="G3:G41" si="0">"INSERT INTO PRODUTO_APRESENTACAO (pap_id, pap_prd_id, pap_tap_id, pap_qtd, pap_umd_id, pap_atv) VALUES ("&amp;A3&amp;", "&amp;B3&amp;", "&amp;C3&amp;", "&amp;D3&amp;", "&amp;IF(E3="","NULL",E3)&amp;", "&amp;F3&amp;");"</f>
        <v>INSERT INTO PRODUTO_APRESENTACAO (pap_id, pap_prd_id, pap_tap_id, pap_qtd, pap_umd_id, pap_atv) VALUES (2, 2, 3, 1, NULL, 1);</v>
      </c>
      <c r="H3" t="str">
        <f t="shared" ref="H3:H41" si="1">"UPDATE PRODUTO_APRESENTACAO SET pap_prd_id = "&amp;B3&amp;", pap_tap_id = "&amp;C3&amp;", pap_qtd = "&amp;D3&amp;", pap_umd_id = "&amp;IF(E3="","NULL",E3)&amp;", pap_atv = "&amp;F3&amp;" WHERE pap_id = "&amp;A3&amp;";"</f>
        <v>UPDATE PRODUTO_APRESENTACAO SET pap_prd_id = 2, pap_tap_id = 3, pap_qtd = 1, pap_umd_id = NULL, pap_atv = 1 WHERE pap_id = 2;</v>
      </c>
    </row>
    <row r="4" spans="1:8" x14ac:dyDescent="0.3">
      <c r="A4">
        <v>3</v>
      </c>
      <c r="B4">
        <v>3</v>
      </c>
      <c r="C4">
        <v>3</v>
      </c>
      <c r="D4">
        <v>1</v>
      </c>
      <c r="F4">
        <v>1</v>
      </c>
      <c r="G4" t="str">
        <f t="shared" si="0"/>
        <v>INSERT INTO PRODUTO_APRESENTACAO (pap_id, pap_prd_id, pap_tap_id, pap_qtd, pap_umd_id, pap_atv) VALUES (3, 3, 3, 1, NULL, 1);</v>
      </c>
      <c r="H4" t="str">
        <f t="shared" si="1"/>
        <v>UPDATE PRODUTO_APRESENTACAO SET pap_prd_id = 3, pap_tap_id = 3, pap_qtd = 1, pap_umd_id = NULL, pap_atv = 1 WHERE pap_id = 3;</v>
      </c>
    </row>
    <row r="5" spans="1:8" x14ac:dyDescent="0.3">
      <c r="A5">
        <v>4</v>
      </c>
      <c r="B5">
        <v>4</v>
      </c>
      <c r="C5">
        <v>3</v>
      </c>
      <c r="D5">
        <v>1</v>
      </c>
      <c r="F5">
        <v>1</v>
      </c>
      <c r="G5" t="str">
        <f t="shared" si="0"/>
        <v>INSERT INTO PRODUTO_APRESENTACAO (pap_id, pap_prd_id, pap_tap_id, pap_qtd, pap_umd_id, pap_atv) VALUES (4, 4, 3, 1, NULL, 1);</v>
      </c>
      <c r="H5" t="str">
        <f t="shared" si="1"/>
        <v>UPDATE PRODUTO_APRESENTACAO SET pap_prd_id = 4, pap_tap_id = 3, pap_qtd = 1, pap_umd_id = NULL, pap_atv = 1 WHERE pap_id = 4;</v>
      </c>
    </row>
    <row r="6" spans="1:8" x14ac:dyDescent="0.3">
      <c r="A6">
        <v>5</v>
      </c>
      <c r="B6">
        <v>5</v>
      </c>
      <c r="C6">
        <v>3</v>
      </c>
      <c r="D6">
        <v>1</v>
      </c>
      <c r="F6">
        <v>1</v>
      </c>
      <c r="G6" t="str">
        <f t="shared" si="0"/>
        <v>INSERT INTO PRODUTO_APRESENTACAO (pap_id, pap_prd_id, pap_tap_id, pap_qtd, pap_umd_id, pap_atv) VALUES (5, 5, 3, 1, NULL, 1);</v>
      </c>
      <c r="H6" t="str">
        <f t="shared" si="1"/>
        <v>UPDATE PRODUTO_APRESENTACAO SET pap_prd_id = 5, pap_tap_id = 3, pap_qtd = 1, pap_umd_id = NULL, pap_atv = 1 WHERE pap_id = 5;</v>
      </c>
    </row>
    <row r="7" spans="1:8" x14ac:dyDescent="0.3">
      <c r="A7">
        <v>6</v>
      </c>
      <c r="B7">
        <v>6</v>
      </c>
      <c r="C7">
        <v>3</v>
      </c>
      <c r="D7">
        <v>1</v>
      </c>
      <c r="F7">
        <v>1</v>
      </c>
      <c r="G7" t="str">
        <f t="shared" si="0"/>
        <v>INSERT INTO PRODUTO_APRESENTACAO (pap_id, pap_prd_id, pap_tap_id, pap_qtd, pap_umd_id, pap_atv) VALUES (6, 6, 3, 1, NULL, 1);</v>
      </c>
      <c r="H7" t="str">
        <f t="shared" si="1"/>
        <v>UPDATE PRODUTO_APRESENTACAO SET pap_prd_id = 6, pap_tap_id = 3, pap_qtd = 1, pap_umd_id = NULL, pap_atv = 1 WHERE pap_id = 6;</v>
      </c>
    </row>
    <row r="8" spans="1:8" x14ac:dyDescent="0.3">
      <c r="A8">
        <v>7</v>
      </c>
      <c r="B8">
        <v>7</v>
      </c>
      <c r="C8">
        <v>3</v>
      </c>
      <c r="D8">
        <v>1</v>
      </c>
      <c r="F8">
        <v>1</v>
      </c>
      <c r="G8" t="str">
        <f t="shared" si="0"/>
        <v>INSERT INTO PRODUTO_APRESENTACAO (pap_id, pap_prd_id, pap_tap_id, pap_qtd, pap_umd_id, pap_atv) VALUES (7, 7, 3, 1, NULL, 1);</v>
      </c>
      <c r="H8" t="str">
        <f t="shared" si="1"/>
        <v>UPDATE PRODUTO_APRESENTACAO SET pap_prd_id = 7, pap_tap_id = 3, pap_qtd = 1, pap_umd_id = NULL, pap_atv = 1 WHERE pap_id = 7;</v>
      </c>
    </row>
    <row r="9" spans="1:8" x14ac:dyDescent="0.3">
      <c r="A9">
        <v>8</v>
      </c>
      <c r="B9">
        <v>8</v>
      </c>
      <c r="C9">
        <v>3</v>
      </c>
      <c r="D9">
        <v>1</v>
      </c>
      <c r="F9">
        <v>1</v>
      </c>
      <c r="G9" t="str">
        <f t="shared" si="0"/>
        <v>INSERT INTO PRODUTO_APRESENTACAO (pap_id, pap_prd_id, pap_tap_id, pap_qtd, pap_umd_id, pap_atv) VALUES (8, 8, 3, 1, NULL, 1);</v>
      </c>
      <c r="H9" t="str">
        <f t="shared" si="1"/>
        <v>UPDATE PRODUTO_APRESENTACAO SET pap_prd_id = 8, pap_tap_id = 3, pap_qtd = 1, pap_umd_id = NULL, pap_atv = 1 WHERE pap_id = 8;</v>
      </c>
    </row>
    <row r="10" spans="1:8" x14ac:dyDescent="0.3">
      <c r="A10">
        <v>9</v>
      </c>
      <c r="B10">
        <v>9</v>
      </c>
      <c r="C10">
        <v>3</v>
      </c>
      <c r="D10">
        <v>1</v>
      </c>
      <c r="F10">
        <v>1</v>
      </c>
      <c r="G10" t="str">
        <f t="shared" si="0"/>
        <v>INSERT INTO PRODUTO_APRESENTACAO (pap_id, pap_prd_id, pap_tap_id, pap_qtd, pap_umd_id, pap_atv) VALUES (9, 9, 3, 1, NULL, 1);</v>
      </c>
      <c r="H10" t="str">
        <f t="shared" si="1"/>
        <v>UPDATE PRODUTO_APRESENTACAO SET pap_prd_id = 9, pap_tap_id = 3, pap_qtd = 1, pap_umd_id = NULL, pap_atv = 1 WHERE pap_id = 9;</v>
      </c>
    </row>
    <row r="11" spans="1:8" x14ac:dyDescent="0.3">
      <c r="A11">
        <v>10</v>
      </c>
      <c r="B11">
        <v>10</v>
      </c>
      <c r="C11">
        <v>3</v>
      </c>
      <c r="D11">
        <v>1</v>
      </c>
      <c r="F11">
        <v>1</v>
      </c>
      <c r="G11" t="str">
        <f t="shared" si="0"/>
        <v>INSERT INTO PRODUTO_APRESENTACAO (pap_id, pap_prd_id, pap_tap_id, pap_qtd, pap_umd_id, pap_atv) VALUES (10, 10, 3, 1, NULL, 1);</v>
      </c>
      <c r="H11" t="str">
        <f t="shared" si="1"/>
        <v>UPDATE PRODUTO_APRESENTACAO SET pap_prd_id = 10, pap_tap_id = 3, pap_qtd = 1, pap_umd_id = NULL, pap_atv = 1 WHERE pap_id = 10;</v>
      </c>
    </row>
    <row r="12" spans="1:8" x14ac:dyDescent="0.3">
      <c r="A12">
        <v>11</v>
      </c>
      <c r="B12">
        <v>11</v>
      </c>
      <c r="C12">
        <v>3</v>
      </c>
      <c r="D12">
        <v>1</v>
      </c>
      <c r="F12">
        <v>1</v>
      </c>
      <c r="G12" t="str">
        <f t="shared" si="0"/>
        <v>INSERT INTO PRODUTO_APRESENTACAO (pap_id, pap_prd_id, pap_tap_id, pap_qtd, pap_umd_id, pap_atv) VALUES (11, 11, 3, 1, NULL, 1);</v>
      </c>
      <c r="H12" t="str">
        <f t="shared" si="1"/>
        <v>UPDATE PRODUTO_APRESENTACAO SET pap_prd_id = 11, pap_tap_id = 3, pap_qtd = 1, pap_umd_id = NULL, pap_atv = 1 WHERE pap_id = 11;</v>
      </c>
    </row>
    <row r="13" spans="1:8" x14ac:dyDescent="0.3">
      <c r="A13">
        <v>12</v>
      </c>
      <c r="B13">
        <v>12</v>
      </c>
      <c r="C13">
        <v>3</v>
      </c>
      <c r="D13">
        <v>1</v>
      </c>
      <c r="F13">
        <v>1</v>
      </c>
      <c r="G13" t="str">
        <f t="shared" si="0"/>
        <v>INSERT INTO PRODUTO_APRESENTACAO (pap_id, pap_prd_id, pap_tap_id, pap_qtd, pap_umd_id, pap_atv) VALUES (12, 12, 3, 1, NULL, 1);</v>
      </c>
      <c r="H13" t="str">
        <f t="shared" si="1"/>
        <v>UPDATE PRODUTO_APRESENTACAO SET pap_prd_id = 12, pap_tap_id = 3, pap_qtd = 1, pap_umd_id = NULL, pap_atv = 1 WHERE pap_id = 12;</v>
      </c>
    </row>
    <row r="14" spans="1:8" x14ac:dyDescent="0.3">
      <c r="A14">
        <v>13</v>
      </c>
      <c r="B14">
        <v>13</v>
      </c>
      <c r="C14">
        <v>2</v>
      </c>
      <c r="D14">
        <v>12</v>
      </c>
      <c r="F14">
        <v>1</v>
      </c>
      <c r="G14" t="str">
        <f t="shared" si="0"/>
        <v>INSERT INTO PRODUTO_APRESENTACAO (pap_id, pap_prd_id, pap_tap_id, pap_qtd, pap_umd_id, pap_atv) VALUES (13, 13, 2, 12, NULL, 1);</v>
      </c>
      <c r="H14" t="str">
        <f t="shared" si="1"/>
        <v>UPDATE PRODUTO_APRESENTACAO SET pap_prd_id = 13, pap_tap_id = 2, pap_qtd = 12, pap_umd_id = NULL, pap_atv = 1 WHERE pap_id = 13;</v>
      </c>
    </row>
    <row r="15" spans="1:8" x14ac:dyDescent="0.3">
      <c r="A15">
        <v>14</v>
      </c>
      <c r="B15">
        <v>14</v>
      </c>
      <c r="C15">
        <v>3</v>
      </c>
      <c r="D15">
        <v>1</v>
      </c>
      <c r="F15">
        <v>1</v>
      </c>
      <c r="G15" t="str">
        <f t="shared" si="0"/>
        <v>INSERT INTO PRODUTO_APRESENTACAO (pap_id, pap_prd_id, pap_tap_id, pap_qtd, pap_umd_id, pap_atv) VALUES (14, 14, 3, 1, NULL, 1);</v>
      </c>
      <c r="H15" t="str">
        <f t="shared" si="1"/>
        <v>UPDATE PRODUTO_APRESENTACAO SET pap_prd_id = 14, pap_tap_id = 3, pap_qtd = 1, pap_umd_id = NULL, pap_atv = 1 WHERE pap_id = 14;</v>
      </c>
    </row>
    <row r="16" spans="1:8" x14ac:dyDescent="0.3">
      <c r="A16">
        <v>15</v>
      </c>
      <c r="B16">
        <v>15</v>
      </c>
      <c r="C16">
        <v>3</v>
      </c>
      <c r="D16">
        <v>1</v>
      </c>
      <c r="F16">
        <v>1</v>
      </c>
      <c r="G16" t="str">
        <f t="shared" si="0"/>
        <v>INSERT INTO PRODUTO_APRESENTACAO (pap_id, pap_prd_id, pap_tap_id, pap_qtd, pap_umd_id, pap_atv) VALUES (15, 15, 3, 1, NULL, 1);</v>
      </c>
      <c r="H16" t="str">
        <f t="shared" si="1"/>
        <v>UPDATE PRODUTO_APRESENTACAO SET pap_prd_id = 15, pap_tap_id = 3, pap_qtd = 1, pap_umd_id = NULL, pap_atv = 1 WHERE pap_id = 15;</v>
      </c>
    </row>
    <row r="17" spans="1:8" x14ac:dyDescent="0.3">
      <c r="A17">
        <v>16</v>
      </c>
      <c r="B17">
        <v>16</v>
      </c>
      <c r="C17">
        <v>3</v>
      </c>
      <c r="D17">
        <v>1</v>
      </c>
      <c r="F17">
        <v>1</v>
      </c>
      <c r="G17" t="str">
        <f t="shared" si="0"/>
        <v>INSERT INTO PRODUTO_APRESENTACAO (pap_id, pap_prd_id, pap_tap_id, pap_qtd, pap_umd_id, pap_atv) VALUES (16, 16, 3, 1, NULL, 1);</v>
      </c>
      <c r="H17" t="str">
        <f t="shared" si="1"/>
        <v>UPDATE PRODUTO_APRESENTACAO SET pap_prd_id = 16, pap_tap_id = 3, pap_qtd = 1, pap_umd_id = NULL, pap_atv = 1 WHERE pap_id = 16;</v>
      </c>
    </row>
    <row r="18" spans="1:8" x14ac:dyDescent="0.3">
      <c r="A18">
        <v>17</v>
      </c>
      <c r="B18">
        <v>17</v>
      </c>
      <c r="C18">
        <v>2</v>
      </c>
      <c r="D18" t="s">
        <v>453</v>
      </c>
      <c r="E18">
        <v>1</v>
      </c>
      <c r="F18">
        <v>1</v>
      </c>
      <c r="G18" t="str">
        <f t="shared" si="0"/>
        <v>INSERT INTO PRODUTO_APRESENTACAO (pap_id, pap_prd_id, pap_tap_id, pap_qtd, pap_umd_id, pap_atv) VALUES (17, 17, 2, 0.5, 1, 1);</v>
      </c>
      <c r="H18" t="str">
        <f t="shared" si="1"/>
        <v>UPDATE PRODUTO_APRESENTACAO SET pap_prd_id = 17, pap_tap_id = 2, pap_qtd = 0.5, pap_umd_id = 1, pap_atv = 1 WHERE pap_id = 17;</v>
      </c>
    </row>
    <row r="19" spans="1:8" x14ac:dyDescent="0.3">
      <c r="A19">
        <v>18</v>
      </c>
      <c r="B19">
        <v>18</v>
      </c>
      <c r="C19">
        <v>2</v>
      </c>
      <c r="D19">
        <v>2</v>
      </c>
      <c r="E19">
        <v>1</v>
      </c>
      <c r="F19">
        <v>1</v>
      </c>
      <c r="G19" t="str">
        <f t="shared" si="0"/>
        <v>INSERT INTO PRODUTO_APRESENTACAO (pap_id, pap_prd_id, pap_tap_id, pap_qtd, pap_umd_id, pap_atv) VALUES (18, 18, 2, 2, 1, 1);</v>
      </c>
      <c r="H19" t="str">
        <f t="shared" si="1"/>
        <v>UPDATE PRODUTO_APRESENTACAO SET pap_prd_id = 18, pap_tap_id = 2, pap_qtd = 2, pap_umd_id = 1, pap_atv = 1 WHERE pap_id = 18;</v>
      </c>
    </row>
    <row r="20" spans="1:8" x14ac:dyDescent="0.3">
      <c r="A20">
        <v>19</v>
      </c>
      <c r="B20">
        <v>19</v>
      </c>
      <c r="C20">
        <v>2</v>
      </c>
      <c r="D20">
        <v>2</v>
      </c>
      <c r="E20">
        <v>1</v>
      </c>
      <c r="F20">
        <v>1</v>
      </c>
      <c r="G20" t="str">
        <f t="shared" si="0"/>
        <v>INSERT INTO PRODUTO_APRESENTACAO (pap_id, pap_prd_id, pap_tap_id, pap_qtd, pap_umd_id, pap_atv) VALUES (19, 19, 2, 2, 1, 1);</v>
      </c>
      <c r="H20" t="str">
        <f t="shared" si="1"/>
        <v>UPDATE PRODUTO_APRESENTACAO SET pap_prd_id = 19, pap_tap_id = 2, pap_qtd = 2, pap_umd_id = 1, pap_atv = 1 WHERE pap_id = 19;</v>
      </c>
    </row>
    <row r="21" spans="1:8" x14ac:dyDescent="0.3">
      <c r="A21">
        <v>20</v>
      </c>
      <c r="B21">
        <v>20</v>
      </c>
      <c r="C21">
        <v>1</v>
      </c>
      <c r="D21">
        <v>30</v>
      </c>
      <c r="E21">
        <v>1</v>
      </c>
      <c r="F21">
        <v>1</v>
      </c>
      <c r="G21" t="str">
        <f t="shared" si="0"/>
        <v>INSERT INTO PRODUTO_APRESENTACAO (pap_id, pap_prd_id, pap_tap_id, pap_qtd, pap_umd_id, pap_atv) VALUES (20, 20, 1, 30, 1, 1);</v>
      </c>
      <c r="H21" t="str">
        <f t="shared" si="1"/>
        <v>UPDATE PRODUTO_APRESENTACAO SET pap_prd_id = 20, pap_tap_id = 1, pap_qtd = 30, pap_umd_id = 1, pap_atv = 1 WHERE pap_id = 20;</v>
      </c>
    </row>
    <row r="22" spans="1:8" x14ac:dyDescent="0.3">
      <c r="A22">
        <v>21</v>
      </c>
      <c r="B22">
        <v>21</v>
      </c>
      <c r="C22">
        <v>1</v>
      </c>
      <c r="D22">
        <v>17</v>
      </c>
      <c r="E22">
        <v>1</v>
      </c>
      <c r="F22">
        <v>1</v>
      </c>
      <c r="G22" t="str">
        <f t="shared" si="0"/>
        <v>INSERT INTO PRODUTO_APRESENTACAO (pap_id, pap_prd_id, pap_tap_id, pap_qtd, pap_umd_id, pap_atv) VALUES (21, 21, 1, 17, 1, 1);</v>
      </c>
      <c r="H22" t="str">
        <f t="shared" si="1"/>
        <v>UPDATE PRODUTO_APRESENTACAO SET pap_prd_id = 21, pap_tap_id = 1, pap_qtd = 17, pap_umd_id = 1, pap_atv = 1 WHERE pap_id = 21;</v>
      </c>
    </row>
    <row r="23" spans="1:8" x14ac:dyDescent="0.3">
      <c r="A23">
        <v>22</v>
      </c>
      <c r="B23">
        <v>22</v>
      </c>
      <c r="C23">
        <v>1</v>
      </c>
      <c r="D23">
        <v>18</v>
      </c>
      <c r="E23">
        <v>1</v>
      </c>
      <c r="F23">
        <v>1</v>
      </c>
      <c r="G23" t="str">
        <f t="shared" si="0"/>
        <v>INSERT INTO PRODUTO_APRESENTACAO (pap_id, pap_prd_id, pap_tap_id, pap_qtd, pap_umd_id, pap_atv) VALUES (22, 22, 1, 18, 1, 1);</v>
      </c>
      <c r="H23" t="str">
        <f t="shared" si="1"/>
        <v>UPDATE PRODUTO_APRESENTACAO SET pap_prd_id = 22, pap_tap_id = 1, pap_qtd = 18, pap_umd_id = 1, pap_atv = 1 WHERE pap_id = 22;</v>
      </c>
    </row>
    <row r="24" spans="1:8" x14ac:dyDescent="0.3">
      <c r="A24">
        <v>23</v>
      </c>
      <c r="B24">
        <v>23</v>
      </c>
      <c r="C24">
        <v>1</v>
      </c>
      <c r="D24">
        <v>10</v>
      </c>
      <c r="E24">
        <v>1</v>
      </c>
      <c r="F24">
        <v>1</v>
      </c>
      <c r="G24" t="str">
        <f t="shared" si="0"/>
        <v>INSERT INTO PRODUTO_APRESENTACAO (pap_id, pap_prd_id, pap_tap_id, pap_qtd, pap_umd_id, pap_atv) VALUES (23, 23, 1, 10, 1, 1);</v>
      </c>
      <c r="H24" t="str">
        <f t="shared" si="1"/>
        <v>UPDATE PRODUTO_APRESENTACAO SET pap_prd_id = 23, pap_tap_id = 1, pap_qtd = 10, pap_umd_id = 1, pap_atv = 1 WHERE pap_id = 23;</v>
      </c>
    </row>
    <row r="25" spans="1:8" x14ac:dyDescent="0.3">
      <c r="A25">
        <v>24</v>
      </c>
      <c r="B25">
        <v>24</v>
      </c>
      <c r="C25">
        <v>1</v>
      </c>
      <c r="D25">
        <v>10</v>
      </c>
      <c r="E25">
        <v>1</v>
      </c>
      <c r="F25">
        <v>1</v>
      </c>
      <c r="G25" t="str">
        <f t="shared" si="0"/>
        <v>INSERT INTO PRODUTO_APRESENTACAO (pap_id, pap_prd_id, pap_tap_id, pap_qtd, pap_umd_id, pap_atv) VALUES (24, 24, 1, 10, 1, 1);</v>
      </c>
      <c r="H25" t="str">
        <f t="shared" si="1"/>
        <v>UPDATE PRODUTO_APRESENTACAO SET pap_prd_id = 24, pap_tap_id = 1, pap_qtd = 10, pap_umd_id = 1, pap_atv = 1 WHERE pap_id = 24;</v>
      </c>
    </row>
    <row r="26" spans="1:8" x14ac:dyDescent="0.3">
      <c r="A26">
        <v>25</v>
      </c>
      <c r="B26">
        <v>25</v>
      </c>
      <c r="C26">
        <v>1</v>
      </c>
      <c r="D26">
        <v>20</v>
      </c>
      <c r="E26">
        <v>1</v>
      </c>
      <c r="F26">
        <v>1</v>
      </c>
      <c r="G26" t="str">
        <f t="shared" si="0"/>
        <v>INSERT INTO PRODUTO_APRESENTACAO (pap_id, pap_prd_id, pap_tap_id, pap_qtd, pap_umd_id, pap_atv) VALUES (25, 25, 1, 20, 1, 1);</v>
      </c>
      <c r="H26" t="str">
        <f t="shared" si="1"/>
        <v>UPDATE PRODUTO_APRESENTACAO SET pap_prd_id = 25, pap_tap_id = 1, pap_qtd = 20, pap_umd_id = 1, pap_atv = 1 WHERE pap_id = 25;</v>
      </c>
    </row>
    <row r="27" spans="1:8" x14ac:dyDescent="0.3">
      <c r="A27">
        <v>26</v>
      </c>
      <c r="B27">
        <v>26</v>
      </c>
      <c r="C27">
        <v>1</v>
      </c>
      <c r="D27">
        <v>18</v>
      </c>
      <c r="E27">
        <v>1</v>
      </c>
      <c r="F27">
        <v>1</v>
      </c>
      <c r="G27" t="str">
        <f t="shared" si="0"/>
        <v>INSERT INTO PRODUTO_APRESENTACAO (pap_id, pap_prd_id, pap_tap_id, pap_qtd, pap_umd_id, pap_atv) VALUES (26, 26, 1, 18, 1, 1);</v>
      </c>
      <c r="H27" t="str">
        <f t="shared" si="1"/>
        <v>UPDATE PRODUTO_APRESENTACAO SET pap_prd_id = 26, pap_tap_id = 1, pap_qtd = 18, pap_umd_id = 1, pap_atv = 1 WHERE pap_id = 26;</v>
      </c>
    </row>
    <row r="28" spans="1:8" x14ac:dyDescent="0.3">
      <c r="A28">
        <v>27</v>
      </c>
      <c r="B28">
        <v>27</v>
      </c>
      <c r="C28">
        <v>1</v>
      </c>
      <c r="D28">
        <v>18</v>
      </c>
      <c r="E28">
        <v>1</v>
      </c>
      <c r="F28">
        <v>1</v>
      </c>
      <c r="G28" t="str">
        <f t="shared" si="0"/>
        <v>INSERT INTO PRODUTO_APRESENTACAO (pap_id, pap_prd_id, pap_tap_id, pap_qtd, pap_umd_id, pap_atv) VALUES (27, 27, 1, 18, 1, 1);</v>
      </c>
      <c r="H28" t="str">
        <f t="shared" si="1"/>
        <v>UPDATE PRODUTO_APRESENTACAO SET pap_prd_id = 27, pap_tap_id = 1, pap_qtd = 18, pap_umd_id = 1, pap_atv = 1 WHERE pap_id = 27;</v>
      </c>
    </row>
    <row r="29" spans="1:8" x14ac:dyDescent="0.3">
      <c r="A29">
        <v>28</v>
      </c>
      <c r="B29">
        <v>28</v>
      </c>
      <c r="C29">
        <v>1</v>
      </c>
      <c r="D29">
        <v>17</v>
      </c>
      <c r="E29">
        <v>1</v>
      </c>
      <c r="F29">
        <v>1</v>
      </c>
      <c r="G29" t="str">
        <f t="shared" si="0"/>
        <v>INSERT INTO PRODUTO_APRESENTACAO (pap_id, pap_prd_id, pap_tap_id, pap_qtd, pap_umd_id, pap_atv) VALUES (28, 28, 1, 17, 1, 1);</v>
      </c>
      <c r="H29" t="str">
        <f t="shared" si="1"/>
        <v>UPDATE PRODUTO_APRESENTACAO SET pap_prd_id = 28, pap_tap_id = 1, pap_qtd = 17, pap_umd_id = 1, pap_atv = 1 WHERE pap_id = 28;</v>
      </c>
    </row>
    <row r="30" spans="1:8" x14ac:dyDescent="0.3">
      <c r="A30">
        <v>29</v>
      </c>
      <c r="B30">
        <v>29</v>
      </c>
      <c r="C30">
        <v>1</v>
      </c>
      <c r="D30">
        <v>18</v>
      </c>
      <c r="E30">
        <v>1</v>
      </c>
      <c r="F30">
        <v>1</v>
      </c>
      <c r="G30" t="str">
        <f t="shared" si="0"/>
        <v>INSERT INTO PRODUTO_APRESENTACAO (pap_id, pap_prd_id, pap_tap_id, pap_qtd, pap_umd_id, pap_atv) VALUES (29, 29, 1, 18, 1, 1);</v>
      </c>
      <c r="H30" t="str">
        <f t="shared" si="1"/>
        <v>UPDATE PRODUTO_APRESENTACAO SET pap_prd_id = 29, pap_tap_id = 1, pap_qtd = 18, pap_umd_id = 1, pap_atv = 1 WHERE pap_id = 29;</v>
      </c>
    </row>
    <row r="31" spans="1:8" x14ac:dyDescent="0.3">
      <c r="A31">
        <v>30</v>
      </c>
      <c r="B31">
        <v>30</v>
      </c>
      <c r="C31">
        <v>1</v>
      </c>
      <c r="D31">
        <v>17</v>
      </c>
      <c r="E31">
        <v>1</v>
      </c>
      <c r="F31">
        <v>1</v>
      </c>
      <c r="G31" t="str">
        <f t="shared" si="0"/>
        <v>INSERT INTO PRODUTO_APRESENTACAO (pap_id, pap_prd_id, pap_tap_id, pap_qtd, pap_umd_id, pap_atv) VALUES (30, 30, 1, 17, 1, 1);</v>
      </c>
      <c r="H31" t="str">
        <f t="shared" si="1"/>
        <v>UPDATE PRODUTO_APRESENTACAO SET pap_prd_id = 30, pap_tap_id = 1, pap_qtd = 17, pap_umd_id = 1, pap_atv = 1 WHERE pap_id = 30;</v>
      </c>
    </row>
    <row r="32" spans="1:8" x14ac:dyDescent="0.3">
      <c r="A32">
        <v>31</v>
      </c>
      <c r="B32">
        <v>31</v>
      </c>
      <c r="C32">
        <v>1</v>
      </c>
      <c r="D32">
        <v>17</v>
      </c>
      <c r="E32">
        <v>1</v>
      </c>
      <c r="F32">
        <v>1</v>
      </c>
      <c r="G32" t="str">
        <f t="shared" si="0"/>
        <v>INSERT INTO PRODUTO_APRESENTACAO (pap_id, pap_prd_id, pap_tap_id, pap_qtd, pap_umd_id, pap_atv) VALUES (31, 31, 1, 17, 1, 1);</v>
      </c>
      <c r="H32" t="str">
        <f t="shared" si="1"/>
        <v>UPDATE PRODUTO_APRESENTACAO SET pap_prd_id = 31, pap_tap_id = 1, pap_qtd = 17, pap_umd_id = 1, pap_atv = 1 WHERE pap_id = 31;</v>
      </c>
    </row>
    <row r="33" spans="1:8" x14ac:dyDescent="0.3">
      <c r="A33">
        <v>32</v>
      </c>
      <c r="B33">
        <v>32</v>
      </c>
      <c r="C33">
        <v>1</v>
      </c>
      <c r="D33">
        <v>10</v>
      </c>
      <c r="E33">
        <v>1</v>
      </c>
      <c r="F33">
        <v>1</v>
      </c>
      <c r="G33" t="str">
        <f t="shared" si="0"/>
        <v>INSERT INTO PRODUTO_APRESENTACAO (pap_id, pap_prd_id, pap_tap_id, pap_qtd, pap_umd_id, pap_atv) VALUES (32, 32, 1, 10, 1, 1);</v>
      </c>
      <c r="H33" t="str">
        <f t="shared" si="1"/>
        <v>UPDATE PRODUTO_APRESENTACAO SET pap_prd_id = 32, pap_tap_id = 1, pap_qtd = 10, pap_umd_id = 1, pap_atv = 1 WHERE pap_id = 32;</v>
      </c>
    </row>
    <row r="34" spans="1:8" x14ac:dyDescent="0.3">
      <c r="A34">
        <v>33</v>
      </c>
      <c r="B34">
        <v>33</v>
      </c>
      <c r="C34">
        <v>1</v>
      </c>
      <c r="D34">
        <v>12</v>
      </c>
      <c r="E34">
        <v>1</v>
      </c>
      <c r="F34">
        <v>1</v>
      </c>
      <c r="G34" t="str">
        <f t="shared" si="0"/>
        <v>INSERT INTO PRODUTO_APRESENTACAO (pap_id, pap_prd_id, pap_tap_id, pap_qtd, pap_umd_id, pap_atv) VALUES (33, 33, 1, 12, 1, 1);</v>
      </c>
      <c r="H34" t="str">
        <f t="shared" si="1"/>
        <v>UPDATE PRODUTO_APRESENTACAO SET pap_prd_id = 33, pap_tap_id = 1, pap_qtd = 12, pap_umd_id = 1, pap_atv = 1 WHERE pap_id = 33;</v>
      </c>
    </row>
    <row r="35" spans="1:8" x14ac:dyDescent="0.3">
      <c r="A35">
        <v>34</v>
      </c>
      <c r="B35">
        <v>34</v>
      </c>
      <c r="C35">
        <v>1</v>
      </c>
      <c r="D35">
        <v>17</v>
      </c>
      <c r="E35">
        <v>1</v>
      </c>
      <c r="F35">
        <v>1</v>
      </c>
      <c r="G35" t="str">
        <f t="shared" si="0"/>
        <v>INSERT INTO PRODUTO_APRESENTACAO (pap_id, pap_prd_id, pap_tap_id, pap_qtd, pap_umd_id, pap_atv) VALUES (34, 34, 1, 17, 1, 1);</v>
      </c>
      <c r="H35" t="str">
        <f t="shared" si="1"/>
        <v>UPDATE PRODUTO_APRESENTACAO SET pap_prd_id = 34, pap_tap_id = 1, pap_qtd = 17, pap_umd_id = 1, pap_atv = 1 WHERE pap_id = 34;</v>
      </c>
    </row>
    <row r="36" spans="1:8" x14ac:dyDescent="0.3">
      <c r="A36">
        <v>35</v>
      </c>
      <c r="B36">
        <v>35</v>
      </c>
      <c r="C36">
        <v>1</v>
      </c>
      <c r="D36">
        <v>17</v>
      </c>
      <c r="E36">
        <v>1</v>
      </c>
      <c r="F36">
        <v>1</v>
      </c>
      <c r="G36" t="str">
        <f t="shared" si="0"/>
        <v>INSERT INTO PRODUTO_APRESENTACAO (pap_id, pap_prd_id, pap_tap_id, pap_qtd, pap_umd_id, pap_atv) VALUES (35, 35, 1, 17, 1, 1);</v>
      </c>
      <c r="H36" t="str">
        <f t="shared" si="1"/>
        <v>UPDATE PRODUTO_APRESENTACAO SET pap_prd_id = 35, pap_tap_id = 1, pap_qtd = 17, pap_umd_id = 1, pap_atv = 1 WHERE pap_id = 35;</v>
      </c>
    </row>
    <row r="37" spans="1:8" x14ac:dyDescent="0.3">
      <c r="A37">
        <v>36</v>
      </c>
      <c r="B37">
        <v>36</v>
      </c>
      <c r="C37">
        <v>1</v>
      </c>
      <c r="D37">
        <v>17</v>
      </c>
      <c r="E37">
        <v>1</v>
      </c>
      <c r="F37">
        <v>1</v>
      </c>
      <c r="G37" t="str">
        <f t="shared" si="0"/>
        <v>INSERT INTO PRODUTO_APRESENTACAO (pap_id, pap_prd_id, pap_tap_id, pap_qtd, pap_umd_id, pap_atv) VALUES (36, 36, 1, 17, 1, 1);</v>
      </c>
      <c r="H37" t="str">
        <f t="shared" si="1"/>
        <v>UPDATE PRODUTO_APRESENTACAO SET pap_prd_id = 36, pap_tap_id = 1, pap_qtd = 17, pap_umd_id = 1, pap_atv = 1 WHERE pap_id = 36;</v>
      </c>
    </row>
    <row r="38" spans="1:8" x14ac:dyDescent="0.3">
      <c r="A38">
        <v>37</v>
      </c>
      <c r="B38">
        <v>37</v>
      </c>
      <c r="C38">
        <v>1</v>
      </c>
      <c r="D38">
        <v>17</v>
      </c>
      <c r="E38">
        <v>1</v>
      </c>
      <c r="F38">
        <v>1</v>
      </c>
      <c r="G38" t="str">
        <f t="shared" si="0"/>
        <v>INSERT INTO PRODUTO_APRESENTACAO (pap_id, pap_prd_id, pap_tap_id, pap_qtd, pap_umd_id, pap_atv) VALUES (37, 37, 1, 17, 1, 1);</v>
      </c>
      <c r="H38" t="str">
        <f t="shared" si="1"/>
        <v>UPDATE PRODUTO_APRESENTACAO SET pap_prd_id = 37, pap_tap_id = 1, pap_qtd = 17, pap_umd_id = 1, pap_atv = 1 WHERE pap_id = 37;</v>
      </c>
    </row>
    <row r="39" spans="1:8" x14ac:dyDescent="0.3">
      <c r="A39">
        <v>38</v>
      </c>
      <c r="B39">
        <v>38</v>
      </c>
      <c r="C39">
        <v>1</v>
      </c>
      <c r="D39">
        <v>17</v>
      </c>
      <c r="E39">
        <v>1</v>
      </c>
      <c r="F39">
        <v>1</v>
      </c>
      <c r="G39" t="str">
        <f t="shared" si="0"/>
        <v>INSERT INTO PRODUTO_APRESENTACAO (pap_id, pap_prd_id, pap_tap_id, pap_qtd, pap_umd_id, pap_atv) VALUES (38, 38, 1, 17, 1, 1);</v>
      </c>
      <c r="H39" t="str">
        <f t="shared" si="1"/>
        <v>UPDATE PRODUTO_APRESENTACAO SET pap_prd_id = 38, pap_tap_id = 1, pap_qtd = 17, pap_umd_id = 1, pap_atv = 1 WHERE pap_id = 38;</v>
      </c>
    </row>
    <row r="40" spans="1:8" x14ac:dyDescent="0.3">
      <c r="A40">
        <v>39</v>
      </c>
      <c r="B40">
        <v>39</v>
      </c>
      <c r="C40">
        <v>1</v>
      </c>
      <c r="D40">
        <v>10</v>
      </c>
      <c r="E40">
        <v>1</v>
      </c>
      <c r="F40">
        <v>1</v>
      </c>
      <c r="G40" t="str">
        <f t="shared" si="0"/>
        <v>INSERT INTO PRODUTO_APRESENTACAO (pap_id, pap_prd_id, pap_tap_id, pap_qtd, pap_umd_id, pap_atv) VALUES (39, 39, 1, 10, 1, 1);</v>
      </c>
      <c r="H40" t="str">
        <f t="shared" si="1"/>
        <v>UPDATE PRODUTO_APRESENTACAO SET pap_prd_id = 39, pap_tap_id = 1, pap_qtd = 10, pap_umd_id = 1, pap_atv = 1 WHERE pap_id = 39;</v>
      </c>
    </row>
    <row r="41" spans="1:8" x14ac:dyDescent="0.3">
      <c r="A41">
        <v>40</v>
      </c>
      <c r="B41">
        <v>40</v>
      </c>
      <c r="C41">
        <v>1</v>
      </c>
      <c r="D41">
        <v>22</v>
      </c>
      <c r="E41">
        <v>1</v>
      </c>
      <c r="F41">
        <v>1</v>
      </c>
      <c r="G41" t="str">
        <f t="shared" si="0"/>
        <v>INSERT INTO PRODUTO_APRESENTACAO (pap_id, pap_prd_id, pap_tap_id, pap_qtd, pap_umd_id, pap_atv) VALUES (40, 40, 1, 22, 1, 1);</v>
      </c>
      <c r="H41" t="str">
        <f t="shared" si="1"/>
        <v>UPDATE PRODUTO_APRESENTACAO SET pap_prd_id = 40, pap_tap_id = 1, pap_qtd = 22, pap_umd_id = 1, pap_atv = 1 WHERE pap_id = 40;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77"/>
  <sheetViews>
    <sheetView tabSelected="1" zoomScaleNormal="100" workbookViewId="0">
      <pane ySplit="1" topLeftCell="A2451" activePane="bottomLeft" state="frozen"/>
      <selection pane="bottomLeft" activeCell="I2471" sqref="I2471"/>
    </sheetView>
  </sheetViews>
  <sheetFormatPr defaultColWidth="8.44140625" defaultRowHeight="14.4" x14ac:dyDescent="0.3"/>
  <cols>
    <col min="1" max="1" width="8.33203125" bestFit="1" customWidth="1"/>
    <col min="2" max="2" width="7.77734375" bestFit="1" customWidth="1"/>
    <col min="3" max="3" width="8.6640625" bestFit="1" customWidth="1"/>
    <col min="4" max="4" width="14.44140625" customWidth="1"/>
    <col min="5" max="5" width="11.21875" customWidth="1"/>
    <col min="6" max="6" width="11.6640625" customWidth="1"/>
    <col min="7" max="7" width="11.77734375" customWidth="1"/>
    <col min="8" max="8" width="15.44140625" customWidth="1"/>
    <col min="9" max="9" width="52.21875" customWidth="1"/>
  </cols>
  <sheetData>
    <row r="1" spans="1:10" x14ac:dyDescent="0.3">
      <c r="A1" t="s">
        <v>357</v>
      </c>
      <c r="B1" t="s">
        <v>451</v>
      </c>
      <c r="C1" t="s">
        <v>452</v>
      </c>
      <c r="D1" t="s">
        <v>360</v>
      </c>
      <c r="E1" t="s">
        <v>361</v>
      </c>
      <c r="F1" t="s">
        <v>362</v>
      </c>
      <c r="G1" t="s">
        <v>363</v>
      </c>
      <c r="H1" t="s">
        <v>364</v>
      </c>
    </row>
    <row r="2" spans="1:10" x14ac:dyDescent="0.3">
      <c r="A2">
        <v>1</v>
      </c>
      <c r="B2">
        <f>IF('Boletins Nuppa Site'!A2&lt;&gt;0,'Boletins Nuppa Site'!A2,"NULL")</f>
        <v>37</v>
      </c>
      <c r="C2">
        <v>1</v>
      </c>
      <c r="D2" t="str">
        <f>IF('Boletins Nuppa Site'!G2&lt;&gt;0,'Boletins Nuppa Site'!G2,"NULL")</f>
        <v>NULL</v>
      </c>
      <c r="E2" s="14">
        <f>IF('Boletins Nuppa Site'!H2&lt;&gt;0,'Boletins Nuppa Site'!H2,"NULL")</f>
        <v>32</v>
      </c>
      <c r="F2" s="14">
        <f>IF('Boletins Nuppa Site'!I2&lt;&gt;0,'Boletins Nuppa Site'!I2,"NULL")</f>
        <v>32</v>
      </c>
      <c r="G2" s="14">
        <f>IF('Boletins Nuppa Site'!J2&lt;&gt;0,'Boletins Nuppa Site'!J2,"NULL")</f>
        <v>32</v>
      </c>
      <c r="H2" s="14">
        <f>IF('Boletins Nuppa Site'!K2&lt;&gt;0,'Boletins Nuppa Site'!K2,"NULL")</f>
        <v>32</v>
      </c>
      <c r="I2" t="str">
        <f>"INSERT INTO COTACAO (cot_id, cot_blt_id, cot_pap_id, cot_prc_comum, cot_prc_min, cot_prc_max, cot_prc_med, cot_prc_mediana) VALUES ("&amp;A2&amp;", "&amp;B2&amp;", "&amp;C2&amp;", "&amp;D2&amp;", "&amp;E2&amp;", "&amp;F2&amp;", "&amp;G2&amp;", "&amp;H2&amp;");"</f>
        <v>INSERT INTO COTACAO (cot_id, cot_blt_id, cot_pap_id, cot_prc_comum, cot_prc_min, cot_prc_max, cot_prc_med, cot_prc_mediana) VALUES (1, 37, 1, NULL, 32, 32, 32, 32);</v>
      </c>
      <c r="J2" t="str">
        <f>"UPDATE COTACAO SET cot_id = "&amp;A2&amp;", cot_blt_id = "&amp;B2&amp;", cot_pap_id = "&amp;C2&amp;", cot_prc_comum = "&amp;D2&amp;", cot_prc_min = "&amp;E2&amp;", cot_prc_max = "&amp;F2&amp;", cot_prc_med = "&amp;G2&amp;", cot_prc_mediana = "&amp;H2&amp;" WHERE cot_id = "&amp;A2&amp;";"</f>
        <v>UPDATE COTACAO SET cot_id = 1, cot_blt_id = 37, cot_pap_id = 1, cot_prc_comum = NULL, cot_prc_min = 32, cot_prc_max = 32, cot_prc_med = 32, cot_prc_mediana = 32 WHERE cot_id = 1;</v>
      </c>
    </row>
    <row r="3" spans="1:10" x14ac:dyDescent="0.3">
      <c r="A3">
        <v>2</v>
      </c>
      <c r="B3">
        <f>IF('Boletins Nuppa Site'!A3&lt;&gt;0,'Boletins Nuppa Site'!A3,"NULL")</f>
        <v>37</v>
      </c>
      <c r="C3">
        <v>2</v>
      </c>
      <c r="D3" t="str">
        <f>IF('Boletins Nuppa Site'!G3&lt;&gt;0,'Boletins Nuppa Site'!G3,"NULL")</f>
        <v>NULL</v>
      </c>
      <c r="E3" s="14">
        <f>IF('Boletins Nuppa Site'!H3&lt;&gt;0,'Boletins Nuppa Site'!H3,"NULL")</f>
        <v>60</v>
      </c>
      <c r="F3" s="14">
        <f>IF('Boletins Nuppa Site'!I3&lt;&gt;0,'Boletins Nuppa Site'!I3,"NULL")</f>
        <v>60</v>
      </c>
      <c r="G3" s="14">
        <f>IF('Boletins Nuppa Site'!J3&lt;&gt;0,'Boletins Nuppa Site'!J3,"NULL")</f>
        <v>60</v>
      </c>
      <c r="H3" s="14">
        <f>IF('Boletins Nuppa Site'!K3&lt;&gt;0,'Boletins Nuppa Site'!K3,"NULL")</f>
        <v>60</v>
      </c>
      <c r="I3" t="str">
        <f t="shared" ref="I3:I66" si="0">"INSERT INTO COTACAO (cot_id, cot_blt_id, cot_pap_id, cot_prc_comum, cot_prc_min, cot_prc_max, cot_prc_med, cot_prc_mediana) VALUES ("&amp;A3&amp;", "&amp;B3&amp;", "&amp;C3&amp;", "&amp;D3&amp;", "&amp;E3&amp;", "&amp;F3&amp;", "&amp;G3&amp;", "&amp;H3&amp;");"</f>
        <v>INSERT INTO COTACAO (cot_id, cot_blt_id, cot_pap_id, cot_prc_comum, cot_prc_min, cot_prc_max, cot_prc_med, cot_prc_mediana) VALUES (2, 37, 2, NULL, 60, 60, 60, 60);</v>
      </c>
      <c r="J3" t="str">
        <f t="shared" ref="J3:J66" si="1">"UPDATE COTACAO SET cot_id = "&amp;A3&amp;", cot_blt_id = "&amp;B3&amp;", cot_pap_id = "&amp;C3&amp;", cot_prc_comum = "&amp;D3&amp;", cot_prc_min = "&amp;E3&amp;", cot_prc_max = "&amp;F3&amp;", cot_prc_med = "&amp;G3&amp;", cot_prc_mediana = "&amp;H3&amp;" WHERE cot_id = "&amp;A3&amp;";"</f>
        <v>UPDATE COTACAO SET cot_id = 2, cot_blt_id = 37, cot_pap_id = 2, cot_prc_comum = NULL, cot_prc_min = 60, cot_prc_max = 60, cot_prc_med = 60, cot_prc_mediana = 60 WHERE cot_id = 2;</v>
      </c>
    </row>
    <row r="4" spans="1:10" x14ac:dyDescent="0.3">
      <c r="A4">
        <v>3</v>
      </c>
      <c r="B4">
        <f>IF('Boletins Nuppa Site'!A4&lt;&gt;0,'Boletins Nuppa Site'!A4,"NULL")</f>
        <v>37</v>
      </c>
      <c r="C4">
        <v>3</v>
      </c>
      <c r="D4" t="str">
        <f>IF('Boletins Nuppa Site'!G4&lt;&gt;0,'Boletins Nuppa Site'!G4,"NULL")</f>
        <v>NULL</v>
      </c>
      <c r="E4" s="14">
        <f>IF('Boletins Nuppa Site'!H4&lt;&gt;0,'Boletins Nuppa Site'!H4,"NULL")</f>
        <v>24</v>
      </c>
      <c r="F4" s="14">
        <f>IF('Boletins Nuppa Site'!I4&lt;&gt;0,'Boletins Nuppa Site'!I4,"NULL")</f>
        <v>36</v>
      </c>
      <c r="G4" s="14">
        <f>IF('Boletins Nuppa Site'!J4&lt;&gt;0,'Boletins Nuppa Site'!J4,"NULL")</f>
        <v>30</v>
      </c>
      <c r="H4" s="14">
        <f>IF('Boletins Nuppa Site'!K4&lt;&gt;0,'Boletins Nuppa Site'!K4,"NULL")</f>
        <v>30</v>
      </c>
      <c r="I4" t="str">
        <f t="shared" si="0"/>
        <v>INSERT INTO COTACAO (cot_id, cot_blt_id, cot_pap_id, cot_prc_comum, cot_prc_min, cot_prc_max, cot_prc_med, cot_prc_mediana) VALUES (3, 37, 3, NULL, 24, 36, 30, 30);</v>
      </c>
      <c r="J4" t="str">
        <f t="shared" si="1"/>
        <v>UPDATE COTACAO SET cot_id = 3, cot_blt_id = 37, cot_pap_id = 3, cot_prc_comum = NULL, cot_prc_min = 24, cot_prc_max = 36, cot_prc_med = 30, cot_prc_mediana = 30 WHERE cot_id = 3;</v>
      </c>
    </row>
    <row r="5" spans="1:10" x14ac:dyDescent="0.3">
      <c r="A5">
        <v>4</v>
      </c>
      <c r="B5">
        <f>IF('Boletins Nuppa Site'!A5&lt;&gt;0,'Boletins Nuppa Site'!A5,"NULL")</f>
        <v>37</v>
      </c>
      <c r="C5">
        <v>4</v>
      </c>
      <c r="D5" t="str">
        <f>IF('Boletins Nuppa Site'!G5&lt;&gt;0,'Boletins Nuppa Site'!G5,"NULL")</f>
        <v>NULL</v>
      </c>
      <c r="E5" s="14">
        <f>IF('Boletins Nuppa Site'!H5&lt;&gt;0,'Boletins Nuppa Site'!H5,"NULL")</f>
        <v>18</v>
      </c>
      <c r="F5" s="14">
        <f>IF('Boletins Nuppa Site'!I5&lt;&gt;0,'Boletins Nuppa Site'!I5,"NULL")</f>
        <v>30</v>
      </c>
      <c r="G5" s="14">
        <f>IF('Boletins Nuppa Site'!J5&lt;&gt;0,'Boletins Nuppa Site'!J5,"NULL")</f>
        <v>24</v>
      </c>
      <c r="H5" s="14">
        <f>IF('Boletins Nuppa Site'!K5&lt;&gt;0,'Boletins Nuppa Site'!K5,"NULL")</f>
        <v>24</v>
      </c>
      <c r="I5" t="str">
        <f t="shared" si="0"/>
        <v>INSERT INTO COTACAO (cot_id, cot_blt_id, cot_pap_id, cot_prc_comum, cot_prc_min, cot_prc_max, cot_prc_med, cot_prc_mediana) VALUES (4, 37, 4, NULL, 18, 30, 24, 24);</v>
      </c>
      <c r="J5" t="str">
        <f t="shared" si="1"/>
        <v>UPDATE COTACAO SET cot_id = 4, cot_blt_id = 37, cot_pap_id = 4, cot_prc_comum = NULL, cot_prc_min = 18, cot_prc_max = 30, cot_prc_med = 24, cot_prc_mediana = 24 WHERE cot_id = 4;</v>
      </c>
    </row>
    <row r="6" spans="1:10" x14ac:dyDescent="0.3">
      <c r="A6">
        <v>5</v>
      </c>
      <c r="B6">
        <f>IF('Boletins Nuppa Site'!A6&lt;&gt;0,'Boletins Nuppa Site'!A6,"NULL")</f>
        <v>37</v>
      </c>
      <c r="C6">
        <v>5</v>
      </c>
      <c r="D6" t="str">
        <f>IF('Boletins Nuppa Site'!G6&lt;&gt;0,'Boletins Nuppa Site'!G6,"NULL")</f>
        <v>NULL</v>
      </c>
      <c r="E6" s="14">
        <f>IF('Boletins Nuppa Site'!H6&lt;&gt;0,'Boletins Nuppa Site'!H6,"NULL")</f>
        <v>18</v>
      </c>
      <c r="F6" s="14">
        <f>IF('Boletins Nuppa Site'!I6&lt;&gt;0,'Boletins Nuppa Site'!I6,"NULL")</f>
        <v>30</v>
      </c>
      <c r="G6" s="14">
        <f>IF('Boletins Nuppa Site'!J6&lt;&gt;0,'Boletins Nuppa Site'!J6,"NULL")</f>
        <v>24</v>
      </c>
      <c r="H6" s="14">
        <f>IF('Boletins Nuppa Site'!K6&lt;&gt;0,'Boletins Nuppa Site'!K6,"NULL")</f>
        <v>24</v>
      </c>
      <c r="I6" t="str">
        <f t="shared" si="0"/>
        <v>INSERT INTO COTACAO (cot_id, cot_blt_id, cot_pap_id, cot_prc_comum, cot_prc_min, cot_prc_max, cot_prc_med, cot_prc_mediana) VALUES (5, 37, 5, NULL, 18, 30, 24, 24);</v>
      </c>
      <c r="J6" t="str">
        <f t="shared" si="1"/>
        <v>UPDATE COTACAO SET cot_id = 5, cot_blt_id = 37, cot_pap_id = 5, cot_prc_comum = NULL, cot_prc_min = 18, cot_prc_max = 30, cot_prc_med = 24, cot_prc_mediana = 24 WHERE cot_id = 5;</v>
      </c>
    </row>
    <row r="7" spans="1:10" x14ac:dyDescent="0.3">
      <c r="A7">
        <v>6</v>
      </c>
      <c r="B7">
        <f>IF('Boletins Nuppa Site'!A7&lt;&gt;0,'Boletins Nuppa Site'!A7,"NULL")</f>
        <v>37</v>
      </c>
      <c r="C7">
        <v>6</v>
      </c>
      <c r="D7" t="str">
        <f>IF('Boletins Nuppa Site'!G7&lt;&gt;0,'Boletins Nuppa Site'!G7,"NULL")</f>
        <v>NULL</v>
      </c>
      <c r="E7" s="14">
        <f>IF('Boletins Nuppa Site'!H7&lt;&gt;0,'Boletins Nuppa Site'!H7,"NULL")</f>
        <v>48</v>
      </c>
      <c r="F7" s="14">
        <f>IF('Boletins Nuppa Site'!I7&lt;&gt;0,'Boletins Nuppa Site'!I7,"NULL")</f>
        <v>48</v>
      </c>
      <c r="G7" s="14">
        <f>IF('Boletins Nuppa Site'!J7&lt;&gt;0,'Boletins Nuppa Site'!J7,"NULL")</f>
        <v>48</v>
      </c>
      <c r="H7" s="14">
        <f>IF('Boletins Nuppa Site'!K7&lt;&gt;0,'Boletins Nuppa Site'!K7,"NULL")</f>
        <v>48</v>
      </c>
      <c r="I7" t="str">
        <f t="shared" si="0"/>
        <v>INSERT INTO COTACAO (cot_id, cot_blt_id, cot_pap_id, cot_prc_comum, cot_prc_min, cot_prc_max, cot_prc_med, cot_prc_mediana) VALUES (6, 37, 6, NULL, 48, 48, 48, 48);</v>
      </c>
      <c r="J7" t="str">
        <f t="shared" si="1"/>
        <v>UPDATE COTACAO SET cot_id = 6, cot_blt_id = 37, cot_pap_id = 6, cot_prc_comum = NULL, cot_prc_min = 48, cot_prc_max = 48, cot_prc_med = 48, cot_prc_mediana = 48 WHERE cot_id = 6;</v>
      </c>
    </row>
    <row r="8" spans="1:10" x14ac:dyDescent="0.3">
      <c r="A8">
        <v>7</v>
      </c>
      <c r="B8">
        <f>IF('Boletins Nuppa Site'!A8&lt;&gt;0,'Boletins Nuppa Site'!A8,"NULL")</f>
        <v>37</v>
      </c>
      <c r="C8">
        <v>7</v>
      </c>
      <c r="D8" t="str">
        <f>IF('Boletins Nuppa Site'!G8&lt;&gt;0,'Boletins Nuppa Site'!G8,"NULL")</f>
        <v>NULL</v>
      </c>
      <c r="E8" s="14">
        <f>IF('Boletins Nuppa Site'!H8&lt;&gt;0,'Boletins Nuppa Site'!H8,"NULL")</f>
        <v>60</v>
      </c>
      <c r="F8" s="14">
        <f>IF('Boletins Nuppa Site'!I8&lt;&gt;0,'Boletins Nuppa Site'!I8,"NULL")</f>
        <v>60</v>
      </c>
      <c r="G8" s="14">
        <f>IF('Boletins Nuppa Site'!J8&lt;&gt;0,'Boletins Nuppa Site'!J8,"NULL")</f>
        <v>60</v>
      </c>
      <c r="H8" s="14">
        <f>IF('Boletins Nuppa Site'!K8&lt;&gt;0,'Boletins Nuppa Site'!K8,"NULL")</f>
        <v>60</v>
      </c>
      <c r="I8" t="str">
        <f t="shared" si="0"/>
        <v>INSERT INTO COTACAO (cot_id, cot_blt_id, cot_pap_id, cot_prc_comum, cot_prc_min, cot_prc_max, cot_prc_med, cot_prc_mediana) VALUES (7, 37, 7, NULL, 60, 60, 60, 60);</v>
      </c>
      <c r="J8" t="str">
        <f t="shared" si="1"/>
        <v>UPDATE COTACAO SET cot_id = 7, cot_blt_id = 37, cot_pap_id = 7, cot_prc_comum = NULL, cot_prc_min = 60, cot_prc_max = 60, cot_prc_med = 60, cot_prc_mediana = 60 WHERE cot_id = 7;</v>
      </c>
    </row>
    <row r="9" spans="1:10" x14ac:dyDescent="0.3">
      <c r="A9">
        <v>8</v>
      </c>
      <c r="B9">
        <f>IF('Boletins Nuppa Site'!A9&lt;&gt;0,'Boletins Nuppa Site'!A9,"NULL")</f>
        <v>37</v>
      </c>
      <c r="C9">
        <v>8</v>
      </c>
      <c r="D9" s="14">
        <f>IF('Boletins Nuppa Site'!G9&lt;&gt;0,'Boletins Nuppa Site'!G9,"NULL")</f>
        <v>48</v>
      </c>
      <c r="E9" s="14">
        <f>IF('Boletins Nuppa Site'!H9&lt;&gt;0,'Boletins Nuppa Site'!H9,"NULL")</f>
        <v>48</v>
      </c>
      <c r="F9" s="14">
        <f>IF('Boletins Nuppa Site'!I9&lt;&gt;0,'Boletins Nuppa Site'!I9,"NULL")</f>
        <v>60</v>
      </c>
      <c r="G9" s="14">
        <f>IF('Boletins Nuppa Site'!J9&lt;&gt;0,'Boletins Nuppa Site'!J9,"NULL")</f>
        <v>52</v>
      </c>
      <c r="H9" s="14">
        <f>IF('Boletins Nuppa Site'!K9&lt;&gt;0,'Boletins Nuppa Site'!K9,"NULL")</f>
        <v>48</v>
      </c>
      <c r="I9" t="str">
        <f t="shared" si="0"/>
        <v>INSERT INTO COTACAO (cot_id, cot_blt_id, cot_pap_id, cot_prc_comum, cot_prc_min, cot_prc_max, cot_prc_med, cot_prc_mediana) VALUES (8, 37, 8, 48, 48, 60, 52, 48);</v>
      </c>
      <c r="J9" t="str">
        <f t="shared" si="1"/>
        <v>UPDATE COTACAO SET cot_id = 8, cot_blt_id = 37, cot_pap_id = 8, cot_prc_comum = 48, cot_prc_min = 48, cot_prc_max = 60, cot_prc_med = 52, cot_prc_mediana = 48 WHERE cot_id = 8;</v>
      </c>
    </row>
    <row r="10" spans="1:10" x14ac:dyDescent="0.3">
      <c r="A10">
        <v>9</v>
      </c>
      <c r="B10">
        <f>IF('Boletins Nuppa Site'!A10&lt;&gt;0,'Boletins Nuppa Site'!A10,"NULL")</f>
        <v>37</v>
      </c>
      <c r="C10">
        <v>9</v>
      </c>
      <c r="D10" s="14">
        <f>IF('Boletins Nuppa Site'!G10&lt;&gt;0,'Boletins Nuppa Site'!G10,"NULL")</f>
        <v>15</v>
      </c>
      <c r="E10" s="14">
        <f>IF('Boletins Nuppa Site'!H10&lt;&gt;0,'Boletins Nuppa Site'!H10,"NULL")</f>
        <v>15</v>
      </c>
      <c r="F10" s="14">
        <f>IF('Boletins Nuppa Site'!I10&lt;&gt;0,'Boletins Nuppa Site'!I10,"NULL")</f>
        <v>24</v>
      </c>
      <c r="G10" s="14">
        <f>IF('Boletins Nuppa Site'!J10&lt;&gt;0,'Boletins Nuppa Site'!J10,"NULL")</f>
        <v>18</v>
      </c>
      <c r="H10" s="14">
        <f>IF('Boletins Nuppa Site'!K10&lt;&gt;0,'Boletins Nuppa Site'!K10,"NULL")</f>
        <v>15</v>
      </c>
      <c r="I10" t="str">
        <f t="shared" si="0"/>
        <v>INSERT INTO COTACAO (cot_id, cot_blt_id, cot_pap_id, cot_prc_comum, cot_prc_min, cot_prc_max, cot_prc_med, cot_prc_mediana) VALUES (9, 37, 9, 15, 15, 24, 18, 15);</v>
      </c>
      <c r="J10" t="str">
        <f t="shared" si="1"/>
        <v>UPDATE COTACAO SET cot_id = 9, cot_blt_id = 37, cot_pap_id = 9, cot_prc_comum = 15, cot_prc_min = 15, cot_prc_max = 24, cot_prc_med = 18, cot_prc_mediana = 15 WHERE cot_id = 9;</v>
      </c>
    </row>
    <row r="11" spans="1:10" x14ac:dyDescent="0.3">
      <c r="A11">
        <v>10</v>
      </c>
      <c r="B11">
        <f>IF('Boletins Nuppa Site'!A11&lt;&gt;0,'Boletins Nuppa Site'!A11,"NULL")</f>
        <v>37</v>
      </c>
      <c r="C11">
        <v>10</v>
      </c>
      <c r="D11" t="str">
        <f>IF('Boletins Nuppa Site'!G11&lt;&gt;0,'Boletins Nuppa Site'!G11,"NULL")</f>
        <v>NULL</v>
      </c>
      <c r="E11" s="14">
        <f>IF('Boletins Nuppa Site'!H11&lt;&gt;0,'Boletins Nuppa Site'!H11,"NULL")</f>
        <v>60</v>
      </c>
      <c r="F11" s="14">
        <f>IF('Boletins Nuppa Site'!I11&lt;&gt;0,'Boletins Nuppa Site'!I11,"NULL")</f>
        <v>60</v>
      </c>
      <c r="G11" s="14">
        <f>IF('Boletins Nuppa Site'!J11&lt;&gt;0,'Boletins Nuppa Site'!J11,"NULL")</f>
        <v>60</v>
      </c>
      <c r="H11" s="14">
        <f>IF('Boletins Nuppa Site'!K11&lt;&gt;0,'Boletins Nuppa Site'!K11,"NULL")</f>
        <v>60</v>
      </c>
      <c r="I11" t="str">
        <f t="shared" si="0"/>
        <v>INSERT INTO COTACAO (cot_id, cot_blt_id, cot_pap_id, cot_prc_comum, cot_prc_min, cot_prc_max, cot_prc_med, cot_prc_mediana) VALUES (10, 37, 10, NULL, 60, 60, 60, 60);</v>
      </c>
      <c r="J11" t="str">
        <f t="shared" si="1"/>
        <v>UPDATE COTACAO SET cot_id = 10, cot_blt_id = 37, cot_pap_id = 10, cot_prc_comum = NULL, cot_prc_min = 60, cot_prc_max = 60, cot_prc_med = 60, cot_prc_mediana = 60 WHERE cot_id = 10;</v>
      </c>
    </row>
    <row r="12" spans="1:10" x14ac:dyDescent="0.3">
      <c r="A12">
        <v>11</v>
      </c>
      <c r="B12">
        <f>IF('Boletins Nuppa Site'!A12&lt;&gt;0,'Boletins Nuppa Site'!A12,"NULL")</f>
        <v>37</v>
      </c>
      <c r="C12">
        <v>11</v>
      </c>
      <c r="D12" t="str">
        <f>IF('Boletins Nuppa Site'!G12&lt;&gt;0,'Boletins Nuppa Site'!G12,"NULL")</f>
        <v>NULL</v>
      </c>
      <c r="E12" s="14">
        <f>IF('Boletins Nuppa Site'!H12&lt;&gt;0,'Boletins Nuppa Site'!H12,"NULL")</f>
        <v>18</v>
      </c>
      <c r="F12" s="14">
        <f>IF('Boletins Nuppa Site'!I12&lt;&gt;0,'Boletins Nuppa Site'!I12,"NULL")</f>
        <v>30</v>
      </c>
      <c r="G12" s="14">
        <f>IF('Boletins Nuppa Site'!J12&lt;&gt;0,'Boletins Nuppa Site'!J12,"NULL")</f>
        <v>24</v>
      </c>
      <c r="H12" s="14">
        <f>IF('Boletins Nuppa Site'!K12&lt;&gt;0,'Boletins Nuppa Site'!K12,"NULL")</f>
        <v>24</v>
      </c>
      <c r="I12" t="str">
        <f t="shared" si="0"/>
        <v>INSERT INTO COTACAO (cot_id, cot_blt_id, cot_pap_id, cot_prc_comum, cot_prc_min, cot_prc_max, cot_prc_med, cot_prc_mediana) VALUES (11, 37, 11, NULL, 18, 30, 24, 24);</v>
      </c>
      <c r="J12" t="str">
        <f t="shared" si="1"/>
        <v>UPDATE COTACAO SET cot_id = 11, cot_blt_id = 37, cot_pap_id = 11, cot_prc_comum = NULL, cot_prc_min = 18, cot_prc_max = 30, cot_prc_med = 24, cot_prc_mediana = 24 WHERE cot_id = 11;</v>
      </c>
    </row>
    <row r="13" spans="1:10" x14ac:dyDescent="0.3">
      <c r="A13">
        <v>12</v>
      </c>
      <c r="B13">
        <f>IF('Boletins Nuppa Site'!A13&lt;&gt;0,'Boletins Nuppa Site'!A13,"NULL")</f>
        <v>37</v>
      </c>
      <c r="C13">
        <v>12</v>
      </c>
      <c r="D13" t="str">
        <f>IF('Boletins Nuppa Site'!G13&lt;&gt;0,'Boletins Nuppa Site'!G13,"NULL")</f>
        <v>NULL</v>
      </c>
      <c r="E13" s="14">
        <f>IF('Boletins Nuppa Site'!H13&lt;&gt;0,'Boletins Nuppa Site'!H13,"NULL")</f>
        <v>42</v>
      </c>
      <c r="F13" s="14">
        <f>IF('Boletins Nuppa Site'!I13&lt;&gt;0,'Boletins Nuppa Site'!I13,"NULL")</f>
        <v>54</v>
      </c>
      <c r="G13" s="14">
        <f>IF('Boletins Nuppa Site'!J13&lt;&gt;0,'Boletins Nuppa Site'!J13,"NULL")</f>
        <v>48</v>
      </c>
      <c r="H13" s="14">
        <f>IF('Boletins Nuppa Site'!K13&lt;&gt;0,'Boletins Nuppa Site'!K13,"NULL")</f>
        <v>48</v>
      </c>
      <c r="I13" t="str">
        <f t="shared" si="0"/>
        <v>INSERT INTO COTACAO (cot_id, cot_blt_id, cot_pap_id, cot_prc_comum, cot_prc_min, cot_prc_max, cot_prc_med, cot_prc_mediana) VALUES (12, 37, 12, NULL, 42, 54, 48, 48);</v>
      </c>
      <c r="J13" t="str">
        <f t="shared" si="1"/>
        <v>UPDATE COTACAO SET cot_id = 12, cot_blt_id = 37, cot_pap_id = 12, cot_prc_comum = NULL, cot_prc_min = 42, cot_prc_max = 54, cot_prc_med = 48, cot_prc_mediana = 48 WHERE cot_id = 12;</v>
      </c>
    </row>
    <row r="14" spans="1:10" x14ac:dyDescent="0.3">
      <c r="A14">
        <v>13</v>
      </c>
      <c r="B14">
        <f>IF('Boletins Nuppa Site'!A14&lt;&gt;0,'Boletins Nuppa Site'!A14,"NULL")</f>
        <v>37</v>
      </c>
      <c r="C14">
        <v>13</v>
      </c>
      <c r="D14" t="str">
        <f>IF('Boletins Nuppa Site'!G14&lt;&gt;0,'Boletins Nuppa Site'!G14,"NULL")</f>
        <v>NULL</v>
      </c>
      <c r="E14" s="14">
        <f>IF('Boletins Nuppa Site'!H14&lt;&gt;0,'Boletins Nuppa Site'!H14,"NULL")</f>
        <v>36</v>
      </c>
      <c r="F14" s="14">
        <f>IF('Boletins Nuppa Site'!I14&lt;&gt;0,'Boletins Nuppa Site'!I14,"NULL")</f>
        <v>48</v>
      </c>
      <c r="G14" s="14">
        <f>IF('Boletins Nuppa Site'!J14&lt;&gt;0,'Boletins Nuppa Site'!J14,"NULL")</f>
        <v>42</v>
      </c>
      <c r="H14" s="14">
        <f>IF('Boletins Nuppa Site'!K14&lt;&gt;0,'Boletins Nuppa Site'!K14,"NULL")</f>
        <v>42</v>
      </c>
      <c r="I14" t="str">
        <f t="shared" si="0"/>
        <v>INSERT INTO COTACAO (cot_id, cot_blt_id, cot_pap_id, cot_prc_comum, cot_prc_min, cot_prc_max, cot_prc_med, cot_prc_mediana) VALUES (13, 37, 13, NULL, 36, 48, 42, 42);</v>
      </c>
      <c r="J14" t="str">
        <f t="shared" si="1"/>
        <v>UPDATE COTACAO SET cot_id = 13, cot_blt_id = 37, cot_pap_id = 13, cot_prc_comum = NULL, cot_prc_min = 36, cot_prc_max = 48, cot_prc_med = 42, cot_prc_mediana = 42 WHERE cot_id = 13;</v>
      </c>
    </row>
    <row r="15" spans="1:10" x14ac:dyDescent="0.3">
      <c r="A15">
        <v>14</v>
      </c>
      <c r="B15">
        <f>IF('Boletins Nuppa Site'!A15&lt;&gt;0,'Boletins Nuppa Site'!A15,"NULL")</f>
        <v>37</v>
      </c>
      <c r="C15">
        <v>14</v>
      </c>
      <c r="D15" t="str">
        <f>IF('Boletins Nuppa Site'!G15&lt;&gt;0,'Boletins Nuppa Site'!G15,"NULL")</f>
        <v>NULL</v>
      </c>
      <c r="E15" s="14">
        <f>IF('Boletins Nuppa Site'!H15&lt;&gt;0,'Boletins Nuppa Site'!H15,"NULL")</f>
        <v>60</v>
      </c>
      <c r="F15" s="14">
        <f>IF('Boletins Nuppa Site'!I15&lt;&gt;0,'Boletins Nuppa Site'!I15,"NULL")</f>
        <v>60</v>
      </c>
      <c r="G15" s="14">
        <f>IF('Boletins Nuppa Site'!J15&lt;&gt;0,'Boletins Nuppa Site'!J15,"NULL")</f>
        <v>60</v>
      </c>
      <c r="H15" s="14">
        <f>IF('Boletins Nuppa Site'!K15&lt;&gt;0,'Boletins Nuppa Site'!K15,"NULL")</f>
        <v>60</v>
      </c>
      <c r="I15" t="str">
        <f t="shared" si="0"/>
        <v>INSERT INTO COTACAO (cot_id, cot_blt_id, cot_pap_id, cot_prc_comum, cot_prc_min, cot_prc_max, cot_prc_med, cot_prc_mediana) VALUES (14, 37, 14, NULL, 60, 60, 60, 60);</v>
      </c>
      <c r="J15" t="str">
        <f t="shared" si="1"/>
        <v>UPDATE COTACAO SET cot_id = 14, cot_blt_id = 37, cot_pap_id = 14, cot_prc_comum = NULL, cot_prc_min = 60, cot_prc_max = 60, cot_prc_med = 60, cot_prc_mediana = 60 WHERE cot_id = 14;</v>
      </c>
    </row>
    <row r="16" spans="1:10" x14ac:dyDescent="0.3">
      <c r="A16">
        <v>15</v>
      </c>
      <c r="B16">
        <f>IF('Boletins Nuppa Site'!A16&lt;&gt;0,'Boletins Nuppa Site'!A16,"NULL")</f>
        <v>37</v>
      </c>
      <c r="C16">
        <v>15</v>
      </c>
      <c r="D16" t="str">
        <f>IF('Boletins Nuppa Site'!G16&lt;&gt;0,'Boletins Nuppa Site'!G16,"NULL")</f>
        <v>NULL</v>
      </c>
      <c r="E16" s="14">
        <f>IF('Boletins Nuppa Site'!H16&lt;&gt;0,'Boletins Nuppa Site'!H16,"NULL")</f>
        <v>24</v>
      </c>
      <c r="F16" s="14">
        <f>IF('Boletins Nuppa Site'!I16&lt;&gt;0,'Boletins Nuppa Site'!I16,"NULL")</f>
        <v>36</v>
      </c>
      <c r="G16" s="14">
        <f>IF('Boletins Nuppa Site'!J16&lt;&gt;0,'Boletins Nuppa Site'!J16,"NULL")</f>
        <v>30</v>
      </c>
      <c r="H16" s="14">
        <f>IF('Boletins Nuppa Site'!K16&lt;&gt;0,'Boletins Nuppa Site'!K16,"NULL")</f>
        <v>30</v>
      </c>
      <c r="I16" t="str">
        <f t="shared" si="0"/>
        <v>INSERT INTO COTACAO (cot_id, cot_blt_id, cot_pap_id, cot_prc_comum, cot_prc_min, cot_prc_max, cot_prc_med, cot_prc_mediana) VALUES (15, 37, 15, NULL, 24, 36, 30, 30);</v>
      </c>
      <c r="J16" t="str">
        <f t="shared" si="1"/>
        <v>UPDATE COTACAO SET cot_id = 15, cot_blt_id = 37, cot_pap_id = 15, cot_prc_comum = NULL, cot_prc_min = 24, cot_prc_max = 36, cot_prc_med = 30, cot_prc_mediana = 30 WHERE cot_id = 15;</v>
      </c>
    </row>
    <row r="17" spans="1:10" x14ac:dyDescent="0.3">
      <c r="A17">
        <v>16</v>
      </c>
      <c r="B17">
        <f>IF('Boletins Nuppa Site'!A17&lt;&gt;0,'Boletins Nuppa Site'!A17,"NULL")</f>
        <v>37</v>
      </c>
      <c r="C17">
        <v>16</v>
      </c>
      <c r="D17" s="14">
        <f>IF('Boletins Nuppa Site'!G17&lt;&gt;0,'Boletins Nuppa Site'!G17,"NULL")</f>
        <v>42</v>
      </c>
      <c r="E17" s="14">
        <f>IF('Boletins Nuppa Site'!H17&lt;&gt;0,'Boletins Nuppa Site'!H17,"NULL")</f>
        <v>36</v>
      </c>
      <c r="F17" s="14">
        <f>IF('Boletins Nuppa Site'!I17&lt;&gt;0,'Boletins Nuppa Site'!I17,"NULL")</f>
        <v>42</v>
      </c>
      <c r="G17" s="14">
        <f>IF('Boletins Nuppa Site'!J17&lt;&gt;0,'Boletins Nuppa Site'!J17,"NULL")</f>
        <v>40</v>
      </c>
      <c r="H17" s="14">
        <f>IF('Boletins Nuppa Site'!K17&lt;&gt;0,'Boletins Nuppa Site'!K17,"NULL")</f>
        <v>42</v>
      </c>
      <c r="I17" t="str">
        <f t="shared" si="0"/>
        <v>INSERT INTO COTACAO (cot_id, cot_blt_id, cot_pap_id, cot_prc_comum, cot_prc_min, cot_prc_max, cot_prc_med, cot_prc_mediana) VALUES (16, 37, 16, 42, 36, 42, 40, 42);</v>
      </c>
      <c r="J17" t="str">
        <f t="shared" si="1"/>
        <v>UPDATE COTACAO SET cot_id = 16, cot_blt_id = 37, cot_pap_id = 16, cot_prc_comum = 42, cot_prc_min = 36, cot_prc_max = 42, cot_prc_med = 40, cot_prc_mediana = 42 WHERE cot_id = 16;</v>
      </c>
    </row>
    <row r="18" spans="1:10" x14ac:dyDescent="0.3">
      <c r="A18">
        <v>17</v>
      </c>
      <c r="B18">
        <f>IF('Boletins Nuppa Site'!A18&lt;&gt;0,'Boletins Nuppa Site'!A18,"NULL")</f>
        <v>37</v>
      </c>
      <c r="C18">
        <v>17</v>
      </c>
      <c r="D18" s="14">
        <f>IF('Boletins Nuppa Site'!G18&lt;&gt;0,'Boletins Nuppa Site'!G18,"NULL")</f>
        <v>4</v>
      </c>
      <c r="E18" s="14">
        <f>IF('Boletins Nuppa Site'!H18&lt;&gt;0,'Boletins Nuppa Site'!H18,"NULL")</f>
        <v>3</v>
      </c>
      <c r="F18" s="14">
        <f>IF('Boletins Nuppa Site'!I18&lt;&gt;0,'Boletins Nuppa Site'!I18,"NULL")</f>
        <v>4</v>
      </c>
      <c r="G18" t="str">
        <f>IF('Boletins Nuppa Site'!J18&lt;&gt;0,'Boletins Nuppa Site'!J18,"NULL")</f>
        <v>3.67</v>
      </c>
      <c r="H18" s="14">
        <f>IF('Boletins Nuppa Site'!K18&lt;&gt;0,'Boletins Nuppa Site'!K18,"NULL")</f>
        <v>4</v>
      </c>
      <c r="I18" t="str">
        <f t="shared" si="0"/>
        <v>INSERT INTO COTACAO (cot_id, cot_blt_id, cot_pap_id, cot_prc_comum, cot_prc_min, cot_prc_max, cot_prc_med, cot_prc_mediana) VALUES (17, 37, 17, 4, 3, 4, 3.67, 4);</v>
      </c>
      <c r="J18" t="str">
        <f t="shared" si="1"/>
        <v>UPDATE COTACAO SET cot_id = 17, cot_blt_id = 37, cot_pap_id = 17, cot_prc_comum = 4, cot_prc_min = 3, cot_prc_max = 4, cot_prc_med = 3.67, cot_prc_mediana = 4 WHERE cot_id = 17;</v>
      </c>
    </row>
    <row r="19" spans="1:10" x14ac:dyDescent="0.3">
      <c r="A19">
        <v>18</v>
      </c>
      <c r="B19">
        <f>IF('Boletins Nuppa Site'!A19&lt;&gt;0,'Boletins Nuppa Site'!A19,"NULL")</f>
        <v>37</v>
      </c>
      <c r="C19">
        <v>18</v>
      </c>
      <c r="D19" s="14">
        <f>IF('Boletins Nuppa Site'!G19&lt;&gt;0,'Boletins Nuppa Site'!G19,"NULL")</f>
        <v>25</v>
      </c>
      <c r="E19" s="14">
        <f>IF('Boletins Nuppa Site'!H19&lt;&gt;0,'Boletins Nuppa Site'!H19,"NULL")</f>
        <v>25</v>
      </c>
      <c r="F19" s="14">
        <f>IF('Boletins Nuppa Site'!I19&lt;&gt;0,'Boletins Nuppa Site'!I19,"NULL")</f>
        <v>25</v>
      </c>
      <c r="G19" s="14">
        <f>IF('Boletins Nuppa Site'!J19&lt;&gt;0,'Boletins Nuppa Site'!J19,"NULL")</f>
        <v>25</v>
      </c>
      <c r="H19" s="14">
        <f>IF('Boletins Nuppa Site'!K19&lt;&gt;0,'Boletins Nuppa Site'!K19,"NULL")</f>
        <v>25</v>
      </c>
      <c r="I19" t="str">
        <f t="shared" si="0"/>
        <v>INSERT INTO COTACAO (cot_id, cot_blt_id, cot_pap_id, cot_prc_comum, cot_prc_min, cot_prc_max, cot_prc_med, cot_prc_mediana) VALUES (18, 37, 18, 25, 25, 25, 25, 25);</v>
      </c>
      <c r="J19" t="str">
        <f t="shared" si="1"/>
        <v>UPDATE COTACAO SET cot_id = 18, cot_blt_id = 37, cot_pap_id = 18, cot_prc_comum = 25, cot_prc_min = 25, cot_prc_max = 25, cot_prc_med = 25, cot_prc_mediana = 25 WHERE cot_id = 18;</v>
      </c>
    </row>
    <row r="20" spans="1:10" x14ac:dyDescent="0.3">
      <c r="A20">
        <v>19</v>
      </c>
      <c r="B20">
        <f>IF('Boletins Nuppa Site'!A20&lt;&gt;0,'Boletins Nuppa Site'!A20,"NULL")</f>
        <v>37</v>
      </c>
      <c r="C20">
        <v>19</v>
      </c>
      <c r="D20" s="14">
        <f>IF('Boletins Nuppa Site'!G20&lt;&gt;0,'Boletins Nuppa Site'!G20,"NULL")</f>
        <v>25</v>
      </c>
      <c r="E20" s="14">
        <f>IF('Boletins Nuppa Site'!H20&lt;&gt;0,'Boletins Nuppa Site'!H20,"NULL")</f>
        <v>20</v>
      </c>
      <c r="F20" s="14">
        <f>IF('Boletins Nuppa Site'!I20&lt;&gt;0,'Boletins Nuppa Site'!I20,"NULL")</f>
        <v>25</v>
      </c>
      <c r="G20" t="str">
        <f>IF('Boletins Nuppa Site'!J20&lt;&gt;0,'Boletins Nuppa Site'!J20,"NULL")</f>
        <v>22.5</v>
      </c>
      <c r="H20" t="str">
        <f>IF('Boletins Nuppa Site'!K20&lt;&gt;0,'Boletins Nuppa Site'!K20,"NULL")</f>
        <v>22.5</v>
      </c>
      <c r="I20" t="str">
        <f t="shared" si="0"/>
        <v>INSERT INTO COTACAO (cot_id, cot_blt_id, cot_pap_id, cot_prc_comum, cot_prc_min, cot_prc_max, cot_prc_med, cot_prc_mediana) VALUES (19, 37, 19, 25, 20, 25, 22.5, 22.5);</v>
      </c>
      <c r="J20" t="str">
        <f t="shared" si="1"/>
        <v>UPDATE COTACAO SET cot_id = 19, cot_blt_id = 37, cot_pap_id = 19, cot_prc_comum = 25, cot_prc_min = 20, cot_prc_max = 25, cot_prc_med = 22.5, cot_prc_mediana = 22.5 WHERE cot_id = 19;</v>
      </c>
    </row>
    <row r="21" spans="1:10" x14ac:dyDescent="0.3">
      <c r="A21">
        <v>20</v>
      </c>
      <c r="B21">
        <f>IF('Boletins Nuppa Site'!A21&lt;&gt;0,'Boletins Nuppa Site'!A21,"NULL")</f>
        <v>37</v>
      </c>
      <c r="C21">
        <v>21</v>
      </c>
      <c r="D21" s="14">
        <f>IF('Boletins Nuppa Site'!G21&lt;&gt;0,'Boletins Nuppa Site'!G21,"NULL")</f>
        <v>60</v>
      </c>
      <c r="E21" s="14">
        <f>IF('Boletins Nuppa Site'!H21&lt;&gt;0,'Boletins Nuppa Site'!H21,"NULL")</f>
        <v>50</v>
      </c>
      <c r="F21" s="14">
        <f>IF('Boletins Nuppa Site'!I21&lt;&gt;0,'Boletins Nuppa Site'!I21,"NULL")</f>
        <v>60</v>
      </c>
      <c r="G21" t="str">
        <f>IF('Boletins Nuppa Site'!J21&lt;&gt;0,'Boletins Nuppa Site'!J21,"NULL")</f>
        <v>57.5</v>
      </c>
      <c r="H21" s="14">
        <f>IF('Boletins Nuppa Site'!K21&lt;&gt;0,'Boletins Nuppa Site'!K21,"NULL")</f>
        <v>60</v>
      </c>
      <c r="I21" t="str">
        <f t="shared" si="0"/>
        <v>INSERT INTO COTACAO (cot_id, cot_blt_id, cot_pap_id, cot_prc_comum, cot_prc_min, cot_prc_max, cot_prc_med, cot_prc_mediana) VALUES (20, 37, 21, 60, 50, 60, 57.5, 60);</v>
      </c>
      <c r="J21" t="str">
        <f t="shared" si="1"/>
        <v>UPDATE COTACAO SET cot_id = 20, cot_blt_id = 37, cot_pap_id = 21, cot_prc_comum = 60, cot_prc_min = 50, cot_prc_max = 60, cot_prc_med = 57.5, cot_prc_mediana = 60 WHERE cot_id = 20;</v>
      </c>
    </row>
    <row r="22" spans="1:10" x14ac:dyDescent="0.3">
      <c r="A22">
        <v>21</v>
      </c>
      <c r="B22">
        <f>IF('Boletins Nuppa Site'!A22&lt;&gt;0,'Boletins Nuppa Site'!A22,"NULL")</f>
        <v>37</v>
      </c>
      <c r="C22">
        <v>22</v>
      </c>
      <c r="D22" s="14">
        <f>IF('Boletins Nuppa Site'!G22&lt;&gt;0,'Boletins Nuppa Site'!G22,"NULL")</f>
        <v>50</v>
      </c>
      <c r="E22" s="14">
        <f>IF('Boletins Nuppa Site'!H22&lt;&gt;0,'Boletins Nuppa Site'!H22,"NULL")</f>
        <v>50</v>
      </c>
      <c r="F22" s="14">
        <f>IF('Boletins Nuppa Site'!I22&lt;&gt;0,'Boletins Nuppa Site'!I22,"NULL")</f>
        <v>65</v>
      </c>
      <c r="G22" s="14">
        <f>IF('Boletins Nuppa Site'!J22&lt;&gt;0,'Boletins Nuppa Site'!J22,"NULL")</f>
        <v>55</v>
      </c>
      <c r="H22" s="14">
        <f>IF('Boletins Nuppa Site'!K22&lt;&gt;0,'Boletins Nuppa Site'!K22,"NULL")</f>
        <v>50</v>
      </c>
      <c r="I22" t="str">
        <f t="shared" si="0"/>
        <v>INSERT INTO COTACAO (cot_id, cot_blt_id, cot_pap_id, cot_prc_comum, cot_prc_min, cot_prc_max, cot_prc_med, cot_prc_mediana) VALUES (21, 37, 22, 50, 50, 65, 55, 50);</v>
      </c>
      <c r="J22" t="str">
        <f t="shared" si="1"/>
        <v>UPDATE COTACAO SET cot_id = 21, cot_blt_id = 37, cot_pap_id = 22, cot_prc_comum = 50, cot_prc_min = 50, cot_prc_max = 65, cot_prc_med = 55, cot_prc_mediana = 50 WHERE cot_id = 21;</v>
      </c>
    </row>
    <row r="23" spans="1:10" x14ac:dyDescent="0.3">
      <c r="A23">
        <v>22</v>
      </c>
      <c r="B23">
        <f>IF('Boletins Nuppa Site'!A23&lt;&gt;0,'Boletins Nuppa Site'!A23,"NULL")</f>
        <v>37</v>
      </c>
      <c r="C23">
        <v>23</v>
      </c>
      <c r="D23" s="14">
        <f>IF('Boletins Nuppa Site'!G23&lt;&gt;0,'Boletins Nuppa Site'!G23,"NULL")</f>
        <v>40</v>
      </c>
      <c r="E23" s="14">
        <f>IF('Boletins Nuppa Site'!H23&lt;&gt;0,'Boletins Nuppa Site'!H23,"NULL")</f>
        <v>40</v>
      </c>
      <c r="F23" s="14">
        <f>IF('Boletins Nuppa Site'!I23&lt;&gt;0,'Boletins Nuppa Site'!I23,"NULL")</f>
        <v>50</v>
      </c>
      <c r="G23" t="str">
        <f>IF('Boletins Nuppa Site'!J23&lt;&gt;0,'Boletins Nuppa Site'!J23,"NULL")</f>
        <v>44.17</v>
      </c>
      <c r="H23" t="str">
        <f>IF('Boletins Nuppa Site'!K23&lt;&gt;0,'Boletins Nuppa Site'!K23,"NULL")</f>
        <v>42.5</v>
      </c>
      <c r="I23" t="str">
        <f t="shared" si="0"/>
        <v>INSERT INTO COTACAO (cot_id, cot_blt_id, cot_pap_id, cot_prc_comum, cot_prc_min, cot_prc_max, cot_prc_med, cot_prc_mediana) VALUES (22, 37, 23, 40, 40, 50, 44.17, 42.5);</v>
      </c>
      <c r="J23" t="str">
        <f t="shared" si="1"/>
        <v>UPDATE COTACAO SET cot_id = 22, cot_blt_id = 37, cot_pap_id = 23, cot_prc_comum = 40, cot_prc_min = 40, cot_prc_max = 50, cot_prc_med = 44.17, cot_prc_mediana = 42.5 WHERE cot_id = 22;</v>
      </c>
    </row>
    <row r="24" spans="1:10" x14ac:dyDescent="0.3">
      <c r="A24">
        <v>23</v>
      </c>
      <c r="B24">
        <f>IF('Boletins Nuppa Site'!A24&lt;&gt;0,'Boletins Nuppa Site'!A24,"NULL")</f>
        <v>37</v>
      </c>
      <c r="C24">
        <v>24</v>
      </c>
      <c r="D24" t="str">
        <f>IF('Boletins Nuppa Site'!G24&lt;&gt;0,'Boletins Nuppa Site'!G24,"NULL")</f>
        <v>NULL</v>
      </c>
      <c r="E24" t="str">
        <f>IF('Boletins Nuppa Site'!H24&lt;&gt;0,'Boletins Nuppa Site'!H24,"NULL")</f>
        <v>NULL</v>
      </c>
      <c r="F24" t="str">
        <f>IF('Boletins Nuppa Site'!I24&lt;&gt;0,'Boletins Nuppa Site'!I24,"NULL")</f>
        <v>NULL</v>
      </c>
      <c r="G24" t="str">
        <f>IF('Boletins Nuppa Site'!J24&lt;&gt;0,'Boletins Nuppa Site'!J24,"NULL")</f>
        <v>NULL</v>
      </c>
      <c r="H24" t="str">
        <f>IF('Boletins Nuppa Site'!K24&lt;&gt;0,'Boletins Nuppa Site'!K24,"NULL")</f>
        <v>NULL</v>
      </c>
      <c r="I24" t="str">
        <f t="shared" si="0"/>
        <v>INSERT INTO COTACAO (cot_id, cot_blt_id, cot_pap_id, cot_prc_comum, cot_prc_min, cot_prc_max, cot_prc_med, cot_prc_mediana) VALUES (23, 37, 24, NULL, NULL, NULL, NULL, NULL);</v>
      </c>
      <c r="J24" t="str">
        <f t="shared" si="1"/>
        <v>UPDATE COTACAO SET cot_id = 23, cot_blt_id = 37, cot_pap_id = 24, cot_prc_comum = NULL, cot_prc_min = NULL, cot_prc_max = NULL, cot_prc_med = NULL, cot_prc_mediana = NULL WHERE cot_id = 23;</v>
      </c>
    </row>
    <row r="25" spans="1:10" x14ac:dyDescent="0.3">
      <c r="A25">
        <v>24</v>
      </c>
      <c r="B25">
        <f>IF('Boletins Nuppa Site'!A25&lt;&gt;0,'Boletins Nuppa Site'!A25,"NULL")</f>
        <v>37</v>
      </c>
      <c r="C25">
        <v>25</v>
      </c>
      <c r="D25" t="str">
        <f>IF('Boletins Nuppa Site'!G25&lt;&gt;0,'Boletins Nuppa Site'!G25,"NULL")</f>
        <v>NULL</v>
      </c>
      <c r="E25" s="14">
        <f>IF('Boletins Nuppa Site'!H25&lt;&gt;0,'Boletins Nuppa Site'!H25,"NULL")</f>
        <v>48</v>
      </c>
      <c r="F25" s="14">
        <f>IF('Boletins Nuppa Site'!I25&lt;&gt;0,'Boletins Nuppa Site'!I25,"NULL")</f>
        <v>60</v>
      </c>
      <c r="G25" t="str">
        <f>IF('Boletins Nuppa Site'!J25&lt;&gt;0,'Boletins Nuppa Site'!J25,"NULL")</f>
        <v>52.67</v>
      </c>
      <c r="H25" s="14">
        <f>IF('Boletins Nuppa Site'!K25&lt;&gt;0,'Boletins Nuppa Site'!K25,"NULL")</f>
        <v>50</v>
      </c>
      <c r="I25" t="str">
        <f t="shared" si="0"/>
        <v>INSERT INTO COTACAO (cot_id, cot_blt_id, cot_pap_id, cot_prc_comum, cot_prc_min, cot_prc_max, cot_prc_med, cot_prc_mediana) VALUES (24, 37, 25, NULL, 48, 60, 52.67, 50);</v>
      </c>
      <c r="J25" t="str">
        <f t="shared" si="1"/>
        <v>UPDATE COTACAO SET cot_id = 24, cot_blt_id = 37, cot_pap_id = 25, cot_prc_comum = NULL, cot_prc_min = 48, cot_prc_max = 60, cot_prc_med = 52.67, cot_prc_mediana = 50 WHERE cot_id = 24;</v>
      </c>
    </row>
    <row r="26" spans="1:10" x14ac:dyDescent="0.3">
      <c r="A26">
        <v>25</v>
      </c>
      <c r="B26">
        <f>IF('Boletins Nuppa Site'!A26&lt;&gt;0,'Boletins Nuppa Site'!A26,"NULL")</f>
        <v>37</v>
      </c>
      <c r="C26">
        <v>26</v>
      </c>
      <c r="D26" s="14">
        <f>IF('Boletins Nuppa Site'!G26&lt;&gt;0,'Boletins Nuppa Site'!G26,"NULL")</f>
        <v>55</v>
      </c>
      <c r="E26" s="14">
        <f>IF('Boletins Nuppa Site'!H26&lt;&gt;0,'Boletins Nuppa Site'!H26,"NULL")</f>
        <v>50</v>
      </c>
      <c r="F26" s="14">
        <f>IF('Boletins Nuppa Site'!I26&lt;&gt;0,'Boletins Nuppa Site'!I26,"NULL")</f>
        <v>60</v>
      </c>
      <c r="G26" s="14">
        <f>IF('Boletins Nuppa Site'!J26&lt;&gt;0,'Boletins Nuppa Site'!J26,"NULL")</f>
        <v>55</v>
      </c>
      <c r="H26" s="14">
        <f>IF('Boletins Nuppa Site'!K26&lt;&gt;0,'Boletins Nuppa Site'!K26,"NULL")</f>
        <v>55</v>
      </c>
      <c r="I26" t="str">
        <f t="shared" si="0"/>
        <v>INSERT INTO COTACAO (cot_id, cot_blt_id, cot_pap_id, cot_prc_comum, cot_prc_min, cot_prc_max, cot_prc_med, cot_prc_mediana) VALUES (25, 37, 26, 55, 50, 60, 55, 55);</v>
      </c>
      <c r="J26" t="str">
        <f t="shared" si="1"/>
        <v>UPDATE COTACAO SET cot_id = 25, cot_blt_id = 37, cot_pap_id = 26, cot_prc_comum = 55, cot_prc_min = 50, cot_prc_max = 60, cot_prc_med = 55, cot_prc_mediana = 55 WHERE cot_id = 25;</v>
      </c>
    </row>
    <row r="27" spans="1:10" x14ac:dyDescent="0.3">
      <c r="A27">
        <v>26</v>
      </c>
      <c r="B27">
        <f>IF('Boletins Nuppa Site'!A27&lt;&gt;0,'Boletins Nuppa Site'!A27,"NULL")</f>
        <v>37</v>
      </c>
      <c r="C27">
        <v>27</v>
      </c>
      <c r="D27" s="14">
        <f>IF('Boletins Nuppa Site'!G27&lt;&gt;0,'Boletins Nuppa Site'!G27,"NULL")</f>
        <v>40</v>
      </c>
      <c r="E27" s="14">
        <f>IF('Boletins Nuppa Site'!H27&lt;&gt;0,'Boletins Nuppa Site'!H27,"NULL")</f>
        <v>30</v>
      </c>
      <c r="F27" s="14">
        <f>IF('Boletins Nuppa Site'!I27&lt;&gt;0,'Boletins Nuppa Site'!I27,"NULL")</f>
        <v>50</v>
      </c>
      <c r="G27" s="14">
        <f>IF('Boletins Nuppa Site'!J27&lt;&gt;0,'Boletins Nuppa Site'!J27,"NULL")</f>
        <v>40</v>
      </c>
      <c r="H27" s="14">
        <f>IF('Boletins Nuppa Site'!K27&lt;&gt;0,'Boletins Nuppa Site'!K27,"NULL")</f>
        <v>40</v>
      </c>
      <c r="I27" t="str">
        <f t="shared" si="0"/>
        <v>INSERT INTO COTACAO (cot_id, cot_blt_id, cot_pap_id, cot_prc_comum, cot_prc_min, cot_prc_max, cot_prc_med, cot_prc_mediana) VALUES (26, 37, 27, 40, 30, 50, 40, 40);</v>
      </c>
      <c r="J27" t="str">
        <f t="shared" si="1"/>
        <v>UPDATE COTACAO SET cot_id = 26, cot_blt_id = 37, cot_pap_id = 27, cot_prc_comum = 40, cot_prc_min = 30, cot_prc_max = 50, cot_prc_med = 40, cot_prc_mediana = 40 WHERE cot_id = 26;</v>
      </c>
    </row>
    <row r="28" spans="1:10" x14ac:dyDescent="0.3">
      <c r="A28">
        <v>27</v>
      </c>
      <c r="B28">
        <f>IF('Boletins Nuppa Site'!A28&lt;&gt;0,'Boletins Nuppa Site'!A28,"NULL")</f>
        <v>37</v>
      </c>
      <c r="C28">
        <v>28</v>
      </c>
      <c r="D28" s="14">
        <f>IF('Boletins Nuppa Site'!G28&lt;&gt;0,'Boletins Nuppa Site'!G28,"NULL")</f>
        <v>50</v>
      </c>
      <c r="E28" s="14">
        <f>IF('Boletins Nuppa Site'!H28&lt;&gt;0,'Boletins Nuppa Site'!H28,"NULL")</f>
        <v>50</v>
      </c>
      <c r="F28" s="14">
        <f>IF('Boletins Nuppa Site'!I28&lt;&gt;0,'Boletins Nuppa Site'!I28,"NULL")</f>
        <v>70</v>
      </c>
      <c r="G28" t="str">
        <f>IF('Boletins Nuppa Site'!J28&lt;&gt;0,'Boletins Nuppa Site'!J28,"NULL")</f>
        <v>56.67</v>
      </c>
      <c r="H28" s="14">
        <f>IF('Boletins Nuppa Site'!K28&lt;&gt;0,'Boletins Nuppa Site'!K28,"NULL")</f>
        <v>50</v>
      </c>
      <c r="I28" t="str">
        <f t="shared" si="0"/>
        <v>INSERT INTO COTACAO (cot_id, cot_blt_id, cot_pap_id, cot_prc_comum, cot_prc_min, cot_prc_max, cot_prc_med, cot_prc_mediana) VALUES (27, 37, 28, 50, 50, 70, 56.67, 50);</v>
      </c>
      <c r="J28" t="str">
        <f t="shared" si="1"/>
        <v>UPDATE COTACAO SET cot_id = 27, cot_blt_id = 37, cot_pap_id = 28, cot_prc_comum = 50, cot_prc_min = 50, cot_prc_max = 70, cot_prc_med = 56.67, cot_prc_mediana = 50 WHERE cot_id = 27;</v>
      </c>
    </row>
    <row r="29" spans="1:10" x14ac:dyDescent="0.3">
      <c r="A29">
        <v>28</v>
      </c>
      <c r="B29">
        <f>IF('Boletins Nuppa Site'!A29&lt;&gt;0,'Boletins Nuppa Site'!A29,"NULL")</f>
        <v>37</v>
      </c>
      <c r="C29">
        <v>29</v>
      </c>
      <c r="D29" t="str">
        <f>IF('Boletins Nuppa Site'!G29&lt;&gt;0,'Boletins Nuppa Site'!G29,"NULL")</f>
        <v>NULL</v>
      </c>
      <c r="E29" t="str">
        <f>IF('Boletins Nuppa Site'!H29&lt;&gt;0,'Boletins Nuppa Site'!H29,"NULL")</f>
        <v>NULL</v>
      </c>
      <c r="F29" t="str">
        <f>IF('Boletins Nuppa Site'!I29&lt;&gt;0,'Boletins Nuppa Site'!I29,"NULL")</f>
        <v>NULL</v>
      </c>
      <c r="G29" t="str">
        <f>IF('Boletins Nuppa Site'!J29&lt;&gt;0,'Boletins Nuppa Site'!J29,"NULL")</f>
        <v>NULL</v>
      </c>
      <c r="H29" t="str">
        <f>IF('Boletins Nuppa Site'!K29&lt;&gt;0,'Boletins Nuppa Site'!K29,"NULL")</f>
        <v>NULL</v>
      </c>
      <c r="I29" t="str">
        <f t="shared" si="0"/>
        <v>INSERT INTO COTACAO (cot_id, cot_blt_id, cot_pap_id, cot_prc_comum, cot_prc_min, cot_prc_max, cot_prc_med, cot_prc_mediana) VALUES (28, 37, 29, NULL, NULL, NULL, NULL, NULL);</v>
      </c>
      <c r="J29" t="str">
        <f t="shared" si="1"/>
        <v>UPDATE COTACAO SET cot_id = 28, cot_blt_id = 37, cot_pap_id = 29, cot_prc_comum = NULL, cot_prc_min = NULL, cot_prc_max = NULL, cot_prc_med = NULL, cot_prc_mediana = NULL WHERE cot_id = 28;</v>
      </c>
    </row>
    <row r="30" spans="1:10" x14ac:dyDescent="0.3">
      <c r="A30">
        <v>29</v>
      </c>
      <c r="B30">
        <f>IF('Boletins Nuppa Site'!A30&lt;&gt;0,'Boletins Nuppa Site'!A30,"NULL")</f>
        <v>37</v>
      </c>
      <c r="C30">
        <v>30</v>
      </c>
      <c r="D30" s="14">
        <f>IF('Boletins Nuppa Site'!G30&lt;&gt;0,'Boletins Nuppa Site'!G30,"NULL")</f>
        <v>50</v>
      </c>
      <c r="E30" s="14">
        <f>IF('Boletins Nuppa Site'!H30&lt;&gt;0,'Boletins Nuppa Site'!H30,"NULL")</f>
        <v>40</v>
      </c>
      <c r="F30" s="14">
        <f>IF('Boletins Nuppa Site'!I30&lt;&gt;0,'Boletins Nuppa Site'!I30,"NULL")</f>
        <v>60</v>
      </c>
      <c r="G30" s="14">
        <f>IF('Boletins Nuppa Site'!J30&lt;&gt;0,'Boletins Nuppa Site'!J30,"NULL")</f>
        <v>50</v>
      </c>
      <c r="H30" s="14">
        <f>IF('Boletins Nuppa Site'!K30&lt;&gt;0,'Boletins Nuppa Site'!K30,"NULL")</f>
        <v>50</v>
      </c>
      <c r="I30" t="str">
        <f t="shared" si="0"/>
        <v>INSERT INTO COTACAO (cot_id, cot_blt_id, cot_pap_id, cot_prc_comum, cot_prc_min, cot_prc_max, cot_prc_med, cot_prc_mediana) VALUES (29, 37, 30, 50, 40, 60, 50, 50);</v>
      </c>
      <c r="J30" t="str">
        <f t="shared" si="1"/>
        <v>UPDATE COTACAO SET cot_id = 29, cot_blt_id = 37, cot_pap_id = 30, cot_prc_comum = 50, cot_prc_min = 40, cot_prc_max = 60, cot_prc_med = 50, cot_prc_mediana = 50 WHERE cot_id = 29;</v>
      </c>
    </row>
    <row r="31" spans="1:10" x14ac:dyDescent="0.3">
      <c r="A31">
        <v>30</v>
      </c>
      <c r="B31">
        <f>IF('Boletins Nuppa Site'!A31&lt;&gt;0,'Boletins Nuppa Site'!A31,"NULL")</f>
        <v>37</v>
      </c>
      <c r="C31">
        <v>31</v>
      </c>
      <c r="D31" s="14">
        <f>IF('Boletins Nuppa Site'!G31&lt;&gt;0,'Boletins Nuppa Site'!G31,"NULL")</f>
        <v>50</v>
      </c>
      <c r="E31" s="14">
        <f>IF('Boletins Nuppa Site'!H31&lt;&gt;0,'Boletins Nuppa Site'!H31,"NULL")</f>
        <v>50</v>
      </c>
      <c r="F31" s="14">
        <f>IF('Boletins Nuppa Site'!I31&lt;&gt;0,'Boletins Nuppa Site'!I31,"NULL")</f>
        <v>60</v>
      </c>
      <c r="G31" s="14">
        <f>IF('Boletins Nuppa Site'!J31&lt;&gt;0,'Boletins Nuppa Site'!J31,"NULL")</f>
        <v>55</v>
      </c>
      <c r="H31" s="14">
        <f>IF('Boletins Nuppa Site'!K31&lt;&gt;0,'Boletins Nuppa Site'!K31,"NULL")</f>
        <v>55</v>
      </c>
      <c r="I31" t="str">
        <f t="shared" si="0"/>
        <v>INSERT INTO COTACAO (cot_id, cot_blt_id, cot_pap_id, cot_prc_comum, cot_prc_min, cot_prc_max, cot_prc_med, cot_prc_mediana) VALUES (30, 37, 31, 50, 50, 60, 55, 55);</v>
      </c>
      <c r="J31" t="str">
        <f t="shared" si="1"/>
        <v>UPDATE COTACAO SET cot_id = 30, cot_blt_id = 37, cot_pap_id = 31, cot_prc_comum = 50, cot_prc_min = 50, cot_prc_max = 60, cot_prc_med = 55, cot_prc_mediana = 55 WHERE cot_id = 30;</v>
      </c>
    </row>
    <row r="32" spans="1:10" x14ac:dyDescent="0.3">
      <c r="A32">
        <v>31</v>
      </c>
      <c r="B32">
        <f>IF('Boletins Nuppa Site'!A32&lt;&gt;0,'Boletins Nuppa Site'!A32,"NULL")</f>
        <v>37</v>
      </c>
      <c r="C32">
        <v>32</v>
      </c>
      <c r="D32" t="str">
        <f>IF('Boletins Nuppa Site'!G32&lt;&gt;0,'Boletins Nuppa Site'!G32,"NULL")</f>
        <v>NULL</v>
      </c>
      <c r="E32" s="14">
        <f>IF('Boletins Nuppa Site'!H32&lt;&gt;0,'Boletins Nuppa Site'!H32,"NULL")</f>
        <v>30</v>
      </c>
      <c r="F32" s="14">
        <f>IF('Boletins Nuppa Site'!I32&lt;&gt;0,'Boletins Nuppa Site'!I32,"NULL")</f>
        <v>50</v>
      </c>
      <c r="G32" s="14">
        <f>IF('Boletins Nuppa Site'!J32&lt;&gt;0,'Boletins Nuppa Site'!J32,"NULL")</f>
        <v>40</v>
      </c>
      <c r="H32" s="14">
        <f>IF('Boletins Nuppa Site'!K32&lt;&gt;0,'Boletins Nuppa Site'!K32,"NULL")</f>
        <v>40</v>
      </c>
      <c r="I32" t="str">
        <f t="shared" si="0"/>
        <v>INSERT INTO COTACAO (cot_id, cot_blt_id, cot_pap_id, cot_prc_comum, cot_prc_min, cot_prc_max, cot_prc_med, cot_prc_mediana) VALUES (31, 37, 32, NULL, 30, 50, 40, 40);</v>
      </c>
      <c r="J32" t="str">
        <f t="shared" si="1"/>
        <v>UPDATE COTACAO SET cot_id = 31, cot_blt_id = 37, cot_pap_id = 32, cot_prc_comum = NULL, cot_prc_min = 30, cot_prc_max = 50, cot_prc_med = 40, cot_prc_mediana = 40 WHERE cot_id = 31;</v>
      </c>
    </row>
    <row r="33" spans="1:10" x14ac:dyDescent="0.3">
      <c r="A33">
        <v>32</v>
      </c>
      <c r="B33">
        <f>IF('Boletins Nuppa Site'!A33&lt;&gt;0,'Boletins Nuppa Site'!A33,"NULL")</f>
        <v>37</v>
      </c>
      <c r="C33">
        <v>33</v>
      </c>
      <c r="D33" s="14">
        <f>IF('Boletins Nuppa Site'!G33&lt;&gt;0,'Boletins Nuppa Site'!G33,"NULL")</f>
        <v>70</v>
      </c>
      <c r="E33" s="14">
        <f>IF('Boletins Nuppa Site'!H33&lt;&gt;0,'Boletins Nuppa Site'!H33,"NULL")</f>
        <v>60</v>
      </c>
      <c r="F33" s="14">
        <f>IF('Boletins Nuppa Site'!I33&lt;&gt;0,'Boletins Nuppa Site'!I33,"NULL")</f>
        <v>80</v>
      </c>
      <c r="G33" t="str">
        <f>IF('Boletins Nuppa Site'!J33&lt;&gt;0,'Boletins Nuppa Site'!J33,"NULL")</f>
        <v>68.33</v>
      </c>
      <c r="H33" s="14">
        <f>IF('Boletins Nuppa Site'!K33&lt;&gt;0,'Boletins Nuppa Site'!K33,"NULL")</f>
        <v>70</v>
      </c>
      <c r="I33" t="str">
        <f t="shared" si="0"/>
        <v>INSERT INTO COTACAO (cot_id, cot_blt_id, cot_pap_id, cot_prc_comum, cot_prc_min, cot_prc_max, cot_prc_med, cot_prc_mediana) VALUES (32, 37, 33, 70, 60, 80, 68.33, 70);</v>
      </c>
      <c r="J33" t="str">
        <f t="shared" si="1"/>
        <v>UPDATE COTACAO SET cot_id = 32, cot_blt_id = 37, cot_pap_id = 33, cot_prc_comum = 70, cot_prc_min = 60, cot_prc_max = 80, cot_prc_med = 68.33, cot_prc_mediana = 70 WHERE cot_id = 32;</v>
      </c>
    </row>
    <row r="34" spans="1:10" x14ac:dyDescent="0.3">
      <c r="A34">
        <v>33</v>
      </c>
      <c r="B34">
        <f>IF('Boletins Nuppa Site'!A34&lt;&gt;0,'Boletins Nuppa Site'!A34,"NULL")</f>
        <v>37</v>
      </c>
      <c r="C34">
        <v>34</v>
      </c>
      <c r="D34" s="14">
        <f>IF('Boletins Nuppa Site'!G34&lt;&gt;0,'Boletins Nuppa Site'!G34,"NULL")</f>
        <v>100</v>
      </c>
      <c r="E34" s="14">
        <f>IF('Boletins Nuppa Site'!H34&lt;&gt;0,'Boletins Nuppa Site'!H34,"NULL")</f>
        <v>90</v>
      </c>
      <c r="F34" s="14">
        <f>IF('Boletins Nuppa Site'!I34&lt;&gt;0,'Boletins Nuppa Site'!I34,"NULL")</f>
        <v>110</v>
      </c>
      <c r="G34" s="14">
        <f>IF('Boletins Nuppa Site'!J34&lt;&gt;0,'Boletins Nuppa Site'!J34,"NULL")</f>
        <v>100</v>
      </c>
      <c r="H34" s="14">
        <f>IF('Boletins Nuppa Site'!K34&lt;&gt;0,'Boletins Nuppa Site'!K34,"NULL")</f>
        <v>100</v>
      </c>
      <c r="I34" t="str">
        <f t="shared" si="0"/>
        <v>INSERT INTO COTACAO (cot_id, cot_blt_id, cot_pap_id, cot_prc_comum, cot_prc_min, cot_prc_max, cot_prc_med, cot_prc_mediana) VALUES (33, 37, 34, 100, 90, 110, 100, 100);</v>
      </c>
      <c r="J34" t="str">
        <f t="shared" si="1"/>
        <v>UPDATE COTACAO SET cot_id = 33, cot_blt_id = 37, cot_pap_id = 34, cot_prc_comum = 100, cot_prc_min = 90, cot_prc_max = 110, cot_prc_med = 100, cot_prc_mediana = 100 WHERE cot_id = 33;</v>
      </c>
    </row>
    <row r="35" spans="1:10" x14ac:dyDescent="0.3">
      <c r="A35">
        <v>34</v>
      </c>
      <c r="B35">
        <f>IF('Boletins Nuppa Site'!A35&lt;&gt;0,'Boletins Nuppa Site'!A35,"NULL")</f>
        <v>37</v>
      </c>
      <c r="C35">
        <v>35</v>
      </c>
      <c r="D35" s="14">
        <f>IF('Boletins Nuppa Site'!G35&lt;&gt;0,'Boletins Nuppa Site'!G35,"NULL")</f>
        <v>80</v>
      </c>
      <c r="E35" s="14">
        <f>IF('Boletins Nuppa Site'!H35&lt;&gt;0,'Boletins Nuppa Site'!H35,"NULL")</f>
        <v>70</v>
      </c>
      <c r="F35" s="14">
        <f>IF('Boletins Nuppa Site'!I35&lt;&gt;0,'Boletins Nuppa Site'!I35,"NULL")</f>
        <v>100</v>
      </c>
      <c r="G35" s="14">
        <f>IF('Boletins Nuppa Site'!J35&lt;&gt;0,'Boletins Nuppa Site'!J35,"NULL")</f>
        <v>83</v>
      </c>
      <c r="H35" s="14">
        <f>IF('Boletins Nuppa Site'!K35&lt;&gt;0,'Boletins Nuppa Site'!K35,"NULL")</f>
        <v>80</v>
      </c>
      <c r="I35" t="str">
        <f t="shared" si="0"/>
        <v>INSERT INTO COTACAO (cot_id, cot_blt_id, cot_pap_id, cot_prc_comum, cot_prc_min, cot_prc_max, cot_prc_med, cot_prc_mediana) VALUES (34, 37, 35, 80, 70, 100, 83, 80);</v>
      </c>
      <c r="J35" t="str">
        <f t="shared" si="1"/>
        <v>UPDATE COTACAO SET cot_id = 34, cot_blt_id = 37, cot_pap_id = 35, cot_prc_comum = 80, cot_prc_min = 70, cot_prc_max = 100, cot_prc_med = 83, cot_prc_mediana = 80 WHERE cot_id = 34;</v>
      </c>
    </row>
    <row r="36" spans="1:10" x14ac:dyDescent="0.3">
      <c r="A36">
        <v>35</v>
      </c>
      <c r="B36">
        <f>IF('Boletins Nuppa Site'!A36&lt;&gt;0,'Boletins Nuppa Site'!A36,"NULL")</f>
        <v>37</v>
      </c>
      <c r="C36">
        <v>36</v>
      </c>
      <c r="D36" t="str">
        <f>IF('Boletins Nuppa Site'!G36&lt;&gt;0,'Boletins Nuppa Site'!G36,"NULL")</f>
        <v>NULL</v>
      </c>
      <c r="E36" t="str">
        <f>IF('Boletins Nuppa Site'!H36&lt;&gt;0,'Boletins Nuppa Site'!H36,"NULL")</f>
        <v>NULL</v>
      </c>
      <c r="F36" t="str">
        <f>IF('Boletins Nuppa Site'!I36&lt;&gt;0,'Boletins Nuppa Site'!I36,"NULL")</f>
        <v>NULL</v>
      </c>
      <c r="G36" t="str">
        <f>IF('Boletins Nuppa Site'!J36&lt;&gt;0,'Boletins Nuppa Site'!J36,"NULL")</f>
        <v>NULL</v>
      </c>
      <c r="H36" t="str">
        <f>IF('Boletins Nuppa Site'!K36&lt;&gt;0,'Boletins Nuppa Site'!K36,"NULL")</f>
        <v>NULL</v>
      </c>
      <c r="I36" t="str">
        <f t="shared" si="0"/>
        <v>INSERT INTO COTACAO (cot_id, cot_blt_id, cot_pap_id, cot_prc_comum, cot_prc_min, cot_prc_max, cot_prc_med, cot_prc_mediana) VALUES (35, 37, 36, NULL, NULL, NULL, NULL, NULL);</v>
      </c>
      <c r="J36" t="str">
        <f t="shared" si="1"/>
        <v>UPDATE COTACAO SET cot_id = 35, cot_blt_id = 37, cot_pap_id = 36, cot_prc_comum = NULL, cot_prc_min = NULL, cot_prc_max = NULL, cot_prc_med = NULL, cot_prc_mediana = NULL WHERE cot_id = 35;</v>
      </c>
    </row>
    <row r="37" spans="1:10" x14ac:dyDescent="0.3">
      <c r="A37">
        <v>36</v>
      </c>
      <c r="B37">
        <f>IF('Boletins Nuppa Site'!A37&lt;&gt;0,'Boletins Nuppa Site'!A37,"NULL")</f>
        <v>37</v>
      </c>
      <c r="C37">
        <v>37</v>
      </c>
      <c r="D37" t="str">
        <f>IF('Boletins Nuppa Site'!G37&lt;&gt;0,'Boletins Nuppa Site'!G37,"NULL")</f>
        <v>NULL</v>
      </c>
      <c r="E37" t="str">
        <f>IF('Boletins Nuppa Site'!H37&lt;&gt;0,'Boletins Nuppa Site'!H37,"NULL")</f>
        <v>NULL</v>
      </c>
      <c r="F37" t="str">
        <f>IF('Boletins Nuppa Site'!I37&lt;&gt;0,'Boletins Nuppa Site'!I37,"NULL")</f>
        <v>NULL</v>
      </c>
      <c r="G37" t="str">
        <f>IF('Boletins Nuppa Site'!J37&lt;&gt;0,'Boletins Nuppa Site'!J37,"NULL")</f>
        <v>NULL</v>
      </c>
      <c r="H37" t="str">
        <f>IF('Boletins Nuppa Site'!K37&lt;&gt;0,'Boletins Nuppa Site'!K37,"NULL")</f>
        <v>NULL</v>
      </c>
      <c r="I37" t="str">
        <f t="shared" si="0"/>
        <v>INSERT INTO COTACAO (cot_id, cot_blt_id, cot_pap_id, cot_prc_comum, cot_prc_min, cot_prc_max, cot_prc_med, cot_prc_mediana) VALUES (36, 37, 37, NULL, NULL, NULL, NULL, NULL);</v>
      </c>
      <c r="J37" t="str">
        <f t="shared" si="1"/>
        <v>UPDATE COTACAO SET cot_id = 36, cot_blt_id = 37, cot_pap_id = 37, cot_prc_comum = NULL, cot_prc_min = NULL, cot_prc_max = NULL, cot_prc_med = NULL, cot_prc_mediana = NULL WHERE cot_id = 36;</v>
      </c>
    </row>
    <row r="38" spans="1:10" x14ac:dyDescent="0.3">
      <c r="A38">
        <v>37</v>
      </c>
      <c r="B38">
        <f>IF('Boletins Nuppa Site'!A38&lt;&gt;0,'Boletins Nuppa Site'!A38,"NULL")</f>
        <v>37</v>
      </c>
      <c r="C38">
        <v>38</v>
      </c>
      <c r="D38" t="str">
        <f>IF('Boletins Nuppa Site'!G38&lt;&gt;0,'Boletins Nuppa Site'!G38,"NULL")</f>
        <v>NULL</v>
      </c>
      <c r="E38" t="str">
        <f>IF('Boletins Nuppa Site'!H38&lt;&gt;0,'Boletins Nuppa Site'!H38,"NULL")</f>
        <v>NULL</v>
      </c>
      <c r="F38" t="str">
        <f>IF('Boletins Nuppa Site'!I38&lt;&gt;0,'Boletins Nuppa Site'!I38,"NULL")</f>
        <v>NULL</v>
      </c>
      <c r="G38" t="str">
        <f>IF('Boletins Nuppa Site'!J38&lt;&gt;0,'Boletins Nuppa Site'!J38,"NULL")</f>
        <v>NULL</v>
      </c>
      <c r="H38" t="str">
        <f>IF('Boletins Nuppa Site'!K38&lt;&gt;0,'Boletins Nuppa Site'!K38,"NULL")</f>
        <v>NULL</v>
      </c>
      <c r="I38" t="str">
        <f t="shared" si="0"/>
        <v>INSERT INTO COTACAO (cot_id, cot_blt_id, cot_pap_id, cot_prc_comum, cot_prc_min, cot_prc_max, cot_prc_med, cot_prc_mediana) VALUES (37, 37, 38, NULL, NULL, NULL, NULL, NULL);</v>
      </c>
      <c r="J38" t="str">
        <f t="shared" si="1"/>
        <v>UPDATE COTACAO SET cot_id = 37, cot_blt_id = 37, cot_pap_id = 38, cot_prc_comum = NULL, cot_prc_min = NULL, cot_prc_max = NULL, cot_prc_med = NULL, cot_prc_mediana = NULL WHERE cot_id = 37;</v>
      </c>
    </row>
    <row r="39" spans="1:10" x14ac:dyDescent="0.3">
      <c r="A39">
        <v>38</v>
      </c>
      <c r="B39">
        <f>IF('Boletins Nuppa Site'!A39&lt;&gt;0,'Boletins Nuppa Site'!A39,"NULL")</f>
        <v>37</v>
      </c>
      <c r="C39">
        <v>39</v>
      </c>
      <c r="D39" t="str">
        <f>IF('Boletins Nuppa Site'!G39&lt;&gt;0,'Boletins Nuppa Site'!G39,"NULL")</f>
        <v>NULL</v>
      </c>
      <c r="E39" t="str">
        <f>IF('Boletins Nuppa Site'!H39&lt;&gt;0,'Boletins Nuppa Site'!H39,"NULL")</f>
        <v>NULL</v>
      </c>
      <c r="F39" t="str">
        <f>IF('Boletins Nuppa Site'!I39&lt;&gt;0,'Boletins Nuppa Site'!I39,"NULL")</f>
        <v>NULL</v>
      </c>
      <c r="G39" t="str">
        <f>IF('Boletins Nuppa Site'!J39&lt;&gt;0,'Boletins Nuppa Site'!J39,"NULL")</f>
        <v>NULL</v>
      </c>
      <c r="H39" t="str">
        <f>IF('Boletins Nuppa Site'!K39&lt;&gt;0,'Boletins Nuppa Site'!K39,"NULL")</f>
        <v>NULL</v>
      </c>
      <c r="I39" t="str">
        <f t="shared" si="0"/>
        <v>INSERT INTO COTACAO (cot_id, cot_blt_id, cot_pap_id, cot_prc_comum, cot_prc_min, cot_prc_max, cot_prc_med, cot_prc_mediana) VALUES (38, 37, 39, NULL, NULL, NULL, NULL, NULL);</v>
      </c>
      <c r="J39" t="str">
        <f t="shared" si="1"/>
        <v>UPDATE COTACAO SET cot_id = 38, cot_blt_id = 37, cot_pap_id = 39, cot_prc_comum = NULL, cot_prc_min = NULL, cot_prc_max = NULL, cot_prc_med = NULL, cot_prc_mediana = NULL WHERE cot_id = 38;</v>
      </c>
    </row>
    <row r="40" spans="1:10" x14ac:dyDescent="0.3">
      <c r="A40">
        <v>39</v>
      </c>
      <c r="B40">
        <f>IF('Boletins Nuppa Site'!A40&lt;&gt;0,'Boletins Nuppa Site'!A40,"NULL")</f>
        <v>37</v>
      </c>
      <c r="C40">
        <v>40</v>
      </c>
      <c r="D40" t="str">
        <f>IF('Boletins Nuppa Site'!G40&lt;&gt;0,'Boletins Nuppa Site'!G40,"NULL")</f>
        <v>NULL</v>
      </c>
      <c r="E40" t="str">
        <f>IF('Boletins Nuppa Site'!H40&lt;&gt;0,'Boletins Nuppa Site'!H40,"NULL")</f>
        <v>NULL</v>
      </c>
      <c r="F40" t="str">
        <f>IF('Boletins Nuppa Site'!I40&lt;&gt;0,'Boletins Nuppa Site'!I40,"NULL")</f>
        <v>NULL</v>
      </c>
      <c r="G40" t="str">
        <f>IF('Boletins Nuppa Site'!J40&lt;&gt;0,'Boletins Nuppa Site'!J40,"NULL")</f>
        <v>NULL</v>
      </c>
      <c r="H40" t="str">
        <f>IF('Boletins Nuppa Site'!K40&lt;&gt;0,'Boletins Nuppa Site'!K40,"NULL")</f>
        <v>NULL</v>
      </c>
      <c r="I40" t="str">
        <f t="shared" si="0"/>
        <v>INSERT INTO COTACAO (cot_id, cot_blt_id, cot_pap_id, cot_prc_comum, cot_prc_min, cot_prc_max, cot_prc_med, cot_prc_mediana) VALUES (39, 37, 40, NULL, NULL, NULL, NULL, NULL);</v>
      </c>
      <c r="J40" t="str">
        <f t="shared" si="1"/>
        <v>UPDATE COTACAO SET cot_id = 39, cot_blt_id = 37, cot_pap_id = 40, cot_prc_comum = NULL, cot_prc_min = NULL, cot_prc_max = NULL, cot_prc_med = NULL, cot_prc_mediana = NULL WHERE cot_id = 39;</v>
      </c>
    </row>
    <row r="41" spans="1:10" x14ac:dyDescent="0.3">
      <c r="A41">
        <v>40</v>
      </c>
      <c r="B41">
        <f>IF('Boletins Nuppa Site'!A41&lt;&gt;0,'Boletins Nuppa Site'!A41,"NULL")</f>
        <v>38</v>
      </c>
      <c r="C41">
        <v>1</v>
      </c>
      <c r="D41" s="14">
        <f>IF('Boletins Nuppa Site'!G41&lt;&gt;0,'Boletins Nuppa Site'!G41,"NULL")</f>
        <v>42</v>
      </c>
      <c r="E41" s="14">
        <f>IF('Boletins Nuppa Site'!H41&lt;&gt;0,'Boletins Nuppa Site'!H41,"NULL")</f>
        <v>42</v>
      </c>
      <c r="F41" s="14">
        <f>IF('Boletins Nuppa Site'!I41&lt;&gt;0,'Boletins Nuppa Site'!I41,"NULL")</f>
        <v>42</v>
      </c>
      <c r="G41" s="14">
        <f>IF('Boletins Nuppa Site'!J41&lt;&gt;0,'Boletins Nuppa Site'!J41,"NULL")</f>
        <v>42</v>
      </c>
      <c r="H41" s="14">
        <f>IF('Boletins Nuppa Site'!K41&lt;&gt;0,'Boletins Nuppa Site'!K41,"NULL")</f>
        <v>42</v>
      </c>
      <c r="I41" t="str">
        <f t="shared" si="0"/>
        <v>INSERT INTO COTACAO (cot_id, cot_blt_id, cot_pap_id, cot_prc_comum, cot_prc_min, cot_prc_max, cot_prc_med, cot_prc_mediana) VALUES (40, 38, 1, 42, 42, 42, 42, 42);</v>
      </c>
      <c r="J41" t="str">
        <f t="shared" si="1"/>
        <v>UPDATE COTACAO SET cot_id = 40, cot_blt_id = 38, cot_pap_id = 1, cot_prc_comum = 42, cot_prc_min = 42, cot_prc_max = 42, cot_prc_med = 42, cot_prc_mediana = 42 WHERE cot_id = 40;</v>
      </c>
    </row>
    <row r="42" spans="1:10" x14ac:dyDescent="0.3">
      <c r="A42">
        <v>41</v>
      </c>
      <c r="B42">
        <f>IF('Boletins Nuppa Site'!A42&lt;&gt;0,'Boletins Nuppa Site'!A42,"NULL")</f>
        <v>38</v>
      </c>
      <c r="C42">
        <v>2</v>
      </c>
      <c r="D42" s="14">
        <f>IF('Boletins Nuppa Site'!G42&lt;&gt;0,'Boletins Nuppa Site'!G42,"NULL")</f>
        <v>60</v>
      </c>
      <c r="E42" s="14">
        <f>IF('Boletins Nuppa Site'!H42&lt;&gt;0,'Boletins Nuppa Site'!H42,"NULL")</f>
        <v>60</v>
      </c>
      <c r="F42" s="14">
        <f>IF('Boletins Nuppa Site'!I42&lt;&gt;0,'Boletins Nuppa Site'!I42,"NULL")</f>
        <v>60</v>
      </c>
      <c r="G42" s="14">
        <f>IF('Boletins Nuppa Site'!J42&lt;&gt;0,'Boletins Nuppa Site'!J42,"NULL")</f>
        <v>60</v>
      </c>
      <c r="H42" s="14">
        <f>IF('Boletins Nuppa Site'!K42&lt;&gt;0,'Boletins Nuppa Site'!K42,"NULL")</f>
        <v>60</v>
      </c>
      <c r="I42" t="str">
        <f t="shared" si="0"/>
        <v>INSERT INTO COTACAO (cot_id, cot_blt_id, cot_pap_id, cot_prc_comum, cot_prc_min, cot_prc_max, cot_prc_med, cot_prc_mediana) VALUES (41, 38, 2, 60, 60, 60, 60, 60);</v>
      </c>
      <c r="J42" t="str">
        <f t="shared" si="1"/>
        <v>UPDATE COTACAO SET cot_id = 41, cot_blt_id = 38, cot_pap_id = 2, cot_prc_comum = 60, cot_prc_min = 60, cot_prc_max = 60, cot_prc_med = 60, cot_prc_mediana = 60 WHERE cot_id = 41;</v>
      </c>
    </row>
    <row r="43" spans="1:10" x14ac:dyDescent="0.3">
      <c r="A43">
        <v>42</v>
      </c>
      <c r="B43">
        <f>IF('Boletins Nuppa Site'!A43&lt;&gt;0,'Boletins Nuppa Site'!A43,"NULL")</f>
        <v>38</v>
      </c>
      <c r="C43">
        <v>3</v>
      </c>
      <c r="D43" s="14">
        <f>IF('Boletins Nuppa Site'!G43&lt;&gt;0,'Boletins Nuppa Site'!G43,"NULL")</f>
        <v>30</v>
      </c>
      <c r="E43" s="14">
        <f>IF('Boletins Nuppa Site'!H43&lt;&gt;0,'Boletins Nuppa Site'!H43,"NULL")</f>
        <v>30</v>
      </c>
      <c r="F43" s="14">
        <f>IF('Boletins Nuppa Site'!I43&lt;&gt;0,'Boletins Nuppa Site'!I43,"NULL")</f>
        <v>36</v>
      </c>
      <c r="G43" s="14">
        <f>IF('Boletins Nuppa Site'!J43&lt;&gt;0,'Boletins Nuppa Site'!J43,"NULL")</f>
        <v>32</v>
      </c>
      <c r="H43" s="14">
        <f>IF('Boletins Nuppa Site'!K43&lt;&gt;0,'Boletins Nuppa Site'!K43,"NULL")</f>
        <v>30</v>
      </c>
      <c r="I43" t="str">
        <f t="shared" si="0"/>
        <v>INSERT INTO COTACAO (cot_id, cot_blt_id, cot_pap_id, cot_prc_comum, cot_prc_min, cot_prc_max, cot_prc_med, cot_prc_mediana) VALUES (42, 38, 3, 30, 30, 36, 32, 30);</v>
      </c>
      <c r="J43" t="str">
        <f t="shared" si="1"/>
        <v>UPDATE COTACAO SET cot_id = 42, cot_blt_id = 38, cot_pap_id = 3, cot_prc_comum = 30, cot_prc_min = 30, cot_prc_max = 36, cot_prc_med = 32, cot_prc_mediana = 30 WHERE cot_id = 42;</v>
      </c>
    </row>
    <row r="44" spans="1:10" x14ac:dyDescent="0.3">
      <c r="A44">
        <v>43</v>
      </c>
      <c r="B44">
        <f>IF('Boletins Nuppa Site'!A44&lt;&gt;0,'Boletins Nuppa Site'!A44,"NULL")</f>
        <v>38</v>
      </c>
      <c r="C44">
        <v>4</v>
      </c>
      <c r="D44" s="14">
        <f>IF('Boletins Nuppa Site'!G44&lt;&gt;0,'Boletins Nuppa Site'!G44,"NULL")</f>
        <v>24</v>
      </c>
      <c r="E44" s="14">
        <f>IF('Boletins Nuppa Site'!H44&lt;&gt;0,'Boletins Nuppa Site'!H44,"NULL")</f>
        <v>18</v>
      </c>
      <c r="F44" s="14">
        <f>IF('Boletins Nuppa Site'!I44&lt;&gt;0,'Boletins Nuppa Site'!I44,"NULL")</f>
        <v>24</v>
      </c>
      <c r="G44" t="str">
        <f>IF('Boletins Nuppa Site'!J44&lt;&gt;0,'Boletins Nuppa Site'!J44,"NULL")</f>
        <v>21.5</v>
      </c>
      <c r="H44" s="14">
        <f>IF('Boletins Nuppa Site'!K44&lt;&gt;0,'Boletins Nuppa Site'!K44,"NULL")</f>
        <v>22</v>
      </c>
      <c r="I44" t="str">
        <f t="shared" si="0"/>
        <v>INSERT INTO COTACAO (cot_id, cot_blt_id, cot_pap_id, cot_prc_comum, cot_prc_min, cot_prc_max, cot_prc_med, cot_prc_mediana) VALUES (43, 38, 4, 24, 18, 24, 21.5, 22);</v>
      </c>
      <c r="J44" t="str">
        <f t="shared" si="1"/>
        <v>UPDATE COTACAO SET cot_id = 43, cot_blt_id = 38, cot_pap_id = 4, cot_prc_comum = 24, cot_prc_min = 18, cot_prc_max = 24, cot_prc_med = 21.5, cot_prc_mediana = 22 WHERE cot_id = 43;</v>
      </c>
    </row>
    <row r="45" spans="1:10" x14ac:dyDescent="0.3">
      <c r="A45">
        <v>44</v>
      </c>
      <c r="B45">
        <f>IF('Boletins Nuppa Site'!A45&lt;&gt;0,'Boletins Nuppa Site'!A45,"NULL")</f>
        <v>38</v>
      </c>
      <c r="C45">
        <v>5</v>
      </c>
      <c r="D45" t="str">
        <f>IF('Boletins Nuppa Site'!G45&lt;&gt;0,'Boletins Nuppa Site'!G45,"NULL")</f>
        <v>NULL</v>
      </c>
      <c r="E45" s="14">
        <f>IF('Boletins Nuppa Site'!H45&lt;&gt;0,'Boletins Nuppa Site'!H45,"NULL")</f>
        <v>15</v>
      </c>
      <c r="F45" s="14">
        <f>IF('Boletins Nuppa Site'!I45&lt;&gt;0,'Boletins Nuppa Site'!I45,"NULL")</f>
        <v>24</v>
      </c>
      <c r="G45" s="14">
        <f>IF('Boletins Nuppa Site'!J45&lt;&gt;0,'Boletins Nuppa Site'!J45,"NULL")</f>
        <v>19</v>
      </c>
      <c r="H45" s="14">
        <f>IF('Boletins Nuppa Site'!K45&lt;&gt;0,'Boletins Nuppa Site'!K45,"NULL")</f>
        <v>18</v>
      </c>
      <c r="I45" t="str">
        <f t="shared" si="0"/>
        <v>INSERT INTO COTACAO (cot_id, cot_blt_id, cot_pap_id, cot_prc_comum, cot_prc_min, cot_prc_max, cot_prc_med, cot_prc_mediana) VALUES (44, 38, 5, NULL, 15, 24, 19, 18);</v>
      </c>
      <c r="J45" t="str">
        <f t="shared" si="1"/>
        <v>UPDATE COTACAO SET cot_id = 44, cot_blt_id = 38, cot_pap_id = 5, cot_prc_comum = NULL, cot_prc_min = 15, cot_prc_max = 24, cot_prc_med = 19, cot_prc_mediana = 18 WHERE cot_id = 44;</v>
      </c>
    </row>
    <row r="46" spans="1:10" x14ac:dyDescent="0.3">
      <c r="A46">
        <v>45</v>
      </c>
      <c r="B46">
        <f>IF('Boletins Nuppa Site'!A46&lt;&gt;0,'Boletins Nuppa Site'!A46,"NULL")</f>
        <v>38</v>
      </c>
      <c r="C46">
        <v>6</v>
      </c>
      <c r="D46" t="str">
        <f>IF('Boletins Nuppa Site'!G46&lt;&gt;0,'Boletins Nuppa Site'!G46,"NULL")</f>
        <v>NULL</v>
      </c>
      <c r="E46" s="14">
        <f>IF('Boletins Nuppa Site'!H46&lt;&gt;0,'Boletins Nuppa Site'!H46,"NULL")</f>
        <v>42</v>
      </c>
      <c r="F46" s="14">
        <f>IF('Boletins Nuppa Site'!I46&lt;&gt;0,'Boletins Nuppa Site'!I46,"NULL")</f>
        <v>48</v>
      </c>
      <c r="G46" s="14">
        <f>IF('Boletins Nuppa Site'!J46&lt;&gt;0,'Boletins Nuppa Site'!J46,"NULL")</f>
        <v>45</v>
      </c>
      <c r="H46" s="14">
        <f>IF('Boletins Nuppa Site'!K46&lt;&gt;0,'Boletins Nuppa Site'!K46,"NULL")</f>
        <v>45</v>
      </c>
      <c r="I46" t="str">
        <f t="shared" si="0"/>
        <v>INSERT INTO COTACAO (cot_id, cot_blt_id, cot_pap_id, cot_prc_comum, cot_prc_min, cot_prc_max, cot_prc_med, cot_prc_mediana) VALUES (45, 38, 6, NULL, 42, 48, 45, 45);</v>
      </c>
      <c r="J46" t="str">
        <f t="shared" si="1"/>
        <v>UPDATE COTACAO SET cot_id = 45, cot_blt_id = 38, cot_pap_id = 6, cot_prc_comum = NULL, cot_prc_min = 42, cot_prc_max = 48, cot_prc_med = 45, cot_prc_mediana = 45 WHERE cot_id = 45;</v>
      </c>
    </row>
    <row r="47" spans="1:10" x14ac:dyDescent="0.3">
      <c r="A47">
        <v>46</v>
      </c>
      <c r="B47">
        <f>IF('Boletins Nuppa Site'!A47&lt;&gt;0,'Boletins Nuppa Site'!A47,"NULL")</f>
        <v>38</v>
      </c>
      <c r="C47">
        <v>7</v>
      </c>
      <c r="D47" t="str">
        <f>IF('Boletins Nuppa Site'!G47&lt;&gt;0,'Boletins Nuppa Site'!G47,"NULL")</f>
        <v>NULL</v>
      </c>
      <c r="E47" s="14">
        <f>IF('Boletins Nuppa Site'!H47&lt;&gt;0,'Boletins Nuppa Site'!H47,"NULL")</f>
        <v>66</v>
      </c>
      <c r="F47" s="14">
        <f>IF('Boletins Nuppa Site'!I47&lt;&gt;0,'Boletins Nuppa Site'!I47,"NULL")</f>
        <v>72</v>
      </c>
      <c r="G47" s="14">
        <f>IF('Boletins Nuppa Site'!J47&lt;&gt;0,'Boletins Nuppa Site'!J47,"NULL")</f>
        <v>69</v>
      </c>
      <c r="H47" s="14">
        <f>IF('Boletins Nuppa Site'!K47&lt;&gt;0,'Boletins Nuppa Site'!K47,"NULL")</f>
        <v>69</v>
      </c>
      <c r="I47" t="str">
        <f t="shared" si="0"/>
        <v>INSERT INTO COTACAO (cot_id, cot_blt_id, cot_pap_id, cot_prc_comum, cot_prc_min, cot_prc_max, cot_prc_med, cot_prc_mediana) VALUES (46, 38, 7, NULL, 66, 72, 69, 69);</v>
      </c>
      <c r="J47" t="str">
        <f t="shared" si="1"/>
        <v>UPDATE COTACAO SET cot_id = 46, cot_blt_id = 38, cot_pap_id = 7, cot_prc_comum = NULL, cot_prc_min = 66, cot_prc_max = 72, cot_prc_med = 69, cot_prc_mediana = 69 WHERE cot_id = 46;</v>
      </c>
    </row>
    <row r="48" spans="1:10" x14ac:dyDescent="0.3">
      <c r="A48">
        <v>47</v>
      </c>
      <c r="B48">
        <f>IF('Boletins Nuppa Site'!A48&lt;&gt;0,'Boletins Nuppa Site'!A48,"NULL")</f>
        <v>38</v>
      </c>
      <c r="C48">
        <v>8</v>
      </c>
      <c r="D48" t="str">
        <f>IF('Boletins Nuppa Site'!G48&lt;&gt;0,'Boletins Nuppa Site'!G48,"NULL")</f>
        <v>NULL</v>
      </c>
      <c r="E48" s="14">
        <f>IF('Boletins Nuppa Site'!H48&lt;&gt;0,'Boletins Nuppa Site'!H48,"NULL")</f>
        <v>48</v>
      </c>
      <c r="F48" s="14">
        <f>IF('Boletins Nuppa Site'!I48&lt;&gt;0,'Boletins Nuppa Site'!I48,"NULL")</f>
        <v>72</v>
      </c>
      <c r="G48" s="14">
        <f>IF('Boletins Nuppa Site'!J48&lt;&gt;0,'Boletins Nuppa Site'!J48,"NULL")</f>
        <v>60</v>
      </c>
      <c r="H48" s="14">
        <f>IF('Boletins Nuppa Site'!K48&lt;&gt;0,'Boletins Nuppa Site'!K48,"NULL")</f>
        <v>60</v>
      </c>
      <c r="I48" t="str">
        <f t="shared" si="0"/>
        <v>INSERT INTO COTACAO (cot_id, cot_blt_id, cot_pap_id, cot_prc_comum, cot_prc_min, cot_prc_max, cot_prc_med, cot_prc_mediana) VALUES (47, 38, 8, NULL, 48, 72, 60, 60);</v>
      </c>
      <c r="J48" t="str">
        <f t="shared" si="1"/>
        <v>UPDATE COTACAO SET cot_id = 47, cot_blt_id = 38, cot_pap_id = 8, cot_prc_comum = NULL, cot_prc_min = 48, cot_prc_max = 72, cot_prc_med = 60, cot_prc_mediana = 60 WHERE cot_id = 47;</v>
      </c>
    </row>
    <row r="49" spans="1:10" x14ac:dyDescent="0.3">
      <c r="A49">
        <v>48</v>
      </c>
      <c r="B49">
        <f>IF('Boletins Nuppa Site'!A49&lt;&gt;0,'Boletins Nuppa Site'!A49,"NULL")</f>
        <v>38</v>
      </c>
      <c r="C49">
        <v>9</v>
      </c>
      <c r="D49" t="str">
        <f>IF('Boletins Nuppa Site'!G49&lt;&gt;0,'Boletins Nuppa Site'!G49,"NULL")</f>
        <v>NULL</v>
      </c>
      <c r="E49" s="14">
        <f>IF('Boletins Nuppa Site'!H49&lt;&gt;0,'Boletins Nuppa Site'!H49,"NULL")</f>
        <v>15</v>
      </c>
      <c r="F49" s="14">
        <f>IF('Boletins Nuppa Site'!I49&lt;&gt;0,'Boletins Nuppa Site'!I49,"NULL")</f>
        <v>24</v>
      </c>
      <c r="G49" s="14">
        <f>IF('Boletins Nuppa Site'!J49&lt;&gt;0,'Boletins Nuppa Site'!J49,"NULL")</f>
        <v>19</v>
      </c>
      <c r="H49" s="14">
        <f>IF('Boletins Nuppa Site'!K49&lt;&gt;0,'Boletins Nuppa Site'!K49,"NULL")</f>
        <v>18</v>
      </c>
      <c r="I49" t="str">
        <f t="shared" si="0"/>
        <v>INSERT INTO COTACAO (cot_id, cot_blt_id, cot_pap_id, cot_prc_comum, cot_prc_min, cot_prc_max, cot_prc_med, cot_prc_mediana) VALUES (48, 38, 9, NULL, 15, 24, 19, 18);</v>
      </c>
      <c r="J49" t="str">
        <f t="shared" si="1"/>
        <v>UPDATE COTACAO SET cot_id = 48, cot_blt_id = 38, cot_pap_id = 9, cot_prc_comum = NULL, cot_prc_min = 15, cot_prc_max = 24, cot_prc_med = 19, cot_prc_mediana = 18 WHERE cot_id = 48;</v>
      </c>
    </row>
    <row r="50" spans="1:10" x14ac:dyDescent="0.3">
      <c r="A50">
        <v>49</v>
      </c>
      <c r="B50">
        <f>IF('Boletins Nuppa Site'!A50&lt;&gt;0,'Boletins Nuppa Site'!A50,"NULL")</f>
        <v>38</v>
      </c>
      <c r="C50">
        <v>10</v>
      </c>
      <c r="D50" s="14">
        <f>IF('Boletins Nuppa Site'!G50&lt;&gt;0,'Boletins Nuppa Site'!G50,"NULL")</f>
        <v>60</v>
      </c>
      <c r="E50" s="14">
        <f>IF('Boletins Nuppa Site'!H50&lt;&gt;0,'Boletins Nuppa Site'!H50,"NULL")</f>
        <v>60</v>
      </c>
      <c r="F50" s="14">
        <f>IF('Boletins Nuppa Site'!I50&lt;&gt;0,'Boletins Nuppa Site'!I50,"NULL")</f>
        <v>66</v>
      </c>
      <c r="G50" s="14">
        <f>IF('Boletins Nuppa Site'!J50&lt;&gt;0,'Boletins Nuppa Site'!J50,"NULL")</f>
        <v>62</v>
      </c>
      <c r="H50" s="14">
        <f>IF('Boletins Nuppa Site'!K50&lt;&gt;0,'Boletins Nuppa Site'!K50,"NULL")</f>
        <v>60</v>
      </c>
      <c r="I50" t="str">
        <f t="shared" si="0"/>
        <v>INSERT INTO COTACAO (cot_id, cot_blt_id, cot_pap_id, cot_prc_comum, cot_prc_min, cot_prc_max, cot_prc_med, cot_prc_mediana) VALUES (49, 38, 10, 60, 60, 66, 62, 60);</v>
      </c>
      <c r="J50" t="str">
        <f t="shared" si="1"/>
        <v>UPDATE COTACAO SET cot_id = 49, cot_blt_id = 38, cot_pap_id = 10, cot_prc_comum = 60, cot_prc_min = 60, cot_prc_max = 66, cot_prc_med = 62, cot_prc_mediana = 60 WHERE cot_id = 49;</v>
      </c>
    </row>
    <row r="51" spans="1:10" x14ac:dyDescent="0.3">
      <c r="A51">
        <v>50</v>
      </c>
      <c r="B51">
        <f>IF('Boletins Nuppa Site'!A51&lt;&gt;0,'Boletins Nuppa Site'!A51,"NULL")</f>
        <v>38</v>
      </c>
      <c r="C51">
        <v>11</v>
      </c>
      <c r="D51" t="str">
        <f>IF('Boletins Nuppa Site'!G51&lt;&gt;0,'Boletins Nuppa Site'!G51,"NULL")</f>
        <v>NULL</v>
      </c>
      <c r="E51" s="14">
        <f>IF('Boletins Nuppa Site'!H51&lt;&gt;0,'Boletins Nuppa Site'!H51,"NULL")</f>
        <v>15</v>
      </c>
      <c r="F51" s="14">
        <f>IF('Boletins Nuppa Site'!I51&lt;&gt;0,'Boletins Nuppa Site'!I51,"NULL")</f>
        <v>24</v>
      </c>
      <c r="G51" s="14">
        <f>IF('Boletins Nuppa Site'!J51&lt;&gt;0,'Boletins Nuppa Site'!J51,"NULL")</f>
        <v>19</v>
      </c>
      <c r="H51" s="14">
        <f>IF('Boletins Nuppa Site'!K51&lt;&gt;0,'Boletins Nuppa Site'!K51,"NULL")</f>
        <v>18</v>
      </c>
      <c r="I51" t="str">
        <f t="shared" si="0"/>
        <v>INSERT INTO COTACAO (cot_id, cot_blt_id, cot_pap_id, cot_prc_comum, cot_prc_min, cot_prc_max, cot_prc_med, cot_prc_mediana) VALUES (50, 38, 11, NULL, 15, 24, 19, 18);</v>
      </c>
      <c r="J51" t="str">
        <f t="shared" si="1"/>
        <v>UPDATE COTACAO SET cot_id = 50, cot_blt_id = 38, cot_pap_id = 11, cot_prc_comum = NULL, cot_prc_min = 15, cot_prc_max = 24, cot_prc_med = 19, cot_prc_mediana = 18 WHERE cot_id = 50;</v>
      </c>
    </row>
    <row r="52" spans="1:10" x14ac:dyDescent="0.3">
      <c r="A52">
        <v>51</v>
      </c>
      <c r="B52">
        <f>IF('Boletins Nuppa Site'!A52&lt;&gt;0,'Boletins Nuppa Site'!A52,"NULL")</f>
        <v>38</v>
      </c>
      <c r="C52">
        <v>12</v>
      </c>
      <c r="D52" t="str">
        <f>IF('Boletins Nuppa Site'!G52&lt;&gt;0,'Boletins Nuppa Site'!G52,"NULL")</f>
        <v>NULL</v>
      </c>
      <c r="E52" s="14">
        <f>IF('Boletins Nuppa Site'!H52&lt;&gt;0,'Boletins Nuppa Site'!H52,"NULL")</f>
        <v>54</v>
      </c>
      <c r="F52" s="14">
        <f>IF('Boletins Nuppa Site'!I52&lt;&gt;0,'Boletins Nuppa Site'!I52,"NULL")</f>
        <v>60</v>
      </c>
      <c r="G52" s="14">
        <f>IF('Boletins Nuppa Site'!J52&lt;&gt;0,'Boletins Nuppa Site'!J52,"NULL")</f>
        <v>57</v>
      </c>
      <c r="H52" s="14">
        <f>IF('Boletins Nuppa Site'!K52&lt;&gt;0,'Boletins Nuppa Site'!K52,"NULL")</f>
        <v>57</v>
      </c>
      <c r="I52" t="str">
        <f t="shared" si="0"/>
        <v>INSERT INTO COTACAO (cot_id, cot_blt_id, cot_pap_id, cot_prc_comum, cot_prc_min, cot_prc_max, cot_prc_med, cot_prc_mediana) VALUES (51, 38, 12, NULL, 54, 60, 57, 57);</v>
      </c>
      <c r="J52" t="str">
        <f t="shared" si="1"/>
        <v>UPDATE COTACAO SET cot_id = 51, cot_blt_id = 38, cot_pap_id = 12, cot_prc_comum = NULL, cot_prc_min = 54, cot_prc_max = 60, cot_prc_med = 57, cot_prc_mediana = 57 WHERE cot_id = 51;</v>
      </c>
    </row>
    <row r="53" spans="1:10" x14ac:dyDescent="0.3">
      <c r="A53">
        <v>52</v>
      </c>
      <c r="B53">
        <f>IF('Boletins Nuppa Site'!A53&lt;&gt;0,'Boletins Nuppa Site'!A53,"NULL")</f>
        <v>38</v>
      </c>
      <c r="C53">
        <v>13</v>
      </c>
      <c r="D53" t="str">
        <f>IF('Boletins Nuppa Site'!G53&lt;&gt;0,'Boletins Nuppa Site'!G53,"NULL")</f>
        <v>NULL</v>
      </c>
      <c r="E53" s="14">
        <f>IF('Boletins Nuppa Site'!H53&lt;&gt;0,'Boletins Nuppa Site'!H53,"NULL")</f>
        <v>54</v>
      </c>
      <c r="F53" s="14">
        <f>IF('Boletins Nuppa Site'!I53&lt;&gt;0,'Boletins Nuppa Site'!I53,"NULL")</f>
        <v>60</v>
      </c>
      <c r="G53" s="14">
        <f>IF('Boletins Nuppa Site'!J53&lt;&gt;0,'Boletins Nuppa Site'!J53,"NULL")</f>
        <v>57</v>
      </c>
      <c r="H53" s="14">
        <f>IF('Boletins Nuppa Site'!K53&lt;&gt;0,'Boletins Nuppa Site'!K53,"NULL")</f>
        <v>57</v>
      </c>
      <c r="I53" t="str">
        <f t="shared" si="0"/>
        <v>INSERT INTO COTACAO (cot_id, cot_blt_id, cot_pap_id, cot_prc_comum, cot_prc_min, cot_prc_max, cot_prc_med, cot_prc_mediana) VALUES (52, 38, 13, NULL, 54, 60, 57, 57);</v>
      </c>
      <c r="J53" t="str">
        <f t="shared" si="1"/>
        <v>UPDATE COTACAO SET cot_id = 52, cot_blt_id = 38, cot_pap_id = 13, cot_prc_comum = NULL, cot_prc_min = 54, cot_prc_max = 60, cot_prc_med = 57, cot_prc_mediana = 57 WHERE cot_id = 52;</v>
      </c>
    </row>
    <row r="54" spans="1:10" x14ac:dyDescent="0.3">
      <c r="A54">
        <v>53</v>
      </c>
      <c r="B54">
        <f>IF('Boletins Nuppa Site'!A54&lt;&gt;0,'Boletins Nuppa Site'!A54,"NULL")</f>
        <v>38</v>
      </c>
      <c r="C54">
        <v>14</v>
      </c>
      <c r="D54" t="str">
        <f>IF('Boletins Nuppa Site'!G54&lt;&gt;0,'Boletins Nuppa Site'!G54,"NULL")</f>
        <v>NULL</v>
      </c>
      <c r="E54" s="14">
        <f>IF('Boletins Nuppa Site'!H54&lt;&gt;0,'Boletins Nuppa Site'!H54,"NULL")</f>
        <v>30</v>
      </c>
      <c r="F54" s="14">
        <f>IF('Boletins Nuppa Site'!I54&lt;&gt;0,'Boletins Nuppa Site'!I54,"NULL")</f>
        <v>60</v>
      </c>
      <c r="G54" s="14">
        <f>IF('Boletins Nuppa Site'!J54&lt;&gt;0,'Boletins Nuppa Site'!J54,"NULL")</f>
        <v>42</v>
      </c>
      <c r="H54" s="14">
        <f>IF('Boletins Nuppa Site'!K54&lt;&gt;0,'Boletins Nuppa Site'!K54,"NULL")</f>
        <v>36</v>
      </c>
      <c r="I54" t="str">
        <f t="shared" si="0"/>
        <v>INSERT INTO COTACAO (cot_id, cot_blt_id, cot_pap_id, cot_prc_comum, cot_prc_min, cot_prc_max, cot_prc_med, cot_prc_mediana) VALUES (53, 38, 14, NULL, 30, 60, 42, 36);</v>
      </c>
      <c r="J54" t="str">
        <f t="shared" si="1"/>
        <v>UPDATE COTACAO SET cot_id = 53, cot_blt_id = 38, cot_pap_id = 14, cot_prc_comum = NULL, cot_prc_min = 30, cot_prc_max = 60, cot_prc_med = 42, cot_prc_mediana = 36 WHERE cot_id = 53;</v>
      </c>
    </row>
    <row r="55" spans="1:10" x14ac:dyDescent="0.3">
      <c r="A55">
        <v>54</v>
      </c>
      <c r="B55">
        <f>IF('Boletins Nuppa Site'!A55&lt;&gt;0,'Boletins Nuppa Site'!A55,"NULL")</f>
        <v>38</v>
      </c>
      <c r="C55">
        <v>15</v>
      </c>
      <c r="D55" t="str">
        <f>IF('Boletins Nuppa Site'!G55&lt;&gt;0,'Boletins Nuppa Site'!G55,"NULL")</f>
        <v>NULL</v>
      </c>
      <c r="E55" s="14">
        <f>IF('Boletins Nuppa Site'!H55&lt;&gt;0,'Boletins Nuppa Site'!H55,"NULL")</f>
        <v>20</v>
      </c>
      <c r="F55" s="14">
        <f>IF('Boletins Nuppa Site'!I55&lt;&gt;0,'Boletins Nuppa Site'!I55,"NULL")</f>
        <v>36</v>
      </c>
      <c r="G55" s="14">
        <f>IF('Boletins Nuppa Site'!J55&lt;&gt;0,'Boletins Nuppa Site'!J55,"NULL")</f>
        <v>27</v>
      </c>
      <c r="H55" s="14">
        <f>IF('Boletins Nuppa Site'!K55&lt;&gt;0,'Boletins Nuppa Site'!K55,"NULL")</f>
        <v>25</v>
      </c>
      <c r="I55" t="str">
        <f t="shared" si="0"/>
        <v>INSERT INTO COTACAO (cot_id, cot_blt_id, cot_pap_id, cot_prc_comum, cot_prc_min, cot_prc_max, cot_prc_med, cot_prc_mediana) VALUES (54, 38, 15, NULL, 20, 36, 27, 25);</v>
      </c>
      <c r="J55" t="str">
        <f t="shared" si="1"/>
        <v>UPDATE COTACAO SET cot_id = 54, cot_blt_id = 38, cot_pap_id = 15, cot_prc_comum = NULL, cot_prc_min = 20, cot_prc_max = 36, cot_prc_med = 27, cot_prc_mediana = 25 WHERE cot_id = 54;</v>
      </c>
    </row>
    <row r="56" spans="1:10" x14ac:dyDescent="0.3">
      <c r="A56">
        <v>55</v>
      </c>
      <c r="B56">
        <f>IF('Boletins Nuppa Site'!A56&lt;&gt;0,'Boletins Nuppa Site'!A56,"NULL")</f>
        <v>38</v>
      </c>
      <c r="C56">
        <v>16</v>
      </c>
      <c r="D56" s="14">
        <f>IF('Boletins Nuppa Site'!G56&lt;&gt;0,'Boletins Nuppa Site'!G56,"NULL")</f>
        <v>42</v>
      </c>
      <c r="E56" s="14">
        <f>IF('Boletins Nuppa Site'!H56&lt;&gt;0,'Boletins Nuppa Site'!H56,"NULL")</f>
        <v>36</v>
      </c>
      <c r="F56" s="14">
        <f>IF('Boletins Nuppa Site'!I56&lt;&gt;0,'Boletins Nuppa Site'!I56,"NULL")</f>
        <v>42</v>
      </c>
      <c r="G56" s="14">
        <f>IF('Boletins Nuppa Site'!J56&lt;&gt;0,'Boletins Nuppa Site'!J56,"NULL")</f>
        <v>40</v>
      </c>
      <c r="H56" s="14">
        <f>IF('Boletins Nuppa Site'!K56&lt;&gt;0,'Boletins Nuppa Site'!K56,"NULL")</f>
        <v>42</v>
      </c>
      <c r="I56" t="str">
        <f t="shared" si="0"/>
        <v>INSERT INTO COTACAO (cot_id, cot_blt_id, cot_pap_id, cot_prc_comum, cot_prc_min, cot_prc_max, cot_prc_med, cot_prc_mediana) VALUES (55, 38, 16, 42, 36, 42, 40, 42);</v>
      </c>
      <c r="J56" t="str">
        <f t="shared" si="1"/>
        <v>UPDATE COTACAO SET cot_id = 55, cot_blt_id = 38, cot_pap_id = 16, cot_prc_comum = 42, cot_prc_min = 36, cot_prc_max = 42, cot_prc_med = 40, cot_prc_mediana = 42 WHERE cot_id = 55;</v>
      </c>
    </row>
    <row r="57" spans="1:10" x14ac:dyDescent="0.3">
      <c r="A57">
        <v>56</v>
      </c>
      <c r="B57">
        <f>IF('Boletins Nuppa Site'!A57&lt;&gt;0,'Boletins Nuppa Site'!A57,"NULL")</f>
        <v>38</v>
      </c>
      <c r="C57">
        <v>17</v>
      </c>
      <c r="D57" s="14">
        <f>IF('Boletins Nuppa Site'!G57&lt;&gt;0,'Boletins Nuppa Site'!G57,"NULL")</f>
        <v>4</v>
      </c>
      <c r="E57" t="str">
        <f>IF('Boletins Nuppa Site'!H57&lt;&gt;0,'Boletins Nuppa Site'!H57,"NULL")</f>
        <v>3.5</v>
      </c>
      <c r="F57" s="14">
        <f>IF('Boletins Nuppa Site'!I57&lt;&gt;0,'Boletins Nuppa Site'!I57,"NULL")</f>
        <v>5</v>
      </c>
      <c r="G57" t="str">
        <f>IF('Boletins Nuppa Site'!J57&lt;&gt;0,'Boletins Nuppa Site'!J57,"NULL")</f>
        <v>4.13</v>
      </c>
      <c r="H57" s="14">
        <f>IF('Boletins Nuppa Site'!K57&lt;&gt;0,'Boletins Nuppa Site'!K57,"NULL")</f>
        <v>4</v>
      </c>
      <c r="I57" t="str">
        <f t="shared" si="0"/>
        <v>INSERT INTO COTACAO (cot_id, cot_blt_id, cot_pap_id, cot_prc_comum, cot_prc_min, cot_prc_max, cot_prc_med, cot_prc_mediana) VALUES (56, 38, 17, 4, 3.5, 5, 4.13, 4);</v>
      </c>
      <c r="J57" t="str">
        <f t="shared" si="1"/>
        <v>UPDATE COTACAO SET cot_id = 56, cot_blt_id = 38, cot_pap_id = 17, cot_prc_comum = 4, cot_prc_min = 3.5, cot_prc_max = 5, cot_prc_med = 4.13, cot_prc_mediana = 4 WHERE cot_id = 56;</v>
      </c>
    </row>
    <row r="58" spans="1:10" x14ac:dyDescent="0.3">
      <c r="A58">
        <v>57</v>
      </c>
      <c r="B58">
        <f>IF('Boletins Nuppa Site'!A58&lt;&gt;0,'Boletins Nuppa Site'!A58,"NULL")</f>
        <v>38</v>
      </c>
      <c r="C58">
        <v>18</v>
      </c>
      <c r="D58" s="14">
        <f>IF('Boletins Nuppa Site'!G58&lt;&gt;0,'Boletins Nuppa Site'!G58,"NULL")</f>
        <v>20</v>
      </c>
      <c r="E58" s="14">
        <f>IF('Boletins Nuppa Site'!H58&lt;&gt;0,'Boletins Nuppa Site'!H58,"NULL")</f>
        <v>20</v>
      </c>
      <c r="F58" s="14">
        <f>IF('Boletins Nuppa Site'!I58&lt;&gt;0,'Boletins Nuppa Site'!I58,"NULL")</f>
        <v>25</v>
      </c>
      <c r="G58" s="14">
        <f>IF('Boletins Nuppa Site'!J58&lt;&gt;0,'Boletins Nuppa Site'!J58,"NULL")</f>
        <v>21</v>
      </c>
      <c r="H58" s="14">
        <f>IF('Boletins Nuppa Site'!K58&lt;&gt;0,'Boletins Nuppa Site'!K58,"NULL")</f>
        <v>20</v>
      </c>
      <c r="I58" t="str">
        <f t="shared" si="0"/>
        <v>INSERT INTO COTACAO (cot_id, cot_blt_id, cot_pap_id, cot_prc_comum, cot_prc_min, cot_prc_max, cot_prc_med, cot_prc_mediana) VALUES (57, 38, 18, 20, 20, 25, 21, 20);</v>
      </c>
      <c r="J58" t="str">
        <f t="shared" si="1"/>
        <v>UPDATE COTACAO SET cot_id = 57, cot_blt_id = 38, cot_pap_id = 18, cot_prc_comum = 20, cot_prc_min = 20, cot_prc_max = 25, cot_prc_med = 21, cot_prc_mediana = 20 WHERE cot_id = 57;</v>
      </c>
    </row>
    <row r="59" spans="1:10" x14ac:dyDescent="0.3">
      <c r="A59">
        <v>58</v>
      </c>
      <c r="B59">
        <f>IF('Boletins Nuppa Site'!A59&lt;&gt;0,'Boletins Nuppa Site'!A59,"NULL")</f>
        <v>38</v>
      </c>
      <c r="C59">
        <v>19</v>
      </c>
      <c r="D59" s="14">
        <f>IF('Boletins Nuppa Site'!G59&lt;&gt;0,'Boletins Nuppa Site'!G59,"NULL")</f>
        <v>20</v>
      </c>
      <c r="E59" s="14">
        <f>IF('Boletins Nuppa Site'!H59&lt;&gt;0,'Boletins Nuppa Site'!H59,"NULL")</f>
        <v>20</v>
      </c>
      <c r="F59" s="14">
        <f>IF('Boletins Nuppa Site'!I59&lt;&gt;0,'Boletins Nuppa Site'!I59,"NULL")</f>
        <v>25</v>
      </c>
      <c r="G59" t="str">
        <f>IF('Boletins Nuppa Site'!J59&lt;&gt;0,'Boletins Nuppa Site'!J59,"NULL")</f>
        <v>22.5</v>
      </c>
      <c r="H59" t="str">
        <f>IF('Boletins Nuppa Site'!K59&lt;&gt;0,'Boletins Nuppa Site'!K59,"NULL")</f>
        <v>22.5</v>
      </c>
      <c r="I59" t="str">
        <f t="shared" si="0"/>
        <v>INSERT INTO COTACAO (cot_id, cot_blt_id, cot_pap_id, cot_prc_comum, cot_prc_min, cot_prc_max, cot_prc_med, cot_prc_mediana) VALUES (58, 38, 19, 20, 20, 25, 22.5, 22.5);</v>
      </c>
      <c r="J59" t="str">
        <f t="shared" si="1"/>
        <v>UPDATE COTACAO SET cot_id = 58, cot_blt_id = 38, cot_pap_id = 19, cot_prc_comum = 20, cot_prc_min = 20, cot_prc_max = 25, cot_prc_med = 22.5, cot_prc_mediana = 22.5 WHERE cot_id = 58;</v>
      </c>
    </row>
    <row r="60" spans="1:10" x14ac:dyDescent="0.3">
      <c r="A60">
        <v>59</v>
      </c>
      <c r="B60">
        <f>IF('Boletins Nuppa Site'!A60&lt;&gt;0,'Boletins Nuppa Site'!A60,"NULL")</f>
        <v>38</v>
      </c>
      <c r="C60">
        <v>21</v>
      </c>
      <c r="D60" s="14">
        <f>IF('Boletins Nuppa Site'!G60&lt;&gt;0,'Boletins Nuppa Site'!G60,"NULL")</f>
        <v>100</v>
      </c>
      <c r="E60" s="14">
        <f>IF('Boletins Nuppa Site'!H60&lt;&gt;0,'Boletins Nuppa Site'!H60,"NULL")</f>
        <v>80</v>
      </c>
      <c r="F60" s="14">
        <f>IF('Boletins Nuppa Site'!I60&lt;&gt;0,'Boletins Nuppa Site'!I60,"NULL")</f>
        <v>100</v>
      </c>
      <c r="G60" t="str">
        <f>IF('Boletins Nuppa Site'!J60&lt;&gt;0,'Boletins Nuppa Site'!J60,"NULL")</f>
        <v>95.71</v>
      </c>
      <c r="H60" s="14">
        <f>IF('Boletins Nuppa Site'!K60&lt;&gt;0,'Boletins Nuppa Site'!K60,"NULL")</f>
        <v>100</v>
      </c>
      <c r="I60" t="str">
        <f t="shared" si="0"/>
        <v>INSERT INTO COTACAO (cot_id, cot_blt_id, cot_pap_id, cot_prc_comum, cot_prc_min, cot_prc_max, cot_prc_med, cot_prc_mediana) VALUES (59, 38, 21, 100, 80, 100, 95.71, 100);</v>
      </c>
      <c r="J60" t="str">
        <f t="shared" si="1"/>
        <v>UPDATE COTACAO SET cot_id = 59, cot_blt_id = 38, cot_pap_id = 21, cot_prc_comum = 100, cot_prc_min = 80, cot_prc_max = 100, cot_prc_med = 95.71, cot_prc_mediana = 100 WHERE cot_id = 59;</v>
      </c>
    </row>
    <row r="61" spans="1:10" x14ac:dyDescent="0.3">
      <c r="A61">
        <v>60</v>
      </c>
      <c r="B61">
        <f>IF('Boletins Nuppa Site'!A61&lt;&gt;0,'Boletins Nuppa Site'!A61,"NULL")</f>
        <v>38</v>
      </c>
      <c r="C61">
        <v>22</v>
      </c>
      <c r="D61" t="str">
        <f>IF('Boletins Nuppa Site'!G61&lt;&gt;0,'Boletins Nuppa Site'!G61,"NULL")</f>
        <v>NULL</v>
      </c>
      <c r="E61" s="14">
        <f>IF('Boletins Nuppa Site'!H61&lt;&gt;0,'Boletins Nuppa Site'!H61,"NULL")</f>
        <v>40</v>
      </c>
      <c r="F61" s="14">
        <f>IF('Boletins Nuppa Site'!I61&lt;&gt;0,'Boletins Nuppa Site'!I61,"NULL")</f>
        <v>65</v>
      </c>
      <c r="G61" t="str">
        <f>IF('Boletins Nuppa Site'!J61&lt;&gt;0,'Boletins Nuppa Site'!J61,"NULL")</f>
        <v>52.5</v>
      </c>
      <c r="H61" t="str">
        <f>IF('Boletins Nuppa Site'!K61&lt;&gt;0,'Boletins Nuppa Site'!K61,"NULL")</f>
        <v>52.5</v>
      </c>
      <c r="I61" t="str">
        <f t="shared" si="0"/>
        <v>INSERT INTO COTACAO (cot_id, cot_blt_id, cot_pap_id, cot_prc_comum, cot_prc_min, cot_prc_max, cot_prc_med, cot_prc_mediana) VALUES (60, 38, 22, NULL, 40, 65, 52.5, 52.5);</v>
      </c>
      <c r="J61" t="str">
        <f t="shared" si="1"/>
        <v>UPDATE COTACAO SET cot_id = 60, cot_blt_id = 38, cot_pap_id = 22, cot_prc_comum = NULL, cot_prc_min = 40, cot_prc_max = 65, cot_prc_med = 52.5, cot_prc_mediana = 52.5 WHERE cot_id = 60;</v>
      </c>
    </row>
    <row r="62" spans="1:10" x14ac:dyDescent="0.3">
      <c r="A62">
        <v>61</v>
      </c>
      <c r="B62">
        <f>IF('Boletins Nuppa Site'!A62&lt;&gt;0,'Boletins Nuppa Site'!A62,"NULL")</f>
        <v>38</v>
      </c>
      <c r="C62">
        <v>23</v>
      </c>
      <c r="D62" s="14">
        <f>IF('Boletins Nuppa Site'!G62&lt;&gt;0,'Boletins Nuppa Site'!G62,"NULL")</f>
        <v>50</v>
      </c>
      <c r="E62" s="14">
        <f>IF('Boletins Nuppa Site'!H62&lt;&gt;0,'Boletins Nuppa Site'!H62,"NULL")</f>
        <v>45</v>
      </c>
      <c r="F62" s="14">
        <f>IF('Boletins Nuppa Site'!I62&lt;&gt;0,'Boletins Nuppa Site'!I62,"NULL")</f>
        <v>55</v>
      </c>
      <c r="G62" s="14">
        <f>IF('Boletins Nuppa Site'!J62&lt;&gt;0,'Boletins Nuppa Site'!J62,"NULL")</f>
        <v>50</v>
      </c>
      <c r="H62" s="14">
        <f>IF('Boletins Nuppa Site'!K62&lt;&gt;0,'Boletins Nuppa Site'!K62,"NULL")</f>
        <v>50</v>
      </c>
      <c r="I62" t="str">
        <f t="shared" si="0"/>
        <v>INSERT INTO COTACAO (cot_id, cot_blt_id, cot_pap_id, cot_prc_comum, cot_prc_min, cot_prc_max, cot_prc_med, cot_prc_mediana) VALUES (61, 38, 23, 50, 45, 55, 50, 50);</v>
      </c>
      <c r="J62" t="str">
        <f t="shared" si="1"/>
        <v>UPDATE COTACAO SET cot_id = 61, cot_blt_id = 38, cot_pap_id = 23, cot_prc_comum = 50, cot_prc_min = 45, cot_prc_max = 55, cot_prc_med = 50, cot_prc_mediana = 50 WHERE cot_id = 61;</v>
      </c>
    </row>
    <row r="63" spans="1:10" x14ac:dyDescent="0.3">
      <c r="A63">
        <v>62</v>
      </c>
      <c r="B63">
        <f>IF('Boletins Nuppa Site'!A63&lt;&gt;0,'Boletins Nuppa Site'!A63,"NULL")</f>
        <v>38</v>
      </c>
      <c r="C63">
        <v>24</v>
      </c>
      <c r="D63" t="str">
        <f>IF('Boletins Nuppa Site'!G63&lt;&gt;0,'Boletins Nuppa Site'!G63,"NULL")</f>
        <v>NULL</v>
      </c>
      <c r="E63" t="str">
        <f>IF('Boletins Nuppa Site'!H63&lt;&gt;0,'Boletins Nuppa Site'!H63,"NULL")</f>
        <v>NULL</v>
      </c>
      <c r="F63" t="str">
        <f>IF('Boletins Nuppa Site'!I63&lt;&gt;0,'Boletins Nuppa Site'!I63,"NULL")</f>
        <v>NULL</v>
      </c>
      <c r="G63" t="str">
        <f>IF('Boletins Nuppa Site'!J63&lt;&gt;0,'Boletins Nuppa Site'!J63,"NULL")</f>
        <v>NULL</v>
      </c>
      <c r="H63" t="str">
        <f>IF('Boletins Nuppa Site'!K63&lt;&gt;0,'Boletins Nuppa Site'!K63,"NULL")</f>
        <v>NULL</v>
      </c>
      <c r="I63" t="str">
        <f t="shared" si="0"/>
        <v>INSERT INTO COTACAO (cot_id, cot_blt_id, cot_pap_id, cot_prc_comum, cot_prc_min, cot_prc_max, cot_prc_med, cot_prc_mediana) VALUES (62, 38, 24, NULL, NULL, NULL, NULL, NULL);</v>
      </c>
      <c r="J63" t="str">
        <f t="shared" si="1"/>
        <v>UPDATE COTACAO SET cot_id = 62, cot_blt_id = 38, cot_pap_id = 24, cot_prc_comum = NULL, cot_prc_min = NULL, cot_prc_max = NULL, cot_prc_med = NULL, cot_prc_mediana = NULL WHERE cot_id = 62;</v>
      </c>
    </row>
    <row r="64" spans="1:10" x14ac:dyDescent="0.3">
      <c r="A64">
        <v>63</v>
      </c>
      <c r="B64">
        <f>IF('Boletins Nuppa Site'!A64&lt;&gt;0,'Boletins Nuppa Site'!A64,"NULL")</f>
        <v>38</v>
      </c>
      <c r="C64">
        <v>25</v>
      </c>
      <c r="D64" s="14">
        <f>IF('Boletins Nuppa Site'!G64&lt;&gt;0,'Boletins Nuppa Site'!G64,"NULL")</f>
        <v>50</v>
      </c>
      <c r="E64" s="14">
        <f>IF('Boletins Nuppa Site'!H64&lt;&gt;0,'Boletins Nuppa Site'!H64,"NULL")</f>
        <v>50</v>
      </c>
      <c r="F64" s="14">
        <f>IF('Boletins Nuppa Site'!I64&lt;&gt;0,'Boletins Nuppa Site'!I64,"NULL")</f>
        <v>60</v>
      </c>
      <c r="G64" s="14">
        <f>IF('Boletins Nuppa Site'!J64&lt;&gt;0,'Boletins Nuppa Site'!J64,"NULL")</f>
        <v>55</v>
      </c>
      <c r="H64" s="14">
        <f>IF('Boletins Nuppa Site'!K64&lt;&gt;0,'Boletins Nuppa Site'!K64,"NULL")</f>
        <v>55</v>
      </c>
      <c r="I64" t="str">
        <f t="shared" si="0"/>
        <v>INSERT INTO COTACAO (cot_id, cot_blt_id, cot_pap_id, cot_prc_comum, cot_prc_min, cot_prc_max, cot_prc_med, cot_prc_mediana) VALUES (63, 38, 25, 50, 50, 60, 55, 55);</v>
      </c>
      <c r="J64" t="str">
        <f t="shared" si="1"/>
        <v>UPDATE COTACAO SET cot_id = 63, cot_blt_id = 38, cot_pap_id = 25, cot_prc_comum = 50, cot_prc_min = 50, cot_prc_max = 60, cot_prc_med = 55, cot_prc_mediana = 55 WHERE cot_id = 63;</v>
      </c>
    </row>
    <row r="65" spans="1:10" x14ac:dyDescent="0.3">
      <c r="A65">
        <v>64</v>
      </c>
      <c r="B65">
        <f>IF('Boletins Nuppa Site'!A65&lt;&gt;0,'Boletins Nuppa Site'!A65,"NULL")</f>
        <v>38</v>
      </c>
      <c r="C65">
        <v>26</v>
      </c>
      <c r="D65" s="14">
        <f>IF('Boletins Nuppa Site'!G65&lt;&gt;0,'Boletins Nuppa Site'!G65,"NULL")</f>
        <v>50</v>
      </c>
      <c r="E65" s="14">
        <f>IF('Boletins Nuppa Site'!H65&lt;&gt;0,'Boletins Nuppa Site'!H65,"NULL")</f>
        <v>40</v>
      </c>
      <c r="F65" s="14">
        <f>IF('Boletins Nuppa Site'!I65&lt;&gt;0,'Boletins Nuppa Site'!I65,"NULL")</f>
        <v>75</v>
      </c>
      <c r="G65" t="str">
        <f>IF('Boletins Nuppa Site'!J65&lt;&gt;0,'Boletins Nuppa Site'!J65,"NULL")</f>
        <v>56.67</v>
      </c>
      <c r="H65" t="str">
        <f>IF('Boletins Nuppa Site'!K65&lt;&gt;0,'Boletins Nuppa Site'!K65,"NULL")</f>
        <v>52.5</v>
      </c>
      <c r="I65" t="str">
        <f t="shared" si="0"/>
        <v>INSERT INTO COTACAO (cot_id, cot_blt_id, cot_pap_id, cot_prc_comum, cot_prc_min, cot_prc_max, cot_prc_med, cot_prc_mediana) VALUES (64, 38, 26, 50, 40, 75, 56.67, 52.5);</v>
      </c>
      <c r="J65" t="str">
        <f t="shared" si="1"/>
        <v>UPDATE COTACAO SET cot_id = 64, cot_blt_id = 38, cot_pap_id = 26, cot_prc_comum = 50, cot_prc_min = 40, cot_prc_max = 75, cot_prc_med = 56.67, cot_prc_mediana = 52.5 WHERE cot_id = 64;</v>
      </c>
    </row>
    <row r="66" spans="1:10" x14ac:dyDescent="0.3">
      <c r="A66">
        <v>65</v>
      </c>
      <c r="B66">
        <f>IF('Boletins Nuppa Site'!A66&lt;&gt;0,'Boletins Nuppa Site'!A66,"NULL")</f>
        <v>38</v>
      </c>
      <c r="C66">
        <v>27</v>
      </c>
      <c r="D66" s="14">
        <f>IF('Boletins Nuppa Site'!G66&lt;&gt;0,'Boletins Nuppa Site'!G66,"NULL")</f>
        <v>70</v>
      </c>
      <c r="E66" s="14">
        <f>IF('Boletins Nuppa Site'!H66&lt;&gt;0,'Boletins Nuppa Site'!H66,"NULL")</f>
        <v>50</v>
      </c>
      <c r="F66" s="14">
        <f>IF('Boletins Nuppa Site'!I66&lt;&gt;0,'Boletins Nuppa Site'!I66,"NULL")</f>
        <v>90</v>
      </c>
      <c r="G66" t="str">
        <f>IF('Boletins Nuppa Site'!J66&lt;&gt;0,'Boletins Nuppa Site'!J66,"NULL")</f>
        <v>71.43</v>
      </c>
      <c r="H66" s="14">
        <f>IF('Boletins Nuppa Site'!K66&lt;&gt;0,'Boletins Nuppa Site'!K66,"NULL")</f>
        <v>70</v>
      </c>
      <c r="I66" t="str">
        <f t="shared" si="0"/>
        <v>INSERT INTO COTACAO (cot_id, cot_blt_id, cot_pap_id, cot_prc_comum, cot_prc_min, cot_prc_max, cot_prc_med, cot_prc_mediana) VALUES (65, 38, 27, 70, 50, 90, 71.43, 70);</v>
      </c>
      <c r="J66" t="str">
        <f t="shared" si="1"/>
        <v>UPDATE COTACAO SET cot_id = 65, cot_blt_id = 38, cot_pap_id = 27, cot_prc_comum = 70, cot_prc_min = 50, cot_prc_max = 90, cot_prc_med = 71.43, cot_prc_mediana = 70 WHERE cot_id = 65;</v>
      </c>
    </row>
    <row r="67" spans="1:10" x14ac:dyDescent="0.3">
      <c r="A67">
        <v>66</v>
      </c>
      <c r="B67">
        <f>IF('Boletins Nuppa Site'!A67&lt;&gt;0,'Boletins Nuppa Site'!A67,"NULL")</f>
        <v>38</v>
      </c>
      <c r="C67">
        <v>28</v>
      </c>
      <c r="D67" t="str">
        <f>IF('Boletins Nuppa Site'!G67&lt;&gt;0,'Boletins Nuppa Site'!G67,"NULL")</f>
        <v>NULL</v>
      </c>
      <c r="E67" s="14">
        <f>IF('Boletins Nuppa Site'!H67&lt;&gt;0,'Boletins Nuppa Site'!H67,"NULL")</f>
        <v>60</v>
      </c>
      <c r="F67" s="14">
        <f>IF('Boletins Nuppa Site'!I67&lt;&gt;0,'Boletins Nuppa Site'!I67,"NULL")</f>
        <v>65</v>
      </c>
      <c r="G67" t="str">
        <f>IF('Boletins Nuppa Site'!J67&lt;&gt;0,'Boletins Nuppa Site'!J67,"NULL")</f>
        <v>62.5</v>
      </c>
      <c r="H67" t="str">
        <f>IF('Boletins Nuppa Site'!K67&lt;&gt;0,'Boletins Nuppa Site'!K67,"NULL")</f>
        <v>62.5</v>
      </c>
      <c r="I67" t="str">
        <f t="shared" ref="I67:I130" si="2">"INSERT INTO COTACAO (cot_id, cot_blt_id, cot_pap_id, cot_prc_comum, cot_prc_min, cot_prc_max, cot_prc_med, cot_prc_mediana) VALUES ("&amp;A67&amp;", "&amp;B67&amp;", "&amp;C67&amp;", "&amp;D67&amp;", "&amp;E67&amp;", "&amp;F67&amp;", "&amp;G67&amp;", "&amp;H67&amp;");"</f>
        <v>INSERT INTO COTACAO (cot_id, cot_blt_id, cot_pap_id, cot_prc_comum, cot_prc_min, cot_prc_max, cot_prc_med, cot_prc_mediana) VALUES (66, 38, 28, NULL, 60, 65, 62.5, 62.5);</v>
      </c>
      <c r="J67" t="str">
        <f t="shared" ref="J67:J130" si="3">"UPDATE COTACAO SET cot_id = "&amp;A67&amp;", cot_blt_id = "&amp;B67&amp;", cot_pap_id = "&amp;C67&amp;", cot_prc_comum = "&amp;D67&amp;", cot_prc_min = "&amp;E67&amp;", cot_prc_max = "&amp;F67&amp;", cot_prc_med = "&amp;G67&amp;", cot_prc_mediana = "&amp;H67&amp;" WHERE cot_id = "&amp;A67&amp;";"</f>
        <v>UPDATE COTACAO SET cot_id = 66, cot_blt_id = 38, cot_pap_id = 28, cot_prc_comum = NULL, cot_prc_min = 60, cot_prc_max = 65, cot_prc_med = 62.5, cot_prc_mediana = 62.5 WHERE cot_id = 66;</v>
      </c>
    </row>
    <row r="68" spans="1:10" x14ac:dyDescent="0.3">
      <c r="A68">
        <v>67</v>
      </c>
      <c r="B68">
        <f>IF('Boletins Nuppa Site'!A68&lt;&gt;0,'Boletins Nuppa Site'!A68,"NULL")</f>
        <v>38</v>
      </c>
      <c r="C68">
        <v>29</v>
      </c>
      <c r="D68" t="str">
        <f>IF('Boletins Nuppa Site'!G68&lt;&gt;0,'Boletins Nuppa Site'!G68,"NULL")</f>
        <v>NULL</v>
      </c>
      <c r="E68" s="14">
        <f>IF('Boletins Nuppa Site'!H68&lt;&gt;0,'Boletins Nuppa Site'!H68,"NULL")</f>
        <v>60</v>
      </c>
      <c r="F68" s="14">
        <f>IF('Boletins Nuppa Site'!I68&lt;&gt;0,'Boletins Nuppa Site'!I68,"NULL")</f>
        <v>65</v>
      </c>
      <c r="G68" t="str">
        <f>IF('Boletins Nuppa Site'!J68&lt;&gt;0,'Boletins Nuppa Site'!J68,"NULL")</f>
        <v>62.5</v>
      </c>
      <c r="H68" t="str">
        <f>IF('Boletins Nuppa Site'!K68&lt;&gt;0,'Boletins Nuppa Site'!K68,"NULL")</f>
        <v>62.5</v>
      </c>
      <c r="I68" t="str">
        <f t="shared" si="2"/>
        <v>INSERT INTO COTACAO (cot_id, cot_blt_id, cot_pap_id, cot_prc_comum, cot_prc_min, cot_prc_max, cot_prc_med, cot_prc_mediana) VALUES (67, 38, 29, NULL, 60, 65, 62.5, 62.5);</v>
      </c>
      <c r="J68" t="str">
        <f t="shared" si="3"/>
        <v>UPDATE COTACAO SET cot_id = 67, cot_blt_id = 38, cot_pap_id = 29, cot_prc_comum = NULL, cot_prc_min = 60, cot_prc_max = 65, cot_prc_med = 62.5, cot_prc_mediana = 62.5 WHERE cot_id = 67;</v>
      </c>
    </row>
    <row r="69" spans="1:10" x14ac:dyDescent="0.3">
      <c r="A69">
        <v>68</v>
      </c>
      <c r="B69">
        <f>IF('Boletins Nuppa Site'!A69&lt;&gt;0,'Boletins Nuppa Site'!A69,"NULL")</f>
        <v>38</v>
      </c>
      <c r="C69">
        <v>30</v>
      </c>
      <c r="D69" s="14">
        <f>IF('Boletins Nuppa Site'!G69&lt;&gt;0,'Boletins Nuppa Site'!G69,"NULL")</f>
        <v>60</v>
      </c>
      <c r="E69" s="14">
        <f>IF('Boletins Nuppa Site'!H69&lt;&gt;0,'Boletins Nuppa Site'!H69,"NULL")</f>
        <v>50</v>
      </c>
      <c r="F69" s="14">
        <f>IF('Boletins Nuppa Site'!I69&lt;&gt;0,'Boletins Nuppa Site'!I69,"NULL")</f>
        <v>60</v>
      </c>
      <c r="G69" t="str">
        <f>IF('Boletins Nuppa Site'!J69&lt;&gt;0,'Boletins Nuppa Site'!J69,"NULL")</f>
        <v>57.5</v>
      </c>
      <c r="H69" s="14">
        <f>IF('Boletins Nuppa Site'!K69&lt;&gt;0,'Boletins Nuppa Site'!K69,"NULL")</f>
        <v>60</v>
      </c>
      <c r="I69" t="str">
        <f t="shared" si="2"/>
        <v>INSERT INTO COTACAO (cot_id, cot_blt_id, cot_pap_id, cot_prc_comum, cot_prc_min, cot_prc_max, cot_prc_med, cot_prc_mediana) VALUES (68, 38, 30, 60, 50, 60, 57.5, 60);</v>
      </c>
      <c r="J69" t="str">
        <f t="shared" si="3"/>
        <v>UPDATE COTACAO SET cot_id = 68, cot_blt_id = 38, cot_pap_id = 30, cot_prc_comum = 60, cot_prc_min = 50, cot_prc_max = 60, cot_prc_med = 57.5, cot_prc_mediana = 60 WHERE cot_id = 68;</v>
      </c>
    </row>
    <row r="70" spans="1:10" x14ac:dyDescent="0.3">
      <c r="A70">
        <v>69</v>
      </c>
      <c r="B70">
        <f>IF('Boletins Nuppa Site'!A70&lt;&gt;0,'Boletins Nuppa Site'!A70,"NULL")</f>
        <v>38</v>
      </c>
      <c r="C70">
        <v>31</v>
      </c>
      <c r="D70" s="14">
        <f>IF('Boletins Nuppa Site'!G70&lt;&gt;0,'Boletins Nuppa Site'!G70,"NULL")</f>
        <v>70</v>
      </c>
      <c r="E70" s="14">
        <f>IF('Boletins Nuppa Site'!H70&lt;&gt;0,'Boletins Nuppa Site'!H70,"NULL")</f>
        <v>70</v>
      </c>
      <c r="F70" s="14">
        <f>IF('Boletins Nuppa Site'!I70&lt;&gt;0,'Boletins Nuppa Site'!I70,"NULL")</f>
        <v>80</v>
      </c>
      <c r="G70" s="14">
        <f>IF('Boletins Nuppa Site'!J70&lt;&gt;0,'Boletins Nuppa Site'!J70,"NULL")</f>
        <v>73</v>
      </c>
      <c r="H70" s="14">
        <f>IF('Boletins Nuppa Site'!K70&lt;&gt;0,'Boletins Nuppa Site'!K70,"NULL")</f>
        <v>70</v>
      </c>
      <c r="I70" t="str">
        <f t="shared" si="2"/>
        <v>INSERT INTO COTACAO (cot_id, cot_blt_id, cot_pap_id, cot_prc_comum, cot_prc_min, cot_prc_max, cot_prc_med, cot_prc_mediana) VALUES (69, 38, 31, 70, 70, 80, 73, 70);</v>
      </c>
      <c r="J70" t="str">
        <f t="shared" si="3"/>
        <v>UPDATE COTACAO SET cot_id = 69, cot_blt_id = 38, cot_pap_id = 31, cot_prc_comum = 70, cot_prc_min = 70, cot_prc_max = 80, cot_prc_med = 73, cot_prc_mediana = 70 WHERE cot_id = 69;</v>
      </c>
    </row>
    <row r="71" spans="1:10" x14ac:dyDescent="0.3">
      <c r="A71">
        <v>70</v>
      </c>
      <c r="B71">
        <f>IF('Boletins Nuppa Site'!A71&lt;&gt;0,'Boletins Nuppa Site'!A71,"NULL")</f>
        <v>38</v>
      </c>
      <c r="C71">
        <v>32</v>
      </c>
      <c r="D71" s="14">
        <f>IF('Boletins Nuppa Site'!G71&lt;&gt;0,'Boletins Nuppa Site'!G71,"NULL")</f>
        <v>40</v>
      </c>
      <c r="E71" s="14">
        <f>IF('Boletins Nuppa Site'!H71&lt;&gt;0,'Boletins Nuppa Site'!H71,"NULL")</f>
        <v>30</v>
      </c>
      <c r="F71" s="14">
        <f>IF('Boletins Nuppa Site'!I71&lt;&gt;0,'Boletins Nuppa Site'!I71,"NULL")</f>
        <v>50</v>
      </c>
      <c r="G71" t="str">
        <f>IF('Boletins Nuppa Site'!J71&lt;&gt;0,'Boletins Nuppa Site'!J71,"NULL")</f>
        <v>39.38</v>
      </c>
      <c r="H71" s="14">
        <f>IF('Boletins Nuppa Site'!K71&lt;&gt;0,'Boletins Nuppa Site'!K71,"NULL")</f>
        <v>40</v>
      </c>
      <c r="I71" t="str">
        <f t="shared" si="2"/>
        <v>INSERT INTO COTACAO (cot_id, cot_blt_id, cot_pap_id, cot_prc_comum, cot_prc_min, cot_prc_max, cot_prc_med, cot_prc_mediana) VALUES (70, 38, 32, 40, 30, 50, 39.38, 40);</v>
      </c>
      <c r="J71" t="str">
        <f t="shared" si="3"/>
        <v>UPDATE COTACAO SET cot_id = 70, cot_blt_id = 38, cot_pap_id = 32, cot_prc_comum = 40, cot_prc_min = 30, cot_prc_max = 50, cot_prc_med = 39.38, cot_prc_mediana = 40 WHERE cot_id = 70;</v>
      </c>
    </row>
    <row r="72" spans="1:10" x14ac:dyDescent="0.3">
      <c r="A72">
        <v>71</v>
      </c>
      <c r="B72">
        <f>IF('Boletins Nuppa Site'!A72&lt;&gt;0,'Boletins Nuppa Site'!A72,"NULL")</f>
        <v>38</v>
      </c>
      <c r="C72">
        <v>33</v>
      </c>
      <c r="D72" s="14">
        <f>IF('Boletins Nuppa Site'!G72&lt;&gt;0,'Boletins Nuppa Site'!G72,"NULL")</f>
        <v>70</v>
      </c>
      <c r="E72" s="14">
        <f>IF('Boletins Nuppa Site'!H72&lt;&gt;0,'Boletins Nuppa Site'!H72,"NULL")</f>
        <v>70</v>
      </c>
      <c r="F72" s="14">
        <f>IF('Boletins Nuppa Site'!I72&lt;&gt;0,'Boletins Nuppa Site'!I72,"NULL")</f>
        <v>130</v>
      </c>
      <c r="G72" t="str">
        <f>IF('Boletins Nuppa Site'!J72&lt;&gt;0,'Boletins Nuppa Site'!J72,"NULL")</f>
        <v>102.86</v>
      </c>
      <c r="H72" s="14">
        <f>IF('Boletins Nuppa Site'!K72&lt;&gt;0,'Boletins Nuppa Site'!K72,"NULL")</f>
        <v>110</v>
      </c>
      <c r="I72" t="str">
        <f t="shared" si="2"/>
        <v>INSERT INTO COTACAO (cot_id, cot_blt_id, cot_pap_id, cot_prc_comum, cot_prc_min, cot_prc_max, cot_prc_med, cot_prc_mediana) VALUES (71, 38, 33, 70, 70, 130, 102.86, 110);</v>
      </c>
      <c r="J72" t="str">
        <f t="shared" si="3"/>
        <v>UPDATE COTACAO SET cot_id = 71, cot_blt_id = 38, cot_pap_id = 33, cot_prc_comum = 70, cot_prc_min = 70, cot_prc_max = 130, cot_prc_med = 102.86, cot_prc_mediana = 110 WHERE cot_id = 71;</v>
      </c>
    </row>
    <row r="73" spans="1:10" x14ac:dyDescent="0.3">
      <c r="A73">
        <v>72</v>
      </c>
      <c r="B73">
        <f>IF('Boletins Nuppa Site'!A73&lt;&gt;0,'Boletins Nuppa Site'!A73,"NULL")</f>
        <v>38</v>
      </c>
      <c r="C73">
        <v>34</v>
      </c>
      <c r="D73" s="14">
        <f>IF('Boletins Nuppa Site'!G73&lt;&gt;0,'Boletins Nuppa Site'!G73,"NULL")</f>
        <v>90</v>
      </c>
      <c r="E73" s="14">
        <f>IF('Boletins Nuppa Site'!H73&lt;&gt;0,'Boletins Nuppa Site'!H73,"NULL")</f>
        <v>80</v>
      </c>
      <c r="F73" s="14">
        <f>IF('Boletins Nuppa Site'!I73&lt;&gt;0,'Boletins Nuppa Site'!I73,"NULL")</f>
        <v>100</v>
      </c>
      <c r="G73" s="14">
        <f>IF('Boletins Nuppa Site'!J73&lt;&gt;0,'Boletins Nuppa Site'!J73,"NULL")</f>
        <v>92</v>
      </c>
      <c r="H73" s="14">
        <f>IF('Boletins Nuppa Site'!K73&lt;&gt;0,'Boletins Nuppa Site'!K73,"NULL")</f>
        <v>90</v>
      </c>
      <c r="I73" t="str">
        <f t="shared" si="2"/>
        <v>INSERT INTO COTACAO (cot_id, cot_blt_id, cot_pap_id, cot_prc_comum, cot_prc_min, cot_prc_max, cot_prc_med, cot_prc_mediana) VALUES (72, 38, 34, 90, 80, 100, 92, 90);</v>
      </c>
      <c r="J73" t="str">
        <f t="shared" si="3"/>
        <v>UPDATE COTACAO SET cot_id = 72, cot_blt_id = 38, cot_pap_id = 34, cot_prc_comum = 90, cot_prc_min = 80, cot_prc_max = 100, cot_prc_med = 92, cot_prc_mediana = 90 WHERE cot_id = 72;</v>
      </c>
    </row>
    <row r="74" spans="1:10" x14ac:dyDescent="0.3">
      <c r="A74">
        <v>73</v>
      </c>
      <c r="B74">
        <f>IF('Boletins Nuppa Site'!A74&lt;&gt;0,'Boletins Nuppa Site'!A74,"NULL")</f>
        <v>38</v>
      </c>
      <c r="C74">
        <v>35</v>
      </c>
      <c r="D74" s="14">
        <f>IF('Boletins Nuppa Site'!G74&lt;&gt;0,'Boletins Nuppa Site'!G74,"NULL")</f>
        <v>100</v>
      </c>
      <c r="E74" s="14">
        <f>IF('Boletins Nuppa Site'!H74&lt;&gt;0,'Boletins Nuppa Site'!H74,"NULL")</f>
        <v>100</v>
      </c>
      <c r="F74" s="14">
        <f>IF('Boletins Nuppa Site'!I74&lt;&gt;0,'Boletins Nuppa Site'!I74,"NULL")</f>
        <v>130</v>
      </c>
      <c r="G74" s="14">
        <f>IF('Boletins Nuppa Site'!J74&lt;&gt;0,'Boletins Nuppa Site'!J74,"NULL")</f>
        <v>108</v>
      </c>
      <c r="H74" s="14">
        <f>IF('Boletins Nuppa Site'!K74&lt;&gt;0,'Boletins Nuppa Site'!K74,"NULL")</f>
        <v>100</v>
      </c>
      <c r="I74" t="str">
        <f t="shared" si="2"/>
        <v>INSERT INTO COTACAO (cot_id, cot_blt_id, cot_pap_id, cot_prc_comum, cot_prc_min, cot_prc_max, cot_prc_med, cot_prc_mediana) VALUES (73, 38, 35, 100, 100, 130, 108, 100);</v>
      </c>
      <c r="J74" t="str">
        <f t="shared" si="3"/>
        <v>UPDATE COTACAO SET cot_id = 73, cot_blt_id = 38, cot_pap_id = 35, cot_prc_comum = 100, cot_prc_min = 100, cot_prc_max = 130, cot_prc_med = 108, cot_prc_mediana = 100 WHERE cot_id = 73;</v>
      </c>
    </row>
    <row r="75" spans="1:10" x14ac:dyDescent="0.3">
      <c r="A75">
        <v>74</v>
      </c>
      <c r="B75">
        <f>IF('Boletins Nuppa Site'!A75&lt;&gt;0,'Boletins Nuppa Site'!A75,"NULL")</f>
        <v>38</v>
      </c>
      <c r="C75">
        <v>36</v>
      </c>
      <c r="D75" t="str">
        <f>IF('Boletins Nuppa Site'!G75&lt;&gt;0,'Boletins Nuppa Site'!G75,"NULL")</f>
        <v>NULL</v>
      </c>
      <c r="E75" t="str">
        <f>IF('Boletins Nuppa Site'!H75&lt;&gt;0,'Boletins Nuppa Site'!H75,"NULL")</f>
        <v>NULL</v>
      </c>
      <c r="F75" t="str">
        <f>IF('Boletins Nuppa Site'!I75&lt;&gt;0,'Boletins Nuppa Site'!I75,"NULL")</f>
        <v>NULL</v>
      </c>
      <c r="G75" t="str">
        <f>IF('Boletins Nuppa Site'!J75&lt;&gt;0,'Boletins Nuppa Site'!J75,"NULL")</f>
        <v>NULL</v>
      </c>
      <c r="H75" t="str">
        <f>IF('Boletins Nuppa Site'!K75&lt;&gt;0,'Boletins Nuppa Site'!K75,"NULL")</f>
        <v>NULL</v>
      </c>
      <c r="I75" t="str">
        <f t="shared" si="2"/>
        <v>INSERT INTO COTACAO (cot_id, cot_blt_id, cot_pap_id, cot_prc_comum, cot_prc_min, cot_prc_max, cot_prc_med, cot_prc_mediana) VALUES (74, 38, 36, NULL, NULL, NULL, NULL, NULL);</v>
      </c>
      <c r="J75" t="str">
        <f t="shared" si="3"/>
        <v>UPDATE COTACAO SET cot_id = 74, cot_blt_id = 38, cot_pap_id = 36, cot_prc_comum = NULL, cot_prc_min = NULL, cot_prc_max = NULL, cot_prc_med = NULL, cot_prc_mediana = NULL WHERE cot_id = 74;</v>
      </c>
    </row>
    <row r="76" spans="1:10" x14ac:dyDescent="0.3">
      <c r="A76">
        <v>75</v>
      </c>
      <c r="B76">
        <f>IF('Boletins Nuppa Site'!A76&lt;&gt;0,'Boletins Nuppa Site'!A76,"NULL")</f>
        <v>38</v>
      </c>
      <c r="C76">
        <v>37</v>
      </c>
      <c r="D76" t="str">
        <f>IF('Boletins Nuppa Site'!G76&lt;&gt;0,'Boletins Nuppa Site'!G76,"NULL")</f>
        <v>NULL</v>
      </c>
      <c r="E76" t="str">
        <f>IF('Boletins Nuppa Site'!H76&lt;&gt;0,'Boletins Nuppa Site'!H76,"NULL")</f>
        <v>NULL</v>
      </c>
      <c r="F76" t="str">
        <f>IF('Boletins Nuppa Site'!I76&lt;&gt;0,'Boletins Nuppa Site'!I76,"NULL")</f>
        <v>NULL</v>
      </c>
      <c r="G76" t="str">
        <f>IF('Boletins Nuppa Site'!J76&lt;&gt;0,'Boletins Nuppa Site'!J76,"NULL")</f>
        <v>NULL</v>
      </c>
      <c r="H76" t="str">
        <f>IF('Boletins Nuppa Site'!K76&lt;&gt;0,'Boletins Nuppa Site'!K76,"NULL")</f>
        <v>NULL</v>
      </c>
      <c r="I76" t="str">
        <f t="shared" si="2"/>
        <v>INSERT INTO COTACAO (cot_id, cot_blt_id, cot_pap_id, cot_prc_comum, cot_prc_min, cot_prc_max, cot_prc_med, cot_prc_mediana) VALUES (75, 38, 37, NULL, NULL, NULL, NULL, NULL);</v>
      </c>
      <c r="J76" t="str">
        <f t="shared" si="3"/>
        <v>UPDATE COTACAO SET cot_id = 75, cot_blt_id = 38, cot_pap_id = 37, cot_prc_comum = NULL, cot_prc_min = NULL, cot_prc_max = NULL, cot_prc_med = NULL, cot_prc_mediana = NULL WHERE cot_id = 75;</v>
      </c>
    </row>
    <row r="77" spans="1:10" x14ac:dyDescent="0.3">
      <c r="A77">
        <v>76</v>
      </c>
      <c r="B77">
        <f>IF('Boletins Nuppa Site'!A77&lt;&gt;0,'Boletins Nuppa Site'!A77,"NULL")</f>
        <v>38</v>
      </c>
      <c r="C77">
        <v>38</v>
      </c>
      <c r="D77" t="str">
        <f>IF('Boletins Nuppa Site'!G77&lt;&gt;0,'Boletins Nuppa Site'!G77,"NULL")</f>
        <v>NULL</v>
      </c>
      <c r="E77" t="str">
        <f>IF('Boletins Nuppa Site'!H77&lt;&gt;0,'Boletins Nuppa Site'!H77,"NULL")</f>
        <v>NULL</v>
      </c>
      <c r="F77" t="str">
        <f>IF('Boletins Nuppa Site'!I77&lt;&gt;0,'Boletins Nuppa Site'!I77,"NULL")</f>
        <v>NULL</v>
      </c>
      <c r="G77" t="str">
        <f>IF('Boletins Nuppa Site'!J77&lt;&gt;0,'Boletins Nuppa Site'!J77,"NULL")</f>
        <v>NULL</v>
      </c>
      <c r="H77" t="str">
        <f>IF('Boletins Nuppa Site'!K77&lt;&gt;0,'Boletins Nuppa Site'!K77,"NULL")</f>
        <v>NULL</v>
      </c>
      <c r="I77" t="str">
        <f t="shared" si="2"/>
        <v>INSERT INTO COTACAO (cot_id, cot_blt_id, cot_pap_id, cot_prc_comum, cot_prc_min, cot_prc_max, cot_prc_med, cot_prc_mediana) VALUES (76, 38, 38, NULL, NULL, NULL, NULL, NULL);</v>
      </c>
      <c r="J77" t="str">
        <f t="shared" si="3"/>
        <v>UPDATE COTACAO SET cot_id = 76, cot_blt_id = 38, cot_pap_id = 38, cot_prc_comum = NULL, cot_prc_min = NULL, cot_prc_max = NULL, cot_prc_med = NULL, cot_prc_mediana = NULL WHERE cot_id = 76;</v>
      </c>
    </row>
    <row r="78" spans="1:10" x14ac:dyDescent="0.3">
      <c r="A78">
        <v>77</v>
      </c>
      <c r="B78">
        <f>IF('Boletins Nuppa Site'!A78&lt;&gt;0,'Boletins Nuppa Site'!A78,"NULL")</f>
        <v>38</v>
      </c>
      <c r="C78">
        <v>39</v>
      </c>
      <c r="D78" t="str">
        <f>IF('Boletins Nuppa Site'!G78&lt;&gt;0,'Boletins Nuppa Site'!G78,"NULL")</f>
        <v>NULL</v>
      </c>
      <c r="E78" s="14">
        <f>IF('Boletins Nuppa Site'!H78&lt;&gt;0,'Boletins Nuppa Site'!H78,"NULL")</f>
        <v>28</v>
      </c>
      <c r="F78" s="14">
        <f>IF('Boletins Nuppa Site'!I78&lt;&gt;0,'Boletins Nuppa Site'!I78,"NULL")</f>
        <v>28</v>
      </c>
      <c r="G78" s="14">
        <f>IF('Boletins Nuppa Site'!J78&lt;&gt;0,'Boletins Nuppa Site'!J78,"NULL")</f>
        <v>28</v>
      </c>
      <c r="H78" s="14">
        <f>IF('Boletins Nuppa Site'!K78&lt;&gt;0,'Boletins Nuppa Site'!K78,"NULL")</f>
        <v>28</v>
      </c>
      <c r="I78" t="str">
        <f t="shared" si="2"/>
        <v>INSERT INTO COTACAO (cot_id, cot_blt_id, cot_pap_id, cot_prc_comum, cot_prc_min, cot_prc_max, cot_prc_med, cot_prc_mediana) VALUES (77, 38, 39, NULL, 28, 28, 28, 28);</v>
      </c>
      <c r="J78" t="str">
        <f t="shared" si="3"/>
        <v>UPDATE COTACAO SET cot_id = 77, cot_blt_id = 38, cot_pap_id = 39, cot_prc_comum = NULL, cot_prc_min = 28, cot_prc_max = 28, cot_prc_med = 28, cot_prc_mediana = 28 WHERE cot_id = 77;</v>
      </c>
    </row>
    <row r="79" spans="1:10" x14ac:dyDescent="0.3">
      <c r="A79">
        <v>78</v>
      </c>
      <c r="B79">
        <f>IF('Boletins Nuppa Site'!A79&lt;&gt;0,'Boletins Nuppa Site'!A79,"NULL")</f>
        <v>38</v>
      </c>
      <c r="C79">
        <v>40</v>
      </c>
      <c r="D79" t="str">
        <f>IF('Boletins Nuppa Site'!G79&lt;&gt;0,'Boletins Nuppa Site'!G79,"NULL")</f>
        <v>NULL</v>
      </c>
      <c r="E79" t="str">
        <f>IF('Boletins Nuppa Site'!H79&lt;&gt;0,'Boletins Nuppa Site'!H79,"NULL")</f>
        <v>NULL</v>
      </c>
      <c r="F79" t="str">
        <f>IF('Boletins Nuppa Site'!I79&lt;&gt;0,'Boletins Nuppa Site'!I79,"NULL")</f>
        <v>NULL</v>
      </c>
      <c r="G79" t="str">
        <f>IF('Boletins Nuppa Site'!J79&lt;&gt;0,'Boletins Nuppa Site'!J79,"NULL")</f>
        <v>NULL</v>
      </c>
      <c r="H79" t="str">
        <f>IF('Boletins Nuppa Site'!K79&lt;&gt;0,'Boletins Nuppa Site'!K79,"NULL")</f>
        <v>NULL</v>
      </c>
      <c r="I79" t="str">
        <f t="shared" si="2"/>
        <v>INSERT INTO COTACAO (cot_id, cot_blt_id, cot_pap_id, cot_prc_comum, cot_prc_min, cot_prc_max, cot_prc_med, cot_prc_mediana) VALUES (78, 38, 40, NULL, NULL, NULL, NULL, NULL);</v>
      </c>
      <c r="J79" t="str">
        <f t="shared" si="3"/>
        <v>UPDATE COTACAO SET cot_id = 78, cot_blt_id = 38, cot_pap_id = 40, cot_prc_comum = NULL, cot_prc_min = NULL, cot_prc_max = NULL, cot_prc_med = NULL, cot_prc_mediana = NULL WHERE cot_id = 78;</v>
      </c>
    </row>
    <row r="80" spans="1:10" x14ac:dyDescent="0.3">
      <c r="A80">
        <v>79</v>
      </c>
      <c r="B80">
        <f>IF('Boletins Nuppa Site'!A80&lt;&gt;0,'Boletins Nuppa Site'!A80,"NULL")</f>
        <v>39</v>
      </c>
      <c r="C80">
        <v>1</v>
      </c>
      <c r="D80" s="14">
        <f>IF('Boletins Nuppa Site'!G80&lt;&gt;0,'Boletins Nuppa Site'!G80,"NULL")</f>
        <v>42</v>
      </c>
      <c r="E80" s="14">
        <f>IF('Boletins Nuppa Site'!H80&lt;&gt;0,'Boletins Nuppa Site'!H80,"NULL")</f>
        <v>42</v>
      </c>
      <c r="F80" s="14">
        <f>IF('Boletins Nuppa Site'!I80&lt;&gt;0,'Boletins Nuppa Site'!I80,"NULL")</f>
        <v>42</v>
      </c>
      <c r="G80" s="14">
        <f>IF('Boletins Nuppa Site'!J80&lt;&gt;0,'Boletins Nuppa Site'!J80,"NULL")</f>
        <v>42</v>
      </c>
      <c r="H80" s="14">
        <f>IF('Boletins Nuppa Site'!K80&lt;&gt;0,'Boletins Nuppa Site'!K80,"NULL")</f>
        <v>42</v>
      </c>
      <c r="I80" t="str">
        <f t="shared" si="2"/>
        <v>INSERT INTO COTACAO (cot_id, cot_blt_id, cot_pap_id, cot_prc_comum, cot_prc_min, cot_prc_max, cot_prc_med, cot_prc_mediana) VALUES (79, 39, 1, 42, 42, 42, 42, 42);</v>
      </c>
      <c r="J80" t="str">
        <f t="shared" si="3"/>
        <v>UPDATE COTACAO SET cot_id = 79, cot_blt_id = 39, cot_pap_id = 1, cot_prc_comum = 42, cot_prc_min = 42, cot_prc_max = 42, cot_prc_med = 42, cot_prc_mediana = 42 WHERE cot_id = 79;</v>
      </c>
    </row>
    <row r="81" spans="1:10" x14ac:dyDescent="0.3">
      <c r="A81">
        <v>80</v>
      </c>
      <c r="B81">
        <f>IF('Boletins Nuppa Site'!A81&lt;&gt;0,'Boletins Nuppa Site'!A81,"NULL")</f>
        <v>39</v>
      </c>
      <c r="C81">
        <v>2</v>
      </c>
      <c r="D81" s="14">
        <f>IF('Boletins Nuppa Site'!G81&lt;&gt;0,'Boletins Nuppa Site'!G81,"NULL")</f>
        <v>60</v>
      </c>
      <c r="E81" s="14">
        <f>IF('Boletins Nuppa Site'!H81&lt;&gt;0,'Boletins Nuppa Site'!H81,"NULL")</f>
        <v>60</v>
      </c>
      <c r="F81" s="14">
        <f>IF('Boletins Nuppa Site'!I81&lt;&gt;0,'Boletins Nuppa Site'!I81,"NULL")</f>
        <v>60</v>
      </c>
      <c r="G81" s="14">
        <f>IF('Boletins Nuppa Site'!J81&lt;&gt;0,'Boletins Nuppa Site'!J81,"NULL")</f>
        <v>60</v>
      </c>
      <c r="H81" s="14">
        <f>IF('Boletins Nuppa Site'!K81&lt;&gt;0,'Boletins Nuppa Site'!K81,"NULL")</f>
        <v>60</v>
      </c>
      <c r="I81" t="str">
        <f t="shared" si="2"/>
        <v>INSERT INTO COTACAO (cot_id, cot_blt_id, cot_pap_id, cot_prc_comum, cot_prc_min, cot_prc_max, cot_prc_med, cot_prc_mediana) VALUES (80, 39, 2, 60, 60, 60, 60, 60);</v>
      </c>
      <c r="J81" t="str">
        <f t="shared" si="3"/>
        <v>UPDATE COTACAO SET cot_id = 80, cot_blt_id = 39, cot_pap_id = 2, cot_prc_comum = 60, cot_prc_min = 60, cot_prc_max = 60, cot_prc_med = 60, cot_prc_mediana = 60 WHERE cot_id = 80;</v>
      </c>
    </row>
    <row r="82" spans="1:10" x14ac:dyDescent="0.3">
      <c r="A82">
        <v>81</v>
      </c>
      <c r="B82">
        <f>IF('Boletins Nuppa Site'!A82&lt;&gt;0,'Boletins Nuppa Site'!A82,"NULL")</f>
        <v>39</v>
      </c>
      <c r="C82">
        <v>3</v>
      </c>
      <c r="D82" s="14">
        <f>IF('Boletins Nuppa Site'!G82&lt;&gt;0,'Boletins Nuppa Site'!G82,"NULL")</f>
        <v>30</v>
      </c>
      <c r="E82" s="14">
        <f>IF('Boletins Nuppa Site'!H82&lt;&gt;0,'Boletins Nuppa Site'!H82,"NULL")</f>
        <v>30</v>
      </c>
      <c r="F82" s="14">
        <f>IF('Boletins Nuppa Site'!I82&lt;&gt;0,'Boletins Nuppa Site'!I82,"NULL")</f>
        <v>42</v>
      </c>
      <c r="G82" s="14">
        <f>IF('Boletins Nuppa Site'!J82&lt;&gt;0,'Boletins Nuppa Site'!J82,"NULL")</f>
        <v>34</v>
      </c>
      <c r="H82" s="14">
        <f>IF('Boletins Nuppa Site'!K82&lt;&gt;0,'Boletins Nuppa Site'!K82,"NULL")</f>
        <v>30</v>
      </c>
      <c r="I82" t="str">
        <f t="shared" si="2"/>
        <v>INSERT INTO COTACAO (cot_id, cot_blt_id, cot_pap_id, cot_prc_comum, cot_prc_min, cot_prc_max, cot_prc_med, cot_prc_mediana) VALUES (81, 39, 3, 30, 30, 42, 34, 30);</v>
      </c>
      <c r="J82" t="str">
        <f t="shared" si="3"/>
        <v>UPDATE COTACAO SET cot_id = 81, cot_blt_id = 39, cot_pap_id = 3, cot_prc_comum = 30, cot_prc_min = 30, cot_prc_max = 42, cot_prc_med = 34, cot_prc_mediana = 30 WHERE cot_id = 81;</v>
      </c>
    </row>
    <row r="83" spans="1:10" x14ac:dyDescent="0.3">
      <c r="A83">
        <v>82</v>
      </c>
      <c r="B83">
        <f>IF('Boletins Nuppa Site'!A83&lt;&gt;0,'Boletins Nuppa Site'!A83,"NULL")</f>
        <v>39</v>
      </c>
      <c r="C83">
        <v>4</v>
      </c>
      <c r="D83" s="14">
        <f>IF('Boletins Nuppa Site'!G83&lt;&gt;0,'Boletins Nuppa Site'!G83,"NULL")</f>
        <v>24</v>
      </c>
      <c r="E83" s="14">
        <f>IF('Boletins Nuppa Site'!H83&lt;&gt;0,'Boletins Nuppa Site'!H83,"NULL")</f>
        <v>20</v>
      </c>
      <c r="F83" s="14">
        <f>IF('Boletins Nuppa Site'!I83&lt;&gt;0,'Boletins Nuppa Site'!I83,"NULL")</f>
        <v>24</v>
      </c>
      <c r="G83" t="str">
        <f>IF('Boletins Nuppa Site'!J83&lt;&gt;0,'Boletins Nuppa Site'!J83,"NULL")</f>
        <v>22.5</v>
      </c>
      <c r="H83" s="14">
        <f>IF('Boletins Nuppa Site'!K83&lt;&gt;0,'Boletins Nuppa Site'!K83,"NULL")</f>
        <v>23</v>
      </c>
      <c r="I83" t="str">
        <f t="shared" si="2"/>
        <v>INSERT INTO COTACAO (cot_id, cot_blt_id, cot_pap_id, cot_prc_comum, cot_prc_min, cot_prc_max, cot_prc_med, cot_prc_mediana) VALUES (82, 39, 4, 24, 20, 24, 22.5, 23);</v>
      </c>
      <c r="J83" t="str">
        <f t="shared" si="3"/>
        <v>UPDATE COTACAO SET cot_id = 82, cot_blt_id = 39, cot_pap_id = 4, cot_prc_comum = 24, cot_prc_min = 20, cot_prc_max = 24, cot_prc_med = 22.5, cot_prc_mediana = 23 WHERE cot_id = 82;</v>
      </c>
    </row>
    <row r="84" spans="1:10" x14ac:dyDescent="0.3">
      <c r="A84">
        <v>83</v>
      </c>
      <c r="B84">
        <f>IF('Boletins Nuppa Site'!A84&lt;&gt;0,'Boletins Nuppa Site'!A84,"NULL")</f>
        <v>39</v>
      </c>
      <c r="C84">
        <v>5</v>
      </c>
      <c r="D84" t="str">
        <f>IF('Boletins Nuppa Site'!G84&lt;&gt;0,'Boletins Nuppa Site'!G84,"NULL")</f>
        <v>NULL</v>
      </c>
      <c r="E84" s="14">
        <f>IF('Boletins Nuppa Site'!H84&lt;&gt;0,'Boletins Nuppa Site'!H84,"NULL")</f>
        <v>18</v>
      </c>
      <c r="F84" s="14">
        <f>IF('Boletins Nuppa Site'!I84&lt;&gt;0,'Boletins Nuppa Site'!I84,"NULL")</f>
        <v>24</v>
      </c>
      <c r="G84" s="14">
        <f>IF('Boletins Nuppa Site'!J84&lt;&gt;0,'Boletins Nuppa Site'!J84,"NULL")</f>
        <v>21</v>
      </c>
      <c r="H84" s="14">
        <f>IF('Boletins Nuppa Site'!K84&lt;&gt;0,'Boletins Nuppa Site'!K84,"NULL")</f>
        <v>21</v>
      </c>
      <c r="I84" t="str">
        <f t="shared" si="2"/>
        <v>INSERT INTO COTACAO (cot_id, cot_blt_id, cot_pap_id, cot_prc_comum, cot_prc_min, cot_prc_max, cot_prc_med, cot_prc_mediana) VALUES (83, 39, 5, NULL, 18, 24, 21, 21);</v>
      </c>
      <c r="J84" t="str">
        <f t="shared" si="3"/>
        <v>UPDATE COTACAO SET cot_id = 83, cot_blt_id = 39, cot_pap_id = 5, cot_prc_comum = NULL, cot_prc_min = 18, cot_prc_max = 24, cot_prc_med = 21, cot_prc_mediana = 21 WHERE cot_id = 83;</v>
      </c>
    </row>
    <row r="85" spans="1:10" x14ac:dyDescent="0.3">
      <c r="A85">
        <v>84</v>
      </c>
      <c r="B85">
        <f>IF('Boletins Nuppa Site'!A85&lt;&gt;0,'Boletins Nuppa Site'!A85,"NULL")</f>
        <v>39</v>
      </c>
      <c r="C85">
        <v>6</v>
      </c>
      <c r="D85" t="str">
        <f>IF('Boletins Nuppa Site'!G85&lt;&gt;0,'Boletins Nuppa Site'!G85,"NULL")</f>
        <v>NULL</v>
      </c>
      <c r="E85" s="14">
        <f>IF('Boletins Nuppa Site'!H85&lt;&gt;0,'Boletins Nuppa Site'!H85,"NULL")</f>
        <v>24</v>
      </c>
      <c r="F85" s="14">
        <f>IF('Boletins Nuppa Site'!I85&lt;&gt;0,'Boletins Nuppa Site'!I85,"NULL")</f>
        <v>48</v>
      </c>
      <c r="G85" s="14">
        <f>IF('Boletins Nuppa Site'!J85&lt;&gt;0,'Boletins Nuppa Site'!J85,"NULL")</f>
        <v>38</v>
      </c>
      <c r="H85" s="14">
        <f>IF('Boletins Nuppa Site'!K85&lt;&gt;0,'Boletins Nuppa Site'!K85,"NULL")</f>
        <v>42</v>
      </c>
      <c r="I85" t="str">
        <f t="shared" si="2"/>
        <v>INSERT INTO COTACAO (cot_id, cot_blt_id, cot_pap_id, cot_prc_comum, cot_prc_min, cot_prc_max, cot_prc_med, cot_prc_mediana) VALUES (84, 39, 6, NULL, 24, 48, 38, 42);</v>
      </c>
      <c r="J85" t="str">
        <f t="shared" si="3"/>
        <v>UPDATE COTACAO SET cot_id = 84, cot_blt_id = 39, cot_pap_id = 6, cot_prc_comum = NULL, cot_prc_min = 24, cot_prc_max = 48, cot_prc_med = 38, cot_prc_mediana = 42 WHERE cot_id = 84;</v>
      </c>
    </row>
    <row r="86" spans="1:10" x14ac:dyDescent="0.3">
      <c r="A86">
        <v>85</v>
      </c>
      <c r="B86">
        <f>IF('Boletins Nuppa Site'!A86&lt;&gt;0,'Boletins Nuppa Site'!A86,"NULL")</f>
        <v>39</v>
      </c>
      <c r="C86">
        <v>7</v>
      </c>
      <c r="D86" t="str">
        <f>IF('Boletins Nuppa Site'!G86&lt;&gt;0,'Boletins Nuppa Site'!G86,"NULL")</f>
        <v>NULL</v>
      </c>
      <c r="E86" s="14">
        <f>IF('Boletins Nuppa Site'!H86&lt;&gt;0,'Boletins Nuppa Site'!H86,"NULL")</f>
        <v>72</v>
      </c>
      <c r="F86" s="14">
        <f>IF('Boletins Nuppa Site'!I86&lt;&gt;0,'Boletins Nuppa Site'!I86,"NULL")</f>
        <v>78</v>
      </c>
      <c r="G86" s="14">
        <f>IF('Boletins Nuppa Site'!J86&lt;&gt;0,'Boletins Nuppa Site'!J86,"NULL")</f>
        <v>75</v>
      </c>
      <c r="H86" s="14">
        <f>IF('Boletins Nuppa Site'!K86&lt;&gt;0,'Boletins Nuppa Site'!K86,"NULL")</f>
        <v>75</v>
      </c>
      <c r="I86" t="str">
        <f t="shared" si="2"/>
        <v>INSERT INTO COTACAO (cot_id, cot_blt_id, cot_pap_id, cot_prc_comum, cot_prc_min, cot_prc_max, cot_prc_med, cot_prc_mediana) VALUES (85, 39, 7, NULL, 72, 78, 75, 75);</v>
      </c>
      <c r="J86" t="str">
        <f t="shared" si="3"/>
        <v>UPDATE COTACAO SET cot_id = 85, cot_blt_id = 39, cot_pap_id = 7, cot_prc_comum = NULL, cot_prc_min = 72, cot_prc_max = 78, cot_prc_med = 75, cot_prc_mediana = 75 WHERE cot_id = 85;</v>
      </c>
    </row>
    <row r="87" spans="1:10" x14ac:dyDescent="0.3">
      <c r="A87">
        <v>86</v>
      </c>
      <c r="B87">
        <f>IF('Boletins Nuppa Site'!A87&lt;&gt;0,'Boletins Nuppa Site'!A87,"NULL")</f>
        <v>39</v>
      </c>
      <c r="C87">
        <v>8</v>
      </c>
      <c r="D87" t="str">
        <f>IF('Boletins Nuppa Site'!G87&lt;&gt;0,'Boletins Nuppa Site'!G87,"NULL")</f>
        <v>NULL</v>
      </c>
      <c r="E87" s="14">
        <f>IF('Boletins Nuppa Site'!H87&lt;&gt;0,'Boletins Nuppa Site'!H87,"NULL")</f>
        <v>50</v>
      </c>
      <c r="F87" s="14">
        <f>IF('Boletins Nuppa Site'!I87&lt;&gt;0,'Boletins Nuppa Site'!I87,"NULL")</f>
        <v>84</v>
      </c>
      <c r="G87" t="str">
        <f>IF('Boletins Nuppa Site'!J87&lt;&gt;0,'Boletins Nuppa Site'!J87,"NULL")</f>
        <v>64.67</v>
      </c>
      <c r="H87" s="14">
        <f>IF('Boletins Nuppa Site'!K87&lt;&gt;0,'Boletins Nuppa Site'!K87,"NULL")</f>
        <v>60</v>
      </c>
      <c r="I87" t="str">
        <f t="shared" si="2"/>
        <v>INSERT INTO COTACAO (cot_id, cot_blt_id, cot_pap_id, cot_prc_comum, cot_prc_min, cot_prc_max, cot_prc_med, cot_prc_mediana) VALUES (86, 39, 8, NULL, 50, 84, 64.67, 60);</v>
      </c>
      <c r="J87" t="str">
        <f t="shared" si="3"/>
        <v>UPDATE COTACAO SET cot_id = 86, cot_blt_id = 39, cot_pap_id = 8, cot_prc_comum = NULL, cot_prc_min = 50, cot_prc_max = 84, cot_prc_med = 64.67, cot_prc_mediana = 60 WHERE cot_id = 86;</v>
      </c>
    </row>
    <row r="88" spans="1:10" x14ac:dyDescent="0.3">
      <c r="A88">
        <v>87</v>
      </c>
      <c r="B88">
        <f>IF('Boletins Nuppa Site'!A88&lt;&gt;0,'Boletins Nuppa Site'!A88,"NULL")</f>
        <v>39</v>
      </c>
      <c r="C88">
        <v>9</v>
      </c>
      <c r="D88" s="14">
        <f>IF('Boletins Nuppa Site'!G88&lt;&gt;0,'Boletins Nuppa Site'!G88,"NULL")</f>
        <v>18</v>
      </c>
      <c r="E88" s="14">
        <f>IF('Boletins Nuppa Site'!H88&lt;&gt;0,'Boletins Nuppa Site'!H88,"NULL")</f>
        <v>18</v>
      </c>
      <c r="F88" s="14">
        <f>IF('Boletins Nuppa Site'!I88&lt;&gt;0,'Boletins Nuppa Site'!I88,"NULL")</f>
        <v>24</v>
      </c>
      <c r="G88" s="14">
        <f>IF('Boletins Nuppa Site'!J88&lt;&gt;0,'Boletins Nuppa Site'!J88,"NULL")</f>
        <v>20</v>
      </c>
      <c r="H88" s="14">
        <f>IF('Boletins Nuppa Site'!K88&lt;&gt;0,'Boletins Nuppa Site'!K88,"NULL")</f>
        <v>18</v>
      </c>
      <c r="I88" t="str">
        <f t="shared" si="2"/>
        <v>INSERT INTO COTACAO (cot_id, cot_blt_id, cot_pap_id, cot_prc_comum, cot_prc_min, cot_prc_max, cot_prc_med, cot_prc_mediana) VALUES (87, 39, 9, 18, 18, 24, 20, 18);</v>
      </c>
      <c r="J88" t="str">
        <f t="shared" si="3"/>
        <v>UPDATE COTACAO SET cot_id = 87, cot_blt_id = 39, cot_pap_id = 9, cot_prc_comum = 18, cot_prc_min = 18, cot_prc_max = 24, cot_prc_med = 20, cot_prc_mediana = 18 WHERE cot_id = 87;</v>
      </c>
    </row>
    <row r="89" spans="1:10" x14ac:dyDescent="0.3">
      <c r="A89">
        <v>88</v>
      </c>
      <c r="B89">
        <f>IF('Boletins Nuppa Site'!A89&lt;&gt;0,'Boletins Nuppa Site'!A89,"NULL")</f>
        <v>39</v>
      </c>
      <c r="C89">
        <v>10</v>
      </c>
      <c r="D89" t="str">
        <f>IF('Boletins Nuppa Site'!G89&lt;&gt;0,'Boletins Nuppa Site'!G89,"NULL")</f>
        <v>NULL</v>
      </c>
      <c r="E89" s="14">
        <f>IF('Boletins Nuppa Site'!H89&lt;&gt;0,'Boletins Nuppa Site'!H89,"NULL")</f>
        <v>55</v>
      </c>
      <c r="F89" s="14">
        <f>IF('Boletins Nuppa Site'!I89&lt;&gt;0,'Boletins Nuppa Site'!I89,"NULL")</f>
        <v>80</v>
      </c>
      <c r="G89" t="str">
        <f>IF('Boletins Nuppa Site'!J89&lt;&gt;0,'Boletins Nuppa Site'!J89,"NULL")</f>
        <v>67.5</v>
      </c>
      <c r="H89" t="str">
        <f>IF('Boletins Nuppa Site'!K89&lt;&gt;0,'Boletins Nuppa Site'!K89,"NULL")</f>
        <v>67.5</v>
      </c>
      <c r="I89" t="str">
        <f t="shared" si="2"/>
        <v>INSERT INTO COTACAO (cot_id, cot_blt_id, cot_pap_id, cot_prc_comum, cot_prc_min, cot_prc_max, cot_prc_med, cot_prc_mediana) VALUES (88, 39, 10, NULL, 55, 80, 67.5, 67.5);</v>
      </c>
      <c r="J89" t="str">
        <f t="shared" si="3"/>
        <v>UPDATE COTACAO SET cot_id = 88, cot_blt_id = 39, cot_pap_id = 10, cot_prc_comum = NULL, cot_prc_min = 55, cot_prc_max = 80, cot_prc_med = 67.5, cot_prc_mediana = 67.5 WHERE cot_id = 88;</v>
      </c>
    </row>
    <row r="90" spans="1:10" x14ac:dyDescent="0.3">
      <c r="A90">
        <v>89</v>
      </c>
      <c r="B90">
        <f>IF('Boletins Nuppa Site'!A90&lt;&gt;0,'Boletins Nuppa Site'!A90,"NULL")</f>
        <v>39</v>
      </c>
      <c r="C90">
        <v>11</v>
      </c>
      <c r="D90" t="str">
        <f>IF('Boletins Nuppa Site'!G90&lt;&gt;0,'Boletins Nuppa Site'!G90,"NULL")</f>
        <v>NULL</v>
      </c>
      <c r="E90" s="14">
        <f>IF('Boletins Nuppa Site'!H90&lt;&gt;0,'Boletins Nuppa Site'!H90,"NULL")</f>
        <v>18</v>
      </c>
      <c r="F90" s="14">
        <f>IF('Boletins Nuppa Site'!I90&lt;&gt;0,'Boletins Nuppa Site'!I90,"NULL")</f>
        <v>24</v>
      </c>
      <c r="G90" s="14">
        <f>IF('Boletins Nuppa Site'!J90&lt;&gt;0,'Boletins Nuppa Site'!J90,"NULL")</f>
        <v>21</v>
      </c>
      <c r="H90" s="14">
        <f>IF('Boletins Nuppa Site'!K90&lt;&gt;0,'Boletins Nuppa Site'!K90,"NULL")</f>
        <v>21</v>
      </c>
      <c r="I90" t="str">
        <f t="shared" si="2"/>
        <v>INSERT INTO COTACAO (cot_id, cot_blt_id, cot_pap_id, cot_prc_comum, cot_prc_min, cot_prc_max, cot_prc_med, cot_prc_mediana) VALUES (89, 39, 11, NULL, 18, 24, 21, 21);</v>
      </c>
      <c r="J90" t="str">
        <f t="shared" si="3"/>
        <v>UPDATE COTACAO SET cot_id = 89, cot_blt_id = 39, cot_pap_id = 11, cot_prc_comum = NULL, cot_prc_min = 18, cot_prc_max = 24, cot_prc_med = 21, cot_prc_mediana = 21 WHERE cot_id = 89;</v>
      </c>
    </row>
    <row r="91" spans="1:10" x14ac:dyDescent="0.3">
      <c r="A91">
        <v>90</v>
      </c>
      <c r="B91">
        <f>IF('Boletins Nuppa Site'!A91&lt;&gt;0,'Boletins Nuppa Site'!A91,"NULL")</f>
        <v>39</v>
      </c>
      <c r="C91">
        <v>12</v>
      </c>
      <c r="D91" s="14">
        <f>IF('Boletins Nuppa Site'!G91&lt;&gt;0,'Boletins Nuppa Site'!G91,"NULL")</f>
        <v>60</v>
      </c>
      <c r="E91" s="14">
        <f>IF('Boletins Nuppa Site'!H91&lt;&gt;0,'Boletins Nuppa Site'!H91,"NULL")</f>
        <v>60</v>
      </c>
      <c r="F91" s="14">
        <f>IF('Boletins Nuppa Site'!I91&lt;&gt;0,'Boletins Nuppa Site'!I91,"NULL")</f>
        <v>60</v>
      </c>
      <c r="G91" s="14">
        <f>IF('Boletins Nuppa Site'!J91&lt;&gt;0,'Boletins Nuppa Site'!J91,"NULL")</f>
        <v>60</v>
      </c>
      <c r="H91" s="14">
        <f>IF('Boletins Nuppa Site'!K91&lt;&gt;0,'Boletins Nuppa Site'!K91,"NULL")</f>
        <v>60</v>
      </c>
      <c r="I91" t="str">
        <f t="shared" si="2"/>
        <v>INSERT INTO COTACAO (cot_id, cot_blt_id, cot_pap_id, cot_prc_comum, cot_prc_min, cot_prc_max, cot_prc_med, cot_prc_mediana) VALUES (90, 39, 12, 60, 60, 60, 60, 60);</v>
      </c>
      <c r="J91" t="str">
        <f t="shared" si="3"/>
        <v>UPDATE COTACAO SET cot_id = 90, cot_blt_id = 39, cot_pap_id = 12, cot_prc_comum = 60, cot_prc_min = 60, cot_prc_max = 60, cot_prc_med = 60, cot_prc_mediana = 60 WHERE cot_id = 90;</v>
      </c>
    </row>
    <row r="92" spans="1:10" x14ac:dyDescent="0.3">
      <c r="A92">
        <v>91</v>
      </c>
      <c r="B92">
        <f>IF('Boletins Nuppa Site'!A92&lt;&gt;0,'Boletins Nuppa Site'!A92,"NULL")</f>
        <v>39</v>
      </c>
      <c r="C92">
        <v>13</v>
      </c>
      <c r="D92" t="str">
        <f>IF('Boletins Nuppa Site'!G92&lt;&gt;0,'Boletins Nuppa Site'!G92,"NULL")</f>
        <v>NULL</v>
      </c>
      <c r="E92" s="14">
        <f>IF('Boletins Nuppa Site'!H92&lt;&gt;0,'Boletins Nuppa Site'!H92,"NULL")</f>
        <v>48</v>
      </c>
      <c r="F92" s="14">
        <f>IF('Boletins Nuppa Site'!I92&lt;&gt;0,'Boletins Nuppa Site'!I92,"NULL")</f>
        <v>60</v>
      </c>
      <c r="G92" s="14">
        <f>IF('Boletins Nuppa Site'!J92&lt;&gt;0,'Boletins Nuppa Site'!J92,"NULL")</f>
        <v>54</v>
      </c>
      <c r="H92" s="14">
        <f>IF('Boletins Nuppa Site'!K92&lt;&gt;0,'Boletins Nuppa Site'!K92,"NULL")</f>
        <v>54</v>
      </c>
      <c r="I92" t="str">
        <f t="shared" si="2"/>
        <v>INSERT INTO COTACAO (cot_id, cot_blt_id, cot_pap_id, cot_prc_comum, cot_prc_min, cot_prc_max, cot_prc_med, cot_prc_mediana) VALUES (91, 39, 13, NULL, 48, 60, 54, 54);</v>
      </c>
      <c r="J92" t="str">
        <f t="shared" si="3"/>
        <v>UPDATE COTACAO SET cot_id = 91, cot_blt_id = 39, cot_pap_id = 13, cot_prc_comum = NULL, cot_prc_min = 48, cot_prc_max = 60, cot_prc_med = 54, cot_prc_mediana = 54 WHERE cot_id = 91;</v>
      </c>
    </row>
    <row r="93" spans="1:10" x14ac:dyDescent="0.3">
      <c r="A93">
        <v>92</v>
      </c>
      <c r="B93">
        <f>IF('Boletins Nuppa Site'!A93&lt;&gt;0,'Boletins Nuppa Site'!A93,"NULL")</f>
        <v>39</v>
      </c>
      <c r="C93">
        <v>14</v>
      </c>
      <c r="D93" t="str">
        <f>IF('Boletins Nuppa Site'!G93&lt;&gt;0,'Boletins Nuppa Site'!G93,"NULL")</f>
        <v>NULL</v>
      </c>
      <c r="E93" s="14">
        <f>IF('Boletins Nuppa Site'!H93&lt;&gt;0,'Boletins Nuppa Site'!H93,"NULL")</f>
        <v>42</v>
      </c>
      <c r="F93" s="14">
        <f>IF('Boletins Nuppa Site'!I93&lt;&gt;0,'Boletins Nuppa Site'!I93,"NULL")</f>
        <v>66</v>
      </c>
      <c r="G93" s="14">
        <f>IF('Boletins Nuppa Site'!J93&lt;&gt;0,'Boletins Nuppa Site'!J93,"NULL")</f>
        <v>54</v>
      </c>
      <c r="H93" s="14">
        <f>IF('Boletins Nuppa Site'!K93&lt;&gt;0,'Boletins Nuppa Site'!K93,"NULL")</f>
        <v>54</v>
      </c>
      <c r="I93" t="str">
        <f t="shared" si="2"/>
        <v>INSERT INTO COTACAO (cot_id, cot_blt_id, cot_pap_id, cot_prc_comum, cot_prc_min, cot_prc_max, cot_prc_med, cot_prc_mediana) VALUES (92, 39, 14, NULL, 42, 66, 54, 54);</v>
      </c>
      <c r="J93" t="str">
        <f t="shared" si="3"/>
        <v>UPDATE COTACAO SET cot_id = 92, cot_blt_id = 39, cot_pap_id = 14, cot_prc_comum = NULL, cot_prc_min = 42, cot_prc_max = 66, cot_prc_med = 54, cot_prc_mediana = 54 WHERE cot_id = 92;</v>
      </c>
    </row>
    <row r="94" spans="1:10" x14ac:dyDescent="0.3">
      <c r="A94">
        <v>93</v>
      </c>
      <c r="B94">
        <f>IF('Boletins Nuppa Site'!A94&lt;&gt;0,'Boletins Nuppa Site'!A94,"NULL")</f>
        <v>39</v>
      </c>
      <c r="C94">
        <v>15</v>
      </c>
      <c r="D94" s="14">
        <f>IF('Boletins Nuppa Site'!G94&lt;&gt;0,'Boletins Nuppa Site'!G94,"NULL")</f>
        <v>30</v>
      </c>
      <c r="E94" s="14">
        <f>IF('Boletins Nuppa Site'!H94&lt;&gt;0,'Boletins Nuppa Site'!H94,"NULL")</f>
        <v>25</v>
      </c>
      <c r="F94" s="14">
        <f>IF('Boletins Nuppa Site'!I94&lt;&gt;0,'Boletins Nuppa Site'!I94,"NULL")</f>
        <v>30</v>
      </c>
      <c r="G94" t="str">
        <f>IF('Boletins Nuppa Site'!J94&lt;&gt;0,'Boletins Nuppa Site'!J94,"NULL")</f>
        <v>28.33</v>
      </c>
      <c r="H94" s="14">
        <f>IF('Boletins Nuppa Site'!K94&lt;&gt;0,'Boletins Nuppa Site'!K94,"NULL")</f>
        <v>30</v>
      </c>
      <c r="I94" t="str">
        <f t="shared" si="2"/>
        <v>INSERT INTO COTACAO (cot_id, cot_blt_id, cot_pap_id, cot_prc_comum, cot_prc_min, cot_prc_max, cot_prc_med, cot_prc_mediana) VALUES (93, 39, 15, 30, 25, 30, 28.33, 30);</v>
      </c>
      <c r="J94" t="str">
        <f t="shared" si="3"/>
        <v>UPDATE COTACAO SET cot_id = 93, cot_blt_id = 39, cot_pap_id = 15, cot_prc_comum = 30, cot_prc_min = 25, cot_prc_max = 30, cot_prc_med = 28.33, cot_prc_mediana = 30 WHERE cot_id = 93;</v>
      </c>
    </row>
    <row r="95" spans="1:10" x14ac:dyDescent="0.3">
      <c r="A95">
        <v>94</v>
      </c>
      <c r="B95">
        <f>IF('Boletins Nuppa Site'!A95&lt;&gt;0,'Boletins Nuppa Site'!A95,"NULL")</f>
        <v>39</v>
      </c>
      <c r="C95">
        <v>16</v>
      </c>
      <c r="D95" s="14">
        <f>IF('Boletins Nuppa Site'!G95&lt;&gt;0,'Boletins Nuppa Site'!G95,"NULL")</f>
        <v>42</v>
      </c>
      <c r="E95" s="14">
        <f>IF('Boletins Nuppa Site'!H95&lt;&gt;0,'Boletins Nuppa Site'!H95,"NULL")</f>
        <v>30</v>
      </c>
      <c r="F95" s="14">
        <f>IF('Boletins Nuppa Site'!I95&lt;&gt;0,'Boletins Nuppa Site'!I95,"NULL")</f>
        <v>42</v>
      </c>
      <c r="G95" t="str">
        <f>IF('Boletins Nuppa Site'!J95&lt;&gt;0,'Boletins Nuppa Site'!J95,"NULL")</f>
        <v>37.5</v>
      </c>
      <c r="H95" s="14">
        <f>IF('Boletins Nuppa Site'!K95&lt;&gt;0,'Boletins Nuppa Site'!K95,"NULL")</f>
        <v>39</v>
      </c>
      <c r="I95" t="str">
        <f t="shared" si="2"/>
        <v>INSERT INTO COTACAO (cot_id, cot_blt_id, cot_pap_id, cot_prc_comum, cot_prc_min, cot_prc_max, cot_prc_med, cot_prc_mediana) VALUES (94, 39, 16, 42, 30, 42, 37.5, 39);</v>
      </c>
      <c r="J95" t="str">
        <f t="shared" si="3"/>
        <v>UPDATE COTACAO SET cot_id = 94, cot_blt_id = 39, cot_pap_id = 16, cot_prc_comum = 42, cot_prc_min = 30, cot_prc_max = 42, cot_prc_med = 37.5, cot_prc_mediana = 39 WHERE cot_id = 94;</v>
      </c>
    </row>
    <row r="96" spans="1:10" x14ac:dyDescent="0.3">
      <c r="A96">
        <v>95</v>
      </c>
      <c r="B96">
        <f>IF('Boletins Nuppa Site'!A96&lt;&gt;0,'Boletins Nuppa Site'!A96,"NULL")</f>
        <v>39</v>
      </c>
      <c r="C96">
        <v>17</v>
      </c>
      <c r="D96" s="14">
        <f>IF('Boletins Nuppa Site'!G96&lt;&gt;0,'Boletins Nuppa Site'!G96,"NULL")</f>
        <v>4</v>
      </c>
      <c r="E96" s="14">
        <f>IF('Boletins Nuppa Site'!H96&lt;&gt;0,'Boletins Nuppa Site'!H96,"NULL")</f>
        <v>4</v>
      </c>
      <c r="F96" s="14">
        <f>IF('Boletins Nuppa Site'!I96&lt;&gt;0,'Boletins Nuppa Site'!I96,"NULL")</f>
        <v>5</v>
      </c>
      <c r="G96" t="str">
        <f>IF('Boletins Nuppa Site'!J96&lt;&gt;0,'Boletins Nuppa Site'!J96,"NULL")</f>
        <v>4.33</v>
      </c>
      <c r="H96" s="14">
        <f>IF('Boletins Nuppa Site'!K96&lt;&gt;0,'Boletins Nuppa Site'!K96,"NULL")</f>
        <v>4</v>
      </c>
      <c r="I96" t="str">
        <f t="shared" si="2"/>
        <v>INSERT INTO COTACAO (cot_id, cot_blt_id, cot_pap_id, cot_prc_comum, cot_prc_min, cot_prc_max, cot_prc_med, cot_prc_mediana) VALUES (95, 39, 17, 4, 4, 5, 4.33, 4);</v>
      </c>
      <c r="J96" t="str">
        <f t="shared" si="3"/>
        <v>UPDATE COTACAO SET cot_id = 95, cot_blt_id = 39, cot_pap_id = 17, cot_prc_comum = 4, cot_prc_min = 4, cot_prc_max = 5, cot_prc_med = 4.33, cot_prc_mediana = 4 WHERE cot_id = 95;</v>
      </c>
    </row>
    <row r="97" spans="1:10" x14ac:dyDescent="0.3">
      <c r="A97">
        <v>96</v>
      </c>
      <c r="B97">
        <f>IF('Boletins Nuppa Site'!A97&lt;&gt;0,'Boletins Nuppa Site'!A97,"NULL")</f>
        <v>39</v>
      </c>
      <c r="C97">
        <v>18</v>
      </c>
      <c r="D97" s="14">
        <f>IF('Boletins Nuppa Site'!G97&lt;&gt;0,'Boletins Nuppa Site'!G97,"NULL")</f>
        <v>20</v>
      </c>
      <c r="E97" s="14">
        <f>IF('Boletins Nuppa Site'!H97&lt;&gt;0,'Boletins Nuppa Site'!H97,"NULL")</f>
        <v>20</v>
      </c>
      <c r="F97" s="14">
        <f>IF('Boletins Nuppa Site'!I97&lt;&gt;0,'Boletins Nuppa Site'!I97,"NULL")</f>
        <v>22</v>
      </c>
      <c r="G97" t="str">
        <f>IF('Boletins Nuppa Site'!J97&lt;&gt;0,'Boletins Nuppa Site'!J97,"NULL")</f>
        <v>20.67</v>
      </c>
      <c r="H97" s="14">
        <f>IF('Boletins Nuppa Site'!K97&lt;&gt;0,'Boletins Nuppa Site'!K97,"NULL")</f>
        <v>20</v>
      </c>
      <c r="I97" t="str">
        <f t="shared" si="2"/>
        <v>INSERT INTO COTACAO (cot_id, cot_blt_id, cot_pap_id, cot_prc_comum, cot_prc_min, cot_prc_max, cot_prc_med, cot_prc_mediana) VALUES (96, 39, 18, 20, 20, 22, 20.67, 20);</v>
      </c>
      <c r="J97" t="str">
        <f t="shared" si="3"/>
        <v>UPDATE COTACAO SET cot_id = 96, cot_blt_id = 39, cot_pap_id = 18, cot_prc_comum = 20, cot_prc_min = 20, cot_prc_max = 22, cot_prc_med = 20.67, cot_prc_mediana = 20 WHERE cot_id = 96;</v>
      </c>
    </row>
    <row r="98" spans="1:10" x14ac:dyDescent="0.3">
      <c r="A98">
        <v>97</v>
      </c>
      <c r="B98">
        <f>IF('Boletins Nuppa Site'!A98&lt;&gt;0,'Boletins Nuppa Site'!A98,"NULL")</f>
        <v>39</v>
      </c>
      <c r="C98">
        <v>19</v>
      </c>
      <c r="D98" s="14">
        <f>IF('Boletins Nuppa Site'!G98&lt;&gt;0,'Boletins Nuppa Site'!G98,"NULL")</f>
        <v>25</v>
      </c>
      <c r="E98" s="14">
        <f>IF('Boletins Nuppa Site'!H98&lt;&gt;0,'Boletins Nuppa Site'!H98,"NULL")</f>
        <v>25</v>
      </c>
      <c r="F98" s="14">
        <f>IF('Boletins Nuppa Site'!I98&lt;&gt;0,'Boletins Nuppa Site'!I98,"NULL")</f>
        <v>25</v>
      </c>
      <c r="G98" s="14">
        <f>IF('Boletins Nuppa Site'!J98&lt;&gt;0,'Boletins Nuppa Site'!J98,"NULL")</f>
        <v>25</v>
      </c>
      <c r="H98" s="14">
        <f>IF('Boletins Nuppa Site'!K98&lt;&gt;0,'Boletins Nuppa Site'!K98,"NULL")</f>
        <v>25</v>
      </c>
      <c r="I98" t="str">
        <f t="shared" si="2"/>
        <v>INSERT INTO COTACAO (cot_id, cot_blt_id, cot_pap_id, cot_prc_comum, cot_prc_min, cot_prc_max, cot_prc_med, cot_prc_mediana) VALUES (97, 39, 19, 25, 25, 25, 25, 25);</v>
      </c>
      <c r="J98" t="str">
        <f t="shared" si="3"/>
        <v>UPDATE COTACAO SET cot_id = 97, cot_blt_id = 39, cot_pap_id = 19, cot_prc_comum = 25, cot_prc_min = 25, cot_prc_max = 25, cot_prc_med = 25, cot_prc_mediana = 25 WHERE cot_id = 97;</v>
      </c>
    </row>
    <row r="99" spans="1:10" x14ac:dyDescent="0.3">
      <c r="A99">
        <v>98</v>
      </c>
      <c r="B99">
        <f>IF('Boletins Nuppa Site'!A99&lt;&gt;0,'Boletins Nuppa Site'!A99,"NULL")</f>
        <v>39</v>
      </c>
      <c r="C99">
        <v>21</v>
      </c>
      <c r="D99" s="14">
        <f>IF('Boletins Nuppa Site'!G99&lt;&gt;0,'Boletins Nuppa Site'!G99,"NULL")</f>
        <v>60</v>
      </c>
      <c r="E99" s="14">
        <f>IF('Boletins Nuppa Site'!H99&lt;&gt;0,'Boletins Nuppa Site'!H99,"NULL")</f>
        <v>40</v>
      </c>
      <c r="F99" s="14">
        <f>IF('Boletins Nuppa Site'!I99&lt;&gt;0,'Boletins Nuppa Site'!I99,"NULL")</f>
        <v>60</v>
      </c>
      <c r="G99" s="14">
        <f>IF('Boletins Nuppa Site'!J99&lt;&gt;0,'Boletins Nuppa Site'!J99,"NULL")</f>
        <v>52</v>
      </c>
      <c r="H99" s="14">
        <f>IF('Boletins Nuppa Site'!K99&lt;&gt;0,'Boletins Nuppa Site'!K99,"NULL")</f>
        <v>55</v>
      </c>
      <c r="I99" t="str">
        <f t="shared" si="2"/>
        <v>INSERT INTO COTACAO (cot_id, cot_blt_id, cot_pap_id, cot_prc_comum, cot_prc_min, cot_prc_max, cot_prc_med, cot_prc_mediana) VALUES (98, 39, 21, 60, 40, 60, 52, 55);</v>
      </c>
      <c r="J99" t="str">
        <f t="shared" si="3"/>
        <v>UPDATE COTACAO SET cot_id = 98, cot_blt_id = 39, cot_pap_id = 21, cot_prc_comum = 60, cot_prc_min = 40, cot_prc_max = 60, cot_prc_med = 52, cot_prc_mediana = 55 WHERE cot_id = 98;</v>
      </c>
    </row>
    <row r="100" spans="1:10" x14ac:dyDescent="0.3">
      <c r="A100">
        <v>99</v>
      </c>
      <c r="B100">
        <f>IF('Boletins Nuppa Site'!A100&lt;&gt;0,'Boletins Nuppa Site'!A100,"NULL")</f>
        <v>39</v>
      </c>
      <c r="C100">
        <v>22</v>
      </c>
      <c r="D100" s="14">
        <f>IF('Boletins Nuppa Site'!G100&lt;&gt;0,'Boletins Nuppa Site'!G100,"NULL")</f>
        <v>50</v>
      </c>
      <c r="E100" s="14">
        <f>IF('Boletins Nuppa Site'!H100&lt;&gt;0,'Boletins Nuppa Site'!H100,"NULL")</f>
        <v>50</v>
      </c>
      <c r="F100" s="14">
        <f>IF('Boletins Nuppa Site'!I100&lt;&gt;0,'Boletins Nuppa Site'!I100,"NULL")</f>
        <v>65</v>
      </c>
      <c r="G100" t="str">
        <f>IF('Boletins Nuppa Site'!J100&lt;&gt;0,'Boletins Nuppa Site'!J100,"NULL")</f>
        <v>55.83</v>
      </c>
      <c r="H100" s="14">
        <f>IF('Boletins Nuppa Site'!K100&lt;&gt;0,'Boletins Nuppa Site'!K100,"NULL")</f>
        <v>55</v>
      </c>
      <c r="I100" t="str">
        <f t="shared" si="2"/>
        <v>INSERT INTO COTACAO (cot_id, cot_blt_id, cot_pap_id, cot_prc_comum, cot_prc_min, cot_prc_max, cot_prc_med, cot_prc_mediana) VALUES (99, 39, 22, 50, 50, 65, 55.83, 55);</v>
      </c>
      <c r="J100" t="str">
        <f t="shared" si="3"/>
        <v>UPDATE COTACAO SET cot_id = 99, cot_blt_id = 39, cot_pap_id = 22, cot_prc_comum = 50, cot_prc_min = 50, cot_prc_max = 65, cot_prc_med = 55.83, cot_prc_mediana = 55 WHERE cot_id = 99;</v>
      </c>
    </row>
    <row r="101" spans="1:10" x14ac:dyDescent="0.3">
      <c r="A101">
        <v>100</v>
      </c>
      <c r="B101">
        <f>IF('Boletins Nuppa Site'!A101&lt;&gt;0,'Boletins Nuppa Site'!A101,"NULL")</f>
        <v>39</v>
      </c>
      <c r="C101">
        <v>23</v>
      </c>
      <c r="D101" s="14">
        <f>IF('Boletins Nuppa Site'!G101&lt;&gt;0,'Boletins Nuppa Site'!G101,"NULL")</f>
        <v>50</v>
      </c>
      <c r="E101" s="14">
        <f>IF('Boletins Nuppa Site'!H101&lt;&gt;0,'Boletins Nuppa Site'!H101,"NULL")</f>
        <v>35</v>
      </c>
      <c r="F101" s="14">
        <f>IF('Boletins Nuppa Site'!I101&lt;&gt;0,'Boletins Nuppa Site'!I101,"NULL")</f>
        <v>55</v>
      </c>
      <c r="G101" t="str">
        <f>IF('Boletins Nuppa Site'!J101&lt;&gt;0,'Boletins Nuppa Site'!J101,"NULL")</f>
        <v>45.83</v>
      </c>
      <c r="H101" t="str">
        <f>IF('Boletins Nuppa Site'!K101&lt;&gt;0,'Boletins Nuppa Site'!K101,"NULL")</f>
        <v>47.5</v>
      </c>
      <c r="I101" t="str">
        <f t="shared" si="2"/>
        <v>INSERT INTO COTACAO (cot_id, cot_blt_id, cot_pap_id, cot_prc_comum, cot_prc_min, cot_prc_max, cot_prc_med, cot_prc_mediana) VALUES (100, 39, 23, 50, 35, 55, 45.83, 47.5);</v>
      </c>
      <c r="J101" t="str">
        <f t="shared" si="3"/>
        <v>UPDATE COTACAO SET cot_id = 100, cot_blt_id = 39, cot_pap_id = 23, cot_prc_comum = 50, cot_prc_min = 35, cot_prc_max = 55, cot_prc_med = 45.83, cot_prc_mediana = 47.5 WHERE cot_id = 100;</v>
      </c>
    </row>
    <row r="102" spans="1:10" x14ac:dyDescent="0.3">
      <c r="A102">
        <v>101</v>
      </c>
      <c r="B102">
        <f>IF('Boletins Nuppa Site'!A102&lt;&gt;0,'Boletins Nuppa Site'!A102,"NULL")</f>
        <v>39</v>
      </c>
      <c r="C102">
        <v>24</v>
      </c>
      <c r="D102" t="str">
        <f>IF('Boletins Nuppa Site'!G102&lt;&gt;0,'Boletins Nuppa Site'!G102,"NULL")</f>
        <v>NULL</v>
      </c>
      <c r="E102" s="14">
        <f>IF('Boletins Nuppa Site'!H102&lt;&gt;0,'Boletins Nuppa Site'!H102,"NULL")</f>
        <v>120</v>
      </c>
      <c r="F102" s="14">
        <f>IF('Boletins Nuppa Site'!I102&lt;&gt;0,'Boletins Nuppa Site'!I102,"NULL")</f>
        <v>120</v>
      </c>
      <c r="G102" s="14">
        <f>IF('Boletins Nuppa Site'!J102&lt;&gt;0,'Boletins Nuppa Site'!J102,"NULL")</f>
        <v>120</v>
      </c>
      <c r="H102" s="14">
        <f>IF('Boletins Nuppa Site'!K102&lt;&gt;0,'Boletins Nuppa Site'!K102,"NULL")</f>
        <v>120</v>
      </c>
      <c r="I102" t="str">
        <f t="shared" si="2"/>
        <v>INSERT INTO COTACAO (cot_id, cot_blt_id, cot_pap_id, cot_prc_comum, cot_prc_min, cot_prc_max, cot_prc_med, cot_prc_mediana) VALUES (101, 39, 24, NULL, 120, 120, 120, 120);</v>
      </c>
      <c r="J102" t="str">
        <f t="shared" si="3"/>
        <v>UPDATE COTACAO SET cot_id = 101, cot_blt_id = 39, cot_pap_id = 24, cot_prc_comum = NULL, cot_prc_min = 120, cot_prc_max = 120, cot_prc_med = 120, cot_prc_mediana = 120 WHERE cot_id = 101;</v>
      </c>
    </row>
    <row r="103" spans="1:10" x14ac:dyDescent="0.3">
      <c r="A103">
        <v>102</v>
      </c>
      <c r="B103">
        <f>IF('Boletins Nuppa Site'!A103&lt;&gt;0,'Boletins Nuppa Site'!A103,"NULL")</f>
        <v>39</v>
      </c>
      <c r="C103">
        <v>25</v>
      </c>
      <c r="D103" s="14">
        <f>IF('Boletins Nuppa Site'!G103&lt;&gt;0,'Boletins Nuppa Site'!G103,"NULL")</f>
        <v>50</v>
      </c>
      <c r="E103" s="14">
        <f>IF('Boletins Nuppa Site'!H103&lt;&gt;0,'Boletins Nuppa Site'!H103,"NULL")</f>
        <v>50</v>
      </c>
      <c r="F103" s="14">
        <f>IF('Boletins Nuppa Site'!I103&lt;&gt;0,'Boletins Nuppa Site'!I103,"NULL")</f>
        <v>60</v>
      </c>
      <c r="G103" t="str">
        <f>IF('Boletins Nuppa Site'!J103&lt;&gt;0,'Boletins Nuppa Site'!J103,"NULL")</f>
        <v>53.75</v>
      </c>
      <c r="H103" t="str">
        <f>IF('Boletins Nuppa Site'!K103&lt;&gt;0,'Boletins Nuppa Site'!K103,"NULL")</f>
        <v>52.5</v>
      </c>
      <c r="I103" t="str">
        <f t="shared" si="2"/>
        <v>INSERT INTO COTACAO (cot_id, cot_blt_id, cot_pap_id, cot_prc_comum, cot_prc_min, cot_prc_max, cot_prc_med, cot_prc_mediana) VALUES (102, 39, 25, 50, 50, 60, 53.75, 52.5);</v>
      </c>
      <c r="J103" t="str">
        <f t="shared" si="3"/>
        <v>UPDATE COTACAO SET cot_id = 102, cot_blt_id = 39, cot_pap_id = 25, cot_prc_comum = 50, cot_prc_min = 50, cot_prc_max = 60, cot_prc_med = 53.75, cot_prc_mediana = 52.5 WHERE cot_id = 102;</v>
      </c>
    </row>
    <row r="104" spans="1:10" x14ac:dyDescent="0.3">
      <c r="A104">
        <v>103</v>
      </c>
      <c r="B104">
        <f>IF('Boletins Nuppa Site'!A104&lt;&gt;0,'Boletins Nuppa Site'!A104,"NULL")</f>
        <v>39</v>
      </c>
      <c r="C104">
        <v>26</v>
      </c>
      <c r="D104" s="14">
        <f>IF('Boletins Nuppa Site'!G104&lt;&gt;0,'Boletins Nuppa Site'!G104,"NULL")</f>
        <v>80</v>
      </c>
      <c r="E104" s="14">
        <f>IF('Boletins Nuppa Site'!H104&lt;&gt;0,'Boletins Nuppa Site'!H104,"NULL")</f>
        <v>50</v>
      </c>
      <c r="F104" s="14">
        <f>IF('Boletins Nuppa Site'!I104&lt;&gt;0,'Boletins Nuppa Site'!I104,"NULL")</f>
        <v>80</v>
      </c>
      <c r="G104" s="14">
        <f>IF('Boletins Nuppa Site'!J104&lt;&gt;0,'Boletins Nuppa Site'!J104,"NULL")</f>
        <v>66</v>
      </c>
      <c r="H104" s="14">
        <f>IF('Boletins Nuppa Site'!K104&lt;&gt;0,'Boletins Nuppa Site'!K104,"NULL")</f>
        <v>65</v>
      </c>
      <c r="I104" t="str">
        <f t="shared" si="2"/>
        <v>INSERT INTO COTACAO (cot_id, cot_blt_id, cot_pap_id, cot_prc_comum, cot_prc_min, cot_prc_max, cot_prc_med, cot_prc_mediana) VALUES (103, 39, 26, 80, 50, 80, 66, 65);</v>
      </c>
      <c r="J104" t="str">
        <f t="shared" si="3"/>
        <v>UPDATE COTACAO SET cot_id = 103, cot_blt_id = 39, cot_pap_id = 26, cot_prc_comum = 80, cot_prc_min = 50, cot_prc_max = 80, cot_prc_med = 66, cot_prc_mediana = 65 WHERE cot_id = 103;</v>
      </c>
    </row>
    <row r="105" spans="1:10" x14ac:dyDescent="0.3">
      <c r="A105">
        <v>104</v>
      </c>
      <c r="B105">
        <f>IF('Boletins Nuppa Site'!A105&lt;&gt;0,'Boletins Nuppa Site'!A105,"NULL")</f>
        <v>39</v>
      </c>
      <c r="C105">
        <v>27</v>
      </c>
      <c r="D105" s="14">
        <f>IF('Boletins Nuppa Site'!G105&lt;&gt;0,'Boletins Nuppa Site'!G105,"NULL")</f>
        <v>70</v>
      </c>
      <c r="E105" s="14">
        <f>IF('Boletins Nuppa Site'!H105&lt;&gt;0,'Boletins Nuppa Site'!H105,"NULL")</f>
        <v>70</v>
      </c>
      <c r="F105" s="14">
        <f>IF('Boletins Nuppa Site'!I105&lt;&gt;0,'Boletins Nuppa Site'!I105,"NULL")</f>
        <v>80</v>
      </c>
      <c r="G105" t="str">
        <f>IF('Boletins Nuppa Site'!J105&lt;&gt;0,'Boletins Nuppa Site'!J105,"NULL")</f>
        <v>73.33</v>
      </c>
      <c r="H105" s="14">
        <f>IF('Boletins Nuppa Site'!K105&lt;&gt;0,'Boletins Nuppa Site'!K105,"NULL")</f>
        <v>70</v>
      </c>
      <c r="I105" t="str">
        <f t="shared" si="2"/>
        <v>INSERT INTO COTACAO (cot_id, cot_blt_id, cot_pap_id, cot_prc_comum, cot_prc_min, cot_prc_max, cot_prc_med, cot_prc_mediana) VALUES (104, 39, 27, 70, 70, 80, 73.33, 70);</v>
      </c>
      <c r="J105" t="str">
        <f t="shared" si="3"/>
        <v>UPDATE COTACAO SET cot_id = 104, cot_blt_id = 39, cot_pap_id = 27, cot_prc_comum = 70, cot_prc_min = 70, cot_prc_max = 80, cot_prc_med = 73.33, cot_prc_mediana = 70 WHERE cot_id = 104;</v>
      </c>
    </row>
    <row r="106" spans="1:10" x14ac:dyDescent="0.3">
      <c r="A106">
        <v>105</v>
      </c>
      <c r="B106">
        <f>IF('Boletins Nuppa Site'!A106&lt;&gt;0,'Boletins Nuppa Site'!A106,"NULL")</f>
        <v>39</v>
      </c>
      <c r="C106">
        <v>28</v>
      </c>
      <c r="D106" s="14">
        <f>IF('Boletins Nuppa Site'!G106&lt;&gt;0,'Boletins Nuppa Site'!G106,"NULL")</f>
        <v>70</v>
      </c>
      <c r="E106" s="14">
        <f>IF('Boletins Nuppa Site'!H106&lt;&gt;0,'Boletins Nuppa Site'!H106,"NULL")</f>
        <v>60</v>
      </c>
      <c r="F106" s="14">
        <f>IF('Boletins Nuppa Site'!I106&lt;&gt;0,'Boletins Nuppa Site'!I106,"NULL")</f>
        <v>70</v>
      </c>
      <c r="G106" s="14">
        <f>IF('Boletins Nuppa Site'!J106&lt;&gt;0,'Boletins Nuppa Site'!J106,"NULL")</f>
        <v>66</v>
      </c>
      <c r="H106" s="14">
        <f>IF('Boletins Nuppa Site'!K106&lt;&gt;0,'Boletins Nuppa Site'!K106,"NULL")</f>
        <v>70</v>
      </c>
      <c r="I106" t="str">
        <f t="shared" si="2"/>
        <v>INSERT INTO COTACAO (cot_id, cot_blt_id, cot_pap_id, cot_prc_comum, cot_prc_min, cot_prc_max, cot_prc_med, cot_prc_mediana) VALUES (105, 39, 28, 70, 60, 70, 66, 70);</v>
      </c>
      <c r="J106" t="str">
        <f t="shared" si="3"/>
        <v>UPDATE COTACAO SET cot_id = 105, cot_blt_id = 39, cot_pap_id = 28, cot_prc_comum = 70, cot_prc_min = 60, cot_prc_max = 70, cot_prc_med = 66, cot_prc_mediana = 70 WHERE cot_id = 105;</v>
      </c>
    </row>
    <row r="107" spans="1:10" x14ac:dyDescent="0.3">
      <c r="A107">
        <v>106</v>
      </c>
      <c r="B107">
        <f>IF('Boletins Nuppa Site'!A107&lt;&gt;0,'Boletins Nuppa Site'!A107,"NULL")</f>
        <v>39</v>
      </c>
      <c r="C107">
        <v>29</v>
      </c>
      <c r="D107" s="14">
        <f>IF('Boletins Nuppa Site'!G107&lt;&gt;0,'Boletins Nuppa Site'!G107,"NULL")</f>
        <v>60</v>
      </c>
      <c r="E107" s="14">
        <f>IF('Boletins Nuppa Site'!H107&lt;&gt;0,'Boletins Nuppa Site'!H107,"NULL")</f>
        <v>60</v>
      </c>
      <c r="F107" s="14">
        <f>IF('Boletins Nuppa Site'!I107&lt;&gt;0,'Boletins Nuppa Site'!I107,"NULL")</f>
        <v>60</v>
      </c>
      <c r="G107" s="14">
        <f>IF('Boletins Nuppa Site'!J107&lt;&gt;0,'Boletins Nuppa Site'!J107,"NULL")</f>
        <v>60</v>
      </c>
      <c r="H107" s="14">
        <f>IF('Boletins Nuppa Site'!K107&lt;&gt;0,'Boletins Nuppa Site'!K107,"NULL")</f>
        <v>60</v>
      </c>
      <c r="I107" t="str">
        <f t="shared" si="2"/>
        <v>INSERT INTO COTACAO (cot_id, cot_blt_id, cot_pap_id, cot_prc_comum, cot_prc_min, cot_prc_max, cot_prc_med, cot_prc_mediana) VALUES (106, 39, 29, 60, 60, 60, 60, 60);</v>
      </c>
      <c r="J107" t="str">
        <f t="shared" si="3"/>
        <v>UPDATE COTACAO SET cot_id = 106, cot_blt_id = 39, cot_pap_id = 29, cot_prc_comum = 60, cot_prc_min = 60, cot_prc_max = 60, cot_prc_med = 60, cot_prc_mediana = 60 WHERE cot_id = 106;</v>
      </c>
    </row>
    <row r="108" spans="1:10" x14ac:dyDescent="0.3">
      <c r="A108">
        <v>107</v>
      </c>
      <c r="B108">
        <f>IF('Boletins Nuppa Site'!A108&lt;&gt;0,'Boletins Nuppa Site'!A108,"NULL")</f>
        <v>39</v>
      </c>
      <c r="C108">
        <v>30</v>
      </c>
      <c r="D108" s="14">
        <f>IF('Boletins Nuppa Site'!G108&lt;&gt;0,'Boletins Nuppa Site'!G108,"NULL")</f>
        <v>60</v>
      </c>
      <c r="E108" s="14">
        <f>IF('Boletins Nuppa Site'!H108&lt;&gt;0,'Boletins Nuppa Site'!H108,"NULL")</f>
        <v>40</v>
      </c>
      <c r="F108" s="14">
        <f>IF('Boletins Nuppa Site'!I108&lt;&gt;0,'Boletins Nuppa Site'!I108,"NULL")</f>
        <v>60</v>
      </c>
      <c r="G108" s="14">
        <f>IF('Boletins Nuppa Site'!J108&lt;&gt;0,'Boletins Nuppa Site'!J108,"NULL")</f>
        <v>53</v>
      </c>
      <c r="H108" s="14">
        <f>IF('Boletins Nuppa Site'!K108&lt;&gt;0,'Boletins Nuppa Site'!K108,"NULL")</f>
        <v>55</v>
      </c>
      <c r="I108" t="str">
        <f t="shared" si="2"/>
        <v>INSERT INTO COTACAO (cot_id, cot_blt_id, cot_pap_id, cot_prc_comum, cot_prc_min, cot_prc_max, cot_prc_med, cot_prc_mediana) VALUES (107, 39, 30, 60, 40, 60, 53, 55);</v>
      </c>
      <c r="J108" t="str">
        <f t="shared" si="3"/>
        <v>UPDATE COTACAO SET cot_id = 107, cot_blt_id = 39, cot_pap_id = 30, cot_prc_comum = 60, cot_prc_min = 40, cot_prc_max = 60, cot_prc_med = 53, cot_prc_mediana = 55 WHERE cot_id = 107;</v>
      </c>
    </row>
    <row r="109" spans="1:10" x14ac:dyDescent="0.3">
      <c r="A109">
        <v>108</v>
      </c>
      <c r="B109">
        <f>IF('Boletins Nuppa Site'!A109&lt;&gt;0,'Boletins Nuppa Site'!A109,"NULL")</f>
        <v>39</v>
      </c>
      <c r="C109">
        <v>31</v>
      </c>
      <c r="D109" s="14">
        <f>IF('Boletins Nuppa Site'!G109&lt;&gt;0,'Boletins Nuppa Site'!G109,"NULL")</f>
        <v>70</v>
      </c>
      <c r="E109" s="14">
        <f>IF('Boletins Nuppa Site'!H109&lt;&gt;0,'Boletins Nuppa Site'!H109,"NULL")</f>
        <v>60</v>
      </c>
      <c r="F109" s="14">
        <f>IF('Boletins Nuppa Site'!I109&lt;&gt;0,'Boletins Nuppa Site'!I109,"NULL")</f>
        <v>80</v>
      </c>
      <c r="G109" s="14">
        <f>IF('Boletins Nuppa Site'!J109&lt;&gt;0,'Boletins Nuppa Site'!J109,"NULL")</f>
        <v>71</v>
      </c>
      <c r="H109" s="14">
        <f>IF('Boletins Nuppa Site'!K109&lt;&gt;0,'Boletins Nuppa Site'!K109,"NULL")</f>
        <v>70</v>
      </c>
      <c r="I109" t="str">
        <f t="shared" si="2"/>
        <v>INSERT INTO COTACAO (cot_id, cot_blt_id, cot_pap_id, cot_prc_comum, cot_prc_min, cot_prc_max, cot_prc_med, cot_prc_mediana) VALUES (108, 39, 31, 70, 60, 80, 71, 70);</v>
      </c>
      <c r="J109" t="str">
        <f t="shared" si="3"/>
        <v>UPDATE COTACAO SET cot_id = 108, cot_blt_id = 39, cot_pap_id = 31, cot_prc_comum = 70, cot_prc_min = 60, cot_prc_max = 80, cot_prc_med = 71, cot_prc_mediana = 70 WHERE cot_id = 108;</v>
      </c>
    </row>
    <row r="110" spans="1:10" x14ac:dyDescent="0.3">
      <c r="A110">
        <v>109</v>
      </c>
      <c r="B110">
        <f>IF('Boletins Nuppa Site'!A110&lt;&gt;0,'Boletins Nuppa Site'!A110,"NULL")</f>
        <v>39</v>
      </c>
      <c r="C110">
        <v>32</v>
      </c>
      <c r="D110" s="14">
        <f>IF('Boletins Nuppa Site'!G110&lt;&gt;0,'Boletins Nuppa Site'!G110,"NULL")</f>
        <v>40</v>
      </c>
      <c r="E110" s="14">
        <f>IF('Boletins Nuppa Site'!H110&lt;&gt;0,'Boletins Nuppa Site'!H110,"NULL")</f>
        <v>35</v>
      </c>
      <c r="F110" s="14">
        <f>IF('Boletins Nuppa Site'!I110&lt;&gt;0,'Boletins Nuppa Site'!I110,"NULL")</f>
        <v>45</v>
      </c>
      <c r="G110" s="14">
        <f>IF('Boletins Nuppa Site'!J110&lt;&gt;0,'Boletins Nuppa Site'!J110,"NULL")</f>
        <v>40</v>
      </c>
      <c r="H110" s="14">
        <f>IF('Boletins Nuppa Site'!K110&lt;&gt;0,'Boletins Nuppa Site'!K110,"NULL")</f>
        <v>40</v>
      </c>
      <c r="I110" t="str">
        <f t="shared" si="2"/>
        <v>INSERT INTO COTACAO (cot_id, cot_blt_id, cot_pap_id, cot_prc_comum, cot_prc_min, cot_prc_max, cot_prc_med, cot_prc_mediana) VALUES (109, 39, 32, 40, 35, 45, 40, 40);</v>
      </c>
      <c r="J110" t="str">
        <f t="shared" si="3"/>
        <v>UPDATE COTACAO SET cot_id = 109, cot_blt_id = 39, cot_pap_id = 32, cot_prc_comum = 40, cot_prc_min = 35, cot_prc_max = 45, cot_prc_med = 40, cot_prc_mediana = 40 WHERE cot_id = 109;</v>
      </c>
    </row>
    <row r="111" spans="1:10" x14ac:dyDescent="0.3">
      <c r="A111">
        <v>110</v>
      </c>
      <c r="B111">
        <f>IF('Boletins Nuppa Site'!A111&lt;&gt;0,'Boletins Nuppa Site'!A111,"NULL")</f>
        <v>39</v>
      </c>
      <c r="C111">
        <v>33</v>
      </c>
      <c r="D111" s="14">
        <f>IF('Boletins Nuppa Site'!G111&lt;&gt;0,'Boletins Nuppa Site'!G111,"NULL")</f>
        <v>70</v>
      </c>
      <c r="E111" s="14">
        <f>IF('Boletins Nuppa Site'!H111&lt;&gt;0,'Boletins Nuppa Site'!H111,"NULL")</f>
        <v>60</v>
      </c>
      <c r="F111" s="14">
        <f>IF('Boletins Nuppa Site'!I111&lt;&gt;0,'Boletins Nuppa Site'!I111,"NULL")</f>
        <v>75</v>
      </c>
      <c r="G111" t="str">
        <f>IF('Boletins Nuppa Site'!J111&lt;&gt;0,'Boletins Nuppa Site'!J111,"NULL")</f>
        <v>68.75</v>
      </c>
      <c r="H111" s="14">
        <f>IF('Boletins Nuppa Site'!K111&lt;&gt;0,'Boletins Nuppa Site'!K111,"NULL")</f>
        <v>70</v>
      </c>
      <c r="I111" t="str">
        <f t="shared" si="2"/>
        <v>INSERT INTO COTACAO (cot_id, cot_blt_id, cot_pap_id, cot_prc_comum, cot_prc_min, cot_prc_max, cot_prc_med, cot_prc_mediana) VALUES (110, 39, 33, 70, 60, 75, 68.75, 70);</v>
      </c>
      <c r="J111" t="str">
        <f t="shared" si="3"/>
        <v>UPDATE COTACAO SET cot_id = 110, cot_blt_id = 39, cot_pap_id = 33, cot_prc_comum = 70, cot_prc_min = 60, cot_prc_max = 75, cot_prc_med = 68.75, cot_prc_mediana = 70 WHERE cot_id = 110;</v>
      </c>
    </row>
    <row r="112" spans="1:10" x14ac:dyDescent="0.3">
      <c r="A112">
        <v>111</v>
      </c>
      <c r="B112">
        <f>IF('Boletins Nuppa Site'!A112&lt;&gt;0,'Boletins Nuppa Site'!A112,"NULL")</f>
        <v>39</v>
      </c>
      <c r="C112">
        <v>34</v>
      </c>
      <c r="D112" s="14">
        <f>IF('Boletins Nuppa Site'!G112&lt;&gt;0,'Boletins Nuppa Site'!G112,"NULL")</f>
        <v>90</v>
      </c>
      <c r="E112" s="14">
        <f>IF('Boletins Nuppa Site'!H112&lt;&gt;0,'Boletins Nuppa Site'!H112,"NULL")</f>
        <v>70</v>
      </c>
      <c r="F112" s="14">
        <f>IF('Boletins Nuppa Site'!I112&lt;&gt;0,'Boletins Nuppa Site'!I112,"NULL")</f>
        <v>100</v>
      </c>
      <c r="G112" t="str">
        <f>IF('Boletins Nuppa Site'!J112&lt;&gt;0,'Boletins Nuppa Site'!J112,"NULL")</f>
        <v>84.17</v>
      </c>
      <c r="H112" s="14">
        <f>IF('Boletins Nuppa Site'!K112&lt;&gt;0,'Boletins Nuppa Site'!K112,"NULL")</f>
        <v>85</v>
      </c>
      <c r="I112" t="str">
        <f t="shared" si="2"/>
        <v>INSERT INTO COTACAO (cot_id, cot_blt_id, cot_pap_id, cot_prc_comum, cot_prc_min, cot_prc_max, cot_prc_med, cot_prc_mediana) VALUES (111, 39, 34, 90, 70, 100, 84.17, 85);</v>
      </c>
      <c r="J112" t="str">
        <f t="shared" si="3"/>
        <v>UPDATE COTACAO SET cot_id = 111, cot_blt_id = 39, cot_pap_id = 34, cot_prc_comum = 90, cot_prc_min = 70, cot_prc_max = 100, cot_prc_med = 84.17, cot_prc_mediana = 85 WHERE cot_id = 111;</v>
      </c>
    </row>
    <row r="113" spans="1:10" x14ac:dyDescent="0.3">
      <c r="A113">
        <v>112</v>
      </c>
      <c r="B113">
        <f>IF('Boletins Nuppa Site'!A113&lt;&gt;0,'Boletins Nuppa Site'!A113,"NULL")</f>
        <v>39</v>
      </c>
      <c r="C113">
        <v>35</v>
      </c>
      <c r="D113" s="14">
        <f>IF('Boletins Nuppa Site'!G113&lt;&gt;0,'Boletins Nuppa Site'!G113,"NULL")</f>
        <v>120</v>
      </c>
      <c r="E113" s="14">
        <f>IF('Boletins Nuppa Site'!H113&lt;&gt;0,'Boletins Nuppa Site'!H113,"NULL")</f>
        <v>100</v>
      </c>
      <c r="F113" s="14">
        <f>IF('Boletins Nuppa Site'!I113&lt;&gt;0,'Boletins Nuppa Site'!I113,"NULL")</f>
        <v>120</v>
      </c>
      <c r="G113" s="14">
        <f>IF('Boletins Nuppa Site'!J113&lt;&gt;0,'Boletins Nuppa Site'!J113,"NULL")</f>
        <v>115</v>
      </c>
      <c r="H113" s="14">
        <f>IF('Boletins Nuppa Site'!K113&lt;&gt;0,'Boletins Nuppa Site'!K113,"NULL")</f>
        <v>120</v>
      </c>
      <c r="I113" t="str">
        <f t="shared" si="2"/>
        <v>INSERT INTO COTACAO (cot_id, cot_blt_id, cot_pap_id, cot_prc_comum, cot_prc_min, cot_prc_max, cot_prc_med, cot_prc_mediana) VALUES (112, 39, 35, 120, 100, 120, 115, 120);</v>
      </c>
      <c r="J113" t="str">
        <f t="shared" si="3"/>
        <v>UPDATE COTACAO SET cot_id = 112, cot_blt_id = 39, cot_pap_id = 35, cot_prc_comum = 120, cot_prc_min = 100, cot_prc_max = 120, cot_prc_med = 115, cot_prc_mediana = 120 WHERE cot_id = 112;</v>
      </c>
    </row>
    <row r="114" spans="1:10" x14ac:dyDescent="0.3">
      <c r="A114">
        <v>113</v>
      </c>
      <c r="B114">
        <f>IF('Boletins Nuppa Site'!A114&lt;&gt;0,'Boletins Nuppa Site'!A114,"NULL")</f>
        <v>39</v>
      </c>
      <c r="C114">
        <v>36</v>
      </c>
      <c r="D114" t="str">
        <f>IF('Boletins Nuppa Site'!G114&lt;&gt;0,'Boletins Nuppa Site'!G114,"NULL")</f>
        <v>NULL</v>
      </c>
      <c r="E114" t="str">
        <f>IF('Boletins Nuppa Site'!H114&lt;&gt;0,'Boletins Nuppa Site'!H114,"NULL")</f>
        <v>NULL</v>
      </c>
      <c r="F114" t="str">
        <f>IF('Boletins Nuppa Site'!I114&lt;&gt;0,'Boletins Nuppa Site'!I114,"NULL")</f>
        <v>NULL</v>
      </c>
      <c r="G114" t="str">
        <f>IF('Boletins Nuppa Site'!J114&lt;&gt;0,'Boletins Nuppa Site'!J114,"NULL")</f>
        <v>NULL</v>
      </c>
      <c r="H114" t="str">
        <f>IF('Boletins Nuppa Site'!K114&lt;&gt;0,'Boletins Nuppa Site'!K114,"NULL")</f>
        <v>NULL</v>
      </c>
      <c r="I114" t="str">
        <f t="shared" si="2"/>
        <v>INSERT INTO COTACAO (cot_id, cot_blt_id, cot_pap_id, cot_prc_comum, cot_prc_min, cot_prc_max, cot_prc_med, cot_prc_mediana) VALUES (113, 39, 36, NULL, NULL, NULL, NULL, NULL);</v>
      </c>
      <c r="J114" t="str">
        <f t="shared" si="3"/>
        <v>UPDATE COTACAO SET cot_id = 113, cot_blt_id = 39, cot_pap_id = 36, cot_prc_comum = NULL, cot_prc_min = NULL, cot_prc_max = NULL, cot_prc_med = NULL, cot_prc_mediana = NULL WHERE cot_id = 113;</v>
      </c>
    </row>
    <row r="115" spans="1:10" x14ac:dyDescent="0.3">
      <c r="A115">
        <v>114</v>
      </c>
      <c r="B115">
        <f>IF('Boletins Nuppa Site'!A115&lt;&gt;0,'Boletins Nuppa Site'!A115,"NULL")</f>
        <v>39</v>
      </c>
      <c r="C115">
        <v>37</v>
      </c>
      <c r="D115" t="str">
        <f>IF('Boletins Nuppa Site'!G115&lt;&gt;0,'Boletins Nuppa Site'!G115,"NULL")</f>
        <v>NULL</v>
      </c>
      <c r="E115" t="str">
        <f>IF('Boletins Nuppa Site'!H115&lt;&gt;0,'Boletins Nuppa Site'!H115,"NULL")</f>
        <v>NULL</v>
      </c>
      <c r="F115" t="str">
        <f>IF('Boletins Nuppa Site'!I115&lt;&gt;0,'Boletins Nuppa Site'!I115,"NULL")</f>
        <v>NULL</v>
      </c>
      <c r="G115" t="str">
        <f>IF('Boletins Nuppa Site'!J115&lt;&gt;0,'Boletins Nuppa Site'!J115,"NULL")</f>
        <v>NULL</v>
      </c>
      <c r="H115" t="str">
        <f>IF('Boletins Nuppa Site'!K115&lt;&gt;0,'Boletins Nuppa Site'!K115,"NULL")</f>
        <v>NULL</v>
      </c>
      <c r="I115" t="str">
        <f t="shared" si="2"/>
        <v>INSERT INTO COTACAO (cot_id, cot_blt_id, cot_pap_id, cot_prc_comum, cot_prc_min, cot_prc_max, cot_prc_med, cot_prc_mediana) VALUES (114, 39, 37, NULL, NULL, NULL, NULL, NULL);</v>
      </c>
      <c r="J115" t="str">
        <f t="shared" si="3"/>
        <v>UPDATE COTACAO SET cot_id = 114, cot_blt_id = 39, cot_pap_id = 37, cot_prc_comum = NULL, cot_prc_min = NULL, cot_prc_max = NULL, cot_prc_med = NULL, cot_prc_mediana = NULL WHERE cot_id = 114;</v>
      </c>
    </row>
    <row r="116" spans="1:10" x14ac:dyDescent="0.3">
      <c r="A116">
        <v>115</v>
      </c>
      <c r="B116">
        <f>IF('Boletins Nuppa Site'!A116&lt;&gt;0,'Boletins Nuppa Site'!A116,"NULL")</f>
        <v>39</v>
      </c>
      <c r="C116">
        <v>38</v>
      </c>
      <c r="D116" t="str">
        <f>IF('Boletins Nuppa Site'!G116&lt;&gt;0,'Boletins Nuppa Site'!G116,"NULL")</f>
        <v>NULL</v>
      </c>
      <c r="E116" t="str">
        <f>IF('Boletins Nuppa Site'!H116&lt;&gt;0,'Boletins Nuppa Site'!H116,"NULL")</f>
        <v>NULL</v>
      </c>
      <c r="F116" t="str">
        <f>IF('Boletins Nuppa Site'!I116&lt;&gt;0,'Boletins Nuppa Site'!I116,"NULL")</f>
        <v>NULL</v>
      </c>
      <c r="G116" t="str">
        <f>IF('Boletins Nuppa Site'!J116&lt;&gt;0,'Boletins Nuppa Site'!J116,"NULL")</f>
        <v>NULL</v>
      </c>
      <c r="H116" t="str">
        <f>IF('Boletins Nuppa Site'!K116&lt;&gt;0,'Boletins Nuppa Site'!K116,"NULL")</f>
        <v>NULL</v>
      </c>
      <c r="I116" t="str">
        <f t="shared" si="2"/>
        <v>INSERT INTO COTACAO (cot_id, cot_blt_id, cot_pap_id, cot_prc_comum, cot_prc_min, cot_prc_max, cot_prc_med, cot_prc_mediana) VALUES (115, 39, 38, NULL, NULL, NULL, NULL, NULL);</v>
      </c>
      <c r="J116" t="str">
        <f t="shared" si="3"/>
        <v>UPDATE COTACAO SET cot_id = 115, cot_blt_id = 39, cot_pap_id = 38, cot_prc_comum = NULL, cot_prc_min = NULL, cot_prc_max = NULL, cot_prc_med = NULL, cot_prc_mediana = NULL WHERE cot_id = 115;</v>
      </c>
    </row>
    <row r="117" spans="1:10" x14ac:dyDescent="0.3">
      <c r="A117">
        <v>116</v>
      </c>
      <c r="B117">
        <f>IF('Boletins Nuppa Site'!A117&lt;&gt;0,'Boletins Nuppa Site'!A117,"NULL")</f>
        <v>39</v>
      </c>
      <c r="C117">
        <v>39</v>
      </c>
      <c r="D117" t="str">
        <f>IF('Boletins Nuppa Site'!G117&lt;&gt;0,'Boletins Nuppa Site'!G117,"NULL")</f>
        <v>NULL</v>
      </c>
      <c r="E117" t="str">
        <f>IF('Boletins Nuppa Site'!H117&lt;&gt;0,'Boletins Nuppa Site'!H117,"NULL")</f>
        <v>NULL</v>
      </c>
      <c r="F117" t="str">
        <f>IF('Boletins Nuppa Site'!I117&lt;&gt;0,'Boletins Nuppa Site'!I117,"NULL")</f>
        <v>NULL</v>
      </c>
      <c r="G117" t="str">
        <f>IF('Boletins Nuppa Site'!J117&lt;&gt;0,'Boletins Nuppa Site'!J117,"NULL")</f>
        <v>NULL</v>
      </c>
      <c r="H117" t="str">
        <f>IF('Boletins Nuppa Site'!K117&lt;&gt;0,'Boletins Nuppa Site'!K117,"NULL")</f>
        <v>NULL</v>
      </c>
      <c r="I117" t="str">
        <f t="shared" si="2"/>
        <v>INSERT INTO COTACAO (cot_id, cot_blt_id, cot_pap_id, cot_prc_comum, cot_prc_min, cot_prc_max, cot_prc_med, cot_prc_mediana) VALUES (116, 39, 39, NULL, NULL, NULL, NULL, NULL);</v>
      </c>
      <c r="J117" t="str">
        <f t="shared" si="3"/>
        <v>UPDATE COTACAO SET cot_id = 116, cot_blt_id = 39, cot_pap_id = 39, cot_prc_comum = NULL, cot_prc_min = NULL, cot_prc_max = NULL, cot_prc_med = NULL, cot_prc_mediana = NULL WHERE cot_id = 116;</v>
      </c>
    </row>
    <row r="118" spans="1:10" x14ac:dyDescent="0.3">
      <c r="A118">
        <v>117</v>
      </c>
      <c r="B118">
        <f>IF('Boletins Nuppa Site'!A118&lt;&gt;0,'Boletins Nuppa Site'!A118,"NULL")</f>
        <v>39</v>
      </c>
      <c r="C118">
        <v>40</v>
      </c>
      <c r="D118" t="str">
        <f>IF('Boletins Nuppa Site'!G118&lt;&gt;0,'Boletins Nuppa Site'!G118,"NULL")</f>
        <v>NULL</v>
      </c>
      <c r="E118" t="str">
        <f>IF('Boletins Nuppa Site'!H118&lt;&gt;0,'Boletins Nuppa Site'!H118,"NULL")</f>
        <v>NULL</v>
      </c>
      <c r="F118" t="str">
        <f>IF('Boletins Nuppa Site'!I118&lt;&gt;0,'Boletins Nuppa Site'!I118,"NULL")</f>
        <v>NULL</v>
      </c>
      <c r="G118" t="str">
        <f>IF('Boletins Nuppa Site'!J118&lt;&gt;0,'Boletins Nuppa Site'!J118,"NULL")</f>
        <v>NULL</v>
      </c>
      <c r="H118" t="str">
        <f>IF('Boletins Nuppa Site'!K118&lt;&gt;0,'Boletins Nuppa Site'!K118,"NULL")</f>
        <v>NULL</v>
      </c>
      <c r="I118" t="str">
        <f t="shared" si="2"/>
        <v>INSERT INTO COTACAO (cot_id, cot_blt_id, cot_pap_id, cot_prc_comum, cot_prc_min, cot_prc_max, cot_prc_med, cot_prc_mediana) VALUES (117, 39, 40, NULL, NULL, NULL, NULL, NULL);</v>
      </c>
      <c r="J118" t="str">
        <f t="shared" si="3"/>
        <v>UPDATE COTACAO SET cot_id = 117, cot_blt_id = 39, cot_pap_id = 40, cot_prc_comum = NULL, cot_prc_min = NULL, cot_prc_max = NULL, cot_prc_med = NULL, cot_prc_mediana = NULL WHERE cot_id = 117;</v>
      </c>
    </row>
    <row r="119" spans="1:10" x14ac:dyDescent="0.3">
      <c r="A119">
        <v>118</v>
      </c>
      <c r="B119">
        <f>IF('Boletins Nuppa Site'!A119&lt;&gt;0,'Boletins Nuppa Site'!A119,"NULL")</f>
        <v>40</v>
      </c>
      <c r="C119">
        <v>1</v>
      </c>
      <c r="D119" s="14">
        <f>IF('Boletins Nuppa Site'!G119&lt;&gt;0,'Boletins Nuppa Site'!G119,"NULL")</f>
        <v>42</v>
      </c>
      <c r="E119" s="14">
        <f>IF('Boletins Nuppa Site'!H119&lt;&gt;0,'Boletins Nuppa Site'!H119,"NULL")</f>
        <v>42</v>
      </c>
      <c r="F119" s="14">
        <f>IF('Boletins Nuppa Site'!I119&lt;&gt;0,'Boletins Nuppa Site'!I119,"NULL")</f>
        <v>42</v>
      </c>
      <c r="G119" s="14">
        <f>IF('Boletins Nuppa Site'!J119&lt;&gt;0,'Boletins Nuppa Site'!J119,"NULL")</f>
        <v>42</v>
      </c>
      <c r="H119" s="14">
        <f>IF('Boletins Nuppa Site'!K119&lt;&gt;0,'Boletins Nuppa Site'!K119,"NULL")</f>
        <v>42</v>
      </c>
      <c r="I119" t="str">
        <f t="shared" si="2"/>
        <v>INSERT INTO COTACAO (cot_id, cot_blt_id, cot_pap_id, cot_prc_comum, cot_prc_min, cot_prc_max, cot_prc_med, cot_prc_mediana) VALUES (118, 40, 1, 42, 42, 42, 42, 42);</v>
      </c>
      <c r="J119" t="str">
        <f t="shared" si="3"/>
        <v>UPDATE COTACAO SET cot_id = 118, cot_blt_id = 40, cot_pap_id = 1, cot_prc_comum = 42, cot_prc_min = 42, cot_prc_max = 42, cot_prc_med = 42, cot_prc_mediana = 42 WHERE cot_id = 118;</v>
      </c>
    </row>
    <row r="120" spans="1:10" x14ac:dyDescent="0.3">
      <c r="A120">
        <v>119</v>
      </c>
      <c r="B120">
        <f>IF('Boletins Nuppa Site'!A120&lt;&gt;0,'Boletins Nuppa Site'!A120,"NULL")</f>
        <v>40</v>
      </c>
      <c r="C120">
        <v>2</v>
      </c>
      <c r="D120" s="14">
        <f>IF('Boletins Nuppa Site'!G120&lt;&gt;0,'Boletins Nuppa Site'!G120,"NULL")</f>
        <v>60</v>
      </c>
      <c r="E120" s="14">
        <f>IF('Boletins Nuppa Site'!H120&lt;&gt;0,'Boletins Nuppa Site'!H120,"NULL")</f>
        <v>60</v>
      </c>
      <c r="F120" s="14">
        <f>IF('Boletins Nuppa Site'!I120&lt;&gt;0,'Boletins Nuppa Site'!I120,"NULL")</f>
        <v>60</v>
      </c>
      <c r="G120" s="14">
        <f>IF('Boletins Nuppa Site'!J120&lt;&gt;0,'Boletins Nuppa Site'!J120,"NULL")</f>
        <v>60</v>
      </c>
      <c r="H120" s="14">
        <f>IF('Boletins Nuppa Site'!K120&lt;&gt;0,'Boletins Nuppa Site'!K120,"NULL")</f>
        <v>60</v>
      </c>
      <c r="I120" t="str">
        <f t="shared" si="2"/>
        <v>INSERT INTO COTACAO (cot_id, cot_blt_id, cot_pap_id, cot_prc_comum, cot_prc_min, cot_prc_max, cot_prc_med, cot_prc_mediana) VALUES (119, 40, 2, 60, 60, 60, 60, 60);</v>
      </c>
      <c r="J120" t="str">
        <f t="shared" si="3"/>
        <v>UPDATE COTACAO SET cot_id = 119, cot_blt_id = 40, cot_pap_id = 2, cot_prc_comum = 60, cot_prc_min = 60, cot_prc_max = 60, cot_prc_med = 60, cot_prc_mediana = 60 WHERE cot_id = 119;</v>
      </c>
    </row>
    <row r="121" spans="1:10" x14ac:dyDescent="0.3">
      <c r="A121">
        <v>120</v>
      </c>
      <c r="B121">
        <f>IF('Boletins Nuppa Site'!A121&lt;&gt;0,'Boletins Nuppa Site'!A121,"NULL")</f>
        <v>40</v>
      </c>
      <c r="C121">
        <v>3</v>
      </c>
      <c r="D121" t="str">
        <f>IF('Boletins Nuppa Site'!G121&lt;&gt;0,'Boletins Nuppa Site'!G121,"NULL")</f>
        <v>NULL</v>
      </c>
      <c r="E121" s="14">
        <f>IF('Boletins Nuppa Site'!H121&lt;&gt;0,'Boletins Nuppa Site'!H121,"NULL")</f>
        <v>36</v>
      </c>
      <c r="F121" s="14">
        <f>IF('Boletins Nuppa Site'!I121&lt;&gt;0,'Boletins Nuppa Site'!I121,"NULL")</f>
        <v>42</v>
      </c>
      <c r="G121" s="14">
        <f>IF('Boletins Nuppa Site'!J121&lt;&gt;0,'Boletins Nuppa Site'!J121,"NULL")</f>
        <v>39</v>
      </c>
      <c r="H121" s="14">
        <f>IF('Boletins Nuppa Site'!K121&lt;&gt;0,'Boletins Nuppa Site'!K121,"NULL")</f>
        <v>39</v>
      </c>
      <c r="I121" t="str">
        <f t="shared" si="2"/>
        <v>INSERT INTO COTACAO (cot_id, cot_blt_id, cot_pap_id, cot_prc_comum, cot_prc_min, cot_prc_max, cot_prc_med, cot_prc_mediana) VALUES (120, 40, 3, NULL, 36, 42, 39, 39);</v>
      </c>
      <c r="J121" t="str">
        <f t="shared" si="3"/>
        <v>UPDATE COTACAO SET cot_id = 120, cot_blt_id = 40, cot_pap_id = 3, cot_prc_comum = NULL, cot_prc_min = 36, cot_prc_max = 42, cot_prc_med = 39, cot_prc_mediana = 39 WHERE cot_id = 120;</v>
      </c>
    </row>
    <row r="122" spans="1:10" x14ac:dyDescent="0.3">
      <c r="A122">
        <v>121</v>
      </c>
      <c r="B122">
        <f>IF('Boletins Nuppa Site'!A122&lt;&gt;0,'Boletins Nuppa Site'!A122,"NULL")</f>
        <v>40</v>
      </c>
      <c r="C122">
        <v>4</v>
      </c>
      <c r="D122" s="14">
        <f>IF('Boletins Nuppa Site'!G122&lt;&gt;0,'Boletins Nuppa Site'!G122,"NULL")</f>
        <v>24</v>
      </c>
      <c r="E122" s="14">
        <f>IF('Boletins Nuppa Site'!H122&lt;&gt;0,'Boletins Nuppa Site'!H122,"NULL")</f>
        <v>18</v>
      </c>
      <c r="F122" s="14">
        <f>IF('Boletins Nuppa Site'!I122&lt;&gt;0,'Boletins Nuppa Site'!I122,"NULL")</f>
        <v>24</v>
      </c>
      <c r="G122" s="14">
        <f>IF('Boletins Nuppa Site'!J122&lt;&gt;0,'Boletins Nuppa Site'!J122,"NULL")</f>
        <v>22</v>
      </c>
      <c r="H122" s="14">
        <f>IF('Boletins Nuppa Site'!K122&lt;&gt;0,'Boletins Nuppa Site'!K122,"NULL")</f>
        <v>24</v>
      </c>
      <c r="I122" t="str">
        <f t="shared" si="2"/>
        <v>INSERT INTO COTACAO (cot_id, cot_blt_id, cot_pap_id, cot_prc_comum, cot_prc_min, cot_prc_max, cot_prc_med, cot_prc_mediana) VALUES (121, 40, 4, 24, 18, 24, 22, 24);</v>
      </c>
      <c r="J122" t="str">
        <f t="shared" si="3"/>
        <v>UPDATE COTACAO SET cot_id = 121, cot_blt_id = 40, cot_pap_id = 4, cot_prc_comum = 24, cot_prc_min = 18, cot_prc_max = 24, cot_prc_med = 22, cot_prc_mediana = 24 WHERE cot_id = 121;</v>
      </c>
    </row>
    <row r="123" spans="1:10" x14ac:dyDescent="0.3">
      <c r="A123">
        <v>122</v>
      </c>
      <c r="B123">
        <f>IF('Boletins Nuppa Site'!A123&lt;&gt;0,'Boletins Nuppa Site'!A123,"NULL")</f>
        <v>40</v>
      </c>
      <c r="C123">
        <v>5</v>
      </c>
      <c r="D123" s="14">
        <f>IF('Boletins Nuppa Site'!G123&lt;&gt;0,'Boletins Nuppa Site'!G123,"NULL")</f>
        <v>24</v>
      </c>
      <c r="E123" s="14">
        <f>IF('Boletins Nuppa Site'!H123&lt;&gt;0,'Boletins Nuppa Site'!H123,"NULL")</f>
        <v>18</v>
      </c>
      <c r="F123" s="14">
        <f>IF('Boletins Nuppa Site'!I123&lt;&gt;0,'Boletins Nuppa Site'!I123,"NULL")</f>
        <v>24</v>
      </c>
      <c r="G123" s="14">
        <f>IF('Boletins Nuppa Site'!J123&lt;&gt;0,'Boletins Nuppa Site'!J123,"NULL")</f>
        <v>22</v>
      </c>
      <c r="H123" s="14">
        <f>IF('Boletins Nuppa Site'!K123&lt;&gt;0,'Boletins Nuppa Site'!K123,"NULL")</f>
        <v>24</v>
      </c>
      <c r="I123" t="str">
        <f t="shared" si="2"/>
        <v>INSERT INTO COTACAO (cot_id, cot_blt_id, cot_pap_id, cot_prc_comum, cot_prc_min, cot_prc_max, cot_prc_med, cot_prc_mediana) VALUES (122, 40, 5, 24, 18, 24, 22, 24);</v>
      </c>
      <c r="J123" t="str">
        <f t="shared" si="3"/>
        <v>UPDATE COTACAO SET cot_id = 122, cot_blt_id = 40, cot_pap_id = 5, cot_prc_comum = 24, cot_prc_min = 18, cot_prc_max = 24, cot_prc_med = 22, cot_prc_mediana = 24 WHERE cot_id = 122;</v>
      </c>
    </row>
    <row r="124" spans="1:10" x14ac:dyDescent="0.3">
      <c r="A124">
        <v>123</v>
      </c>
      <c r="B124">
        <f>IF('Boletins Nuppa Site'!A124&lt;&gt;0,'Boletins Nuppa Site'!A124,"NULL")</f>
        <v>40</v>
      </c>
      <c r="C124">
        <v>6</v>
      </c>
      <c r="D124" t="str">
        <f>IF('Boletins Nuppa Site'!G124&lt;&gt;0,'Boletins Nuppa Site'!G124,"NULL")</f>
        <v>NULL</v>
      </c>
      <c r="E124" s="14">
        <f>IF('Boletins Nuppa Site'!H124&lt;&gt;0,'Boletins Nuppa Site'!H124,"NULL")</f>
        <v>42</v>
      </c>
      <c r="F124" s="14">
        <f>IF('Boletins Nuppa Site'!I124&lt;&gt;0,'Boletins Nuppa Site'!I124,"NULL")</f>
        <v>48</v>
      </c>
      <c r="G124" s="14">
        <f>IF('Boletins Nuppa Site'!J124&lt;&gt;0,'Boletins Nuppa Site'!J124,"NULL")</f>
        <v>45</v>
      </c>
      <c r="H124" s="14">
        <f>IF('Boletins Nuppa Site'!K124&lt;&gt;0,'Boletins Nuppa Site'!K124,"NULL")</f>
        <v>45</v>
      </c>
      <c r="I124" t="str">
        <f t="shared" si="2"/>
        <v>INSERT INTO COTACAO (cot_id, cot_blt_id, cot_pap_id, cot_prc_comum, cot_prc_min, cot_prc_max, cot_prc_med, cot_prc_mediana) VALUES (123, 40, 6, NULL, 42, 48, 45, 45);</v>
      </c>
      <c r="J124" t="str">
        <f t="shared" si="3"/>
        <v>UPDATE COTACAO SET cot_id = 123, cot_blt_id = 40, cot_pap_id = 6, cot_prc_comum = NULL, cot_prc_min = 42, cot_prc_max = 48, cot_prc_med = 45, cot_prc_mediana = 45 WHERE cot_id = 123;</v>
      </c>
    </row>
    <row r="125" spans="1:10" x14ac:dyDescent="0.3">
      <c r="A125">
        <v>124</v>
      </c>
      <c r="B125">
        <f>IF('Boletins Nuppa Site'!A125&lt;&gt;0,'Boletins Nuppa Site'!A125,"NULL")</f>
        <v>40</v>
      </c>
      <c r="C125">
        <v>7</v>
      </c>
      <c r="D125" t="str">
        <f>IF('Boletins Nuppa Site'!G125&lt;&gt;0,'Boletins Nuppa Site'!G125,"NULL")</f>
        <v>NULL</v>
      </c>
      <c r="E125" s="14">
        <f>IF('Boletins Nuppa Site'!H125&lt;&gt;0,'Boletins Nuppa Site'!H125,"NULL")</f>
        <v>66</v>
      </c>
      <c r="F125" s="14">
        <f>IF('Boletins Nuppa Site'!I125&lt;&gt;0,'Boletins Nuppa Site'!I125,"NULL")</f>
        <v>78</v>
      </c>
      <c r="G125" s="14">
        <f>IF('Boletins Nuppa Site'!J125&lt;&gt;0,'Boletins Nuppa Site'!J125,"NULL")</f>
        <v>72</v>
      </c>
      <c r="H125" s="14">
        <f>IF('Boletins Nuppa Site'!K125&lt;&gt;0,'Boletins Nuppa Site'!K125,"NULL")</f>
        <v>72</v>
      </c>
      <c r="I125" t="str">
        <f t="shared" si="2"/>
        <v>INSERT INTO COTACAO (cot_id, cot_blt_id, cot_pap_id, cot_prc_comum, cot_prc_min, cot_prc_max, cot_prc_med, cot_prc_mediana) VALUES (124, 40, 7, NULL, 66, 78, 72, 72);</v>
      </c>
      <c r="J125" t="str">
        <f t="shared" si="3"/>
        <v>UPDATE COTACAO SET cot_id = 124, cot_blt_id = 40, cot_pap_id = 7, cot_prc_comum = NULL, cot_prc_min = 66, cot_prc_max = 78, cot_prc_med = 72, cot_prc_mediana = 72 WHERE cot_id = 124;</v>
      </c>
    </row>
    <row r="126" spans="1:10" x14ac:dyDescent="0.3">
      <c r="A126">
        <v>125</v>
      </c>
      <c r="B126">
        <f>IF('Boletins Nuppa Site'!A126&lt;&gt;0,'Boletins Nuppa Site'!A126,"NULL")</f>
        <v>40</v>
      </c>
      <c r="C126">
        <v>8</v>
      </c>
      <c r="D126" t="str">
        <f>IF('Boletins Nuppa Site'!G126&lt;&gt;0,'Boletins Nuppa Site'!G126,"NULL")</f>
        <v>NULL</v>
      </c>
      <c r="E126" s="14">
        <f>IF('Boletins Nuppa Site'!H126&lt;&gt;0,'Boletins Nuppa Site'!H126,"NULL")</f>
        <v>60</v>
      </c>
      <c r="F126" s="14">
        <f>IF('Boletins Nuppa Site'!I126&lt;&gt;0,'Boletins Nuppa Site'!I126,"NULL")</f>
        <v>72</v>
      </c>
      <c r="G126" s="14">
        <f>IF('Boletins Nuppa Site'!J126&lt;&gt;0,'Boletins Nuppa Site'!J126,"NULL")</f>
        <v>66</v>
      </c>
      <c r="H126" s="14">
        <f>IF('Boletins Nuppa Site'!K126&lt;&gt;0,'Boletins Nuppa Site'!K126,"NULL")</f>
        <v>66</v>
      </c>
      <c r="I126" t="str">
        <f t="shared" si="2"/>
        <v>INSERT INTO COTACAO (cot_id, cot_blt_id, cot_pap_id, cot_prc_comum, cot_prc_min, cot_prc_max, cot_prc_med, cot_prc_mediana) VALUES (125, 40, 8, NULL, 60, 72, 66, 66);</v>
      </c>
      <c r="J126" t="str">
        <f t="shared" si="3"/>
        <v>UPDATE COTACAO SET cot_id = 125, cot_blt_id = 40, cot_pap_id = 8, cot_prc_comum = NULL, cot_prc_min = 60, cot_prc_max = 72, cot_prc_med = 66, cot_prc_mediana = 66 WHERE cot_id = 125;</v>
      </c>
    </row>
    <row r="127" spans="1:10" x14ac:dyDescent="0.3">
      <c r="A127">
        <v>126</v>
      </c>
      <c r="B127">
        <f>IF('Boletins Nuppa Site'!A127&lt;&gt;0,'Boletins Nuppa Site'!A127,"NULL")</f>
        <v>40</v>
      </c>
      <c r="C127">
        <v>9</v>
      </c>
      <c r="D127" t="str">
        <f>IF('Boletins Nuppa Site'!G127&lt;&gt;0,'Boletins Nuppa Site'!G127,"NULL")</f>
        <v>NULL</v>
      </c>
      <c r="E127" s="14">
        <f>IF('Boletins Nuppa Site'!H127&lt;&gt;0,'Boletins Nuppa Site'!H127,"NULL")</f>
        <v>15</v>
      </c>
      <c r="F127" s="14">
        <f>IF('Boletins Nuppa Site'!I127&lt;&gt;0,'Boletins Nuppa Site'!I127,"NULL")</f>
        <v>24</v>
      </c>
      <c r="G127" s="14">
        <f>IF('Boletins Nuppa Site'!J127&lt;&gt;0,'Boletins Nuppa Site'!J127,"NULL")</f>
        <v>19</v>
      </c>
      <c r="H127" s="14">
        <f>IF('Boletins Nuppa Site'!K127&lt;&gt;0,'Boletins Nuppa Site'!K127,"NULL")</f>
        <v>18</v>
      </c>
      <c r="I127" t="str">
        <f t="shared" si="2"/>
        <v>INSERT INTO COTACAO (cot_id, cot_blt_id, cot_pap_id, cot_prc_comum, cot_prc_min, cot_prc_max, cot_prc_med, cot_prc_mediana) VALUES (126, 40, 9, NULL, 15, 24, 19, 18);</v>
      </c>
      <c r="J127" t="str">
        <f t="shared" si="3"/>
        <v>UPDATE COTACAO SET cot_id = 126, cot_blt_id = 40, cot_pap_id = 9, cot_prc_comum = NULL, cot_prc_min = 15, cot_prc_max = 24, cot_prc_med = 19, cot_prc_mediana = 18 WHERE cot_id = 126;</v>
      </c>
    </row>
    <row r="128" spans="1:10" x14ac:dyDescent="0.3">
      <c r="A128">
        <v>127</v>
      </c>
      <c r="B128">
        <f>IF('Boletins Nuppa Site'!A128&lt;&gt;0,'Boletins Nuppa Site'!A128,"NULL")</f>
        <v>40</v>
      </c>
      <c r="C128">
        <v>10</v>
      </c>
      <c r="D128" t="str">
        <f>IF('Boletins Nuppa Site'!G128&lt;&gt;0,'Boletins Nuppa Site'!G128,"NULL")</f>
        <v>NULL</v>
      </c>
      <c r="E128" s="14">
        <f>IF('Boletins Nuppa Site'!H128&lt;&gt;0,'Boletins Nuppa Site'!H128,"NULL")</f>
        <v>60</v>
      </c>
      <c r="F128" s="14">
        <f>IF('Boletins Nuppa Site'!I128&lt;&gt;0,'Boletins Nuppa Site'!I128,"NULL")</f>
        <v>84</v>
      </c>
      <c r="G128" s="14">
        <f>IF('Boletins Nuppa Site'!J128&lt;&gt;0,'Boletins Nuppa Site'!J128,"NULL")</f>
        <v>72</v>
      </c>
      <c r="H128" s="14">
        <f>IF('Boletins Nuppa Site'!K128&lt;&gt;0,'Boletins Nuppa Site'!K128,"NULL")</f>
        <v>72</v>
      </c>
      <c r="I128" t="str">
        <f t="shared" si="2"/>
        <v>INSERT INTO COTACAO (cot_id, cot_blt_id, cot_pap_id, cot_prc_comum, cot_prc_min, cot_prc_max, cot_prc_med, cot_prc_mediana) VALUES (127, 40, 10, NULL, 60, 84, 72, 72);</v>
      </c>
      <c r="J128" t="str">
        <f t="shared" si="3"/>
        <v>UPDATE COTACAO SET cot_id = 127, cot_blt_id = 40, cot_pap_id = 10, cot_prc_comum = NULL, cot_prc_min = 60, cot_prc_max = 84, cot_prc_med = 72, cot_prc_mediana = 72 WHERE cot_id = 127;</v>
      </c>
    </row>
    <row r="129" spans="1:10" x14ac:dyDescent="0.3">
      <c r="A129">
        <v>128</v>
      </c>
      <c r="B129">
        <f>IF('Boletins Nuppa Site'!A129&lt;&gt;0,'Boletins Nuppa Site'!A129,"NULL")</f>
        <v>40</v>
      </c>
      <c r="C129">
        <v>11</v>
      </c>
      <c r="D129" s="14">
        <f>IF('Boletins Nuppa Site'!G129&lt;&gt;0,'Boletins Nuppa Site'!G129,"NULL")</f>
        <v>24</v>
      </c>
      <c r="E129" s="14">
        <f>IF('Boletins Nuppa Site'!H129&lt;&gt;0,'Boletins Nuppa Site'!H129,"NULL")</f>
        <v>18</v>
      </c>
      <c r="F129" s="14">
        <f>IF('Boletins Nuppa Site'!I129&lt;&gt;0,'Boletins Nuppa Site'!I129,"NULL")</f>
        <v>24</v>
      </c>
      <c r="G129" s="14">
        <f>IF('Boletins Nuppa Site'!J129&lt;&gt;0,'Boletins Nuppa Site'!J129,"NULL")</f>
        <v>22</v>
      </c>
      <c r="H129" s="14">
        <f>IF('Boletins Nuppa Site'!K129&lt;&gt;0,'Boletins Nuppa Site'!K129,"NULL")</f>
        <v>24</v>
      </c>
      <c r="I129" t="str">
        <f t="shared" si="2"/>
        <v>INSERT INTO COTACAO (cot_id, cot_blt_id, cot_pap_id, cot_prc_comum, cot_prc_min, cot_prc_max, cot_prc_med, cot_prc_mediana) VALUES (128, 40, 11, 24, 18, 24, 22, 24);</v>
      </c>
      <c r="J129" t="str">
        <f t="shared" si="3"/>
        <v>UPDATE COTACAO SET cot_id = 128, cot_blt_id = 40, cot_pap_id = 11, cot_prc_comum = 24, cot_prc_min = 18, cot_prc_max = 24, cot_prc_med = 22, cot_prc_mediana = 24 WHERE cot_id = 128;</v>
      </c>
    </row>
    <row r="130" spans="1:10" x14ac:dyDescent="0.3">
      <c r="A130">
        <v>129</v>
      </c>
      <c r="B130">
        <f>IF('Boletins Nuppa Site'!A130&lt;&gt;0,'Boletins Nuppa Site'!A130,"NULL")</f>
        <v>40</v>
      </c>
      <c r="C130">
        <v>12</v>
      </c>
      <c r="D130" s="14">
        <f>IF('Boletins Nuppa Site'!G130&lt;&gt;0,'Boletins Nuppa Site'!G130,"NULL")</f>
        <v>60</v>
      </c>
      <c r="E130" s="14">
        <f>IF('Boletins Nuppa Site'!H130&lt;&gt;0,'Boletins Nuppa Site'!H130,"NULL")</f>
        <v>60</v>
      </c>
      <c r="F130" s="14">
        <f>IF('Boletins Nuppa Site'!I130&lt;&gt;0,'Boletins Nuppa Site'!I130,"NULL")</f>
        <v>60</v>
      </c>
      <c r="G130" s="14">
        <f>IF('Boletins Nuppa Site'!J130&lt;&gt;0,'Boletins Nuppa Site'!J130,"NULL")</f>
        <v>60</v>
      </c>
      <c r="H130" s="14">
        <f>IF('Boletins Nuppa Site'!K130&lt;&gt;0,'Boletins Nuppa Site'!K130,"NULL")</f>
        <v>60</v>
      </c>
      <c r="I130" t="str">
        <f t="shared" si="2"/>
        <v>INSERT INTO COTACAO (cot_id, cot_blt_id, cot_pap_id, cot_prc_comum, cot_prc_min, cot_prc_max, cot_prc_med, cot_prc_mediana) VALUES (129, 40, 12, 60, 60, 60, 60, 60);</v>
      </c>
      <c r="J130" t="str">
        <f t="shared" si="3"/>
        <v>UPDATE COTACAO SET cot_id = 129, cot_blt_id = 40, cot_pap_id = 12, cot_prc_comum = 60, cot_prc_min = 60, cot_prc_max = 60, cot_prc_med = 60, cot_prc_mediana = 60 WHERE cot_id = 129;</v>
      </c>
    </row>
    <row r="131" spans="1:10" x14ac:dyDescent="0.3">
      <c r="A131">
        <v>130</v>
      </c>
      <c r="B131">
        <f>IF('Boletins Nuppa Site'!A131&lt;&gt;0,'Boletins Nuppa Site'!A131,"NULL")</f>
        <v>40</v>
      </c>
      <c r="C131">
        <v>13</v>
      </c>
      <c r="D131" t="str">
        <f>IF('Boletins Nuppa Site'!G131&lt;&gt;0,'Boletins Nuppa Site'!G131,"NULL")</f>
        <v>NULL</v>
      </c>
      <c r="E131" s="14">
        <f>IF('Boletins Nuppa Site'!H131&lt;&gt;0,'Boletins Nuppa Site'!H131,"NULL")</f>
        <v>54</v>
      </c>
      <c r="F131" s="14">
        <f>IF('Boletins Nuppa Site'!I131&lt;&gt;0,'Boletins Nuppa Site'!I131,"NULL")</f>
        <v>60</v>
      </c>
      <c r="G131" s="14">
        <f>IF('Boletins Nuppa Site'!J131&lt;&gt;0,'Boletins Nuppa Site'!J131,"NULL")</f>
        <v>57</v>
      </c>
      <c r="H131" s="14">
        <f>IF('Boletins Nuppa Site'!K131&lt;&gt;0,'Boletins Nuppa Site'!K131,"NULL")</f>
        <v>57</v>
      </c>
      <c r="I131" t="str">
        <f t="shared" ref="I131:I194" si="4">"INSERT INTO COTACAO (cot_id, cot_blt_id, cot_pap_id, cot_prc_comum, cot_prc_min, cot_prc_max, cot_prc_med, cot_prc_mediana) VALUES ("&amp;A131&amp;", "&amp;B131&amp;", "&amp;C131&amp;", "&amp;D131&amp;", "&amp;E131&amp;", "&amp;F131&amp;", "&amp;G131&amp;", "&amp;H131&amp;");"</f>
        <v>INSERT INTO COTACAO (cot_id, cot_blt_id, cot_pap_id, cot_prc_comum, cot_prc_min, cot_prc_max, cot_prc_med, cot_prc_mediana) VALUES (130, 40, 13, NULL, 54, 60, 57, 57);</v>
      </c>
      <c r="J131" t="str">
        <f t="shared" ref="J131:J194" si="5">"UPDATE COTACAO SET cot_id = "&amp;A131&amp;", cot_blt_id = "&amp;B131&amp;", cot_pap_id = "&amp;C131&amp;", cot_prc_comum = "&amp;D131&amp;", cot_prc_min = "&amp;E131&amp;", cot_prc_max = "&amp;F131&amp;", cot_prc_med = "&amp;G131&amp;", cot_prc_mediana = "&amp;H131&amp;" WHERE cot_id = "&amp;A131&amp;";"</f>
        <v>UPDATE COTACAO SET cot_id = 130, cot_blt_id = 40, cot_pap_id = 13, cot_prc_comum = NULL, cot_prc_min = 54, cot_prc_max = 60, cot_prc_med = 57, cot_prc_mediana = 57 WHERE cot_id = 130;</v>
      </c>
    </row>
    <row r="132" spans="1:10" x14ac:dyDescent="0.3">
      <c r="A132">
        <v>131</v>
      </c>
      <c r="B132">
        <f>IF('Boletins Nuppa Site'!A132&lt;&gt;0,'Boletins Nuppa Site'!A132,"NULL")</f>
        <v>40</v>
      </c>
      <c r="C132">
        <v>14</v>
      </c>
      <c r="D132" t="str">
        <f>IF('Boletins Nuppa Site'!G132&lt;&gt;0,'Boletins Nuppa Site'!G132,"NULL")</f>
        <v>NULL</v>
      </c>
      <c r="E132" s="14">
        <f>IF('Boletins Nuppa Site'!H132&lt;&gt;0,'Boletins Nuppa Site'!H132,"NULL")</f>
        <v>40</v>
      </c>
      <c r="F132" s="14">
        <f>IF('Boletins Nuppa Site'!I132&lt;&gt;0,'Boletins Nuppa Site'!I132,"NULL")</f>
        <v>54</v>
      </c>
      <c r="G132" s="14">
        <f>IF('Boletins Nuppa Site'!J132&lt;&gt;0,'Boletins Nuppa Site'!J132,"NULL")</f>
        <v>47</v>
      </c>
      <c r="H132" s="14">
        <f>IF('Boletins Nuppa Site'!K132&lt;&gt;0,'Boletins Nuppa Site'!K132,"NULL")</f>
        <v>47</v>
      </c>
      <c r="I132" t="str">
        <f t="shared" si="4"/>
        <v>INSERT INTO COTACAO (cot_id, cot_blt_id, cot_pap_id, cot_prc_comum, cot_prc_min, cot_prc_max, cot_prc_med, cot_prc_mediana) VALUES (131, 40, 14, NULL, 40, 54, 47, 47);</v>
      </c>
      <c r="J132" t="str">
        <f t="shared" si="5"/>
        <v>UPDATE COTACAO SET cot_id = 131, cot_blt_id = 40, cot_pap_id = 14, cot_prc_comum = NULL, cot_prc_min = 40, cot_prc_max = 54, cot_prc_med = 47, cot_prc_mediana = 47 WHERE cot_id = 131;</v>
      </c>
    </row>
    <row r="133" spans="1:10" x14ac:dyDescent="0.3">
      <c r="A133">
        <v>132</v>
      </c>
      <c r="B133">
        <f>IF('Boletins Nuppa Site'!A133&lt;&gt;0,'Boletins Nuppa Site'!A133,"NULL")</f>
        <v>40</v>
      </c>
      <c r="C133">
        <v>15</v>
      </c>
      <c r="D133" t="str">
        <f>IF('Boletins Nuppa Site'!G133&lt;&gt;0,'Boletins Nuppa Site'!G133,"NULL")</f>
        <v>NULL</v>
      </c>
      <c r="E133" s="14">
        <f>IF('Boletins Nuppa Site'!H133&lt;&gt;0,'Boletins Nuppa Site'!H133,"NULL")</f>
        <v>25</v>
      </c>
      <c r="F133" s="14">
        <f>IF('Boletins Nuppa Site'!I133&lt;&gt;0,'Boletins Nuppa Site'!I133,"NULL")</f>
        <v>36</v>
      </c>
      <c r="G133" t="str">
        <f>IF('Boletins Nuppa Site'!J133&lt;&gt;0,'Boletins Nuppa Site'!J133,"NULL")</f>
        <v>30.33</v>
      </c>
      <c r="H133" s="14">
        <f>IF('Boletins Nuppa Site'!K133&lt;&gt;0,'Boletins Nuppa Site'!K133,"NULL")</f>
        <v>30</v>
      </c>
      <c r="I133" t="str">
        <f t="shared" si="4"/>
        <v>INSERT INTO COTACAO (cot_id, cot_blt_id, cot_pap_id, cot_prc_comum, cot_prc_min, cot_prc_max, cot_prc_med, cot_prc_mediana) VALUES (132, 40, 15, NULL, 25, 36, 30.33, 30);</v>
      </c>
      <c r="J133" t="str">
        <f t="shared" si="5"/>
        <v>UPDATE COTACAO SET cot_id = 132, cot_blt_id = 40, cot_pap_id = 15, cot_prc_comum = NULL, cot_prc_min = 25, cot_prc_max = 36, cot_prc_med = 30.33, cot_prc_mediana = 30 WHERE cot_id = 132;</v>
      </c>
    </row>
    <row r="134" spans="1:10" x14ac:dyDescent="0.3">
      <c r="A134">
        <v>133</v>
      </c>
      <c r="B134">
        <f>IF('Boletins Nuppa Site'!A134&lt;&gt;0,'Boletins Nuppa Site'!A134,"NULL")</f>
        <v>40</v>
      </c>
      <c r="C134">
        <v>16</v>
      </c>
      <c r="D134" s="14">
        <f>IF('Boletins Nuppa Site'!G134&lt;&gt;0,'Boletins Nuppa Site'!G134,"NULL")</f>
        <v>42</v>
      </c>
      <c r="E134" s="14">
        <f>IF('Boletins Nuppa Site'!H134&lt;&gt;0,'Boletins Nuppa Site'!H134,"NULL")</f>
        <v>42</v>
      </c>
      <c r="F134" s="14">
        <f>IF('Boletins Nuppa Site'!I134&lt;&gt;0,'Boletins Nuppa Site'!I134,"NULL")</f>
        <v>42</v>
      </c>
      <c r="G134" s="14">
        <f>IF('Boletins Nuppa Site'!J134&lt;&gt;0,'Boletins Nuppa Site'!J134,"NULL")</f>
        <v>42</v>
      </c>
      <c r="H134" s="14">
        <f>IF('Boletins Nuppa Site'!K134&lt;&gt;0,'Boletins Nuppa Site'!K134,"NULL")</f>
        <v>42</v>
      </c>
      <c r="I134" t="str">
        <f t="shared" si="4"/>
        <v>INSERT INTO COTACAO (cot_id, cot_blt_id, cot_pap_id, cot_prc_comum, cot_prc_min, cot_prc_max, cot_prc_med, cot_prc_mediana) VALUES (133, 40, 16, 42, 42, 42, 42, 42);</v>
      </c>
      <c r="J134" t="str">
        <f t="shared" si="5"/>
        <v>UPDATE COTACAO SET cot_id = 133, cot_blt_id = 40, cot_pap_id = 16, cot_prc_comum = 42, cot_prc_min = 42, cot_prc_max = 42, cot_prc_med = 42, cot_prc_mediana = 42 WHERE cot_id = 133;</v>
      </c>
    </row>
    <row r="135" spans="1:10" x14ac:dyDescent="0.3">
      <c r="A135">
        <v>134</v>
      </c>
      <c r="B135">
        <f>IF('Boletins Nuppa Site'!A135&lt;&gt;0,'Boletins Nuppa Site'!A135,"NULL")</f>
        <v>40</v>
      </c>
      <c r="C135">
        <v>17</v>
      </c>
      <c r="D135" t="str">
        <f>IF('Boletins Nuppa Site'!G135&lt;&gt;0,'Boletins Nuppa Site'!G135,"NULL")</f>
        <v>NULL</v>
      </c>
      <c r="E135" s="14">
        <f>IF('Boletins Nuppa Site'!H135&lt;&gt;0,'Boletins Nuppa Site'!H135,"NULL")</f>
        <v>4</v>
      </c>
      <c r="F135" s="14">
        <f>IF('Boletins Nuppa Site'!I135&lt;&gt;0,'Boletins Nuppa Site'!I135,"NULL")</f>
        <v>5</v>
      </c>
      <c r="G135" t="str">
        <f>IF('Boletins Nuppa Site'!J135&lt;&gt;0,'Boletins Nuppa Site'!J135,"NULL")</f>
        <v>4.5</v>
      </c>
      <c r="H135" t="str">
        <f>IF('Boletins Nuppa Site'!K135&lt;&gt;0,'Boletins Nuppa Site'!K135,"NULL")</f>
        <v>4.5</v>
      </c>
      <c r="I135" t="str">
        <f t="shared" si="4"/>
        <v>INSERT INTO COTACAO (cot_id, cot_blt_id, cot_pap_id, cot_prc_comum, cot_prc_min, cot_prc_max, cot_prc_med, cot_prc_mediana) VALUES (134, 40, 17, NULL, 4, 5, 4.5, 4.5);</v>
      </c>
      <c r="J135" t="str">
        <f t="shared" si="5"/>
        <v>UPDATE COTACAO SET cot_id = 134, cot_blt_id = 40, cot_pap_id = 17, cot_prc_comum = NULL, cot_prc_min = 4, cot_prc_max = 5, cot_prc_med = 4.5, cot_prc_mediana = 4.5 WHERE cot_id = 134;</v>
      </c>
    </row>
    <row r="136" spans="1:10" x14ac:dyDescent="0.3">
      <c r="A136">
        <v>135</v>
      </c>
      <c r="B136">
        <f>IF('Boletins Nuppa Site'!A136&lt;&gt;0,'Boletins Nuppa Site'!A136,"NULL")</f>
        <v>40</v>
      </c>
      <c r="C136">
        <v>18</v>
      </c>
      <c r="D136" t="str">
        <f>IF('Boletins Nuppa Site'!G136&lt;&gt;0,'Boletins Nuppa Site'!G136,"NULL")</f>
        <v>NULL</v>
      </c>
      <c r="E136" s="14">
        <f>IF('Boletins Nuppa Site'!H136&lt;&gt;0,'Boletins Nuppa Site'!H136,"NULL")</f>
        <v>18</v>
      </c>
      <c r="F136" s="14">
        <f>IF('Boletins Nuppa Site'!I136&lt;&gt;0,'Boletins Nuppa Site'!I136,"NULL")</f>
        <v>20</v>
      </c>
      <c r="G136" s="14">
        <f>IF('Boletins Nuppa Site'!J136&lt;&gt;0,'Boletins Nuppa Site'!J136,"NULL")</f>
        <v>19</v>
      </c>
      <c r="H136" s="14">
        <f>IF('Boletins Nuppa Site'!K136&lt;&gt;0,'Boletins Nuppa Site'!K136,"NULL")</f>
        <v>19</v>
      </c>
      <c r="I136" t="str">
        <f t="shared" si="4"/>
        <v>INSERT INTO COTACAO (cot_id, cot_blt_id, cot_pap_id, cot_prc_comum, cot_prc_min, cot_prc_max, cot_prc_med, cot_prc_mediana) VALUES (135, 40, 18, NULL, 18, 20, 19, 19);</v>
      </c>
      <c r="J136" t="str">
        <f t="shared" si="5"/>
        <v>UPDATE COTACAO SET cot_id = 135, cot_blt_id = 40, cot_pap_id = 18, cot_prc_comum = NULL, cot_prc_min = 18, cot_prc_max = 20, cot_prc_med = 19, cot_prc_mediana = 19 WHERE cot_id = 135;</v>
      </c>
    </row>
    <row r="137" spans="1:10" x14ac:dyDescent="0.3">
      <c r="A137">
        <v>136</v>
      </c>
      <c r="B137">
        <f>IF('Boletins Nuppa Site'!A137&lt;&gt;0,'Boletins Nuppa Site'!A137,"NULL")</f>
        <v>40</v>
      </c>
      <c r="C137">
        <v>19</v>
      </c>
      <c r="D137" s="14">
        <f>IF('Boletins Nuppa Site'!G137&lt;&gt;0,'Boletins Nuppa Site'!G137,"NULL")</f>
        <v>25</v>
      </c>
      <c r="E137" s="14">
        <f>IF('Boletins Nuppa Site'!H137&lt;&gt;0,'Boletins Nuppa Site'!H137,"NULL")</f>
        <v>25</v>
      </c>
      <c r="F137" s="14">
        <f>IF('Boletins Nuppa Site'!I137&lt;&gt;0,'Boletins Nuppa Site'!I137,"NULL")</f>
        <v>25</v>
      </c>
      <c r="G137" s="14">
        <f>IF('Boletins Nuppa Site'!J137&lt;&gt;0,'Boletins Nuppa Site'!J137,"NULL")</f>
        <v>25</v>
      </c>
      <c r="H137" s="14">
        <f>IF('Boletins Nuppa Site'!K137&lt;&gt;0,'Boletins Nuppa Site'!K137,"NULL")</f>
        <v>25</v>
      </c>
      <c r="I137" t="str">
        <f t="shared" si="4"/>
        <v>INSERT INTO COTACAO (cot_id, cot_blt_id, cot_pap_id, cot_prc_comum, cot_prc_min, cot_prc_max, cot_prc_med, cot_prc_mediana) VALUES (136, 40, 19, 25, 25, 25, 25, 25);</v>
      </c>
      <c r="J137" t="str">
        <f t="shared" si="5"/>
        <v>UPDATE COTACAO SET cot_id = 136, cot_blt_id = 40, cot_pap_id = 19, cot_prc_comum = 25, cot_prc_min = 25, cot_prc_max = 25, cot_prc_med = 25, cot_prc_mediana = 25 WHERE cot_id = 136;</v>
      </c>
    </row>
    <row r="138" spans="1:10" x14ac:dyDescent="0.3">
      <c r="A138">
        <v>137</v>
      </c>
      <c r="B138">
        <f>IF('Boletins Nuppa Site'!A138&lt;&gt;0,'Boletins Nuppa Site'!A138,"NULL")</f>
        <v>40</v>
      </c>
      <c r="C138">
        <v>21</v>
      </c>
      <c r="D138" s="14">
        <f>IF('Boletins Nuppa Site'!G138&lt;&gt;0,'Boletins Nuppa Site'!G138,"NULL")</f>
        <v>50</v>
      </c>
      <c r="E138" s="14">
        <f>IF('Boletins Nuppa Site'!H138&lt;&gt;0,'Boletins Nuppa Site'!H138,"NULL")</f>
        <v>30</v>
      </c>
      <c r="F138" s="14">
        <f>IF('Boletins Nuppa Site'!I138&lt;&gt;0,'Boletins Nuppa Site'!I138,"NULL")</f>
        <v>50</v>
      </c>
      <c r="G138" t="str">
        <f>IF('Boletins Nuppa Site'!J138&lt;&gt;0,'Boletins Nuppa Site'!J138,"NULL")</f>
        <v>43.33</v>
      </c>
      <c r="H138" s="14">
        <f>IF('Boletins Nuppa Site'!K138&lt;&gt;0,'Boletins Nuppa Site'!K138,"NULL")</f>
        <v>45</v>
      </c>
      <c r="I138" t="str">
        <f t="shared" si="4"/>
        <v>INSERT INTO COTACAO (cot_id, cot_blt_id, cot_pap_id, cot_prc_comum, cot_prc_min, cot_prc_max, cot_prc_med, cot_prc_mediana) VALUES (137, 40, 21, 50, 30, 50, 43.33, 45);</v>
      </c>
      <c r="J138" t="str">
        <f t="shared" si="5"/>
        <v>UPDATE COTACAO SET cot_id = 137, cot_blt_id = 40, cot_pap_id = 21, cot_prc_comum = 50, cot_prc_min = 30, cot_prc_max = 50, cot_prc_med = 43.33, cot_prc_mediana = 45 WHERE cot_id = 137;</v>
      </c>
    </row>
    <row r="139" spans="1:10" x14ac:dyDescent="0.3">
      <c r="A139">
        <v>138</v>
      </c>
      <c r="B139">
        <f>IF('Boletins Nuppa Site'!A139&lt;&gt;0,'Boletins Nuppa Site'!A139,"NULL")</f>
        <v>40</v>
      </c>
      <c r="C139">
        <v>22</v>
      </c>
      <c r="D139" s="14">
        <f>IF('Boletins Nuppa Site'!G139&lt;&gt;0,'Boletins Nuppa Site'!G139,"NULL")</f>
        <v>45</v>
      </c>
      <c r="E139" s="14">
        <f>IF('Boletins Nuppa Site'!H139&lt;&gt;0,'Boletins Nuppa Site'!H139,"NULL")</f>
        <v>35</v>
      </c>
      <c r="F139" s="14">
        <f>IF('Boletins Nuppa Site'!I139&lt;&gt;0,'Boletins Nuppa Site'!I139,"NULL")</f>
        <v>60</v>
      </c>
      <c r="G139" t="str">
        <f>IF('Boletins Nuppa Site'!J139&lt;&gt;0,'Boletins Nuppa Site'!J139,"NULL")</f>
        <v>47.86</v>
      </c>
      <c r="H139" s="14">
        <f>IF('Boletins Nuppa Site'!K139&lt;&gt;0,'Boletins Nuppa Site'!K139,"NULL")</f>
        <v>45</v>
      </c>
      <c r="I139" t="str">
        <f t="shared" si="4"/>
        <v>INSERT INTO COTACAO (cot_id, cot_blt_id, cot_pap_id, cot_prc_comum, cot_prc_min, cot_prc_max, cot_prc_med, cot_prc_mediana) VALUES (138, 40, 22, 45, 35, 60, 47.86, 45);</v>
      </c>
      <c r="J139" t="str">
        <f t="shared" si="5"/>
        <v>UPDATE COTACAO SET cot_id = 138, cot_blt_id = 40, cot_pap_id = 22, cot_prc_comum = 45, cot_prc_min = 35, cot_prc_max = 60, cot_prc_med = 47.86, cot_prc_mediana = 45 WHERE cot_id = 138;</v>
      </c>
    </row>
    <row r="140" spans="1:10" x14ac:dyDescent="0.3">
      <c r="A140">
        <v>139</v>
      </c>
      <c r="B140">
        <f>IF('Boletins Nuppa Site'!A140&lt;&gt;0,'Boletins Nuppa Site'!A140,"NULL")</f>
        <v>40</v>
      </c>
      <c r="C140">
        <v>23</v>
      </c>
      <c r="D140" s="14">
        <f>IF('Boletins Nuppa Site'!G140&lt;&gt;0,'Boletins Nuppa Site'!G140,"NULL")</f>
        <v>35</v>
      </c>
      <c r="E140" s="14">
        <f>IF('Boletins Nuppa Site'!H140&lt;&gt;0,'Boletins Nuppa Site'!H140,"NULL")</f>
        <v>30</v>
      </c>
      <c r="F140" s="14">
        <f>IF('Boletins Nuppa Site'!I140&lt;&gt;0,'Boletins Nuppa Site'!I140,"NULL")</f>
        <v>45</v>
      </c>
      <c r="G140" t="str">
        <f>IF('Boletins Nuppa Site'!J140&lt;&gt;0,'Boletins Nuppa Site'!J140,"NULL")</f>
        <v>38.57</v>
      </c>
      <c r="H140" s="14">
        <f>IF('Boletins Nuppa Site'!K140&lt;&gt;0,'Boletins Nuppa Site'!K140,"NULL")</f>
        <v>40</v>
      </c>
      <c r="I140" t="str">
        <f t="shared" si="4"/>
        <v>INSERT INTO COTACAO (cot_id, cot_blt_id, cot_pap_id, cot_prc_comum, cot_prc_min, cot_prc_max, cot_prc_med, cot_prc_mediana) VALUES (139, 40, 23, 35, 30, 45, 38.57, 40);</v>
      </c>
      <c r="J140" t="str">
        <f t="shared" si="5"/>
        <v>UPDATE COTACAO SET cot_id = 139, cot_blt_id = 40, cot_pap_id = 23, cot_prc_comum = 35, cot_prc_min = 30, cot_prc_max = 45, cot_prc_med = 38.57, cot_prc_mediana = 40 WHERE cot_id = 139;</v>
      </c>
    </row>
    <row r="141" spans="1:10" x14ac:dyDescent="0.3">
      <c r="A141">
        <v>140</v>
      </c>
      <c r="B141">
        <f>IF('Boletins Nuppa Site'!A141&lt;&gt;0,'Boletins Nuppa Site'!A141,"NULL")</f>
        <v>40</v>
      </c>
      <c r="C141">
        <v>24</v>
      </c>
      <c r="D141" t="str">
        <f>IF('Boletins Nuppa Site'!G141&lt;&gt;0,'Boletins Nuppa Site'!G141,"NULL")</f>
        <v>NULL</v>
      </c>
      <c r="E141" s="14">
        <f>IF('Boletins Nuppa Site'!H141&lt;&gt;0,'Boletins Nuppa Site'!H141,"NULL")</f>
        <v>120</v>
      </c>
      <c r="F141" s="14">
        <f>IF('Boletins Nuppa Site'!I141&lt;&gt;0,'Boletins Nuppa Site'!I141,"NULL")</f>
        <v>120</v>
      </c>
      <c r="G141" s="14">
        <f>IF('Boletins Nuppa Site'!J141&lt;&gt;0,'Boletins Nuppa Site'!J141,"NULL")</f>
        <v>120</v>
      </c>
      <c r="H141" s="14">
        <f>IF('Boletins Nuppa Site'!K141&lt;&gt;0,'Boletins Nuppa Site'!K141,"NULL")</f>
        <v>120</v>
      </c>
      <c r="I141" t="str">
        <f t="shared" si="4"/>
        <v>INSERT INTO COTACAO (cot_id, cot_blt_id, cot_pap_id, cot_prc_comum, cot_prc_min, cot_prc_max, cot_prc_med, cot_prc_mediana) VALUES (140, 40, 24, NULL, 120, 120, 120, 120);</v>
      </c>
      <c r="J141" t="str">
        <f t="shared" si="5"/>
        <v>UPDATE COTACAO SET cot_id = 140, cot_blt_id = 40, cot_pap_id = 24, cot_prc_comum = NULL, cot_prc_min = 120, cot_prc_max = 120, cot_prc_med = 120, cot_prc_mediana = 120 WHERE cot_id = 140;</v>
      </c>
    </row>
    <row r="142" spans="1:10" x14ac:dyDescent="0.3">
      <c r="A142">
        <v>141</v>
      </c>
      <c r="B142">
        <f>IF('Boletins Nuppa Site'!A142&lt;&gt;0,'Boletins Nuppa Site'!A142,"NULL")</f>
        <v>40</v>
      </c>
      <c r="C142">
        <v>25</v>
      </c>
      <c r="D142" s="14">
        <f>IF('Boletins Nuppa Site'!G142&lt;&gt;0,'Boletins Nuppa Site'!G142,"NULL")</f>
        <v>60</v>
      </c>
      <c r="E142" s="14">
        <f>IF('Boletins Nuppa Site'!H142&lt;&gt;0,'Boletins Nuppa Site'!H142,"NULL")</f>
        <v>50</v>
      </c>
      <c r="F142" s="14">
        <f>IF('Boletins Nuppa Site'!I142&lt;&gt;0,'Boletins Nuppa Site'!I142,"NULL")</f>
        <v>65</v>
      </c>
      <c r="G142" t="str">
        <f>IF('Boletins Nuppa Site'!J142&lt;&gt;0,'Boletins Nuppa Site'!J142,"NULL")</f>
        <v>58.75</v>
      </c>
      <c r="H142" s="14">
        <f>IF('Boletins Nuppa Site'!K142&lt;&gt;0,'Boletins Nuppa Site'!K142,"NULL")</f>
        <v>60</v>
      </c>
      <c r="I142" t="str">
        <f t="shared" si="4"/>
        <v>INSERT INTO COTACAO (cot_id, cot_blt_id, cot_pap_id, cot_prc_comum, cot_prc_min, cot_prc_max, cot_prc_med, cot_prc_mediana) VALUES (141, 40, 25, 60, 50, 65, 58.75, 60);</v>
      </c>
      <c r="J142" t="str">
        <f t="shared" si="5"/>
        <v>UPDATE COTACAO SET cot_id = 141, cot_blt_id = 40, cot_pap_id = 25, cot_prc_comum = 60, cot_prc_min = 50, cot_prc_max = 65, cot_prc_med = 58.75, cot_prc_mediana = 60 WHERE cot_id = 141;</v>
      </c>
    </row>
    <row r="143" spans="1:10" x14ac:dyDescent="0.3">
      <c r="A143">
        <v>142</v>
      </c>
      <c r="B143">
        <f>IF('Boletins Nuppa Site'!A143&lt;&gt;0,'Boletins Nuppa Site'!A143,"NULL")</f>
        <v>40</v>
      </c>
      <c r="C143">
        <v>26</v>
      </c>
      <c r="D143" s="14">
        <f>IF('Boletins Nuppa Site'!G143&lt;&gt;0,'Boletins Nuppa Site'!G143,"NULL")</f>
        <v>60</v>
      </c>
      <c r="E143" s="14">
        <f>IF('Boletins Nuppa Site'!H143&lt;&gt;0,'Boletins Nuppa Site'!H143,"NULL")</f>
        <v>60</v>
      </c>
      <c r="F143" s="14">
        <f>IF('Boletins Nuppa Site'!I143&lt;&gt;0,'Boletins Nuppa Site'!I143,"NULL")</f>
        <v>80</v>
      </c>
      <c r="G143" s="14">
        <f>IF('Boletins Nuppa Site'!J143&lt;&gt;0,'Boletins Nuppa Site'!J143,"NULL")</f>
        <v>68</v>
      </c>
      <c r="H143" s="14">
        <f>IF('Boletins Nuppa Site'!K143&lt;&gt;0,'Boletins Nuppa Site'!K143,"NULL")</f>
        <v>60</v>
      </c>
      <c r="I143" t="str">
        <f t="shared" si="4"/>
        <v>INSERT INTO COTACAO (cot_id, cot_blt_id, cot_pap_id, cot_prc_comum, cot_prc_min, cot_prc_max, cot_prc_med, cot_prc_mediana) VALUES (142, 40, 26, 60, 60, 80, 68, 60);</v>
      </c>
      <c r="J143" t="str">
        <f t="shared" si="5"/>
        <v>UPDATE COTACAO SET cot_id = 142, cot_blt_id = 40, cot_pap_id = 26, cot_prc_comum = 60, cot_prc_min = 60, cot_prc_max = 80, cot_prc_med = 68, cot_prc_mediana = 60 WHERE cot_id = 142;</v>
      </c>
    </row>
    <row r="144" spans="1:10" x14ac:dyDescent="0.3">
      <c r="A144">
        <v>143</v>
      </c>
      <c r="B144">
        <f>IF('Boletins Nuppa Site'!A144&lt;&gt;0,'Boletins Nuppa Site'!A144,"NULL")</f>
        <v>40</v>
      </c>
      <c r="C144">
        <v>27</v>
      </c>
      <c r="D144" s="14">
        <f>IF('Boletins Nuppa Site'!G144&lt;&gt;0,'Boletins Nuppa Site'!G144,"NULL")</f>
        <v>70</v>
      </c>
      <c r="E144" s="14">
        <f>IF('Boletins Nuppa Site'!H144&lt;&gt;0,'Boletins Nuppa Site'!H144,"NULL")</f>
        <v>50</v>
      </c>
      <c r="F144" s="14">
        <f>IF('Boletins Nuppa Site'!I144&lt;&gt;0,'Boletins Nuppa Site'!I144,"NULL")</f>
        <v>80</v>
      </c>
      <c r="G144" t="str">
        <f>IF('Boletins Nuppa Site'!J144&lt;&gt;0,'Boletins Nuppa Site'!J144,"NULL")</f>
        <v>66.67</v>
      </c>
      <c r="H144" s="14">
        <f>IF('Boletins Nuppa Site'!K144&lt;&gt;0,'Boletins Nuppa Site'!K144,"NULL")</f>
        <v>70</v>
      </c>
      <c r="I144" t="str">
        <f t="shared" si="4"/>
        <v>INSERT INTO COTACAO (cot_id, cot_blt_id, cot_pap_id, cot_prc_comum, cot_prc_min, cot_prc_max, cot_prc_med, cot_prc_mediana) VALUES (143, 40, 27, 70, 50, 80, 66.67, 70);</v>
      </c>
      <c r="J144" t="str">
        <f t="shared" si="5"/>
        <v>UPDATE COTACAO SET cot_id = 143, cot_blt_id = 40, cot_pap_id = 27, cot_prc_comum = 70, cot_prc_min = 50, cot_prc_max = 80, cot_prc_med = 66.67, cot_prc_mediana = 70 WHERE cot_id = 143;</v>
      </c>
    </row>
    <row r="145" spans="1:10" x14ac:dyDescent="0.3">
      <c r="A145">
        <v>144</v>
      </c>
      <c r="B145">
        <f>IF('Boletins Nuppa Site'!A145&lt;&gt;0,'Boletins Nuppa Site'!A145,"NULL")</f>
        <v>40</v>
      </c>
      <c r="C145">
        <v>28</v>
      </c>
      <c r="D145" s="14">
        <f>IF('Boletins Nuppa Site'!G145&lt;&gt;0,'Boletins Nuppa Site'!G145,"NULL")</f>
        <v>70</v>
      </c>
      <c r="E145" s="14">
        <f>IF('Boletins Nuppa Site'!H145&lt;&gt;0,'Boletins Nuppa Site'!H145,"NULL")</f>
        <v>60</v>
      </c>
      <c r="F145" s="14">
        <f>IF('Boletins Nuppa Site'!I145&lt;&gt;0,'Boletins Nuppa Site'!I145,"NULL")</f>
        <v>70</v>
      </c>
      <c r="G145" t="str">
        <f>IF('Boletins Nuppa Site'!J145&lt;&gt;0,'Boletins Nuppa Site'!J145,"NULL")</f>
        <v>67.5</v>
      </c>
      <c r="H145" s="14">
        <f>IF('Boletins Nuppa Site'!K145&lt;&gt;0,'Boletins Nuppa Site'!K145,"NULL")</f>
        <v>70</v>
      </c>
      <c r="I145" t="str">
        <f t="shared" si="4"/>
        <v>INSERT INTO COTACAO (cot_id, cot_blt_id, cot_pap_id, cot_prc_comum, cot_prc_min, cot_prc_max, cot_prc_med, cot_prc_mediana) VALUES (144, 40, 28, 70, 60, 70, 67.5, 70);</v>
      </c>
      <c r="J145" t="str">
        <f t="shared" si="5"/>
        <v>UPDATE COTACAO SET cot_id = 144, cot_blt_id = 40, cot_pap_id = 28, cot_prc_comum = 70, cot_prc_min = 60, cot_prc_max = 70, cot_prc_med = 67.5, cot_prc_mediana = 70 WHERE cot_id = 144;</v>
      </c>
    </row>
    <row r="146" spans="1:10" x14ac:dyDescent="0.3">
      <c r="A146">
        <v>145</v>
      </c>
      <c r="B146">
        <f>IF('Boletins Nuppa Site'!A146&lt;&gt;0,'Boletins Nuppa Site'!A146,"NULL")</f>
        <v>40</v>
      </c>
      <c r="C146">
        <v>29</v>
      </c>
      <c r="D146" t="str">
        <f>IF('Boletins Nuppa Site'!G146&lt;&gt;0,'Boletins Nuppa Site'!G146,"NULL")</f>
        <v>NULL</v>
      </c>
      <c r="E146" s="14">
        <f>IF('Boletins Nuppa Site'!H146&lt;&gt;0,'Boletins Nuppa Site'!H146,"NULL")</f>
        <v>60</v>
      </c>
      <c r="F146" s="14">
        <f>IF('Boletins Nuppa Site'!I146&lt;&gt;0,'Boletins Nuppa Site'!I146,"NULL")</f>
        <v>70</v>
      </c>
      <c r="G146" s="14">
        <f>IF('Boletins Nuppa Site'!J146&lt;&gt;0,'Boletins Nuppa Site'!J146,"NULL")</f>
        <v>65</v>
      </c>
      <c r="H146" s="14">
        <f>IF('Boletins Nuppa Site'!K146&lt;&gt;0,'Boletins Nuppa Site'!K146,"NULL")</f>
        <v>65</v>
      </c>
      <c r="I146" t="str">
        <f t="shared" si="4"/>
        <v>INSERT INTO COTACAO (cot_id, cot_blt_id, cot_pap_id, cot_prc_comum, cot_prc_min, cot_prc_max, cot_prc_med, cot_prc_mediana) VALUES (145, 40, 29, NULL, 60, 70, 65, 65);</v>
      </c>
      <c r="J146" t="str">
        <f t="shared" si="5"/>
        <v>UPDATE COTACAO SET cot_id = 145, cot_blt_id = 40, cot_pap_id = 29, cot_prc_comum = NULL, cot_prc_min = 60, cot_prc_max = 70, cot_prc_med = 65, cot_prc_mediana = 65 WHERE cot_id = 145;</v>
      </c>
    </row>
    <row r="147" spans="1:10" x14ac:dyDescent="0.3">
      <c r="A147">
        <v>146</v>
      </c>
      <c r="B147">
        <f>IF('Boletins Nuppa Site'!A147&lt;&gt;0,'Boletins Nuppa Site'!A147,"NULL")</f>
        <v>40</v>
      </c>
      <c r="C147">
        <v>30</v>
      </c>
      <c r="D147" s="14">
        <f>IF('Boletins Nuppa Site'!G147&lt;&gt;0,'Boletins Nuppa Site'!G147,"NULL")</f>
        <v>60</v>
      </c>
      <c r="E147" s="14">
        <f>IF('Boletins Nuppa Site'!H147&lt;&gt;0,'Boletins Nuppa Site'!H147,"NULL")</f>
        <v>40</v>
      </c>
      <c r="F147" s="14">
        <f>IF('Boletins Nuppa Site'!I147&lt;&gt;0,'Boletins Nuppa Site'!I147,"NULL")</f>
        <v>60</v>
      </c>
      <c r="G147" s="14">
        <f>IF('Boletins Nuppa Site'!J147&lt;&gt;0,'Boletins Nuppa Site'!J147,"NULL")</f>
        <v>53</v>
      </c>
      <c r="H147" s="14">
        <f>IF('Boletins Nuppa Site'!K147&lt;&gt;0,'Boletins Nuppa Site'!K147,"NULL")</f>
        <v>60</v>
      </c>
      <c r="I147" t="str">
        <f t="shared" si="4"/>
        <v>INSERT INTO COTACAO (cot_id, cot_blt_id, cot_pap_id, cot_prc_comum, cot_prc_min, cot_prc_max, cot_prc_med, cot_prc_mediana) VALUES (146, 40, 30, 60, 40, 60, 53, 60);</v>
      </c>
      <c r="J147" t="str">
        <f t="shared" si="5"/>
        <v>UPDATE COTACAO SET cot_id = 146, cot_blt_id = 40, cot_pap_id = 30, cot_prc_comum = 60, cot_prc_min = 40, cot_prc_max = 60, cot_prc_med = 53, cot_prc_mediana = 60 WHERE cot_id = 146;</v>
      </c>
    </row>
    <row r="148" spans="1:10" x14ac:dyDescent="0.3">
      <c r="A148">
        <v>147</v>
      </c>
      <c r="B148">
        <f>IF('Boletins Nuppa Site'!A148&lt;&gt;0,'Boletins Nuppa Site'!A148,"NULL")</f>
        <v>40</v>
      </c>
      <c r="C148">
        <v>31</v>
      </c>
      <c r="D148" s="14">
        <f>IF('Boletins Nuppa Site'!G148&lt;&gt;0,'Boletins Nuppa Site'!G148,"NULL")</f>
        <v>70</v>
      </c>
      <c r="E148" s="14">
        <f>IF('Boletins Nuppa Site'!H148&lt;&gt;0,'Boletins Nuppa Site'!H148,"NULL")</f>
        <v>50</v>
      </c>
      <c r="F148" s="14">
        <f>IF('Boletins Nuppa Site'!I148&lt;&gt;0,'Boletins Nuppa Site'!I148,"NULL")</f>
        <v>90</v>
      </c>
      <c r="G148" t="str">
        <f>IF('Boletins Nuppa Site'!J148&lt;&gt;0,'Boletins Nuppa Site'!J148,"NULL")</f>
        <v>70.83</v>
      </c>
      <c r="H148" s="14">
        <f>IF('Boletins Nuppa Site'!K148&lt;&gt;0,'Boletins Nuppa Site'!K148,"NULL")</f>
        <v>70</v>
      </c>
      <c r="I148" t="str">
        <f t="shared" si="4"/>
        <v>INSERT INTO COTACAO (cot_id, cot_blt_id, cot_pap_id, cot_prc_comum, cot_prc_min, cot_prc_max, cot_prc_med, cot_prc_mediana) VALUES (147, 40, 31, 70, 50, 90, 70.83, 70);</v>
      </c>
      <c r="J148" t="str">
        <f t="shared" si="5"/>
        <v>UPDATE COTACAO SET cot_id = 147, cot_blt_id = 40, cot_pap_id = 31, cot_prc_comum = 70, cot_prc_min = 50, cot_prc_max = 90, cot_prc_med = 70.83, cot_prc_mediana = 70 WHERE cot_id = 147;</v>
      </c>
    </row>
    <row r="149" spans="1:10" x14ac:dyDescent="0.3">
      <c r="A149">
        <v>148</v>
      </c>
      <c r="B149">
        <f>IF('Boletins Nuppa Site'!A149&lt;&gt;0,'Boletins Nuppa Site'!A149,"NULL")</f>
        <v>40</v>
      </c>
      <c r="C149">
        <v>32</v>
      </c>
      <c r="D149" s="14">
        <f>IF('Boletins Nuppa Site'!G149&lt;&gt;0,'Boletins Nuppa Site'!G149,"NULL")</f>
        <v>40</v>
      </c>
      <c r="E149" s="14">
        <f>IF('Boletins Nuppa Site'!H149&lt;&gt;0,'Boletins Nuppa Site'!H149,"NULL")</f>
        <v>35</v>
      </c>
      <c r="F149" s="14">
        <f>IF('Boletins Nuppa Site'!I149&lt;&gt;0,'Boletins Nuppa Site'!I149,"NULL")</f>
        <v>40</v>
      </c>
      <c r="G149" t="str">
        <f>IF('Boletins Nuppa Site'!J149&lt;&gt;0,'Boletins Nuppa Site'!J149,"NULL")</f>
        <v>39.17</v>
      </c>
      <c r="H149" s="14">
        <f>IF('Boletins Nuppa Site'!K149&lt;&gt;0,'Boletins Nuppa Site'!K149,"NULL")</f>
        <v>40</v>
      </c>
      <c r="I149" t="str">
        <f t="shared" si="4"/>
        <v>INSERT INTO COTACAO (cot_id, cot_blt_id, cot_pap_id, cot_prc_comum, cot_prc_min, cot_prc_max, cot_prc_med, cot_prc_mediana) VALUES (148, 40, 32, 40, 35, 40, 39.17, 40);</v>
      </c>
      <c r="J149" t="str">
        <f t="shared" si="5"/>
        <v>UPDATE COTACAO SET cot_id = 148, cot_blt_id = 40, cot_pap_id = 32, cot_prc_comum = 40, cot_prc_min = 35, cot_prc_max = 40, cot_prc_med = 39.17, cot_prc_mediana = 40 WHERE cot_id = 148;</v>
      </c>
    </row>
    <row r="150" spans="1:10" x14ac:dyDescent="0.3">
      <c r="A150">
        <v>149</v>
      </c>
      <c r="B150">
        <f>IF('Boletins Nuppa Site'!A150&lt;&gt;0,'Boletins Nuppa Site'!A150,"NULL")</f>
        <v>40</v>
      </c>
      <c r="C150">
        <v>33</v>
      </c>
      <c r="D150" s="14">
        <f>IF('Boletins Nuppa Site'!G150&lt;&gt;0,'Boletins Nuppa Site'!G150,"NULL")</f>
        <v>80</v>
      </c>
      <c r="E150" s="14">
        <f>IF('Boletins Nuppa Site'!H150&lt;&gt;0,'Boletins Nuppa Site'!H150,"NULL")</f>
        <v>80</v>
      </c>
      <c r="F150" s="14">
        <f>IF('Boletins Nuppa Site'!I150&lt;&gt;0,'Boletins Nuppa Site'!I150,"NULL")</f>
        <v>100</v>
      </c>
      <c r="G150" s="14">
        <f>IF('Boletins Nuppa Site'!J150&lt;&gt;0,'Boletins Nuppa Site'!J150,"NULL")</f>
        <v>85</v>
      </c>
      <c r="H150" s="14">
        <f>IF('Boletins Nuppa Site'!K150&lt;&gt;0,'Boletins Nuppa Site'!K150,"NULL")</f>
        <v>80</v>
      </c>
      <c r="I150" t="str">
        <f t="shared" si="4"/>
        <v>INSERT INTO COTACAO (cot_id, cot_blt_id, cot_pap_id, cot_prc_comum, cot_prc_min, cot_prc_max, cot_prc_med, cot_prc_mediana) VALUES (149, 40, 33, 80, 80, 100, 85, 80);</v>
      </c>
      <c r="J150" t="str">
        <f t="shared" si="5"/>
        <v>UPDATE COTACAO SET cot_id = 149, cot_blt_id = 40, cot_pap_id = 33, cot_prc_comum = 80, cot_prc_min = 80, cot_prc_max = 100, cot_prc_med = 85, cot_prc_mediana = 80 WHERE cot_id = 149;</v>
      </c>
    </row>
    <row r="151" spans="1:10" x14ac:dyDescent="0.3">
      <c r="A151">
        <v>150</v>
      </c>
      <c r="B151">
        <f>IF('Boletins Nuppa Site'!A151&lt;&gt;0,'Boletins Nuppa Site'!A151,"NULL")</f>
        <v>40</v>
      </c>
      <c r="C151">
        <v>34</v>
      </c>
      <c r="D151" s="14">
        <f>IF('Boletins Nuppa Site'!G151&lt;&gt;0,'Boletins Nuppa Site'!G151,"NULL")</f>
        <v>70</v>
      </c>
      <c r="E151" s="14">
        <f>IF('Boletins Nuppa Site'!H151&lt;&gt;0,'Boletins Nuppa Site'!H151,"NULL")</f>
        <v>70</v>
      </c>
      <c r="F151" s="14">
        <f>IF('Boletins Nuppa Site'!I151&lt;&gt;0,'Boletins Nuppa Site'!I151,"NULL")</f>
        <v>80</v>
      </c>
      <c r="G151" t="str">
        <f>IF('Boletins Nuppa Site'!J151&lt;&gt;0,'Boletins Nuppa Site'!J151,"NULL")</f>
        <v>73.33</v>
      </c>
      <c r="H151" s="14">
        <f>IF('Boletins Nuppa Site'!K151&lt;&gt;0,'Boletins Nuppa Site'!K151,"NULL")</f>
        <v>70</v>
      </c>
      <c r="I151" t="str">
        <f t="shared" si="4"/>
        <v>INSERT INTO COTACAO (cot_id, cot_blt_id, cot_pap_id, cot_prc_comum, cot_prc_min, cot_prc_max, cot_prc_med, cot_prc_mediana) VALUES (150, 40, 34, 70, 70, 80, 73.33, 70);</v>
      </c>
      <c r="J151" t="str">
        <f t="shared" si="5"/>
        <v>UPDATE COTACAO SET cot_id = 150, cot_blt_id = 40, cot_pap_id = 34, cot_prc_comum = 70, cot_prc_min = 70, cot_prc_max = 80, cot_prc_med = 73.33, cot_prc_mediana = 70 WHERE cot_id = 150;</v>
      </c>
    </row>
    <row r="152" spans="1:10" x14ac:dyDescent="0.3">
      <c r="A152">
        <v>151</v>
      </c>
      <c r="B152">
        <f>IF('Boletins Nuppa Site'!A152&lt;&gt;0,'Boletins Nuppa Site'!A152,"NULL")</f>
        <v>40</v>
      </c>
      <c r="C152">
        <v>35</v>
      </c>
      <c r="D152" s="14">
        <f>IF('Boletins Nuppa Site'!G152&lt;&gt;0,'Boletins Nuppa Site'!G152,"NULL")</f>
        <v>100</v>
      </c>
      <c r="E152" s="14">
        <f>IF('Boletins Nuppa Site'!H152&lt;&gt;0,'Boletins Nuppa Site'!H152,"NULL")</f>
        <v>100</v>
      </c>
      <c r="F152" s="14">
        <f>IF('Boletins Nuppa Site'!I152&lt;&gt;0,'Boletins Nuppa Site'!I152,"NULL")</f>
        <v>120</v>
      </c>
      <c r="G152" t="str">
        <f>IF('Boletins Nuppa Site'!J152&lt;&gt;0,'Boletins Nuppa Site'!J152,"NULL")</f>
        <v>107.5</v>
      </c>
      <c r="H152" s="14">
        <f>IF('Boletins Nuppa Site'!K152&lt;&gt;0,'Boletins Nuppa Site'!K152,"NULL")</f>
        <v>105</v>
      </c>
      <c r="I152" t="str">
        <f t="shared" si="4"/>
        <v>INSERT INTO COTACAO (cot_id, cot_blt_id, cot_pap_id, cot_prc_comum, cot_prc_min, cot_prc_max, cot_prc_med, cot_prc_mediana) VALUES (151, 40, 35, 100, 100, 120, 107.5, 105);</v>
      </c>
      <c r="J152" t="str">
        <f t="shared" si="5"/>
        <v>UPDATE COTACAO SET cot_id = 151, cot_blt_id = 40, cot_pap_id = 35, cot_prc_comum = 100, cot_prc_min = 100, cot_prc_max = 120, cot_prc_med = 107.5, cot_prc_mediana = 105 WHERE cot_id = 151;</v>
      </c>
    </row>
    <row r="153" spans="1:10" x14ac:dyDescent="0.3">
      <c r="A153">
        <v>152</v>
      </c>
      <c r="B153">
        <f>IF('Boletins Nuppa Site'!A153&lt;&gt;0,'Boletins Nuppa Site'!A153,"NULL")</f>
        <v>40</v>
      </c>
      <c r="C153">
        <v>36</v>
      </c>
      <c r="D153" t="str">
        <f>IF('Boletins Nuppa Site'!G153&lt;&gt;0,'Boletins Nuppa Site'!G153,"NULL")</f>
        <v>NULL</v>
      </c>
      <c r="E153" t="str">
        <f>IF('Boletins Nuppa Site'!H153&lt;&gt;0,'Boletins Nuppa Site'!H153,"NULL")</f>
        <v>NULL</v>
      </c>
      <c r="F153" t="str">
        <f>IF('Boletins Nuppa Site'!I153&lt;&gt;0,'Boletins Nuppa Site'!I153,"NULL")</f>
        <v>NULL</v>
      </c>
      <c r="G153" t="str">
        <f>IF('Boletins Nuppa Site'!J153&lt;&gt;0,'Boletins Nuppa Site'!J153,"NULL")</f>
        <v>NULL</v>
      </c>
      <c r="H153" t="str">
        <f>IF('Boletins Nuppa Site'!K153&lt;&gt;0,'Boletins Nuppa Site'!K153,"NULL")</f>
        <v>NULL</v>
      </c>
      <c r="I153" t="str">
        <f t="shared" si="4"/>
        <v>INSERT INTO COTACAO (cot_id, cot_blt_id, cot_pap_id, cot_prc_comum, cot_prc_min, cot_prc_max, cot_prc_med, cot_prc_mediana) VALUES (152, 40, 36, NULL, NULL, NULL, NULL, NULL);</v>
      </c>
      <c r="J153" t="str">
        <f t="shared" si="5"/>
        <v>UPDATE COTACAO SET cot_id = 152, cot_blt_id = 40, cot_pap_id = 36, cot_prc_comum = NULL, cot_prc_min = NULL, cot_prc_max = NULL, cot_prc_med = NULL, cot_prc_mediana = NULL WHERE cot_id = 152;</v>
      </c>
    </row>
    <row r="154" spans="1:10" x14ac:dyDescent="0.3">
      <c r="A154">
        <v>153</v>
      </c>
      <c r="B154">
        <f>IF('Boletins Nuppa Site'!A154&lt;&gt;0,'Boletins Nuppa Site'!A154,"NULL")</f>
        <v>40</v>
      </c>
      <c r="C154">
        <v>37</v>
      </c>
      <c r="D154" t="str">
        <f>IF('Boletins Nuppa Site'!G154&lt;&gt;0,'Boletins Nuppa Site'!G154,"NULL")</f>
        <v>NULL</v>
      </c>
      <c r="E154" t="str">
        <f>IF('Boletins Nuppa Site'!H154&lt;&gt;0,'Boletins Nuppa Site'!H154,"NULL")</f>
        <v>NULL</v>
      </c>
      <c r="F154" t="str">
        <f>IF('Boletins Nuppa Site'!I154&lt;&gt;0,'Boletins Nuppa Site'!I154,"NULL")</f>
        <v>NULL</v>
      </c>
      <c r="G154" t="str">
        <f>IF('Boletins Nuppa Site'!J154&lt;&gt;0,'Boletins Nuppa Site'!J154,"NULL")</f>
        <v>NULL</v>
      </c>
      <c r="H154" t="str">
        <f>IF('Boletins Nuppa Site'!K154&lt;&gt;0,'Boletins Nuppa Site'!K154,"NULL")</f>
        <v>NULL</v>
      </c>
      <c r="I154" t="str">
        <f t="shared" si="4"/>
        <v>INSERT INTO COTACAO (cot_id, cot_blt_id, cot_pap_id, cot_prc_comum, cot_prc_min, cot_prc_max, cot_prc_med, cot_prc_mediana) VALUES (153, 40, 37, NULL, NULL, NULL, NULL, NULL);</v>
      </c>
      <c r="J154" t="str">
        <f t="shared" si="5"/>
        <v>UPDATE COTACAO SET cot_id = 153, cot_blt_id = 40, cot_pap_id = 37, cot_prc_comum = NULL, cot_prc_min = NULL, cot_prc_max = NULL, cot_prc_med = NULL, cot_prc_mediana = NULL WHERE cot_id = 153;</v>
      </c>
    </row>
    <row r="155" spans="1:10" x14ac:dyDescent="0.3">
      <c r="A155">
        <v>154</v>
      </c>
      <c r="B155">
        <f>IF('Boletins Nuppa Site'!A155&lt;&gt;0,'Boletins Nuppa Site'!A155,"NULL")</f>
        <v>40</v>
      </c>
      <c r="C155">
        <v>38</v>
      </c>
      <c r="D155" t="str">
        <f>IF('Boletins Nuppa Site'!G155&lt;&gt;0,'Boletins Nuppa Site'!G155,"NULL")</f>
        <v>NULL</v>
      </c>
      <c r="E155" t="str">
        <f>IF('Boletins Nuppa Site'!H155&lt;&gt;0,'Boletins Nuppa Site'!H155,"NULL")</f>
        <v>NULL</v>
      </c>
      <c r="F155" t="str">
        <f>IF('Boletins Nuppa Site'!I155&lt;&gt;0,'Boletins Nuppa Site'!I155,"NULL")</f>
        <v>NULL</v>
      </c>
      <c r="G155" t="str">
        <f>IF('Boletins Nuppa Site'!J155&lt;&gt;0,'Boletins Nuppa Site'!J155,"NULL")</f>
        <v>NULL</v>
      </c>
      <c r="H155" t="str">
        <f>IF('Boletins Nuppa Site'!K155&lt;&gt;0,'Boletins Nuppa Site'!K155,"NULL")</f>
        <v>NULL</v>
      </c>
      <c r="I155" t="str">
        <f t="shared" si="4"/>
        <v>INSERT INTO COTACAO (cot_id, cot_blt_id, cot_pap_id, cot_prc_comum, cot_prc_min, cot_prc_max, cot_prc_med, cot_prc_mediana) VALUES (154, 40, 38, NULL, NULL, NULL, NULL, NULL);</v>
      </c>
      <c r="J155" t="str">
        <f t="shared" si="5"/>
        <v>UPDATE COTACAO SET cot_id = 154, cot_blt_id = 40, cot_pap_id = 38, cot_prc_comum = NULL, cot_prc_min = NULL, cot_prc_max = NULL, cot_prc_med = NULL, cot_prc_mediana = NULL WHERE cot_id = 154;</v>
      </c>
    </row>
    <row r="156" spans="1:10" x14ac:dyDescent="0.3">
      <c r="A156">
        <v>155</v>
      </c>
      <c r="B156">
        <f>IF('Boletins Nuppa Site'!A156&lt;&gt;0,'Boletins Nuppa Site'!A156,"NULL")</f>
        <v>40</v>
      </c>
      <c r="C156">
        <v>39</v>
      </c>
      <c r="D156" t="str">
        <f>IF('Boletins Nuppa Site'!G156&lt;&gt;0,'Boletins Nuppa Site'!G156,"NULL")</f>
        <v>NULL</v>
      </c>
      <c r="E156" t="str">
        <f>IF('Boletins Nuppa Site'!H156&lt;&gt;0,'Boletins Nuppa Site'!H156,"NULL")</f>
        <v>NULL</v>
      </c>
      <c r="F156" t="str">
        <f>IF('Boletins Nuppa Site'!I156&lt;&gt;0,'Boletins Nuppa Site'!I156,"NULL")</f>
        <v>NULL</v>
      </c>
      <c r="G156" t="str">
        <f>IF('Boletins Nuppa Site'!J156&lt;&gt;0,'Boletins Nuppa Site'!J156,"NULL")</f>
        <v>NULL</v>
      </c>
      <c r="H156" t="str">
        <f>IF('Boletins Nuppa Site'!K156&lt;&gt;0,'Boletins Nuppa Site'!K156,"NULL")</f>
        <v>NULL</v>
      </c>
      <c r="I156" t="str">
        <f t="shared" si="4"/>
        <v>INSERT INTO COTACAO (cot_id, cot_blt_id, cot_pap_id, cot_prc_comum, cot_prc_min, cot_prc_max, cot_prc_med, cot_prc_mediana) VALUES (155, 40, 39, NULL, NULL, NULL, NULL, NULL);</v>
      </c>
      <c r="J156" t="str">
        <f t="shared" si="5"/>
        <v>UPDATE COTACAO SET cot_id = 155, cot_blt_id = 40, cot_pap_id = 39, cot_prc_comum = NULL, cot_prc_min = NULL, cot_prc_max = NULL, cot_prc_med = NULL, cot_prc_mediana = NULL WHERE cot_id = 155;</v>
      </c>
    </row>
    <row r="157" spans="1:10" x14ac:dyDescent="0.3">
      <c r="A157">
        <v>156</v>
      </c>
      <c r="B157">
        <f>IF('Boletins Nuppa Site'!A157&lt;&gt;0,'Boletins Nuppa Site'!A157,"NULL")</f>
        <v>40</v>
      </c>
      <c r="C157">
        <v>40</v>
      </c>
      <c r="D157" t="str">
        <f>IF('Boletins Nuppa Site'!G157&lt;&gt;0,'Boletins Nuppa Site'!G157,"NULL")</f>
        <v>NULL</v>
      </c>
      <c r="E157" t="str">
        <f>IF('Boletins Nuppa Site'!H157&lt;&gt;0,'Boletins Nuppa Site'!H157,"NULL")</f>
        <v>NULL</v>
      </c>
      <c r="F157" t="str">
        <f>IF('Boletins Nuppa Site'!I157&lt;&gt;0,'Boletins Nuppa Site'!I157,"NULL")</f>
        <v>NULL</v>
      </c>
      <c r="G157" t="str">
        <f>IF('Boletins Nuppa Site'!J157&lt;&gt;0,'Boletins Nuppa Site'!J157,"NULL")</f>
        <v>NULL</v>
      </c>
      <c r="H157" t="str">
        <f>IF('Boletins Nuppa Site'!K157&lt;&gt;0,'Boletins Nuppa Site'!K157,"NULL")</f>
        <v>NULL</v>
      </c>
      <c r="I157" t="str">
        <f t="shared" si="4"/>
        <v>INSERT INTO COTACAO (cot_id, cot_blt_id, cot_pap_id, cot_prc_comum, cot_prc_min, cot_prc_max, cot_prc_med, cot_prc_mediana) VALUES (156, 40, 40, NULL, NULL, NULL, NULL, NULL);</v>
      </c>
      <c r="J157" t="str">
        <f t="shared" si="5"/>
        <v>UPDATE COTACAO SET cot_id = 156, cot_blt_id = 40, cot_pap_id = 40, cot_prc_comum = NULL, cot_prc_min = NULL, cot_prc_max = NULL, cot_prc_med = NULL, cot_prc_mediana = NULL WHERE cot_id = 156;</v>
      </c>
    </row>
    <row r="158" spans="1:10" x14ac:dyDescent="0.3">
      <c r="A158">
        <v>157</v>
      </c>
      <c r="B158">
        <f>IF('Boletins Nuppa Site'!A158&lt;&gt;0,'Boletins Nuppa Site'!A158,"NULL")</f>
        <v>41</v>
      </c>
      <c r="C158">
        <v>1</v>
      </c>
      <c r="D158" s="14">
        <f>IF('Boletins Nuppa Site'!G158&lt;&gt;0,'Boletins Nuppa Site'!G158,"NULL")</f>
        <v>42</v>
      </c>
      <c r="E158" s="14">
        <f>IF('Boletins Nuppa Site'!H158&lt;&gt;0,'Boletins Nuppa Site'!H158,"NULL")</f>
        <v>42</v>
      </c>
      <c r="F158" s="14">
        <f>IF('Boletins Nuppa Site'!I158&lt;&gt;0,'Boletins Nuppa Site'!I158,"NULL")</f>
        <v>42</v>
      </c>
      <c r="G158" s="14">
        <f>IF('Boletins Nuppa Site'!J158&lt;&gt;0,'Boletins Nuppa Site'!J158,"NULL")</f>
        <v>42</v>
      </c>
      <c r="H158" s="14">
        <f>IF('Boletins Nuppa Site'!K158&lt;&gt;0,'Boletins Nuppa Site'!K158,"NULL")</f>
        <v>42</v>
      </c>
      <c r="I158" t="str">
        <f t="shared" si="4"/>
        <v>INSERT INTO COTACAO (cot_id, cot_blt_id, cot_pap_id, cot_prc_comum, cot_prc_min, cot_prc_max, cot_prc_med, cot_prc_mediana) VALUES (157, 41, 1, 42, 42, 42, 42, 42);</v>
      </c>
      <c r="J158" t="str">
        <f t="shared" si="5"/>
        <v>UPDATE COTACAO SET cot_id = 157, cot_blt_id = 41, cot_pap_id = 1, cot_prc_comum = 42, cot_prc_min = 42, cot_prc_max = 42, cot_prc_med = 42, cot_prc_mediana = 42 WHERE cot_id = 157;</v>
      </c>
    </row>
    <row r="159" spans="1:10" x14ac:dyDescent="0.3">
      <c r="A159">
        <v>158</v>
      </c>
      <c r="B159">
        <f>IF('Boletins Nuppa Site'!A159&lt;&gt;0,'Boletins Nuppa Site'!A159,"NULL")</f>
        <v>41</v>
      </c>
      <c r="C159">
        <v>2</v>
      </c>
      <c r="D159" s="14">
        <f>IF('Boletins Nuppa Site'!G159&lt;&gt;0,'Boletins Nuppa Site'!G159,"NULL")</f>
        <v>60</v>
      </c>
      <c r="E159" s="14">
        <f>IF('Boletins Nuppa Site'!H159&lt;&gt;0,'Boletins Nuppa Site'!H159,"NULL")</f>
        <v>60</v>
      </c>
      <c r="F159" s="14">
        <f>IF('Boletins Nuppa Site'!I159&lt;&gt;0,'Boletins Nuppa Site'!I159,"NULL")</f>
        <v>60</v>
      </c>
      <c r="G159" s="14">
        <f>IF('Boletins Nuppa Site'!J159&lt;&gt;0,'Boletins Nuppa Site'!J159,"NULL")</f>
        <v>60</v>
      </c>
      <c r="H159" s="14">
        <f>IF('Boletins Nuppa Site'!K159&lt;&gt;0,'Boletins Nuppa Site'!K159,"NULL")</f>
        <v>60</v>
      </c>
      <c r="I159" t="str">
        <f t="shared" si="4"/>
        <v>INSERT INTO COTACAO (cot_id, cot_blt_id, cot_pap_id, cot_prc_comum, cot_prc_min, cot_prc_max, cot_prc_med, cot_prc_mediana) VALUES (158, 41, 2, 60, 60, 60, 60, 60);</v>
      </c>
      <c r="J159" t="str">
        <f t="shared" si="5"/>
        <v>UPDATE COTACAO SET cot_id = 158, cot_blt_id = 41, cot_pap_id = 2, cot_prc_comum = 60, cot_prc_min = 60, cot_prc_max = 60, cot_prc_med = 60, cot_prc_mediana = 60 WHERE cot_id = 158;</v>
      </c>
    </row>
    <row r="160" spans="1:10" x14ac:dyDescent="0.3">
      <c r="A160">
        <v>159</v>
      </c>
      <c r="B160">
        <f>IF('Boletins Nuppa Site'!A160&lt;&gt;0,'Boletins Nuppa Site'!A160,"NULL")</f>
        <v>41</v>
      </c>
      <c r="C160">
        <v>3</v>
      </c>
      <c r="D160" s="14">
        <f>IF('Boletins Nuppa Site'!G160&lt;&gt;0,'Boletins Nuppa Site'!G160,"NULL")</f>
        <v>30</v>
      </c>
      <c r="E160" s="14">
        <f>IF('Boletins Nuppa Site'!H160&lt;&gt;0,'Boletins Nuppa Site'!H160,"NULL")</f>
        <v>30</v>
      </c>
      <c r="F160" s="14">
        <f>IF('Boletins Nuppa Site'!I160&lt;&gt;0,'Boletins Nuppa Site'!I160,"NULL")</f>
        <v>42</v>
      </c>
      <c r="G160" t="str">
        <f>IF('Boletins Nuppa Site'!J160&lt;&gt;0,'Boletins Nuppa Site'!J160,"NULL")</f>
        <v>34.25</v>
      </c>
      <c r="H160" t="str">
        <f>IF('Boletins Nuppa Site'!K160&lt;&gt;0,'Boletins Nuppa Site'!K160,"NULL")</f>
        <v>32.5</v>
      </c>
      <c r="I160" t="str">
        <f t="shared" si="4"/>
        <v>INSERT INTO COTACAO (cot_id, cot_blt_id, cot_pap_id, cot_prc_comum, cot_prc_min, cot_prc_max, cot_prc_med, cot_prc_mediana) VALUES (159, 41, 3, 30, 30, 42, 34.25, 32.5);</v>
      </c>
      <c r="J160" t="str">
        <f t="shared" si="5"/>
        <v>UPDATE COTACAO SET cot_id = 159, cot_blt_id = 41, cot_pap_id = 3, cot_prc_comum = 30, cot_prc_min = 30, cot_prc_max = 42, cot_prc_med = 34.25, cot_prc_mediana = 32.5 WHERE cot_id = 159;</v>
      </c>
    </row>
    <row r="161" spans="1:10" x14ac:dyDescent="0.3">
      <c r="A161">
        <v>160</v>
      </c>
      <c r="B161">
        <f>IF('Boletins Nuppa Site'!A161&lt;&gt;0,'Boletins Nuppa Site'!A161,"NULL")</f>
        <v>41</v>
      </c>
      <c r="C161">
        <v>4</v>
      </c>
      <c r="D161" s="14">
        <f>IF('Boletins Nuppa Site'!G161&lt;&gt;0,'Boletins Nuppa Site'!G161,"NULL")</f>
        <v>18</v>
      </c>
      <c r="E161" s="14">
        <f>IF('Boletins Nuppa Site'!H161&lt;&gt;0,'Boletins Nuppa Site'!H161,"NULL")</f>
        <v>18</v>
      </c>
      <c r="F161" s="14">
        <f>IF('Boletins Nuppa Site'!I161&lt;&gt;0,'Boletins Nuppa Site'!I161,"NULL")</f>
        <v>24</v>
      </c>
      <c r="G161" s="14">
        <f>IF('Boletins Nuppa Site'!J161&lt;&gt;0,'Boletins Nuppa Site'!J161,"NULL")</f>
        <v>21</v>
      </c>
      <c r="H161" s="14">
        <f>IF('Boletins Nuppa Site'!K161&lt;&gt;0,'Boletins Nuppa Site'!K161,"NULL")</f>
        <v>21</v>
      </c>
      <c r="I161" t="str">
        <f t="shared" si="4"/>
        <v>INSERT INTO COTACAO (cot_id, cot_blt_id, cot_pap_id, cot_prc_comum, cot_prc_min, cot_prc_max, cot_prc_med, cot_prc_mediana) VALUES (160, 41, 4, 18, 18, 24, 21, 21);</v>
      </c>
      <c r="J161" t="str">
        <f t="shared" si="5"/>
        <v>UPDATE COTACAO SET cot_id = 160, cot_blt_id = 41, cot_pap_id = 4, cot_prc_comum = 18, cot_prc_min = 18, cot_prc_max = 24, cot_prc_med = 21, cot_prc_mediana = 21 WHERE cot_id = 160;</v>
      </c>
    </row>
    <row r="162" spans="1:10" x14ac:dyDescent="0.3">
      <c r="A162">
        <v>161</v>
      </c>
      <c r="B162">
        <f>IF('Boletins Nuppa Site'!A162&lt;&gt;0,'Boletins Nuppa Site'!A162,"NULL")</f>
        <v>41</v>
      </c>
      <c r="C162">
        <v>5</v>
      </c>
      <c r="D162" s="14">
        <f>IF('Boletins Nuppa Site'!G162&lt;&gt;0,'Boletins Nuppa Site'!G162,"NULL")</f>
        <v>18</v>
      </c>
      <c r="E162" s="14">
        <f>IF('Boletins Nuppa Site'!H162&lt;&gt;0,'Boletins Nuppa Site'!H162,"NULL")</f>
        <v>18</v>
      </c>
      <c r="F162" s="14">
        <f>IF('Boletins Nuppa Site'!I162&lt;&gt;0,'Boletins Nuppa Site'!I162,"NULL")</f>
        <v>24</v>
      </c>
      <c r="G162" s="14">
        <f>IF('Boletins Nuppa Site'!J162&lt;&gt;0,'Boletins Nuppa Site'!J162,"NULL")</f>
        <v>21</v>
      </c>
      <c r="H162" s="14">
        <f>IF('Boletins Nuppa Site'!K162&lt;&gt;0,'Boletins Nuppa Site'!K162,"NULL")</f>
        <v>21</v>
      </c>
      <c r="I162" t="str">
        <f t="shared" si="4"/>
        <v>INSERT INTO COTACAO (cot_id, cot_blt_id, cot_pap_id, cot_prc_comum, cot_prc_min, cot_prc_max, cot_prc_med, cot_prc_mediana) VALUES (161, 41, 5, 18, 18, 24, 21, 21);</v>
      </c>
      <c r="J162" t="str">
        <f t="shared" si="5"/>
        <v>UPDATE COTACAO SET cot_id = 161, cot_blt_id = 41, cot_pap_id = 5, cot_prc_comum = 18, cot_prc_min = 18, cot_prc_max = 24, cot_prc_med = 21, cot_prc_mediana = 21 WHERE cot_id = 161;</v>
      </c>
    </row>
    <row r="163" spans="1:10" x14ac:dyDescent="0.3">
      <c r="A163">
        <v>162</v>
      </c>
      <c r="B163">
        <f>IF('Boletins Nuppa Site'!A163&lt;&gt;0,'Boletins Nuppa Site'!A163,"NULL")</f>
        <v>41</v>
      </c>
      <c r="C163">
        <v>6</v>
      </c>
      <c r="D163" s="14">
        <f>IF('Boletins Nuppa Site'!G163&lt;&gt;0,'Boletins Nuppa Site'!G163,"NULL")</f>
        <v>42</v>
      </c>
      <c r="E163" s="14">
        <f>IF('Boletins Nuppa Site'!H163&lt;&gt;0,'Boletins Nuppa Site'!H163,"NULL")</f>
        <v>42</v>
      </c>
      <c r="F163" s="14">
        <f>IF('Boletins Nuppa Site'!I163&lt;&gt;0,'Boletins Nuppa Site'!I163,"NULL")</f>
        <v>48</v>
      </c>
      <c r="G163" s="14">
        <f>IF('Boletins Nuppa Site'!J163&lt;&gt;0,'Boletins Nuppa Site'!J163,"NULL")</f>
        <v>44</v>
      </c>
      <c r="H163" s="14">
        <f>IF('Boletins Nuppa Site'!K163&lt;&gt;0,'Boletins Nuppa Site'!K163,"NULL")</f>
        <v>42</v>
      </c>
      <c r="I163" t="str">
        <f t="shared" si="4"/>
        <v>INSERT INTO COTACAO (cot_id, cot_blt_id, cot_pap_id, cot_prc_comum, cot_prc_min, cot_prc_max, cot_prc_med, cot_prc_mediana) VALUES (162, 41, 6, 42, 42, 48, 44, 42);</v>
      </c>
      <c r="J163" t="str">
        <f t="shared" si="5"/>
        <v>UPDATE COTACAO SET cot_id = 162, cot_blt_id = 41, cot_pap_id = 6, cot_prc_comum = 42, cot_prc_min = 42, cot_prc_max = 48, cot_prc_med = 44, cot_prc_mediana = 42 WHERE cot_id = 162;</v>
      </c>
    </row>
    <row r="164" spans="1:10" x14ac:dyDescent="0.3">
      <c r="A164">
        <v>163</v>
      </c>
      <c r="B164">
        <f>IF('Boletins Nuppa Site'!A164&lt;&gt;0,'Boletins Nuppa Site'!A164,"NULL")</f>
        <v>41</v>
      </c>
      <c r="C164">
        <v>7</v>
      </c>
      <c r="D164" t="str">
        <f>IF('Boletins Nuppa Site'!G164&lt;&gt;0,'Boletins Nuppa Site'!G164,"NULL")</f>
        <v>NULL</v>
      </c>
      <c r="E164" s="14">
        <f>IF('Boletins Nuppa Site'!H164&lt;&gt;0,'Boletins Nuppa Site'!H164,"NULL")</f>
        <v>72</v>
      </c>
      <c r="F164" s="14">
        <f>IF('Boletins Nuppa Site'!I164&lt;&gt;0,'Boletins Nuppa Site'!I164,"NULL")</f>
        <v>78</v>
      </c>
      <c r="G164" s="14">
        <f>IF('Boletins Nuppa Site'!J164&lt;&gt;0,'Boletins Nuppa Site'!J164,"NULL")</f>
        <v>75</v>
      </c>
      <c r="H164" s="14">
        <f>IF('Boletins Nuppa Site'!K164&lt;&gt;0,'Boletins Nuppa Site'!K164,"NULL")</f>
        <v>75</v>
      </c>
      <c r="I164" t="str">
        <f t="shared" si="4"/>
        <v>INSERT INTO COTACAO (cot_id, cot_blt_id, cot_pap_id, cot_prc_comum, cot_prc_min, cot_prc_max, cot_prc_med, cot_prc_mediana) VALUES (163, 41, 7, NULL, 72, 78, 75, 75);</v>
      </c>
      <c r="J164" t="str">
        <f t="shared" si="5"/>
        <v>UPDATE COTACAO SET cot_id = 163, cot_blt_id = 41, cot_pap_id = 7, cot_prc_comum = NULL, cot_prc_min = 72, cot_prc_max = 78, cot_prc_med = 75, cot_prc_mediana = 75 WHERE cot_id = 163;</v>
      </c>
    </row>
    <row r="165" spans="1:10" x14ac:dyDescent="0.3">
      <c r="A165">
        <v>164</v>
      </c>
      <c r="B165">
        <f>IF('Boletins Nuppa Site'!A165&lt;&gt;0,'Boletins Nuppa Site'!A165,"NULL")</f>
        <v>41</v>
      </c>
      <c r="C165">
        <v>8</v>
      </c>
      <c r="D165" t="str">
        <f>IF('Boletins Nuppa Site'!G165&lt;&gt;0,'Boletins Nuppa Site'!G165,"NULL")</f>
        <v>NULL</v>
      </c>
      <c r="E165" s="14">
        <f>IF('Boletins Nuppa Site'!H165&lt;&gt;0,'Boletins Nuppa Site'!H165,"NULL")</f>
        <v>48</v>
      </c>
      <c r="F165" s="14">
        <f>IF('Boletins Nuppa Site'!I165&lt;&gt;0,'Boletins Nuppa Site'!I165,"NULL")</f>
        <v>60</v>
      </c>
      <c r="G165" s="14">
        <f>IF('Boletins Nuppa Site'!J165&lt;&gt;0,'Boletins Nuppa Site'!J165,"NULL")</f>
        <v>54</v>
      </c>
      <c r="H165" s="14">
        <f>IF('Boletins Nuppa Site'!K165&lt;&gt;0,'Boletins Nuppa Site'!K165,"NULL")</f>
        <v>54</v>
      </c>
      <c r="I165" t="str">
        <f t="shared" si="4"/>
        <v>INSERT INTO COTACAO (cot_id, cot_blt_id, cot_pap_id, cot_prc_comum, cot_prc_min, cot_prc_max, cot_prc_med, cot_prc_mediana) VALUES (164, 41, 8, NULL, 48, 60, 54, 54);</v>
      </c>
      <c r="J165" t="str">
        <f t="shared" si="5"/>
        <v>UPDATE COTACAO SET cot_id = 164, cot_blt_id = 41, cot_pap_id = 8, cot_prc_comum = NULL, cot_prc_min = 48, cot_prc_max = 60, cot_prc_med = 54, cot_prc_mediana = 54 WHERE cot_id = 164;</v>
      </c>
    </row>
    <row r="166" spans="1:10" x14ac:dyDescent="0.3">
      <c r="A166">
        <v>165</v>
      </c>
      <c r="B166">
        <f>IF('Boletins Nuppa Site'!A166&lt;&gt;0,'Boletins Nuppa Site'!A166,"NULL")</f>
        <v>41</v>
      </c>
      <c r="C166">
        <v>9</v>
      </c>
      <c r="D166" t="str">
        <f>IF('Boletins Nuppa Site'!G166&lt;&gt;0,'Boletins Nuppa Site'!G166,"NULL")</f>
        <v>NULL</v>
      </c>
      <c r="E166" s="14">
        <f>IF('Boletins Nuppa Site'!H166&lt;&gt;0,'Boletins Nuppa Site'!H166,"NULL")</f>
        <v>18</v>
      </c>
      <c r="F166" s="14">
        <f>IF('Boletins Nuppa Site'!I166&lt;&gt;0,'Boletins Nuppa Site'!I166,"NULL")</f>
        <v>24</v>
      </c>
      <c r="G166" t="str">
        <f>IF('Boletins Nuppa Site'!J166&lt;&gt;0,'Boletins Nuppa Site'!J166,"NULL")</f>
        <v>20.67</v>
      </c>
      <c r="H166" s="14">
        <f>IF('Boletins Nuppa Site'!K166&lt;&gt;0,'Boletins Nuppa Site'!K166,"NULL")</f>
        <v>20</v>
      </c>
      <c r="I166" t="str">
        <f t="shared" si="4"/>
        <v>INSERT INTO COTACAO (cot_id, cot_blt_id, cot_pap_id, cot_prc_comum, cot_prc_min, cot_prc_max, cot_prc_med, cot_prc_mediana) VALUES (165, 41, 9, NULL, 18, 24, 20.67, 20);</v>
      </c>
      <c r="J166" t="str">
        <f t="shared" si="5"/>
        <v>UPDATE COTACAO SET cot_id = 165, cot_blt_id = 41, cot_pap_id = 9, cot_prc_comum = NULL, cot_prc_min = 18, cot_prc_max = 24, cot_prc_med = 20.67, cot_prc_mediana = 20 WHERE cot_id = 165;</v>
      </c>
    </row>
    <row r="167" spans="1:10" x14ac:dyDescent="0.3">
      <c r="A167">
        <v>166</v>
      </c>
      <c r="B167">
        <f>IF('Boletins Nuppa Site'!A167&lt;&gt;0,'Boletins Nuppa Site'!A167,"NULL")</f>
        <v>41</v>
      </c>
      <c r="C167">
        <v>10</v>
      </c>
      <c r="D167" t="str">
        <f>IF('Boletins Nuppa Site'!G167&lt;&gt;0,'Boletins Nuppa Site'!G167,"NULL")</f>
        <v>NULL</v>
      </c>
      <c r="E167" s="14">
        <f>IF('Boletins Nuppa Site'!H167&lt;&gt;0,'Boletins Nuppa Site'!H167,"NULL")</f>
        <v>80</v>
      </c>
      <c r="F167" s="14">
        <f>IF('Boletins Nuppa Site'!I167&lt;&gt;0,'Boletins Nuppa Site'!I167,"NULL")</f>
        <v>80</v>
      </c>
      <c r="G167" s="14">
        <f>IF('Boletins Nuppa Site'!J167&lt;&gt;0,'Boletins Nuppa Site'!J167,"NULL")</f>
        <v>80</v>
      </c>
      <c r="H167" s="14">
        <f>IF('Boletins Nuppa Site'!K167&lt;&gt;0,'Boletins Nuppa Site'!K167,"NULL")</f>
        <v>80</v>
      </c>
      <c r="I167" t="str">
        <f t="shared" si="4"/>
        <v>INSERT INTO COTACAO (cot_id, cot_blt_id, cot_pap_id, cot_prc_comum, cot_prc_min, cot_prc_max, cot_prc_med, cot_prc_mediana) VALUES (166, 41, 10, NULL, 80, 80, 80, 80);</v>
      </c>
      <c r="J167" t="str">
        <f t="shared" si="5"/>
        <v>UPDATE COTACAO SET cot_id = 166, cot_blt_id = 41, cot_pap_id = 10, cot_prc_comum = NULL, cot_prc_min = 80, cot_prc_max = 80, cot_prc_med = 80, cot_prc_mediana = 80 WHERE cot_id = 166;</v>
      </c>
    </row>
    <row r="168" spans="1:10" x14ac:dyDescent="0.3">
      <c r="A168">
        <v>167</v>
      </c>
      <c r="B168">
        <f>IF('Boletins Nuppa Site'!A168&lt;&gt;0,'Boletins Nuppa Site'!A168,"NULL")</f>
        <v>41</v>
      </c>
      <c r="C168">
        <v>11</v>
      </c>
      <c r="D168" s="14">
        <f>IF('Boletins Nuppa Site'!G168&lt;&gt;0,'Boletins Nuppa Site'!G168,"NULL")</f>
        <v>18</v>
      </c>
      <c r="E168" s="14">
        <f>IF('Boletins Nuppa Site'!H168&lt;&gt;0,'Boletins Nuppa Site'!H168,"NULL")</f>
        <v>18</v>
      </c>
      <c r="F168" s="14">
        <f>IF('Boletins Nuppa Site'!I168&lt;&gt;0,'Boletins Nuppa Site'!I168,"NULL")</f>
        <v>24</v>
      </c>
      <c r="G168" s="14">
        <f>IF('Boletins Nuppa Site'!J168&lt;&gt;0,'Boletins Nuppa Site'!J168,"NULL")</f>
        <v>21</v>
      </c>
      <c r="H168" s="14">
        <f>IF('Boletins Nuppa Site'!K168&lt;&gt;0,'Boletins Nuppa Site'!K168,"NULL")</f>
        <v>21</v>
      </c>
      <c r="I168" t="str">
        <f t="shared" si="4"/>
        <v>INSERT INTO COTACAO (cot_id, cot_blt_id, cot_pap_id, cot_prc_comum, cot_prc_min, cot_prc_max, cot_prc_med, cot_prc_mediana) VALUES (167, 41, 11, 18, 18, 24, 21, 21);</v>
      </c>
      <c r="J168" t="str">
        <f t="shared" si="5"/>
        <v>UPDATE COTACAO SET cot_id = 167, cot_blt_id = 41, cot_pap_id = 11, cot_prc_comum = 18, cot_prc_min = 18, cot_prc_max = 24, cot_prc_med = 21, cot_prc_mediana = 21 WHERE cot_id = 167;</v>
      </c>
    </row>
    <row r="169" spans="1:10" x14ac:dyDescent="0.3">
      <c r="A169">
        <v>168</v>
      </c>
      <c r="B169">
        <f>IF('Boletins Nuppa Site'!A169&lt;&gt;0,'Boletins Nuppa Site'!A169,"NULL")</f>
        <v>41</v>
      </c>
      <c r="C169">
        <v>12</v>
      </c>
      <c r="D169" t="str">
        <f>IF('Boletins Nuppa Site'!G169&lt;&gt;0,'Boletins Nuppa Site'!G169,"NULL")</f>
        <v>NULL</v>
      </c>
      <c r="E169" s="14">
        <f>IF('Boletins Nuppa Site'!H169&lt;&gt;0,'Boletins Nuppa Site'!H169,"NULL")</f>
        <v>36</v>
      </c>
      <c r="F169" s="14">
        <f>IF('Boletins Nuppa Site'!I169&lt;&gt;0,'Boletins Nuppa Site'!I169,"NULL")</f>
        <v>60</v>
      </c>
      <c r="G169" s="14">
        <f>IF('Boletins Nuppa Site'!J169&lt;&gt;0,'Boletins Nuppa Site'!J169,"NULL")</f>
        <v>48</v>
      </c>
      <c r="H169" s="14">
        <f>IF('Boletins Nuppa Site'!K169&lt;&gt;0,'Boletins Nuppa Site'!K169,"NULL")</f>
        <v>48</v>
      </c>
      <c r="I169" t="str">
        <f t="shared" si="4"/>
        <v>INSERT INTO COTACAO (cot_id, cot_blt_id, cot_pap_id, cot_prc_comum, cot_prc_min, cot_prc_max, cot_prc_med, cot_prc_mediana) VALUES (168, 41, 12, NULL, 36, 60, 48, 48);</v>
      </c>
      <c r="J169" t="str">
        <f t="shared" si="5"/>
        <v>UPDATE COTACAO SET cot_id = 168, cot_blt_id = 41, cot_pap_id = 12, cot_prc_comum = NULL, cot_prc_min = 36, cot_prc_max = 60, cot_prc_med = 48, cot_prc_mediana = 48 WHERE cot_id = 168;</v>
      </c>
    </row>
    <row r="170" spans="1:10" x14ac:dyDescent="0.3">
      <c r="A170">
        <v>169</v>
      </c>
      <c r="B170">
        <f>IF('Boletins Nuppa Site'!A170&lt;&gt;0,'Boletins Nuppa Site'!A170,"NULL")</f>
        <v>41</v>
      </c>
      <c r="C170">
        <v>13</v>
      </c>
      <c r="D170" t="str">
        <f>IF('Boletins Nuppa Site'!G170&lt;&gt;0,'Boletins Nuppa Site'!G170,"NULL")</f>
        <v>NULL</v>
      </c>
      <c r="E170" s="14">
        <f>IF('Boletins Nuppa Site'!H170&lt;&gt;0,'Boletins Nuppa Site'!H170,"NULL")</f>
        <v>36</v>
      </c>
      <c r="F170" s="14">
        <f>IF('Boletins Nuppa Site'!I170&lt;&gt;0,'Boletins Nuppa Site'!I170,"NULL")</f>
        <v>54</v>
      </c>
      <c r="G170" s="14">
        <f>IF('Boletins Nuppa Site'!J170&lt;&gt;0,'Boletins Nuppa Site'!J170,"NULL")</f>
        <v>46</v>
      </c>
      <c r="H170" s="14">
        <f>IF('Boletins Nuppa Site'!K170&lt;&gt;0,'Boletins Nuppa Site'!K170,"NULL")</f>
        <v>48</v>
      </c>
      <c r="I170" t="str">
        <f t="shared" si="4"/>
        <v>INSERT INTO COTACAO (cot_id, cot_blt_id, cot_pap_id, cot_prc_comum, cot_prc_min, cot_prc_max, cot_prc_med, cot_prc_mediana) VALUES (169, 41, 13, NULL, 36, 54, 46, 48);</v>
      </c>
      <c r="J170" t="str">
        <f t="shared" si="5"/>
        <v>UPDATE COTACAO SET cot_id = 169, cot_blt_id = 41, cot_pap_id = 13, cot_prc_comum = NULL, cot_prc_min = 36, cot_prc_max = 54, cot_prc_med = 46, cot_prc_mediana = 48 WHERE cot_id = 169;</v>
      </c>
    </row>
    <row r="171" spans="1:10" x14ac:dyDescent="0.3">
      <c r="A171">
        <v>170</v>
      </c>
      <c r="B171">
        <f>IF('Boletins Nuppa Site'!A171&lt;&gt;0,'Boletins Nuppa Site'!A171,"NULL")</f>
        <v>41</v>
      </c>
      <c r="C171">
        <v>14</v>
      </c>
      <c r="D171" t="str">
        <f>IF('Boletins Nuppa Site'!G171&lt;&gt;0,'Boletins Nuppa Site'!G171,"NULL")</f>
        <v>NULL</v>
      </c>
      <c r="E171" s="14">
        <f>IF('Boletins Nuppa Site'!H171&lt;&gt;0,'Boletins Nuppa Site'!H171,"NULL")</f>
        <v>40</v>
      </c>
      <c r="F171" s="14">
        <f>IF('Boletins Nuppa Site'!I171&lt;&gt;0,'Boletins Nuppa Site'!I171,"NULL")</f>
        <v>40</v>
      </c>
      <c r="G171" s="14">
        <f>IF('Boletins Nuppa Site'!J171&lt;&gt;0,'Boletins Nuppa Site'!J171,"NULL")</f>
        <v>40</v>
      </c>
      <c r="H171" s="14">
        <f>IF('Boletins Nuppa Site'!K171&lt;&gt;0,'Boletins Nuppa Site'!K171,"NULL")</f>
        <v>40</v>
      </c>
      <c r="I171" t="str">
        <f t="shared" si="4"/>
        <v>INSERT INTO COTACAO (cot_id, cot_blt_id, cot_pap_id, cot_prc_comum, cot_prc_min, cot_prc_max, cot_prc_med, cot_prc_mediana) VALUES (170, 41, 14, NULL, 40, 40, 40, 40);</v>
      </c>
      <c r="J171" t="str">
        <f t="shared" si="5"/>
        <v>UPDATE COTACAO SET cot_id = 170, cot_blt_id = 41, cot_pap_id = 14, cot_prc_comum = NULL, cot_prc_min = 40, cot_prc_max = 40, cot_prc_med = 40, cot_prc_mediana = 40 WHERE cot_id = 170;</v>
      </c>
    </row>
    <row r="172" spans="1:10" x14ac:dyDescent="0.3">
      <c r="A172">
        <v>171</v>
      </c>
      <c r="B172">
        <f>IF('Boletins Nuppa Site'!A172&lt;&gt;0,'Boletins Nuppa Site'!A172,"NULL")</f>
        <v>41</v>
      </c>
      <c r="C172">
        <v>15</v>
      </c>
      <c r="D172" t="str">
        <f>IF('Boletins Nuppa Site'!G172&lt;&gt;0,'Boletins Nuppa Site'!G172,"NULL")</f>
        <v>NULL</v>
      </c>
      <c r="E172" s="14">
        <f>IF('Boletins Nuppa Site'!H172&lt;&gt;0,'Boletins Nuppa Site'!H172,"NULL")</f>
        <v>25</v>
      </c>
      <c r="F172" s="14">
        <f>IF('Boletins Nuppa Site'!I172&lt;&gt;0,'Boletins Nuppa Site'!I172,"NULL")</f>
        <v>40</v>
      </c>
      <c r="G172" t="str">
        <f>IF('Boletins Nuppa Site'!J172&lt;&gt;0,'Boletins Nuppa Site'!J172,"NULL")</f>
        <v>31.67</v>
      </c>
      <c r="H172" s="14">
        <f>IF('Boletins Nuppa Site'!K172&lt;&gt;0,'Boletins Nuppa Site'!K172,"NULL")</f>
        <v>30</v>
      </c>
      <c r="I172" t="str">
        <f t="shared" si="4"/>
        <v>INSERT INTO COTACAO (cot_id, cot_blt_id, cot_pap_id, cot_prc_comum, cot_prc_min, cot_prc_max, cot_prc_med, cot_prc_mediana) VALUES (171, 41, 15, NULL, 25, 40, 31.67, 30);</v>
      </c>
      <c r="J172" t="str">
        <f t="shared" si="5"/>
        <v>UPDATE COTACAO SET cot_id = 171, cot_blt_id = 41, cot_pap_id = 15, cot_prc_comum = NULL, cot_prc_min = 25, cot_prc_max = 40, cot_prc_med = 31.67, cot_prc_mediana = 30 WHERE cot_id = 171;</v>
      </c>
    </row>
    <row r="173" spans="1:10" x14ac:dyDescent="0.3">
      <c r="A173">
        <v>172</v>
      </c>
      <c r="B173">
        <f>IF('Boletins Nuppa Site'!A173&lt;&gt;0,'Boletins Nuppa Site'!A173,"NULL")</f>
        <v>41</v>
      </c>
      <c r="C173">
        <v>16</v>
      </c>
      <c r="D173" s="14">
        <f>IF('Boletins Nuppa Site'!G173&lt;&gt;0,'Boletins Nuppa Site'!G173,"NULL")</f>
        <v>36</v>
      </c>
      <c r="E173" s="14">
        <f>IF('Boletins Nuppa Site'!H173&lt;&gt;0,'Boletins Nuppa Site'!H173,"NULL")</f>
        <v>36</v>
      </c>
      <c r="F173" s="14">
        <f>IF('Boletins Nuppa Site'!I173&lt;&gt;0,'Boletins Nuppa Site'!I173,"NULL")</f>
        <v>42</v>
      </c>
      <c r="G173" s="14">
        <f>IF('Boletins Nuppa Site'!J173&lt;&gt;0,'Boletins Nuppa Site'!J173,"NULL")</f>
        <v>39</v>
      </c>
      <c r="H173" s="14">
        <f>IF('Boletins Nuppa Site'!K173&lt;&gt;0,'Boletins Nuppa Site'!K173,"NULL")</f>
        <v>39</v>
      </c>
      <c r="I173" t="str">
        <f t="shared" si="4"/>
        <v>INSERT INTO COTACAO (cot_id, cot_blt_id, cot_pap_id, cot_prc_comum, cot_prc_min, cot_prc_max, cot_prc_med, cot_prc_mediana) VALUES (172, 41, 16, 36, 36, 42, 39, 39);</v>
      </c>
      <c r="J173" t="str">
        <f t="shared" si="5"/>
        <v>UPDATE COTACAO SET cot_id = 172, cot_blt_id = 41, cot_pap_id = 16, cot_prc_comum = 36, cot_prc_min = 36, cot_prc_max = 42, cot_prc_med = 39, cot_prc_mediana = 39 WHERE cot_id = 172;</v>
      </c>
    </row>
    <row r="174" spans="1:10" x14ac:dyDescent="0.3">
      <c r="A174">
        <v>173</v>
      </c>
      <c r="B174">
        <f>IF('Boletins Nuppa Site'!A174&lt;&gt;0,'Boletins Nuppa Site'!A174,"NULL")</f>
        <v>41</v>
      </c>
      <c r="C174">
        <v>17</v>
      </c>
      <c r="D174" t="str">
        <f>IF('Boletins Nuppa Site'!G174&lt;&gt;0,'Boletins Nuppa Site'!G174,"NULL")</f>
        <v>NULL</v>
      </c>
      <c r="E174" t="str">
        <f>IF('Boletins Nuppa Site'!H174&lt;&gt;0,'Boletins Nuppa Site'!H174,"NULL")</f>
        <v>3.5</v>
      </c>
      <c r="F174" s="14">
        <f>IF('Boletins Nuppa Site'!I174&lt;&gt;0,'Boletins Nuppa Site'!I174,"NULL")</f>
        <v>5</v>
      </c>
      <c r="G174" t="str">
        <f>IF('Boletins Nuppa Site'!J174&lt;&gt;0,'Boletins Nuppa Site'!J174,"NULL")</f>
        <v>4.17</v>
      </c>
      <c r="H174" s="14">
        <f>IF('Boletins Nuppa Site'!K174&lt;&gt;0,'Boletins Nuppa Site'!K174,"NULL")</f>
        <v>4</v>
      </c>
      <c r="I174" t="str">
        <f t="shared" si="4"/>
        <v>INSERT INTO COTACAO (cot_id, cot_blt_id, cot_pap_id, cot_prc_comum, cot_prc_min, cot_prc_max, cot_prc_med, cot_prc_mediana) VALUES (173, 41, 17, NULL, 3.5, 5, 4.17, 4);</v>
      </c>
      <c r="J174" t="str">
        <f t="shared" si="5"/>
        <v>UPDATE COTACAO SET cot_id = 173, cot_blt_id = 41, cot_pap_id = 17, cot_prc_comum = NULL, cot_prc_min = 3.5, cot_prc_max = 5, cot_prc_med = 4.17, cot_prc_mediana = 4 WHERE cot_id = 173;</v>
      </c>
    </row>
    <row r="175" spans="1:10" x14ac:dyDescent="0.3">
      <c r="A175">
        <v>174</v>
      </c>
      <c r="B175">
        <f>IF('Boletins Nuppa Site'!A175&lt;&gt;0,'Boletins Nuppa Site'!A175,"NULL")</f>
        <v>41</v>
      </c>
      <c r="C175">
        <v>18</v>
      </c>
      <c r="D175" s="14">
        <f>IF('Boletins Nuppa Site'!G175&lt;&gt;0,'Boletins Nuppa Site'!G175,"NULL")</f>
        <v>20</v>
      </c>
      <c r="E175" s="14">
        <f>IF('Boletins Nuppa Site'!H175&lt;&gt;0,'Boletins Nuppa Site'!H175,"NULL")</f>
        <v>20</v>
      </c>
      <c r="F175" s="14">
        <f>IF('Boletins Nuppa Site'!I175&lt;&gt;0,'Boletins Nuppa Site'!I175,"NULL")</f>
        <v>22</v>
      </c>
      <c r="G175" t="str">
        <f>IF('Boletins Nuppa Site'!J175&lt;&gt;0,'Boletins Nuppa Site'!J175,"NULL")</f>
        <v>20.67</v>
      </c>
      <c r="H175" s="14">
        <f>IF('Boletins Nuppa Site'!K175&lt;&gt;0,'Boletins Nuppa Site'!K175,"NULL")</f>
        <v>20</v>
      </c>
      <c r="I175" t="str">
        <f t="shared" si="4"/>
        <v>INSERT INTO COTACAO (cot_id, cot_blt_id, cot_pap_id, cot_prc_comum, cot_prc_min, cot_prc_max, cot_prc_med, cot_prc_mediana) VALUES (174, 41, 18, 20, 20, 22, 20.67, 20);</v>
      </c>
      <c r="J175" t="str">
        <f t="shared" si="5"/>
        <v>UPDATE COTACAO SET cot_id = 174, cot_blt_id = 41, cot_pap_id = 18, cot_prc_comum = 20, cot_prc_min = 20, cot_prc_max = 22, cot_prc_med = 20.67, cot_prc_mediana = 20 WHERE cot_id = 174;</v>
      </c>
    </row>
    <row r="176" spans="1:10" x14ac:dyDescent="0.3">
      <c r="A176">
        <v>175</v>
      </c>
      <c r="B176">
        <f>IF('Boletins Nuppa Site'!A176&lt;&gt;0,'Boletins Nuppa Site'!A176,"NULL")</f>
        <v>41</v>
      </c>
      <c r="C176">
        <v>19</v>
      </c>
      <c r="D176" s="14">
        <f>IF('Boletins Nuppa Site'!G176&lt;&gt;0,'Boletins Nuppa Site'!G176,"NULL")</f>
        <v>20</v>
      </c>
      <c r="E176" s="14">
        <f>IF('Boletins Nuppa Site'!H176&lt;&gt;0,'Boletins Nuppa Site'!H176,"NULL")</f>
        <v>20</v>
      </c>
      <c r="F176" s="14">
        <f>IF('Boletins Nuppa Site'!I176&lt;&gt;0,'Boletins Nuppa Site'!I176,"NULL")</f>
        <v>30</v>
      </c>
      <c r="G176" t="str">
        <f>IF('Boletins Nuppa Site'!J176&lt;&gt;0,'Boletins Nuppa Site'!J176,"NULL")</f>
        <v>23.33</v>
      </c>
      <c r="H176" s="14">
        <f>IF('Boletins Nuppa Site'!K176&lt;&gt;0,'Boletins Nuppa Site'!K176,"NULL")</f>
        <v>20</v>
      </c>
      <c r="I176" t="str">
        <f t="shared" si="4"/>
        <v>INSERT INTO COTACAO (cot_id, cot_blt_id, cot_pap_id, cot_prc_comum, cot_prc_min, cot_prc_max, cot_prc_med, cot_prc_mediana) VALUES (175, 41, 19, 20, 20, 30, 23.33, 20);</v>
      </c>
      <c r="J176" t="str">
        <f t="shared" si="5"/>
        <v>UPDATE COTACAO SET cot_id = 175, cot_blt_id = 41, cot_pap_id = 19, cot_prc_comum = 20, cot_prc_min = 20, cot_prc_max = 30, cot_prc_med = 23.33, cot_prc_mediana = 20 WHERE cot_id = 175;</v>
      </c>
    </row>
    <row r="177" spans="1:10" x14ac:dyDescent="0.3">
      <c r="A177">
        <v>176</v>
      </c>
      <c r="B177">
        <f>IF('Boletins Nuppa Site'!A177&lt;&gt;0,'Boletins Nuppa Site'!A177,"NULL")</f>
        <v>41</v>
      </c>
      <c r="C177">
        <v>21</v>
      </c>
      <c r="D177" s="14">
        <f>IF('Boletins Nuppa Site'!G177&lt;&gt;0,'Boletins Nuppa Site'!G177,"NULL")</f>
        <v>35</v>
      </c>
      <c r="E177" s="14">
        <f>IF('Boletins Nuppa Site'!H177&lt;&gt;0,'Boletins Nuppa Site'!H177,"NULL")</f>
        <v>35</v>
      </c>
      <c r="F177" s="14">
        <f>IF('Boletins Nuppa Site'!I177&lt;&gt;0,'Boletins Nuppa Site'!I177,"NULL")</f>
        <v>65</v>
      </c>
      <c r="G177" t="str">
        <f>IF('Boletins Nuppa Site'!J177&lt;&gt;0,'Boletins Nuppa Site'!J177,"NULL")</f>
        <v>50.71</v>
      </c>
      <c r="H177" s="14">
        <f>IF('Boletins Nuppa Site'!K177&lt;&gt;0,'Boletins Nuppa Site'!K177,"NULL")</f>
        <v>50</v>
      </c>
      <c r="I177" t="str">
        <f t="shared" si="4"/>
        <v>INSERT INTO COTACAO (cot_id, cot_blt_id, cot_pap_id, cot_prc_comum, cot_prc_min, cot_prc_max, cot_prc_med, cot_prc_mediana) VALUES (176, 41, 21, 35, 35, 65, 50.71, 50);</v>
      </c>
      <c r="J177" t="str">
        <f t="shared" si="5"/>
        <v>UPDATE COTACAO SET cot_id = 176, cot_blt_id = 41, cot_pap_id = 21, cot_prc_comum = 35, cot_prc_min = 35, cot_prc_max = 65, cot_prc_med = 50.71, cot_prc_mediana = 50 WHERE cot_id = 176;</v>
      </c>
    </row>
    <row r="178" spans="1:10" x14ac:dyDescent="0.3">
      <c r="A178">
        <v>177</v>
      </c>
      <c r="B178">
        <f>IF('Boletins Nuppa Site'!A178&lt;&gt;0,'Boletins Nuppa Site'!A178,"NULL")</f>
        <v>41</v>
      </c>
      <c r="C178">
        <v>22</v>
      </c>
      <c r="D178" s="14">
        <f>IF('Boletins Nuppa Site'!G178&lt;&gt;0,'Boletins Nuppa Site'!G178,"NULL")</f>
        <v>35</v>
      </c>
      <c r="E178" s="14">
        <f>IF('Boletins Nuppa Site'!H178&lt;&gt;0,'Boletins Nuppa Site'!H178,"NULL")</f>
        <v>35</v>
      </c>
      <c r="F178" s="14">
        <f>IF('Boletins Nuppa Site'!I178&lt;&gt;0,'Boletins Nuppa Site'!I178,"NULL")</f>
        <v>65</v>
      </c>
      <c r="G178" t="str">
        <f>IF('Boletins Nuppa Site'!J178&lt;&gt;0,'Boletins Nuppa Site'!J178,"NULL")</f>
        <v>49.29</v>
      </c>
      <c r="H178" s="14">
        <f>IF('Boletins Nuppa Site'!K178&lt;&gt;0,'Boletins Nuppa Site'!K178,"NULL")</f>
        <v>55</v>
      </c>
      <c r="I178" t="str">
        <f t="shared" si="4"/>
        <v>INSERT INTO COTACAO (cot_id, cot_blt_id, cot_pap_id, cot_prc_comum, cot_prc_min, cot_prc_max, cot_prc_med, cot_prc_mediana) VALUES (177, 41, 22, 35, 35, 65, 49.29, 55);</v>
      </c>
      <c r="J178" t="str">
        <f t="shared" si="5"/>
        <v>UPDATE COTACAO SET cot_id = 177, cot_blt_id = 41, cot_pap_id = 22, cot_prc_comum = 35, cot_prc_min = 35, cot_prc_max = 65, cot_prc_med = 49.29, cot_prc_mediana = 55 WHERE cot_id = 177;</v>
      </c>
    </row>
    <row r="179" spans="1:10" x14ac:dyDescent="0.3">
      <c r="A179">
        <v>178</v>
      </c>
      <c r="B179">
        <f>IF('Boletins Nuppa Site'!A179&lt;&gt;0,'Boletins Nuppa Site'!A179,"NULL")</f>
        <v>41</v>
      </c>
      <c r="C179">
        <v>23</v>
      </c>
      <c r="D179" s="14">
        <f>IF('Boletins Nuppa Site'!G179&lt;&gt;0,'Boletins Nuppa Site'!G179,"NULL")</f>
        <v>35</v>
      </c>
      <c r="E179" s="14">
        <f>IF('Boletins Nuppa Site'!H179&lt;&gt;0,'Boletins Nuppa Site'!H179,"NULL")</f>
        <v>30</v>
      </c>
      <c r="F179" s="14">
        <f>IF('Boletins Nuppa Site'!I179&lt;&gt;0,'Boletins Nuppa Site'!I179,"NULL")</f>
        <v>50</v>
      </c>
      <c r="G179" t="str">
        <f>IF('Boletins Nuppa Site'!J179&lt;&gt;0,'Boletins Nuppa Site'!J179,"NULL")</f>
        <v>37.86</v>
      </c>
      <c r="H179" s="14">
        <f>IF('Boletins Nuppa Site'!K179&lt;&gt;0,'Boletins Nuppa Site'!K179,"NULL")</f>
        <v>35</v>
      </c>
      <c r="I179" t="str">
        <f t="shared" si="4"/>
        <v>INSERT INTO COTACAO (cot_id, cot_blt_id, cot_pap_id, cot_prc_comum, cot_prc_min, cot_prc_max, cot_prc_med, cot_prc_mediana) VALUES (178, 41, 23, 35, 30, 50, 37.86, 35);</v>
      </c>
      <c r="J179" t="str">
        <f t="shared" si="5"/>
        <v>UPDATE COTACAO SET cot_id = 178, cot_blt_id = 41, cot_pap_id = 23, cot_prc_comum = 35, cot_prc_min = 30, cot_prc_max = 50, cot_prc_med = 37.86, cot_prc_mediana = 35 WHERE cot_id = 178;</v>
      </c>
    </row>
    <row r="180" spans="1:10" x14ac:dyDescent="0.3">
      <c r="A180">
        <v>179</v>
      </c>
      <c r="B180">
        <f>IF('Boletins Nuppa Site'!A180&lt;&gt;0,'Boletins Nuppa Site'!A180,"NULL")</f>
        <v>41</v>
      </c>
      <c r="C180">
        <v>24</v>
      </c>
      <c r="D180" s="14">
        <f>IF('Boletins Nuppa Site'!G180&lt;&gt;0,'Boletins Nuppa Site'!G180,"NULL")</f>
        <v>100</v>
      </c>
      <c r="E180" s="14">
        <f>IF('Boletins Nuppa Site'!H180&lt;&gt;0,'Boletins Nuppa Site'!H180,"NULL")</f>
        <v>100</v>
      </c>
      <c r="F180" s="14">
        <f>IF('Boletins Nuppa Site'!I180&lt;&gt;0,'Boletins Nuppa Site'!I180,"NULL")</f>
        <v>110</v>
      </c>
      <c r="G180" t="str">
        <f>IF('Boletins Nuppa Site'!J180&lt;&gt;0,'Boletins Nuppa Site'!J180,"NULL")</f>
        <v>103.33</v>
      </c>
      <c r="H180" s="14">
        <f>IF('Boletins Nuppa Site'!K180&lt;&gt;0,'Boletins Nuppa Site'!K180,"NULL")</f>
        <v>100</v>
      </c>
      <c r="I180" t="str">
        <f t="shared" si="4"/>
        <v>INSERT INTO COTACAO (cot_id, cot_blt_id, cot_pap_id, cot_prc_comum, cot_prc_min, cot_prc_max, cot_prc_med, cot_prc_mediana) VALUES (179, 41, 24, 100, 100, 110, 103.33, 100);</v>
      </c>
      <c r="J180" t="str">
        <f t="shared" si="5"/>
        <v>UPDATE COTACAO SET cot_id = 179, cot_blt_id = 41, cot_pap_id = 24, cot_prc_comum = 100, cot_prc_min = 100, cot_prc_max = 110, cot_prc_med = 103.33, cot_prc_mediana = 100 WHERE cot_id = 179;</v>
      </c>
    </row>
    <row r="181" spans="1:10" x14ac:dyDescent="0.3">
      <c r="A181">
        <v>180</v>
      </c>
      <c r="B181">
        <f>IF('Boletins Nuppa Site'!A181&lt;&gt;0,'Boletins Nuppa Site'!A181,"NULL")</f>
        <v>41</v>
      </c>
      <c r="C181">
        <v>25</v>
      </c>
      <c r="D181" s="14">
        <f>IF('Boletins Nuppa Site'!G181&lt;&gt;0,'Boletins Nuppa Site'!G181,"NULL")</f>
        <v>50</v>
      </c>
      <c r="E181" s="14">
        <f>IF('Boletins Nuppa Site'!H181&lt;&gt;0,'Boletins Nuppa Site'!H181,"NULL")</f>
        <v>40</v>
      </c>
      <c r="F181" s="14">
        <f>IF('Boletins Nuppa Site'!I181&lt;&gt;0,'Boletins Nuppa Site'!I181,"NULL")</f>
        <v>55</v>
      </c>
      <c r="G181" t="str">
        <f>IF('Boletins Nuppa Site'!J181&lt;&gt;0,'Boletins Nuppa Site'!J181,"NULL")</f>
        <v>49.17</v>
      </c>
      <c r="H181" s="14">
        <f>IF('Boletins Nuppa Site'!K181&lt;&gt;0,'Boletins Nuppa Site'!K181,"NULL")</f>
        <v>50</v>
      </c>
      <c r="I181" t="str">
        <f t="shared" si="4"/>
        <v>INSERT INTO COTACAO (cot_id, cot_blt_id, cot_pap_id, cot_prc_comum, cot_prc_min, cot_prc_max, cot_prc_med, cot_prc_mediana) VALUES (180, 41, 25, 50, 40, 55, 49.17, 50);</v>
      </c>
      <c r="J181" t="str">
        <f t="shared" si="5"/>
        <v>UPDATE COTACAO SET cot_id = 180, cot_blt_id = 41, cot_pap_id = 25, cot_prc_comum = 50, cot_prc_min = 40, cot_prc_max = 55, cot_prc_med = 49.17, cot_prc_mediana = 50 WHERE cot_id = 180;</v>
      </c>
    </row>
    <row r="182" spans="1:10" x14ac:dyDescent="0.3">
      <c r="A182">
        <v>181</v>
      </c>
      <c r="B182">
        <f>IF('Boletins Nuppa Site'!A182&lt;&gt;0,'Boletins Nuppa Site'!A182,"NULL")</f>
        <v>41</v>
      </c>
      <c r="C182">
        <v>26</v>
      </c>
      <c r="D182" s="14">
        <f>IF('Boletins Nuppa Site'!G182&lt;&gt;0,'Boletins Nuppa Site'!G182,"NULL")</f>
        <v>70</v>
      </c>
      <c r="E182" s="14">
        <f>IF('Boletins Nuppa Site'!H182&lt;&gt;0,'Boletins Nuppa Site'!H182,"NULL")</f>
        <v>60</v>
      </c>
      <c r="F182" s="14">
        <f>IF('Boletins Nuppa Site'!I182&lt;&gt;0,'Boletins Nuppa Site'!I182,"NULL")</f>
        <v>70</v>
      </c>
      <c r="G182" t="str">
        <f>IF('Boletins Nuppa Site'!J182&lt;&gt;0,'Boletins Nuppa Site'!J182,"NULL")</f>
        <v>66.67</v>
      </c>
      <c r="H182" t="str">
        <f>IF('Boletins Nuppa Site'!K182&lt;&gt;0,'Boletins Nuppa Site'!K182,"NULL")</f>
        <v>67.5</v>
      </c>
      <c r="I182" t="str">
        <f t="shared" si="4"/>
        <v>INSERT INTO COTACAO (cot_id, cot_blt_id, cot_pap_id, cot_prc_comum, cot_prc_min, cot_prc_max, cot_prc_med, cot_prc_mediana) VALUES (181, 41, 26, 70, 60, 70, 66.67, 67.5);</v>
      </c>
      <c r="J182" t="str">
        <f t="shared" si="5"/>
        <v>UPDATE COTACAO SET cot_id = 181, cot_blt_id = 41, cot_pap_id = 26, cot_prc_comum = 70, cot_prc_min = 60, cot_prc_max = 70, cot_prc_med = 66.67, cot_prc_mediana = 67.5 WHERE cot_id = 181;</v>
      </c>
    </row>
    <row r="183" spans="1:10" x14ac:dyDescent="0.3">
      <c r="A183">
        <v>182</v>
      </c>
      <c r="B183">
        <f>IF('Boletins Nuppa Site'!A183&lt;&gt;0,'Boletins Nuppa Site'!A183,"NULL")</f>
        <v>41</v>
      </c>
      <c r="C183">
        <v>27</v>
      </c>
      <c r="D183" s="14">
        <f>IF('Boletins Nuppa Site'!G183&lt;&gt;0,'Boletins Nuppa Site'!G183,"NULL")</f>
        <v>70</v>
      </c>
      <c r="E183" s="14">
        <f>IF('Boletins Nuppa Site'!H183&lt;&gt;0,'Boletins Nuppa Site'!H183,"NULL")</f>
        <v>70</v>
      </c>
      <c r="F183" s="14">
        <f>IF('Boletins Nuppa Site'!I183&lt;&gt;0,'Boletins Nuppa Site'!I183,"NULL")</f>
        <v>75</v>
      </c>
      <c r="G183" t="str">
        <f>IF('Boletins Nuppa Site'!J183&lt;&gt;0,'Boletins Nuppa Site'!J183,"NULL")</f>
        <v>70.83</v>
      </c>
      <c r="H183" s="14">
        <f>IF('Boletins Nuppa Site'!K183&lt;&gt;0,'Boletins Nuppa Site'!K183,"NULL")</f>
        <v>70</v>
      </c>
      <c r="I183" t="str">
        <f t="shared" si="4"/>
        <v>INSERT INTO COTACAO (cot_id, cot_blt_id, cot_pap_id, cot_prc_comum, cot_prc_min, cot_prc_max, cot_prc_med, cot_prc_mediana) VALUES (182, 41, 27, 70, 70, 75, 70.83, 70);</v>
      </c>
      <c r="J183" t="str">
        <f t="shared" si="5"/>
        <v>UPDATE COTACAO SET cot_id = 182, cot_blt_id = 41, cot_pap_id = 27, cot_prc_comum = 70, cot_prc_min = 70, cot_prc_max = 75, cot_prc_med = 70.83, cot_prc_mediana = 70 WHERE cot_id = 182;</v>
      </c>
    </row>
    <row r="184" spans="1:10" x14ac:dyDescent="0.3">
      <c r="A184">
        <v>183</v>
      </c>
      <c r="B184">
        <f>IF('Boletins Nuppa Site'!A184&lt;&gt;0,'Boletins Nuppa Site'!A184,"NULL")</f>
        <v>41</v>
      </c>
      <c r="C184">
        <v>28</v>
      </c>
      <c r="D184" s="14">
        <f>IF('Boletins Nuppa Site'!G184&lt;&gt;0,'Boletins Nuppa Site'!G184,"NULL")</f>
        <v>70</v>
      </c>
      <c r="E184" s="14">
        <f>IF('Boletins Nuppa Site'!H184&lt;&gt;0,'Boletins Nuppa Site'!H184,"NULL")</f>
        <v>60</v>
      </c>
      <c r="F184" s="14">
        <f>IF('Boletins Nuppa Site'!I184&lt;&gt;0,'Boletins Nuppa Site'!I184,"NULL")</f>
        <v>80</v>
      </c>
      <c r="G184" s="14">
        <f>IF('Boletins Nuppa Site'!J184&lt;&gt;0,'Boletins Nuppa Site'!J184,"NULL")</f>
        <v>70</v>
      </c>
      <c r="H184" s="14">
        <f>IF('Boletins Nuppa Site'!K184&lt;&gt;0,'Boletins Nuppa Site'!K184,"NULL")</f>
        <v>70</v>
      </c>
      <c r="I184" t="str">
        <f t="shared" si="4"/>
        <v>INSERT INTO COTACAO (cot_id, cot_blt_id, cot_pap_id, cot_prc_comum, cot_prc_min, cot_prc_max, cot_prc_med, cot_prc_mediana) VALUES (183, 41, 28, 70, 60, 80, 70, 70);</v>
      </c>
      <c r="J184" t="str">
        <f t="shared" si="5"/>
        <v>UPDATE COTACAO SET cot_id = 183, cot_blt_id = 41, cot_pap_id = 28, cot_prc_comum = 70, cot_prc_min = 60, cot_prc_max = 80, cot_prc_med = 70, cot_prc_mediana = 70 WHERE cot_id = 183;</v>
      </c>
    </row>
    <row r="185" spans="1:10" x14ac:dyDescent="0.3">
      <c r="A185">
        <v>184</v>
      </c>
      <c r="B185">
        <f>IF('Boletins Nuppa Site'!A185&lt;&gt;0,'Boletins Nuppa Site'!A185,"NULL")</f>
        <v>41</v>
      </c>
      <c r="C185">
        <v>29</v>
      </c>
      <c r="D185" t="str">
        <f>IF('Boletins Nuppa Site'!G185&lt;&gt;0,'Boletins Nuppa Site'!G185,"NULL")</f>
        <v>NULL</v>
      </c>
      <c r="E185" s="14">
        <f>IF('Boletins Nuppa Site'!H185&lt;&gt;0,'Boletins Nuppa Site'!H185,"NULL")</f>
        <v>60</v>
      </c>
      <c r="F185" s="14">
        <f>IF('Boletins Nuppa Site'!I185&lt;&gt;0,'Boletins Nuppa Site'!I185,"NULL")</f>
        <v>60</v>
      </c>
      <c r="G185" s="14">
        <f>IF('Boletins Nuppa Site'!J185&lt;&gt;0,'Boletins Nuppa Site'!J185,"NULL")</f>
        <v>60</v>
      </c>
      <c r="H185" s="14">
        <f>IF('Boletins Nuppa Site'!K185&lt;&gt;0,'Boletins Nuppa Site'!K185,"NULL")</f>
        <v>60</v>
      </c>
      <c r="I185" t="str">
        <f t="shared" si="4"/>
        <v>INSERT INTO COTACAO (cot_id, cot_blt_id, cot_pap_id, cot_prc_comum, cot_prc_min, cot_prc_max, cot_prc_med, cot_prc_mediana) VALUES (184, 41, 29, NULL, 60, 60, 60, 60);</v>
      </c>
      <c r="J185" t="str">
        <f t="shared" si="5"/>
        <v>UPDATE COTACAO SET cot_id = 184, cot_blt_id = 41, cot_pap_id = 29, cot_prc_comum = NULL, cot_prc_min = 60, cot_prc_max = 60, cot_prc_med = 60, cot_prc_mediana = 60 WHERE cot_id = 184;</v>
      </c>
    </row>
    <row r="186" spans="1:10" x14ac:dyDescent="0.3">
      <c r="A186">
        <v>185</v>
      </c>
      <c r="B186">
        <f>IF('Boletins Nuppa Site'!A186&lt;&gt;0,'Boletins Nuppa Site'!A186,"NULL")</f>
        <v>41</v>
      </c>
      <c r="C186">
        <v>30</v>
      </c>
      <c r="D186" s="14">
        <f>IF('Boletins Nuppa Site'!G186&lt;&gt;0,'Boletins Nuppa Site'!G186,"NULL")</f>
        <v>50</v>
      </c>
      <c r="E186" s="14">
        <f>IF('Boletins Nuppa Site'!H186&lt;&gt;0,'Boletins Nuppa Site'!H186,"NULL")</f>
        <v>40</v>
      </c>
      <c r="F186" s="14">
        <f>IF('Boletins Nuppa Site'!I186&lt;&gt;0,'Boletins Nuppa Site'!I186,"NULL")</f>
        <v>50</v>
      </c>
      <c r="G186" t="str">
        <f>IF('Boletins Nuppa Site'!J186&lt;&gt;0,'Boletins Nuppa Site'!J186,"NULL")</f>
        <v>47.5</v>
      </c>
      <c r="H186" s="14">
        <f>IF('Boletins Nuppa Site'!K186&lt;&gt;0,'Boletins Nuppa Site'!K186,"NULL")</f>
        <v>50</v>
      </c>
      <c r="I186" t="str">
        <f t="shared" si="4"/>
        <v>INSERT INTO COTACAO (cot_id, cot_blt_id, cot_pap_id, cot_prc_comum, cot_prc_min, cot_prc_max, cot_prc_med, cot_prc_mediana) VALUES (185, 41, 30, 50, 40, 50, 47.5, 50);</v>
      </c>
      <c r="J186" t="str">
        <f t="shared" si="5"/>
        <v>UPDATE COTACAO SET cot_id = 185, cot_blt_id = 41, cot_pap_id = 30, cot_prc_comum = 50, cot_prc_min = 40, cot_prc_max = 50, cot_prc_med = 47.5, cot_prc_mediana = 50 WHERE cot_id = 185;</v>
      </c>
    </row>
    <row r="187" spans="1:10" x14ac:dyDescent="0.3">
      <c r="A187">
        <v>186</v>
      </c>
      <c r="B187">
        <f>IF('Boletins Nuppa Site'!A187&lt;&gt;0,'Boletins Nuppa Site'!A187,"NULL")</f>
        <v>41</v>
      </c>
      <c r="C187">
        <v>31</v>
      </c>
      <c r="D187" s="14">
        <f>IF('Boletins Nuppa Site'!G187&lt;&gt;0,'Boletins Nuppa Site'!G187,"NULL")</f>
        <v>80</v>
      </c>
      <c r="E187" s="14">
        <f>IF('Boletins Nuppa Site'!H187&lt;&gt;0,'Boletins Nuppa Site'!H187,"NULL")</f>
        <v>65</v>
      </c>
      <c r="F187" s="14">
        <f>IF('Boletins Nuppa Site'!I187&lt;&gt;0,'Boletins Nuppa Site'!I187,"NULL")</f>
        <v>80</v>
      </c>
      <c r="G187" s="14">
        <f>IF('Boletins Nuppa Site'!J187&lt;&gt;0,'Boletins Nuppa Site'!J187,"NULL")</f>
        <v>75</v>
      </c>
      <c r="H187" s="14">
        <f>IF('Boletins Nuppa Site'!K187&lt;&gt;0,'Boletins Nuppa Site'!K187,"NULL")</f>
        <v>80</v>
      </c>
      <c r="I187" t="str">
        <f t="shared" si="4"/>
        <v>INSERT INTO COTACAO (cot_id, cot_blt_id, cot_pap_id, cot_prc_comum, cot_prc_min, cot_prc_max, cot_prc_med, cot_prc_mediana) VALUES (186, 41, 31, 80, 65, 80, 75, 80);</v>
      </c>
      <c r="J187" t="str">
        <f t="shared" si="5"/>
        <v>UPDATE COTACAO SET cot_id = 186, cot_blt_id = 41, cot_pap_id = 31, cot_prc_comum = 80, cot_prc_min = 65, cot_prc_max = 80, cot_prc_med = 75, cot_prc_mediana = 80 WHERE cot_id = 186;</v>
      </c>
    </row>
    <row r="188" spans="1:10" x14ac:dyDescent="0.3">
      <c r="A188">
        <v>187</v>
      </c>
      <c r="B188">
        <f>IF('Boletins Nuppa Site'!A188&lt;&gt;0,'Boletins Nuppa Site'!A188,"NULL")</f>
        <v>41</v>
      </c>
      <c r="C188">
        <v>32</v>
      </c>
      <c r="D188" s="14">
        <f>IF('Boletins Nuppa Site'!G188&lt;&gt;0,'Boletins Nuppa Site'!G188,"NULL")</f>
        <v>35</v>
      </c>
      <c r="E188" s="14">
        <f>IF('Boletins Nuppa Site'!H188&lt;&gt;0,'Boletins Nuppa Site'!H188,"NULL")</f>
        <v>30</v>
      </c>
      <c r="F188" s="14">
        <f>IF('Boletins Nuppa Site'!I188&lt;&gt;0,'Boletins Nuppa Site'!I188,"NULL")</f>
        <v>45</v>
      </c>
      <c r="G188" t="str">
        <f>IF('Boletins Nuppa Site'!J188&lt;&gt;0,'Boletins Nuppa Site'!J188,"NULL")</f>
        <v>36.43</v>
      </c>
      <c r="H188" s="14">
        <f>IF('Boletins Nuppa Site'!K188&lt;&gt;0,'Boletins Nuppa Site'!K188,"NULL")</f>
        <v>35</v>
      </c>
      <c r="I188" t="str">
        <f t="shared" si="4"/>
        <v>INSERT INTO COTACAO (cot_id, cot_blt_id, cot_pap_id, cot_prc_comum, cot_prc_min, cot_prc_max, cot_prc_med, cot_prc_mediana) VALUES (187, 41, 32, 35, 30, 45, 36.43, 35);</v>
      </c>
      <c r="J188" t="str">
        <f t="shared" si="5"/>
        <v>UPDATE COTACAO SET cot_id = 187, cot_blt_id = 41, cot_pap_id = 32, cot_prc_comum = 35, cot_prc_min = 30, cot_prc_max = 45, cot_prc_med = 36.43, cot_prc_mediana = 35 WHERE cot_id = 187;</v>
      </c>
    </row>
    <row r="189" spans="1:10" x14ac:dyDescent="0.3">
      <c r="A189">
        <v>188</v>
      </c>
      <c r="B189">
        <f>IF('Boletins Nuppa Site'!A189&lt;&gt;0,'Boletins Nuppa Site'!A189,"NULL")</f>
        <v>41</v>
      </c>
      <c r="C189">
        <v>33</v>
      </c>
      <c r="D189" s="14">
        <f>IF('Boletins Nuppa Site'!G189&lt;&gt;0,'Boletins Nuppa Site'!G189,"NULL")</f>
        <v>70</v>
      </c>
      <c r="E189" s="14">
        <f>IF('Boletins Nuppa Site'!H189&lt;&gt;0,'Boletins Nuppa Site'!H189,"NULL")</f>
        <v>70</v>
      </c>
      <c r="F189" s="14">
        <f>IF('Boletins Nuppa Site'!I189&lt;&gt;0,'Boletins Nuppa Site'!I189,"NULL")</f>
        <v>100</v>
      </c>
      <c r="G189" t="str">
        <f>IF('Boletins Nuppa Site'!J189&lt;&gt;0,'Boletins Nuppa Site'!J189,"NULL")</f>
        <v>78.57</v>
      </c>
      <c r="H189" s="14">
        <f>IF('Boletins Nuppa Site'!K189&lt;&gt;0,'Boletins Nuppa Site'!K189,"NULL")</f>
        <v>70</v>
      </c>
      <c r="I189" t="str">
        <f t="shared" si="4"/>
        <v>INSERT INTO COTACAO (cot_id, cot_blt_id, cot_pap_id, cot_prc_comum, cot_prc_min, cot_prc_max, cot_prc_med, cot_prc_mediana) VALUES (188, 41, 33, 70, 70, 100, 78.57, 70);</v>
      </c>
      <c r="J189" t="str">
        <f t="shared" si="5"/>
        <v>UPDATE COTACAO SET cot_id = 188, cot_blt_id = 41, cot_pap_id = 33, cot_prc_comum = 70, cot_prc_min = 70, cot_prc_max = 100, cot_prc_med = 78.57, cot_prc_mediana = 70 WHERE cot_id = 188;</v>
      </c>
    </row>
    <row r="190" spans="1:10" x14ac:dyDescent="0.3">
      <c r="A190">
        <v>189</v>
      </c>
      <c r="B190">
        <f>IF('Boletins Nuppa Site'!A190&lt;&gt;0,'Boletins Nuppa Site'!A190,"NULL")</f>
        <v>41</v>
      </c>
      <c r="C190">
        <v>34</v>
      </c>
      <c r="D190" s="14">
        <f>IF('Boletins Nuppa Site'!G190&lt;&gt;0,'Boletins Nuppa Site'!G190,"NULL")</f>
        <v>100</v>
      </c>
      <c r="E190" s="14">
        <f>IF('Boletins Nuppa Site'!H190&lt;&gt;0,'Boletins Nuppa Site'!H190,"NULL")</f>
        <v>90</v>
      </c>
      <c r="F190" s="14">
        <f>IF('Boletins Nuppa Site'!I190&lt;&gt;0,'Boletins Nuppa Site'!I190,"NULL")</f>
        <v>110</v>
      </c>
      <c r="G190" t="str">
        <f>IF('Boletins Nuppa Site'!J190&lt;&gt;0,'Boletins Nuppa Site'!J190,"NULL")</f>
        <v>102.86</v>
      </c>
      <c r="H190" s="14">
        <f>IF('Boletins Nuppa Site'!K190&lt;&gt;0,'Boletins Nuppa Site'!K190,"NULL")</f>
        <v>100</v>
      </c>
      <c r="I190" t="str">
        <f t="shared" si="4"/>
        <v>INSERT INTO COTACAO (cot_id, cot_blt_id, cot_pap_id, cot_prc_comum, cot_prc_min, cot_prc_max, cot_prc_med, cot_prc_mediana) VALUES (189, 41, 34, 100, 90, 110, 102.86, 100);</v>
      </c>
      <c r="J190" t="str">
        <f t="shared" si="5"/>
        <v>UPDATE COTACAO SET cot_id = 189, cot_blt_id = 41, cot_pap_id = 34, cot_prc_comum = 100, cot_prc_min = 90, cot_prc_max = 110, cot_prc_med = 102.86, cot_prc_mediana = 100 WHERE cot_id = 189;</v>
      </c>
    </row>
    <row r="191" spans="1:10" x14ac:dyDescent="0.3">
      <c r="A191">
        <v>190</v>
      </c>
      <c r="B191">
        <f>IF('Boletins Nuppa Site'!A191&lt;&gt;0,'Boletins Nuppa Site'!A191,"NULL")</f>
        <v>41</v>
      </c>
      <c r="C191">
        <v>35</v>
      </c>
      <c r="D191" s="14">
        <f>IF('Boletins Nuppa Site'!G191&lt;&gt;0,'Boletins Nuppa Site'!G191,"NULL")</f>
        <v>35</v>
      </c>
      <c r="E191" s="14">
        <f>IF('Boletins Nuppa Site'!H191&lt;&gt;0,'Boletins Nuppa Site'!H191,"NULL")</f>
        <v>35</v>
      </c>
      <c r="F191" s="14">
        <f>IF('Boletins Nuppa Site'!I191&lt;&gt;0,'Boletins Nuppa Site'!I191,"NULL")</f>
        <v>65</v>
      </c>
      <c r="G191" t="str">
        <f>IF('Boletins Nuppa Site'!J191&lt;&gt;0,'Boletins Nuppa Site'!J191,"NULL")</f>
        <v>50.71</v>
      </c>
      <c r="H191" s="14">
        <f>IF('Boletins Nuppa Site'!K191&lt;&gt;0,'Boletins Nuppa Site'!K191,"NULL")</f>
        <v>50</v>
      </c>
      <c r="I191" t="str">
        <f t="shared" si="4"/>
        <v>INSERT INTO COTACAO (cot_id, cot_blt_id, cot_pap_id, cot_prc_comum, cot_prc_min, cot_prc_max, cot_prc_med, cot_prc_mediana) VALUES (190, 41, 35, 35, 35, 65, 50.71, 50);</v>
      </c>
      <c r="J191" t="str">
        <f t="shared" si="5"/>
        <v>UPDATE COTACAO SET cot_id = 190, cot_blt_id = 41, cot_pap_id = 35, cot_prc_comum = 35, cot_prc_min = 35, cot_prc_max = 65, cot_prc_med = 50.71, cot_prc_mediana = 50 WHERE cot_id = 190;</v>
      </c>
    </row>
    <row r="192" spans="1:10" x14ac:dyDescent="0.3">
      <c r="A192">
        <v>191</v>
      </c>
      <c r="B192">
        <f>IF('Boletins Nuppa Site'!A192&lt;&gt;0,'Boletins Nuppa Site'!A192,"NULL")</f>
        <v>41</v>
      </c>
      <c r="C192">
        <v>36</v>
      </c>
      <c r="D192" t="str">
        <f>IF('Boletins Nuppa Site'!G192&lt;&gt;0,'Boletins Nuppa Site'!G192,"NULL")</f>
        <v>NULL</v>
      </c>
      <c r="E192" t="str">
        <f>IF('Boletins Nuppa Site'!H192&lt;&gt;0,'Boletins Nuppa Site'!H192,"NULL")</f>
        <v>NULL</v>
      </c>
      <c r="F192" t="str">
        <f>IF('Boletins Nuppa Site'!I192&lt;&gt;0,'Boletins Nuppa Site'!I192,"NULL")</f>
        <v>NULL</v>
      </c>
      <c r="G192" t="str">
        <f>IF('Boletins Nuppa Site'!J192&lt;&gt;0,'Boletins Nuppa Site'!J192,"NULL")</f>
        <v>NULL</v>
      </c>
      <c r="H192" t="str">
        <f>IF('Boletins Nuppa Site'!K192&lt;&gt;0,'Boletins Nuppa Site'!K192,"NULL")</f>
        <v>NULL</v>
      </c>
      <c r="I192" t="str">
        <f t="shared" si="4"/>
        <v>INSERT INTO COTACAO (cot_id, cot_blt_id, cot_pap_id, cot_prc_comum, cot_prc_min, cot_prc_max, cot_prc_med, cot_prc_mediana) VALUES (191, 41, 36, NULL, NULL, NULL, NULL, NULL);</v>
      </c>
      <c r="J192" t="str">
        <f t="shared" si="5"/>
        <v>UPDATE COTACAO SET cot_id = 191, cot_blt_id = 41, cot_pap_id = 36, cot_prc_comum = NULL, cot_prc_min = NULL, cot_prc_max = NULL, cot_prc_med = NULL, cot_prc_mediana = NULL WHERE cot_id = 191;</v>
      </c>
    </row>
    <row r="193" spans="1:10" x14ac:dyDescent="0.3">
      <c r="A193">
        <v>192</v>
      </c>
      <c r="B193">
        <f>IF('Boletins Nuppa Site'!A193&lt;&gt;0,'Boletins Nuppa Site'!A193,"NULL")</f>
        <v>41</v>
      </c>
      <c r="C193">
        <v>37</v>
      </c>
      <c r="D193" t="str">
        <f>IF('Boletins Nuppa Site'!G193&lt;&gt;0,'Boletins Nuppa Site'!G193,"NULL")</f>
        <v>NULL</v>
      </c>
      <c r="E193" t="str">
        <f>IF('Boletins Nuppa Site'!H193&lt;&gt;0,'Boletins Nuppa Site'!H193,"NULL")</f>
        <v>NULL</v>
      </c>
      <c r="F193" t="str">
        <f>IF('Boletins Nuppa Site'!I193&lt;&gt;0,'Boletins Nuppa Site'!I193,"NULL")</f>
        <v>NULL</v>
      </c>
      <c r="G193" t="str">
        <f>IF('Boletins Nuppa Site'!J193&lt;&gt;0,'Boletins Nuppa Site'!J193,"NULL")</f>
        <v>NULL</v>
      </c>
      <c r="H193" t="str">
        <f>IF('Boletins Nuppa Site'!K193&lt;&gt;0,'Boletins Nuppa Site'!K193,"NULL")</f>
        <v>NULL</v>
      </c>
      <c r="I193" t="str">
        <f t="shared" si="4"/>
        <v>INSERT INTO COTACAO (cot_id, cot_blt_id, cot_pap_id, cot_prc_comum, cot_prc_min, cot_prc_max, cot_prc_med, cot_prc_mediana) VALUES (192, 41, 37, NULL, NULL, NULL, NULL, NULL);</v>
      </c>
      <c r="J193" t="str">
        <f t="shared" si="5"/>
        <v>UPDATE COTACAO SET cot_id = 192, cot_blt_id = 41, cot_pap_id = 37, cot_prc_comum = NULL, cot_prc_min = NULL, cot_prc_max = NULL, cot_prc_med = NULL, cot_prc_mediana = NULL WHERE cot_id = 192;</v>
      </c>
    </row>
    <row r="194" spans="1:10" x14ac:dyDescent="0.3">
      <c r="A194">
        <v>193</v>
      </c>
      <c r="B194">
        <f>IF('Boletins Nuppa Site'!A194&lt;&gt;0,'Boletins Nuppa Site'!A194,"NULL")</f>
        <v>41</v>
      </c>
      <c r="C194">
        <v>38</v>
      </c>
      <c r="D194" t="str">
        <f>IF('Boletins Nuppa Site'!G194&lt;&gt;0,'Boletins Nuppa Site'!G194,"NULL")</f>
        <v>NULL</v>
      </c>
      <c r="E194" t="str">
        <f>IF('Boletins Nuppa Site'!H194&lt;&gt;0,'Boletins Nuppa Site'!H194,"NULL")</f>
        <v>NULL</v>
      </c>
      <c r="F194" t="str">
        <f>IF('Boletins Nuppa Site'!I194&lt;&gt;0,'Boletins Nuppa Site'!I194,"NULL")</f>
        <v>NULL</v>
      </c>
      <c r="G194" t="str">
        <f>IF('Boletins Nuppa Site'!J194&lt;&gt;0,'Boletins Nuppa Site'!J194,"NULL")</f>
        <v>NULL</v>
      </c>
      <c r="H194" t="str">
        <f>IF('Boletins Nuppa Site'!K194&lt;&gt;0,'Boletins Nuppa Site'!K194,"NULL")</f>
        <v>NULL</v>
      </c>
      <c r="I194" t="str">
        <f t="shared" si="4"/>
        <v>INSERT INTO COTACAO (cot_id, cot_blt_id, cot_pap_id, cot_prc_comum, cot_prc_min, cot_prc_max, cot_prc_med, cot_prc_mediana) VALUES (193, 41, 38, NULL, NULL, NULL, NULL, NULL);</v>
      </c>
      <c r="J194" t="str">
        <f t="shared" si="5"/>
        <v>UPDATE COTACAO SET cot_id = 193, cot_blt_id = 41, cot_pap_id = 38, cot_prc_comum = NULL, cot_prc_min = NULL, cot_prc_max = NULL, cot_prc_med = NULL, cot_prc_mediana = NULL WHERE cot_id = 193;</v>
      </c>
    </row>
    <row r="195" spans="1:10" x14ac:dyDescent="0.3">
      <c r="A195">
        <v>194</v>
      </c>
      <c r="B195">
        <f>IF('Boletins Nuppa Site'!A195&lt;&gt;0,'Boletins Nuppa Site'!A195,"NULL")</f>
        <v>41</v>
      </c>
      <c r="C195">
        <v>39</v>
      </c>
      <c r="D195" t="str">
        <f>IF('Boletins Nuppa Site'!G195&lt;&gt;0,'Boletins Nuppa Site'!G195,"NULL")</f>
        <v>NULL</v>
      </c>
      <c r="E195" t="str">
        <f>IF('Boletins Nuppa Site'!H195&lt;&gt;0,'Boletins Nuppa Site'!H195,"NULL")</f>
        <v>NULL</v>
      </c>
      <c r="F195" t="str">
        <f>IF('Boletins Nuppa Site'!I195&lt;&gt;0,'Boletins Nuppa Site'!I195,"NULL")</f>
        <v>NULL</v>
      </c>
      <c r="G195" t="str">
        <f>IF('Boletins Nuppa Site'!J195&lt;&gt;0,'Boletins Nuppa Site'!J195,"NULL")</f>
        <v>NULL</v>
      </c>
      <c r="H195" t="str">
        <f>IF('Boletins Nuppa Site'!K195&lt;&gt;0,'Boletins Nuppa Site'!K195,"NULL")</f>
        <v>NULL</v>
      </c>
      <c r="I195" t="str">
        <f t="shared" ref="I195:I258" si="6">"INSERT INTO COTACAO (cot_id, cot_blt_id, cot_pap_id, cot_prc_comum, cot_prc_min, cot_prc_max, cot_prc_med, cot_prc_mediana) VALUES ("&amp;A195&amp;", "&amp;B195&amp;", "&amp;C195&amp;", "&amp;D195&amp;", "&amp;E195&amp;", "&amp;F195&amp;", "&amp;G195&amp;", "&amp;H195&amp;");"</f>
        <v>INSERT INTO COTACAO (cot_id, cot_blt_id, cot_pap_id, cot_prc_comum, cot_prc_min, cot_prc_max, cot_prc_med, cot_prc_mediana) VALUES (194, 41, 39, NULL, NULL, NULL, NULL, NULL);</v>
      </c>
      <c r="J195" t="str">
        <f t="shared" ref="J195:J258" si="7">"UPDATE COTACAO SET cot_id = "&amp;A195&amp;", cot_blt_id = "&amp;B195&amp;", cot_pap_id = "&amp;C195&amp;", cot_prc_comum = "&amp;D195&amp;", cot_prc_min = "&amp;E195&amp;", cot_prc_max = "&amp;F195&amp;", cot_prc_med = "&amp;G195&amp;", cot_prc_mediana = "&amp;H195&amp;" WHERE cot_id = "&amp;A195&amp;";"</f>
        <v>UPDATE COTACAO SET cot_id = 194, cot_blt_id = 41, cot_pap_id = 39, cot_prc_comum = NULL, cot_prc_min = NULL, cot_prc_max = NULL, cot_prc_med = NULL, cot_prc_mediana = NULL WHERE cot_id = 194;</v>
      </c>
    </row>
    <row r="196" spans="1:10" x14ac:dyDescent="0.3">
      <c r="A196">
        <v>195</v>
      </c>
      <c r="B196">
        <f>IF('Boletins Nuppa Site'!A196&lt;&gt;0,'Boletins Nuppa Site'!A196,"NULL")</f>
        <v>41</v>
      </c>
      <c r="C196">
        <v>40</v>
      </c>
      <c r="D196" t="str">
        <f>IF('Boletins Nuppa Site'!G196&lt;&gt;0,'Boletins Nuppa Site'!G196,"NULL")</f>
        <v>NULL</v>
      </c>
      <c r="E196" t="str">
        <f>IF('Boletins Nuppa Site'!H196&lt;&gt;0,'Boletins Nuppa Site'!H196,"NULL")</f>
        <v>NULL</v>
      </c>
      <c r="F196" t="str">
        <f>IF('Boletins Nuppa Site'!I196&lt;&gt;0,'Boletins Nuppa Site'!I196,"NULL")</f>
        <v>NULL</v>
      </c>
      <c r="G196" t="str">
        <f>IF('Boletins Nuppa Site'!J196&lt;&gt;0,'Boletins Nuppa Site'!J196,"NULL")</f>
        <v>NULL</v>
      </c>
      <c r="H196" t="str">
        <f>IF('Boletins Nuppa Site'!K196&lt;&gt;0,'Boletins Nuppa Site'!K196,"NULL")</f>
        <v>NULL</v>
      </c>
      <c r="I196" t="str">
        <f t="shared" si="6"/>
        <v>INSERT INTO COTACAO (cot_id, cot_blt_id, cot_pap_id, cot_prc_comum, cot_prc_min, cot_prc_max, cot_prc_med, cot_prc_mediana) VALUES (195, 41, 40, NULL, NULL, NULL, NULL, NULL);</v>
      </c>
      <c r="J196" t="str">
        <f t="shared" si="7"/>
        <v>UPDATE COTACAO SET cot_id = 195, cot_blt_id = 41, cot_pap_id = 40, cot_prc_comum = NULL, cot_prc_min = NULL, cot_prc_max = NULL, cot_prc_med = NULL, cot_prc_mediana = NULL WHERE cot_id = 195;</v>
      </c>
    </row>
    <row r="197" spans="1:10" x14ac:dyDescent="0.3">
      <c r="A197">
        <v>196</v>
      </c>
      <c r="B197">
        <f>IF('Boletins Nuppa Site'!A197&lt;&gt;0,'Boletins Nuppa Site'!A197,"NULL")</f>
        <v>42</v>
      </c>
      <c r="C197">
        <v>1</v>
      </c>
      <c r="D197" t="str">
        <f>IF('Boletins Nuppa Site'!G197&lt;&gt;0,'Boletins Nuppa Site'!G197,"NULL")</f>
        <v>NULL</v>
      </c>
      <c r="E197" s="14">
        <f>IF('Boletins Nuppa Site'!H197&lt;&gt;0,'Boletins Nuppa Site'!H197,"NULL")</f>
        <v>42</v>
      </c>
      <c r="F197" s="14">
        <f>IF('Boletins Nuppa Site'!I197&lt;&gt;0,'Boletins Nuppa Site'!I197,"NULL")</f>
        <v>48</v>
      </c>
      <c r="G197" s="14">
        <f>IF('Boletins Nuppa Site'!J197&lt;&gt;0,'Boletins Nuppa Site'!J197,"NULL")</f>
        <v>45</v>
      </c>
      <c r="H197" s="14">
        <f>IF('Boletins Nuppa Site'!K197&lt;&gt;0,'Boletins Nuppa Site'!K197,"NULL")</f>
        <v>45</v>
      </c>
      <c r="I197" t="str">
        <f t="shared" si="6"/>
        <v>INSERT INTO COTACAO (cot_id, cot_blt_id, cot_pap_id, cot_prc_comum, cot_prc_min, cot_prc_max, cot_prc_med, cot_prc_mediana) VALUES (196, 42, 1, NULL, 42, 48, 45, 45);</v>
      </c>
      <c r="J197" t="str">
        <f t="shared" si="7"/>
        <v>UPDATE COTACAO SET cot_id = 196, cot_blt_id = 42, cot_pap_id = 1, cot_prc_comum = NULL, cot_prc_min = 42, cot_prc_max = 48, cot_prc_med = 45, cot_prc_mediana = 45 WHERE cot_id = 196;</v>
      </c>
    </row>
    <row r="198" spans="1:10" x14ac:dyDescent="0.3">
      <c r="A198">
        <v>197</v>
      </c>
      <c r="B198">
        <f>IF('Boletins Nuppa Site'!A198&lt;&gt;0,'Boletins Nuppa Site'!A198,"NULL")</f>
        <v>42</v>
      </c>
      <c r="C198">
        <v>2</v>
      </c>
      <c r="D198" s="14">
        <f>IF('Boletins Nuppa Site'!G198&lt;&gt;0,'Boletins Nuppa Site'!G198,"NULL")</f>
        <v>60</v>
      </c>
      <c r="E198" s="14">
        <f>IF('Boletins Nuppa Site'!H198&lt;&gt;0,'Boletins Nuppa Site'!H198,"NULL")</f>
        <v>60</v>
      </c>
      <c r="F198" s="14">
        <f>IF('Boletins Nuppa Site'!I198&lt;&gt;0,'Boletins Nuppa Site'!I198,"NULL")</f>
        <v>60</v>
      </c>
      <c r="G198" s="14">
        <f>IF('Boletins Nuppa Site'!J198&lt;&gt;0,'Boletins Nuppa Site'!J198,"NULL")</f>
        <v>60</v>
      </c>
      <c r="H198" s="14">
        <f>IF('Boletins Nuppa Site'!K198&lt;&gt;0,'Boletins Nuppa Site'!K198,"NULL")</f>
        <v>60</v>
      </c>
      <c r="I198" t="str">
        <f t="shared" si="6"/>
        <v>INSERT INTO COTACAO (cot_id, cot_blt_id, cot_pap_id, cot_prc_comum, cot_prc_min, cot_prc_max, cot_prc_med, cot_prc_mediana) VALUES (197, 42, 2, 60, 60, 60, 60, 60);</v>
      </c>
      <c r="J198" t="str">
        <f t="shared" si="7"/>
        <v>UPDATE COTACAO SET cot_id = 197, cot_blt_id = 42, cot_pap_id = 2, cot_prc_comum = 60, cot_prc_min = 60, cot_prc_max = 60, cot_prc_med = 60, cot_prc_mediana = 60 WHERE cot_id = 197;</v>
      </c>
    </row>
    <row r="199" spans="1:10" x14ac:dyDescent="0.3">
      <c r="A199">
        <v>198</v>
      </c>
      <c r="B199">
        <f>IF('Boletins Nuppa Site'!A199&lt;&gt;0,'Boletins Nuppa Site'!A199,"NULL")</f>
        <v>42</v>
      </c>
      <c r="C199">
        <v>3</v>
      </c>
      <c r="D199" t="str">
        <f>IF('Boletins Nuppa Site'!G199&lt;&gt;0,'Boletins Nuppa Site'!G199,"NULL")</f>
        <v>NULL</v>
      </c>
      <c r="E199" s="14">
        <f>IF('Boletins Nuppa Site'!H199&lt;&gt;0,'Boletins Nuppa Site'!H199,"NULL")</f>
        <v>24</v>
      </c>
      <c r="F199" s="14">
        <f>IF('Boletins Nuppa Site'!I199&lt;&gt;0,'Boletins Nuppa Site'!I199,"NULL")</f>
        <v>36</v>
      </c>
      <c r="G199" s="14">
        <f>IF('Boletins Nuppa Site'!J199&lt;&gt;0,'Boletins Nuppa Site'!J199,"NULL")</f>
        <v>30</v>
      </c>
      <c r="H199" s="14">
        <f>IF('Boletins Nuppa Site'!K199&lt;&gt;0,'Boletins Nuppa Site'!K199,"NULL")</f>
        <v>30</v>
      </c>
      <c r="I199" t="str">
        <f t="shared" si="6"/>
        <v>INSERT INTO COTACAO (cot_id, cot_blt_id, cot_pap_id, cot_prc_comum, cot_prc_min, cot_prc_max, cot_prc_med, cot_prc_mediana) VALUES (198, 42, 3, NULL, 24, 36, 30, 30);</v>
      </c>
      <c r="J199" t="str">
        <f t="shared" si="7"/>
        <v>UPDATE COTACAO SET cot_id = 198, cot_blt_id = 42, cot_pap_id = 3, cot_prc_comum = NULL, cot_prc_min = 24, cot_prc_max = 36, cot_prc_med = 30, cot_prc_mediana = 30 WHERE cot_id = 198;</v>
      </c>
    </row>
    <row r="200" spans="1:10" x14ac:dyDescent="0.3">
      <c r="A200">
        <v>199</v>
      </c>
      <c r="B200">
        <f>IF('Boletins Nuppa Site'!A200&lt;&gt;0,'Boletins Nuppa Site'!A200,"NULL")</f>
        <v>42</v>
      </c>
      <c r="C200">
        <v>4</v>
      </c>
      <c r="D200" s="14">
        <f>IF('Boletins Nuppa Site'!G200&lt;&gt;0,'Boletins Nuppa Site'!G200,"NULL")</f>
        <v>18</v>
      </c>
      <c r="E200" s="14">
        <f>IF('Boletins Nuppa Site'!H200&lt;&gt;0,'Boletins Nuppa Site'!H200,"NULL")</f>
        <v>18</v>
      </c>
      <c r="F200" s="14">
        <f>IF('Boletins Nuppa Site'!I200&lt;&gt;0,'Boletins Nuppa Site'!I200,"NULL")</f>
        <v>26</v>
      </c>
      <c r="G200" t="str">
        <f>IF('Boletins Nuppa Site'!J200&lt;&gt;0,'Boletins Nuppa Site'!J200,"NULL")</f>
        <v>21.6</v>
      </c>
      <c r="H200" s="14">
        <f>IF('Boletins Nuppa Site'!K200&lt;&gt;0,'Boletins Nuppa Site'!K200,"NULL")</f>
        <v>22</v>
      </c>
      <c r="I200" t="str">
        <f t="shared" si="6"/>
        <v>INSERT INTO COTACAO (cot_id, cot_blt_id, cot_pap_id, cot_prc_comum, cot_prc_min, cot_prc_max, cot_prc_med, cot_prc_mediana) VALUES (199, 42, 4, 18, 18, 26, 21.6, 22);</v>
      </c>
      <c r="J200" t="str">
        <f t="shared" si="7"/>
        <v>UPDATE COTACAO SET cot_id = 199, cot_blt_id = 42, cot_pap_id = 4, cot_prc_comum = 18, cot_prc_min = 18, cot_prc_max = 26, cot_prc_med = 21.6, cot_prc_mediana = 22 WHERE cot_id = 199;</v>
      </c>
    </row>
    <row r="201" spans="1:10" x14ac:dyDescent="0.3">
      <c r="A201">
        <v>200</v>
      </c>
      <c r="B201">
        <f>IF('Boletins Nuppa Site'!A201&lt;&gt;0,'Boletins Nuppa Site'!A201,"NULL")</f>
        <v>42</v>
      </c>
      <c r="C201">
        <v>5</v>
      </c>
      <c r="D201" t="str">
        <f>IF('Boletins Nuppa Site'!G201&lt;&gt;0,'Boletins Nuppa Site'!G201,"NULL")</f>
        <v>NULL</v>
      </c>
      <c r="E201" s="14">
        <f>IF('Boletins Nuppa Site'!H201&lt;&gt;0,'Boletins Nuppa Site'!H201,"NULL")</f>
        <v>18</v>
      </c>
      <c r="F201" s="14">
        <f>IF('Boletins Nuppa Site'!I201&lt;&gt;0,'Boletins Nuppa Site'!I201,"NULL")</f>
        <v>35</v>
      </c>
      <c r="G201" t="str">
        <f>IF('Boletins Nuppa Site'!J201&lt;&gt;0,'Boletins Nuppa Site'!J201,"NULL")</f>
        <v>24.75</v>
      </c>
      <c r="H201" s="14">
        <f>IF('Boletins Nuppa Site'!K201&lt;&gt;0,'Boletins Nuppa Site'!K201,"NULL")</f>
        <v>23</v>
      </c>
      <c r="I201" t="str">
        <f t="shared" si="6"/>
        <v>INSERT INTO COTACAO (cot_id, cot_blt_id, cot_pap_id, cot_prc_comum, cot_prc_min, cot_prc_max, cot_prc_med, cot_prc_mediana) VALUES (200, 42, 5, NULL, 18, 35, 24.75, 23);</v>
      </c>
      <c r="J201" t="str">
        <f t="shared" si="7"/>
        <v>UPDATE COTACAO SET cot_id = 200, cot_blt_id = 42, cot_pap_id = 5, cot_prc_comum = NULL, cot_prc_min = 18, cot_prc_max = 35, cot_prc_med = 24.75, cot_prc_mediana = 23 WHERE cot_id = 200;</v>
      </c>
    </row>
    <row r="202" spans="1:10" x14ac:dyDescent="0.3">
      <c r="A202">
        <v>201</v>
      </c>
      <c r="B202">
        <f>IF('Boletins Nuppa Site'!A202&lt;&gt;0,'Boletins Nuppa Site'!A202,"NULL")</f>
        <v>42</v>
      </c>
      <c r="C202">
        <v>6</v>
      </c>
      <c r="D202" t="str">
        <f>IF('Boletins Nuppa Site'!G202&lt;&gt;0,'Boletins Nuppa Site'!G202,"NULL")</f>
        <v>NULL</v>
      </c>
      <c r="E202" s="14">
        <f>IF('Boletins Nuppa Site'!H202&lt;&gt;0,'Boletins Nuppa Site'!H202,"NULL")</f>
        <v>48</v>
      </c>
      <c r="F202" s="14">
        <f>IF('Boletins Nuppa Site'!I202&lt;&gt;0,'Boletins Nuppa Site'!I202,"NULL")</f>
        <v>48</v>
      </c>
      <c r="G202" s="14">
        <f>IF('Boletins Nuppa Site'!J202&lt;&gt;0,'Boletins Nuppa Site'!J202,"NULL")</f>
        <v>48</v>
      </c>
      <c r="H202" s="14">
        <f>IF('Boletins Nuppa Site'!K202&lt;&gt;0,'Boletins Nuppa Site'!K202,"NULL")</f>
        <v>48</v>
      </c>
      <c r="I202" t="str">
        <f t="shared" si="6"/>
        <v>INSERT INTO COTACAO (cot_id, cot_blt_id, cot_pap_id, cot_prc_comum, cot_prc_min, cot_prc_max, cot_prc_med, cot_prc_mediana) VALUES (201, 42, 6, NULL, 48, 48, 48, 48);</v>
      </c>
      <c r="J202" t="str">
        <f t="shared" si="7"/>
        <v>UPDATE COTACAO SET cot_id = 201, cot_blt_id = 42, cot_pap_id = 6, cot_prc_comum = NULL, cot_prc_min = 48, cot_prc_max = 48, cot_prc_med = 48, cot_prc_mediana = 48 WHERE cot_id = 201;</v>
      </c>
    </row>
    <row r="203" spans="1:10" x14ac:dyDescent="0.3">
      <c r="A203">
        <v>202</v>
      </c>
      <c r="B203">
        <f>IF('Boletins Nuppa Site'!A203&lt;&gt;0,'Boletins Nuppa Site'!A203,"NULL")</f>
        <v>42</v>
      </c>
      <c r="C203">
        <v>7</v>
      </c>
      <c r="D203" s="14">
        <f>IF('Boletins Nuppa Site'!G203&lt;&gt;0,'Boletins Nuppa Site'!G203,"NULL")</f>
        <v>72</v>
      </c>
      <c r="E203" s="14">
        <f>IF('Boletins Nuppa Site'!H203&lt;&gt;0,'Boletins Nuppa Site'!H203,"NULL")</f>
        <v>48</v>
      </c>
      <c r="F203" s="14">
        <f>IF('Boletins Nuppa Site'!I203&lt;&gt;0,'Boletins Nuppa Site'!I203,"NULL")</f>
        <v>72</v>
      </c>
      <c r="G203" s="14">
        <f>IF('Boletins Nuppa Site'!J203&lt;&gt;0,'Boletins Nuppa Site'!J203,"NULL")</f>
        <v>64</v>
      </c>
      <c r="H203" s="14">
        <f>IF('Boletins Nuppa Site'!K203&lt;&gt;0,'Boletins Nuppa Site'!K203,"NULL")</f>
        <v>72</v>
      </c>
      <c r="I203" t="str">
        <f t="shared" si="6"/>
        <v>INSERT INTO COTACAO (cot_id, cot_blt_id, cot_pap_id, cot_prc_comum, cot_prc_min, cot_prc_max, cot_prc_med, cot_prc_mediana) VALUES (202, 42, 7, 72, 48, 72, 64, 72);</v>
      </c>
      <c r="J203" t="str">
        <f t="shared" si="7"/>
        <v>UPDATE COTACAO SET cot_id = 202, cot_blt_id = 42, cot_pap_id = 7, cot_prc_comum = 72, cot_prc_min = 48, cot_prc_max = 72, cot_prc_med = 64, cot_prc_mediana = 72 WHERE cot_id = 202;</v>
      </c>
    </row>
    <row r="204" spans="1:10" x14ac:dyDescent="0.3">
      <c r="A204">
        <v>203</v>
      </c>
      <c r="B204">
        <f>IF('Boletins Nuppa Site'!A204&lt;&gt;0,'Boletins Nuppa Site'!A204,"NULL")</f>
        <v>42</v>
      </c>
      <c r="C204">
        <v>8</v>
      </c>
      <c r="D204" s="14">
        <f>IF('Boletins Nuppa Site'!G204&lt;&gt;0,'Boletins Nuppa Site'!G204,"NULL")</f>
        <v>72</v>
      </c>
      <c r="E204" s="14">
        <f>IF('Boletins Nuppa Site'!H204&lt;&gt;0,'Boletins Nuppa Site'!H204,"NULL")</f>
        <v>72</v>
      </c>
      <c r="F204" s="14">
        <f>IF('Boletins Nuppa Site'!I204&lt;&gt;0,'Boletins Nuppa Site'!I204,"NULL")</f>
        <v>72</v>
      </c>
      <c r="G204" s="14">
        <f>IF('Boletins Nuppa Site'!J204&lt;&gt;0,'Boletins Nuppa Site'!J204,"NULL")</f>
        <v>72</v>
      </c>
      <c r="H204" s="14">
        <f>IF('Boletins Nuppa Site'!K204&lt;&gt;0,'Boletins Nuppa Site'!K204,"NULL")</f>
        <v>72</v>
      </c>
      <c r="I204" t="str">
        <f t="shared" si="6"/>
        <v>INSERT INTO COTACAO (cot_id, cot_blt_id, cot_pap_id, cot_prc_comum, cot_prc_min, cot_prc_max, cot_prc_med, cot_prc_mediana) VALUES (203, 42, 8, 72, 72, 72, 72, 72);</v>
      </c>
      <c r="J204" t="str">
        <f t="shared" si="7"/>
        <v>UPDATE COTACAO SET cot_id = 203, cot_blt_id = 42, cot_pap_id = 8, cot_prc_comum = 72, cot_prc_min = 72, cot_prc_max = 72, cot_prc_med = 72, cot_prc_mediana = 72 WHERE cot_id = 203;</v>
      </c>
    </row>
    <row r="205" spans="1:10" x14ac:dyDescent="0.3">
      <c r="A205">
        <v>204</v>
      </c>
      <c r="B205">
        <f>IF('Boletins Nuppa Site'!A205&lt;&gt;0,'Boletins Nuppa Site'!A205,"NULL")</f>
        <v>42</v>
      </c>
      <c r="C205">
        <v>9</v>
      </c>
      <c r="D205" s="14">
        <f>IF('Boletins Nuppa Site'!G205&lt;&gt;0,'Boletins Nuppa Site'!G205,"NULL")</f>
        <v>24</v>
      </c>
      <c r="E205" s="14">
        <f>IF('Boletins Nuppa Site'!H205&lt;&gt;0,'Boletins Nuppa Site'!H205,"NULL")</f>
        <v>15</v>
      </c>
      <c r="F205" s="14">
        <f>IF('Boletins Nuppa Site'!I205&lt;&gt;0,'Boletins Nuppa Site'!I205,"NULL")</f>
        <v>24</v>
      </c>
      <c r="G205" t="str">
        <f>IF('Boletins Nuppa Site'!J205&lt;&gt;0,'Boletins Nuppa Site'!J205,"NULL")</f>
        <v>20.25</v>
      </c>
      <c r="H205" s="14">
        <f>IF('Boletins Nuppa Site'!K205&lt;&gt;0,'Boletins Nuppa Site'!K205,"NULL")</f>
        <v>21</v>
      </c>
      <c r="I205" t="str">
        <f t="shared" si="6"/>
        <v>INSERT INTO COTACAO (cot_id, cot_blt_id, cot_pap_id, cot_prc_comum, cot_prc_min, cot_prc_max, cot_prc_med, cot_prc_mediana) VALUES (204, 42, 9, 24, 15, 24, 20.25, 21);</v>
      </c>
      <c r="J205" t="str">
        <f t="shared" si="7"/>
        <v>UPDATE COTACAO SET cot_id = 204, cot_blt_id = 42, cot_pap_id = 9, cot_prc_comum = 24, cot_prc_min = 15, cot_prc_max = 24, cot_prc_med = 20.25, cot_prc_mediana = 21 WHERE cot_id = 204;</v>
      </c>
    </row>
    <row r="206" spans="1:10" x14ac:dyDescent="0.3">
      <c r="A206">
        <v>205</v>
      </c>
      <c r="B206">
        <f>IF('Boletins Nuppa Site'!A206&lt;&gt;0,'Boletins Nuppa Site'!A206,"NULL")</f>
        <v>42</v>
      </c>
      <c r="C206">
        <v>10</v>
      </c>
      <c r="D206" t="str">
        <f>IF('Boletins Nuppa Site'!G206&lt;&gt;0,'Boletins Nuppa Site'!G206,"NULL")</f>
        <v>NULL</v>
      </c>
      <c r="E206" s="14">
        <f>IF('Boletins Nuppa Site'!H206&lt;&gt;0,'Boletins Nuppa Site'!H206,"NULL")</f>
        <v>60</v>
      </c>
      <c r="F206" s="14">
        <f>IF('Boletins Nuppa Site'!I206&lt;&gt;0,'Boletins Nuppa Site'!I206,"NULL")</f>
        <v>78</v>
      </c>
      <c r="G206" t="str">
        <f>IF('Boletins Nuppa Site'!J206&lt;&gt;0,'Boletins Nuppa Site'!J206,"NULL")</f>
        <v>69.33</v>
      </c>
      <c r="H206" s="14">
        <f>IF('Boletins Nuppa Site'!K206&lt;&gt;0,'Boletins Nuppa Site'!K206,"NULL")</f>
        <v>70</v>
      </c>
      <c r="I206" t="str">
        <f t="shared" si="6"/>
        <v>INSERT INTO COTACAO (cot_id, cot_blt_id, cot_pap_id, cot_prc_comum, cot_prc_min, cot_prc_max, cot_prc_med, cot_prc_mediana) VALUES (205, 42, 10, NULL, 60, 78, 69.33, 70);</v>
      </c>
      <c r="J206" t="str">
        <f t="shared" si="7"/>
        <v>UPDATE COTACAO SET cot_id = 205, cot_blt_id = 42, cot_pap_id = 10, cot_prc_comum = NULL, cot_prc_min = 60, cot_prc_max = 78, cot_prc_med = 69.33, cot_prc_mediana = 70 WHERE cot_id = 205;</v>
      </c>
    </row>
    <row r="207" spans="1:10" x14ac:dyDescent="0.3">
      <c r="A207">
        <v>206</v>
      </c>
      <c r="B207">
        <f>IF('Boletins Nuppa Site'!A207&lt;&gt;0,'Boletins Nuppa Site'!A207,"NULL")</f>
        <v>42</v>
      </c>
      <c r="C207">
        <v>11</v>
      </c>
      <c r="D207" s="14">
        <f>IF('Boletins Nuppa Site'!G207&lt;&gt;0,'Boletins Nuppa Site'!G207,"NULL")</f>
        <v>18</v>
      </c>
      <c r="E207" s="14">
        <f>IF('Boletins Nuppa Site'!H207&lt;&gt;0,'Boletins Nuppa Site'!H207,"NULL")</f>
        <v>18</v>
      </c>
      <c r="F207" s="14">
        <f>IF('Boletins Nuppa Site'!I207&lt;&gt;0,'Boletins Nuppa Site'!I207,"NULL")</f>
        <v>24</v>
      </c>
      <c r="G207" t="str">
        <f>IF('Boletins Nuppa Site'!J207&lt;&gt;0,'Boletins Nuppa Site'!J207,"NULL")</f>
        <v>20.5</v>
      </c>
      <c r="H207" s="14">
        <f>IF('Boletins Nuppa Site'!K207&lt;&gt;0,'Boletins Nuppa Site'!K207,"NULL")</f>
        <v>20</v>
      </c>
      <c r="I207" t="str">
        <f t="shared" si="6"/>
        <v>INSERT INTO COTACAO (cot_id, cot_blt_id, cot_pap_id, cot_prc_comum, cot_prc_min, cot_prc_max, cot_prc_med, cot_prc_mediana) VALUES (206, 42, 11, 18, 18, 24, 20.5, 20);</v>
      </c>
      <c r="J207" t="str">
        <f t="shared" si="7"/>
        <v>UPDATE COTACAO SET cot_id = 206, cot_blt_id = 42, cot_pap_id = 11, cot_prc_comum = 18, cot_prc_min = 18, cot_prc_max = 24, cot_prc_med = 20.5, cot_prc_mediana = 20 WHERE cot_id = 206;</v>
      </c>
    </row>
    <row r="208" spans="1:10" x14ac:dyDescent="0.3">
      <c r="A208">
        <v>207</v>
      </c>
      <c r="B208">
        <f>IF('Boletins Nuppa Site'!A208&lt;&gt;0,'Boletins Nuppa Site'!A208,"NULL")</f>
        <v>42</v>
      </c>
      <c r="C208">
        <v>12</v>
      </c>
      <c r="D208" t="str">
        <f>IF('Boletins Nuppa Site'!G208&lt;&gt;0,'Boletins Nuppa Site'!G208,"NULL")</f>
        <v>NULL</v>
      </c>
      <c r="E208" s="14">
        <f>IF('Boletins Nuppa Site'!H208&lt;&gt;0,'Boletins Nuppa Site'!H208,"NULL")</f>
        <v>54</v>
      </c>
      <c r="F208" s="14">
        <f>IF('Boletins Nuppa Site'!I208&lt;&gt;0,'Boletins Nuppa Site'!I208,"NULL")</f>
        <v>60</v>
      </c>
      <c r="G208" s="14">
        <f>IF('Boletins Nuppa Site'!J208&lt;&gt;0,'Boletins Nuppa Site'!J208,"NULL")</f>
        <v>57</v>
      </c>
      <c r="H208" s="14">
        <f>IF('Boletins Nuppa Site'!K208&lt;&gt;0,'Boletins Nuppa Site'!K208,"NULL")</f>
        <v>57</v>
      </c>
      <c r="I208" t="str">
        <f t="shared" si="6"/>
        <v>INSERT INTO COTACAO (cot_id, cot_blt_id, cot_pap_id, cot_prc_comum, cot_prc_min, cot_prc_max, cot_prc_med, cot_prc_mediana) VALUES (207, 42, 12, NULL, 54, 60, 57, 57);</v>
      </c>
      <c r="J208" t="str">
        <f t="shared" si="7"/>
        <v>UPDATE COTACAO SET cot_id = 207, cot_blt_id = 42, cot_pap_id = 12, cot_prc_comum = NULL, cot_prc_min = 54, cot_prc_max = 60, cot_prc_med = 57, cot_prc_mediana = 57 WHERE cot_id = 207;</v>
      </c>
    </row>
    <row r="209" spans="1:10" x14ac:dyDescent="0.3">
      <c r="A209">
        <v>208</v>
      </c>
      <c r="B209">
        <f>IF('Boletins Nuppa Site'!A209&lt;&gt;0,'Boletins Nuppa Site'!A209,"NULL")</f>
        <v>42</v>
      </c>
      <c r="C209">
        <v>13</v>
      </c>
      <c r="D209" t="str">
        <f>IF('Boletins Nuppa Site'!G209&lt;&gt;0,'Boletins Nuppa Site'!G209,"NULL")</f>
        <v>NULL</v>
      </c>
      <c r="E209" s="14">
        <f>IF('Boletins Nuppa Site'!H209&lt;&gt;0,'Boletins Nuppa Site'!H209,"NULL")</f>
        <v>60</v>
      </c>
      <c r="F209" s="14">
        <f>IF('Boletins Nuppa Site'!I209&lt;&gt;0,'Boletins Nuppa Site'!I209,"NULL")</f>
        <v>60</v>
      </c>
      <c r="G209" s="14">
        <f>IF('Boletins Nuppa Site'!J209&lt;&gt;0,'Boletins Nuppa Site'!J209,"NULL")</f>
        <v>60</v>
      </c>
      <c r="H209" s="14">
        <f>IF('Boletins Nuppa Site'!K209&lt;&gt;0,'Boletins Nuppa Site'!K209,"NULL")</f>
        <v>60</v>
      </c>
      <c r="I209" t="str">
        <f t="shared" si="6"/>
        <v>INSERT INTO COTACAO (cot_id, cot_blt_id, cot_pap_id, cot_prc_comum, cot_prc_min, cot_prc_max, cot_prc_med, cot_prc_mediana) VALUES (208, 42, 13, NULL, 60, 60, 60, 60);</v>
      </c>
      <c r="J209" t="str">
        <f t="shared" si="7"/>
        <v>UPDATE COTACAO SET cot_id = 208, cot_blt_id = 42, cot_pap_id = 13, cot_prc_comum = NULL, cot_prc_min = 60, cot_prc_max = 60, cot_prc_med = 60, cot_prc_mediana = 60 WHERE cot_id = 208;</v>
      </c>
    </row>
    <row r="210" spans="1:10" x14ac:dyDescent="0.3">
      <c r="A210">
        <v>209</v>
      </c>
      <c r="B210">
        <f>IF('Boletins Nuppa Site'!A210&lt;&gt;0,'Boletins Nuppa Site'!A210,"NULL")</f>
        <v>42</v>
      </c>
      <c r="C210">
        <v>14</v>
      </c>
      <c r="D210" t="str">
        <f>IF('Boletins Nuppa Site'!G210&lt;&gt;0,'Boletins Nuppa Site'!G210,"NULL")</f>
        <v>NULL</v>
      </c>
      <c r="E210" s="14">
        <f>IF('Boletins Nuppa Site'!H210&lt;&gt;0,'Boletins Nuppa Site'!H210,"NULL")</f>
        <v>48</v>
      </c>
      <c r="F210" s="14">
        <f>IF('Boletins Nuppa Site'!I210&lt;&gt;0,'Boletins Nuppa Site'!I210,"NULL")</f>
        <v>60</v>
      </c>
      <c r="G210" s="14">
        <f>IF('Boletins Nuppa Site'!J210&lt;&gt;0,'Boletins Nuppa Site'!J210,"NULL")</f>
        <v>54</v>
      </c>
      <c r="H210" s="14">
        <f>IF('Boletins Nuppa Site'!K210&lt;&gt;0,'Boletins Nuppa Site'!K210,"NULL")</f>
        <v>54</v>
      </c>
      <c r="I210" t="str">
        <f t="shared" si="6"/>
        <v>INSERT INTO COTACAO (cot_id, cot_blt_id, cot_pap_id, cot_prc_comum, cot_prc_min, cot_prc_max, cot_prc_med, cot_prc_mediana) VALUES (209, 42, 14, NULL, 48, 60, 54, 54);</v>
      </c>
      <c r="J210" t="str">
        <f t="shared" si="7"/>
        <v>UPDATE COTACAO SET cot_id = 209, cot_blt_id = 42, cot_pap_id = 14, cot_prc_comum = NULL, cot_prc_min = 48, cot_prc_max = 60, cot_prc_med = 54, cot_prc_mediana = 54 WHERE cot_id = 209;</v>
      </c>
    </row>
    <row r="211" spans="1:10" x14ac:dyDescent="0.3">
      <c r="A211">
        <v>210</v>
      </c>
      <c r="B211">
        <f>IF('Boletins Nuppa Site'!A211&lt;&gt;0,'Boletins Nuppa Site'!A211,"NULL")</f>
        <v>42</v>
      </c>
      <c r="C211">
        <v>15</v>
      </c>
      <c r="D211" s="14">
        <f>IF('Boletins Nuppa Site'!G211&lt;&gt;0,'Boletins Nuppa Site'!G211,"NULL")</f>
        <v>36</v>
      </c>
      <c r="E211" s="14">
        <f>IF('Boletins Nuppa Site'!H211&lt;&gt;0,'Boletins Nuppa Site'!H211,"NULL")</f>
        <v>35</v>
      </c>
      <c r="F211" s="14">
        <f>IF('Boletins Nuppa Site'!I211&lt;&gt;0,'Boletins Nuppa Site'!I211,"NULL")</f>
        <v>40</v>
      </c>
      <c r="G211" t="str">
        <f>IF('Boletins Nuppa Site'!J211&lt;&gt;0,'Boletins Nuppa Site'!J211,"NULL")</f>
        <v>36.75</v>
      </c>
      <c r="H211" s="14">
        <f>IF('Boletins Nuppa Site'!K211&lt;&gt;0,'Boletins Nuppa Site'!K211,"NULL")</f>
        <v>36</v>
      </c>
      <c r="I211" t="str">
        <f t="shared" si="6"/>
        <v>INSERT INTO COTACAO (cot_id, cot_blt_id, cot_pap_id, cot_prc_comum, cot_prc_min, cot_prc_max, cot_prc_med, cot_prc_mediana) VALUES (210, 42, 15, 36, 35, 40, 36.75, 36);</v>
      </c>
      <c r="J211" t="str">
        <f t="shared" si="7"/>
        <v>UPDATE COTACAO SET cot_id = 210, cot_blt_id = 42, cot_pap_id = 15, cot_prc_comum = 36, cot_prc_min = 35, cot_prc_max = 40, cot_prc_med = 36.75, cot_prc_mediana = 36 WHERE cot_id = 210;</v>
      </c>
    </row>
    <row r="212" spans="1:10" x14ac:dyDescent="0.3">
      <c r="A212">
        <v>211</v>
      </c>
      <c r="B212">
        <f>IF('Boletins Nuppa Site'!A212&lt;&gt;0,'Boletins Nuppa Site'!A212,"NULL")</f>
        <v>42</v>
      </c>
      <c r="C212">
        <v>16</v>
      </c>
      <c r="D212" s="14">
        <f>IF('Boletins Nuppa Site'!G212&lt;&gt;0,'Boletins Nuppa Site'!G212,"NULL")</f>
        <v>42</v>
      </c>
      <c r="E212" s="14">
        <f>IF('Boletins Nuppa Site'!H212&lt;&gt;0,'Boletins Nuppa Site'!H212,"NULL")</f>
        <v>42</v>
      </c>
      <c r="F212" s="14">
        <f>IF('Boletins Nuppa Site'!I212&lt;&gt;0,'Boletins Nuppa Site'!I212,"NULL")</f>
        <v>42</v>
      </c>
      <c r="G212" s="14">
        <f>IF('Boletins Nuppa Site'!J212&lt;&gt;0,'Boletins Nuppa Site'!J212,"NULL")</f>
        <v>42</v>
      </c>
      <c r="H212" s="14">
        <f>IF('Boletins Nuppa Site'!K212&lt;&gt;0,'Boletins Nuppa Site'!K212,"NULL")</f>
        <v>42</v>
      </c>
      <c r="I212" t="str">
        <f t="shared" si="6"/>
        <v>INSERT INTO COTACAO (cot_id, cot_blt_id, cot_pap_id, cot_prc_comum, cot_prc_min, cot_prc_max, cot_prc_med, cot_prc_mediana) VALUES (211, 42, 16, 42, 42, 42, 42, 42);</v>
      </c>
      <c r="J212" t="str">
        <f t="shared" si="7"/>
        <v>UPDATE COTACAO SET cot_id = 211, cot_blt_id = 42, cot_pap_id = 16, cot_prc_comum = 42, cot_prc_min = 42, cot_prc_max = 42, cot_prc_med = 42, cot_prc_mediana = 42 WHERE cot_id = 211;</v>
      </c>
    </row>
    <row r="213" spans="1:10" x14ac:dyDescent="0.3">
      <c r="A213">
        <v>212</v>
      </c>
      <c r="B213">
        <f>IF('Boletins Nuppa Site'!A213&lt;&gt;0,'Boletins Nuppa Site'!A213,"NULL")</f>
        <v>42</v>
      </c>
      <c r="C213">
        <v>17</v>
      </c>
      <c r="D213" s="14">
        <f>IF('Boletins Nuppa Site'!G213&lt;&gt;0,'Boletins Nuppa Site'!G213,"NULL")</f>
        <v>4</v>
      </c>
      <c r="E213" s="14">
        <f>IF('Boletins Nuppa Site'!H213&lt;&gt;0,'Boletins Nuppa Site'!H213,"NULL")</f>
        <v>4</v>
      </c>
      <c r="F213" s="14">
        <f>IF('Boletins Nuppa Site'!I213&lt;&gt;0,'Boletins Nuppa Site'!I213,"NULL")</f>
        <v>5</v>
      </c>
      <c r="G213" t="str">
        <f>IF('Boletins Nuppa Site'!J213&lt;&gt;0,'Boletins Nuppa Site'!J213,"NULL")</f>
        <v>4.25</v>
      </c>
      <c r="H213" s="14">
        <f>IF('Boletins Nuppa Site'!K213&lt;&gt;0,'Boletins Nuppa Site'!K213,"NULL")</f>
        <v>4</v>
      </c>
      <c r="I213" t="str">
        <f t="shared" si="6"/>
        <v>INSERT INTO COTACAO (cot_id, cot_blt_id, cot_pap_id, cot_prc_comum, cot_prc_min, cot_prc_max, cot_prc_med, cot_prc_mediana) VALUES (212, 42, 17, 4, 4, 5, 4.25, 4);</v>
      </c>
      <c r="J213" t="str">
        <f t="shared" si="7"/>
        <v>UPDATE COTACAO SET cot_id = 212, cot_blt_id = 42, cot_pap_id = 17, cot_prc_comum = 4, cot_prc_min = 4, cot_prc_max = 5, cot_prc_med = 4.25, cot_prc_mediana = 4 WHERE cot_id = 212;</v>
      </c>
    </row>
    <row r="214" spans="1:10" x14ac:dyDescent="0.3">
      <c r="A214">
        <v>213</v>
      </c>
      <c r="B214">
        <f>IF('Boletins Nuppa Site'!A214&lt;&gt;0,'Boletins Nuppa Site'!A214,"NULL")</f>
        <v>42</v>
      </c>
      <c r="C214">
        <v>18</v>
      </c>
      <c r="D214" s="14">
        <f>IF('Boletins Nuppa Site'!G214&lt;&gt;0,'Boletins Nuppa Site'!G214,"NULL")</f>
        <v>25</v>
      </c>
      <c r="E214" s="14">
        <f>IF('Boletins Nuppa Site'!H214&lt;&gt;0,'Boletins Nuppa Site'!H214,"NULL")</f>
        <v>15</v>
      </c>
      <c r="F214" s="14">
        <f>IF('Boletins Nuppa Site'!I214&lt;&gt;0,'Boletins Nuppa Site'!I214,"NULL")</f>
        <v>25</v>
      </c>
      <c r="G214" t="str">
        <f>IF('Boletins Nuppa Site'!J214&lt;&gt;0,'Boletins Nuppa Site'!J214,"NULL")</f>
        <v>21.4</v>
      </c>
      <c r="H214" s="14">
        <f>IF('Boletins Nuppa Site'!K214&lt;&gt;0,'Boletins Nuppa Site'!K214,"NULL")</f>
        <v>22</v>
      </c>
      <c r="I214" t="str">
        <f t="shared" si="6"/>
        <v>INSERT INTO COTACAO (cot_id, cot_blt_id, cot_pap_id, cot_prc_comum, cot_prc_min, cot_prc_max, cot_prc_med, cot_prc_mediana) VALUES (213, 42, 18, 25, 15, 25, 21.4, 22);</v>
      </c>
      <c r="J214" t="str">
        <f t="shared" si="7"/>
        <v>UPDATE COTACAO SET cot_id = 213, cot_blt_id = 42, cot_pap_id = 18, cot_prc_comum = 25, cot_prc_min = 15, cot_prc_max = 25, cot_prc_med = 21.4, cot_prc_mediana = 22 WHERE cot_id = 213;</v>
      </c>
    </row>
    <row r="215" spans="1:10" x14ac:dyDescent="0.3">
      <c r="A215">
        <v>214</v>
      </c>
      <c r="B215">
        <f>IF('Boletins Nuppa Site'!A215&lt;&gt;0,'Boletins Nuppa Site'!A215,"NULL")</f>
        <v>42</v>
      </c>
      <c r="C215">
        <v>19</v>
      </c>
      <c r="D215" s="14">
        <f>IF('Boletins Nuppa Site'!G215&lt;&gt;0,'Boletins Nuppa Site'!G215,"NULL")</f>
        <v>25</v>
      </c>
      <c r="E215" s="14">
        <f>IF('Boletins Nuppa Site'!H215&lt;&gt;0,'Boletins Nuppa Site'!H215,"NULL")</f>
        <v>25</v>
      </c>
      <c r="F215" s="14">
        <f>IF('Boletins Nuppa Site'!I215&lt;&gt;0,'Boletins Nuppa Site'!I215,"NULL")</f>
        <v>25</v>
      </c>
      <c r="G215" s="14">
        <f>IF('Boletins Nuppa Site'!J215&lt;&gt;0,'Boletins Nuppa Site'!J215,"NULL")</f>
        <v>25</v>
      </c>
      <c r="H215" s="14">
        <f>IF('Boletins Nuppa Site'!K215&lt;&gt;0,'Boletins Nuppa Site'!K215,"NULL")</f>
        <v>25</v>
      </c>
      <c r="I215" t="str">
        <f t="shared" si="6"/>
        <v>INSERT INTO COTACAO (cot_id, cot_blt_id, cot_pap_id, cot_prc_comum, cot_prc_min, cot_prc_max, cot_prc_med, cot_prc_mediana) VALUES (214, 42, 19, 25, 25, 25, 25, 25);</v>
      </c>
      <c r="J215" t="str">
        <f t="shared" si="7"/>
        <v>UPDATE COTACAO SET cot_id = 214, cot_blt_id = 42, cot_pap_id = 19, cot_prc_comum = 25, cot_prc_min = 25, cot_prc_max = 25, cot_prc_med = 25, cot_prc_mediana = 25 WHERE cot_id = 214;</v>
      </c>
    </row>
    <row r="216" spans="1:10" x14ac:dyDescent="0.3">
      <c r="A216">
        <v>215</v>
      </c>
      <c r="B216">
        <f>IF('Boletins Nuppa Site'!A216&lt;&gt;0,'Boletins Nuppa Site'!A216,"NULL")</f>
        <v>42</v>
      </c>
      <c r="C216">
        <v>21</v>
      </c>
      <c r="D216" s="14">
        <f>IF('Boletins Nuppa Site'!G216&lt;&gt;0,'Boletins Nuppa Site'!G216,"NULL")</f>
        <v>70</v>
      </c>
      <c r="E216" s="14">
        <f>IF('Boletins Nuppa Site'!H216&lt;&gt;0,'Boletins Nuppa Site'!H216,"NULL")</f>
        <v>35</v>
      </c>
      <c r="F216" s="14">
        <f>IF('Boletins Nuppa Site'!I216&lt;&gt;0,'Boletins Nuppa Site'!I216,"NULL")</f>
        <v>70</v>
      </c>
      <c r="G216" t="str">
        <f>IF('Boletins Nuppa Site'!J216&lt;&gt;0,'Boletins Nuppa Site'!J216,"NULL")</f>
        <v>56.88</v>
      </c>
      <c r="H216" s="14">
        <f>IF('Boletins Nuppa Site'!K216&lt;&gt;0,'Boletins Nuppa Site'!K216,"NULL")</f>
        <v>60</v>
      </c>
      <c r="I216" t="str">
        <f t="shared" si="6"/>
        <v>INSERT INTO COTACAO (cot_id, cot_blt_id, cot_pap_id, cot_prc_comum, cot_prc_min, cot_prc_max, cot_prc_med, cot_prc_mediana) VALUES (215, 42, 21, 70, 35, 70, 56.88, 60);</v>
      </c>
      <c r="J216" t="str">
        <f t="shared" si="7"/>
        <v>UPDATE COTACAO SET cot_id = 215, cot_blt_id = 42, cot_pap_id = 21, cot_prc_comum = 70, cot_prc_min = 35, cot_prc_max = 70, cot_prc_med = 56.88, cot_prc_mediana = 60 WHERE cot_id = 215;</v>
      </c>
    </row>
    <row r="217" spans="1:10" x14ac:dyDescent="0.3">
      <c r="A217">
        <v>216</v>
      </c>
      <c r="B217">
        <f>IF('Boletins Nuppa Site'!A217&lt;&gt;0,'Boletins Nuppa Site'!A217,"NULL")</f>
        <v>42</v>
      </c>
      <c r="C217">
        <v>22</v>
      </c>
      <c r="D217" s="14">
        <f>IF('Boletins Nuppa Site'!G217&lt;&gt;0,'Boletins Nuppa Site'!G217,"NULL")</f>
        <v>35</v>
      </c>
      <c r="E217" s="14">
        <f>IF('Boletins Nuppa Site'!H217&lt;&gt;0,'Boletins Nuppa Site'!H217,"NULL")</f>
        <v>35</v>
      </c>
      <c r="F217" s="14">
        <f>IF('Boletins Nuppa Site'!I217&lt;&gt;0,'Boletins Nuppa Site'!I217,"NULL")</f>
        <v>65</v>
      </c>
      <c r="G217" t="str">
        <f>IF('Boletins Nuppa Site'!J217&lt;&gt;0,'Boletins Nuppa Site'!J217,"NULL")</f>
        <v>46.67</v>
      </c>
      <c r="H217" s="14">
        <f>IF('Boletins Nuppa Site'!K217&lt;&gt;0,'Boletins Nuppa Site'!K217,"NULL")</f>
        <v>40</v>
      </c>
      <c r="I217" t="str">
        <f t="shared" si="6"/>
        <v>INSERT INTO COTACAO (cot_id, cot_blt_id, cot_pap_id, cot_prc_comum, cot_prc_min, cot_prc_max, cot_prc_med, cot_prc_mediana) VALUES (216, 42, 22, 35, 35, 65, 46.67, 40);</v>
      </c>
      <c r="J217" t="str">
        <f t="shared" si="7"/>
        <v>UPDATE COTACAO SET cot_id = 216, cot_blt_id = 42, cot_pap_id = 22, cot_prc_comum = 35, cot_prc_min = 35, cot_prc_max = 65, cot_prc_med = 46.67, cot_prc_mediana = 40 WHERE cot_id = 216;</v>
      </c>
    </row>
    <row r="218" spans="1:10" x14ac:dyDescent="0.3">
      <c r="A218">
        <v>217</v>
      </c>
      <c r="B218">
        <f>IF('Boletins Nuppa Site'!A218&lt;&gt;0,'Boletins Nuppa Site'!A218,"NULL")</f>
        <v>42</v>
      </c>
      <c r="C218">
        <v>23</v>
      </c>
      <c r="D218" s="14">
        <f>IF('Boletins Nuppa Site'!G218&lt;&gt;0,'Boletins Nuppa Site'!G218,"NULL")</f>
        <v>40</v>
      </c>
      <c r="E218" s="14">
        <f>IF('Boletins Nuppa Site'!H218&lt;&gt;0,'Boletins Nuppa Site'!H218,"NULL")</f>
        <v>40</v>
      </c>
      <c r="F218" s="14">
        <f>IF('Boletins Nuppa Site'!I218&lt;&gt;0,'Boletins Nuppa Site'!I218,"NULL")</f>
        <v>40</v>
      </c>
      <c r="G218" s="14">
        <f>IF('Boletins Nuppa Site'!J218&lt;&gt;0,'Boletins Nuppa Site'!J218,"NULL")</f>
        <v>40</v>
      </c>
      <c r="H218" s="14">
        <f>IF('Boletins Nuppa Site'!K218&lt;&gt;0,'Boletins Nuppa Site'!K218,"NULL")</f>
        <v>40</v>
      </c>
      <c r="I218" t="str">
        <f t="shared" si="6"/>
        <v>INSERT INTO COTACAO (cot_id, cot_blt_id, cot_pap_id, cot_prc_comum, cot_prc_min, cot_prc_max, cot_prc_med, cot_prc_mediana) VALUES (217, 42, 23, 40, 40, 40, 40, 40);</v>
      </c>
      <c r="J218" t="str">
        <f t="shared" si="7"/>
        <v>UPDATE COTACAO SET cot_id = 217, cot_blt_id = 42, cot_pap_id = 23, cot_prc_comum = 40, cot_prc_min = 40, cot_prc_max = 40, cot_prc_med = 40, cot_prc_mediana = 40 WHERE cot_id = 217;</v>
      </c>
    </row>
    <row r="219" spans="1:10" x14ac:dyDescent="0.3">
      <c r="A219">
        <v>218</v>
      </c>
      <c r="B219">
        <f>IF('Boletins Nuppa Site'!A219&lt;&gt;0,'Boletins Nuppa Site'!A219,"NULL")</f>
        <v>42</v>
      </c>
      <c r="C219">
        <v>24</v>
      </c>
      <c r="D219" s="14">
        <f>IF('Boletins Nuppa Site'!G219&lt;&gt;0,'Boletins Nuppa Site'!G219,"NULL")</f>
        <v>100</v>
      </c>
      <c r="E219" s="14">
        <f>IF('Boletins Nuppa Site'!H219&lt;&gt;0,'Boletins Nuppa Site'!H219,"NULL")</f>
        <v>100</v>
      </c>
      <c r="F219" s="14">
        <f>IF('Boletins Nuppa Site'!I219&lt;&gt;0,'Boletins Nuppa Site'!I219,"NULL")</f>
        <v>100</v>
      </c>
      <c r="G219" s="14">
        <f>IF('Boletins Nuppa Site'!J219&lt;&gt;0,'Boletins Nuppa Site'!J219,"NULL")</f>
        <v>100</v>
      </c>
      <c r="H219" s="14">
        <f>IF('Boletins Nuppa Site'!K219&lt;&gt;0,'Boletins Nuppa Site'!K219,"NULL")</f>
        <v>100</v>
      </c>
      <c r="I219" t="str">
        <f t="shared" si="6"/>
        <v>INSERT INTO COTACAO (cot_id, cot_blt_id, cot_pap_id, cot_prc_comum, cot_prc_min, cot_prc_max, cot_prc_med, cot_prc_mediana) VALUES (218, 42, 24, 100, 100, 100, 100, 100);</v>
      </c>
      <c r="J219" t="str">
        <f t="shared" si="7"/>
        <v>UPDATE COTACAO SET cot_id = 218, cot_blt_id = 42, cot_pap_id = 24, cot_prc_comum = 100, cot_prc_min = 100, cot_prc_max = 100, cot_prc_med = 100, cot_prc_mediana = 100 WHERE cot_id = 218;</v>
      </c>
    </row>
    <row r="220" spans="1:10" x14ac:dyDescent="0.3">
      <c r="A220">
        <v>219</v>
      </c>
      <c r="B220">
        <f>IF('Boletins Nuppa Site'!A220&lt;&gt;0,'Boletins Nuppa Site'!A220,"NULL")</f>
        <v>42</v>
      </c>
      <c r="C220">
        <v>25</v>
      </c>
      <c r="D220" s="14">
        <f>IF('Boletins Nuppa Site'!G220&lt;&gt;0,'Boletins Nuppa Site'!G220,"NULL")</f>
        <v>40</v>
      </c>
      <c r="E220" s="14">
        <f>IF('Boletins Nuppa Site'!H220&lt;&gt;0,'Boletins Nuppa Site'!H220,"NULL")</f>
        <v>40</v>
      </c>
      <c r="F220" s="14">
        <f>IF('Boletins Nuppa Site'!I220&lt;&gt;0,'Boletins Nuppa Site'!I220,"NULL")</f>
        <v>60</v>
      </c>
      <c r="G220" t="str">
        <f>IF('Boletins Nuppa Site'!J220&lt;&gt;0,'Boletins Nuppa Site'!J220,"NULL")</f>
        <v>49.29</v>
      </c>
      <c r="H220" s="14">
        <f>IF('Boletins Nuppa Site'!K220&lt;&gt;0,'Boletins Nuppa Site'!K220,"NULL")</f>
        <v>50</v>
      </c>
      <c r="I220" t="str">
        <f t="shared" si="6"/>
        <v>INSERT INTO COTACAO (cot_id, cot_blt_id, cot_pap_id, cot_prc_comum, cot_prc_min, cot_prc_max, cot_prc_med, cot_prc_mediana) VALUES (219, 42, 25, 40, 40, 60, 49.29, 50);</v>
      </c>
      <c r="J220" t="str">
        <f t="shared" si="7"/>
        <v>UPDATE COTACAO SET cot_id = 219, cot_blt_id = 42, cot_pap_id = 25, cot_prc_comum = 40, cot_prc_min = 40, cot_prc_max = 60, cot_prc_med = 49.29, cot_prc_mediana = 50 WHERE cot_id = 219;</v>
      </c>
    </row>
    <row r="221" spans="1:10" x14ac:dyDescent="0.3">
      <c r="A221">
        <v>220</v>
      </c>
      <c r="B221">
        <f>IF('Boletins Nuppa Site'!A221&lt;&gt;0,'Boletins Nuppa Site'!A221,"NULL")</f>
        <v>42</v>
      </c>
      <c r="C221">
        <v>26</v>
      </c>
      <c r="D221" s="14">
        <f>IF('Boletins Nuppa Site'!G221&lt;&gt;0,'Boletins Nuppa Site'!G221,"NULL")</f>
        <v>75</v>
      </c>
      <c r="E221" s="14">
        <f>IF('Boletins Nuppa Site'!H221&lt;&gt;0,'Boletins Nuppa Site'!H221,"NULL")</f>
        <v>45</v>
      </c>
      <c r="F221" s="14">
        <f>IF('Boletins Nuppa Site'!I221&lt;&gt;0,'Boletins Nuppa Site'!I221,"NULL")</f>
        <v>80</v>
      </c>
      <c r="G221" t="str">
        <f>IF('Boletins Nuppa Site'!J221&lt;&gt;0,'Boletins Nuppa Site'!J221,"NULL")</f>
        <v>65.56</v>
      </c>
      <c r="H221" s="14">
        <f>IF('Boletins Nuppa Site'!K221&lt;&gt;0,'Boletins Nuppa Site'!K221,"NULL")</f>
        <v>75</v>
      </c>
      <c r="I221" t="str">
        <f t="shared" si="6"/>
        <v>INSERT INTO COTACAO (cot_id, cot_blt_id, cot_pap_id, cot_prc_comum, cot_prc_min, cot_prc_max, cot_prc_med, cot_prc_mediana) VALUES (220, 42, 26, 75, 45, 80, 65.56, 75);</v>
      </c>
      <c r="J221" t="str">
        <f t="shared" si="7"/>
        <v>UPDATE COTACAO SET cot_id = 220, cot_blt_id = 42, cot_pap_id = 26, cot_prc_comum = 75, cot_prc_min = 45, cot_prc_max = 80, cot_prc_med = 65.56, cot_prc_mediana = 75 WHERE cot_id = 220;</v>
      </c>
    </row>
    <row r="222" spans="1:10" x14ac:dyDescent="0.3">
      <c r="A222">
        <v>221</v>
      </c>
      <c r="B222">
        <f>IF('Boletins Nuppa Site'!A222&lt;&gt;0,'Boletins Nuppa Site'!A222,"NULL")</f>
        <v>42</v>
      </c>
      <c r="C222">
        <v>27</v>
      </c>
      <c r="D222" s="14">
        <f>IF('Boletins Nuppa Site'!G222&lt;&gt;0,'Boletins Nuppa Site'!G222,"NULL")</f>
        <v>55</v>
      </c>
      <c r="E222" s="14">
        <f>IF('Boletins Nuppa Site'!H222&lt;&gt;0,'Boletins Nuppa Site'!H222,"NULL")</f>
        <v>50</v>
      </c>
      <c r="F222" s="14">
        <f>IF('Boletins Nuppa Site'!I222&lt;&gt;0,'Boletins Nuppa Site'!I222,"NULL")</f>
        <v>70</v>
      </c>
      <c r="G222" t="str">
        <f>IF('Boletins Nuppa Site'!J222&lt;&gt;0,'Boletins Nuppa Site'!J222,"NULL")</f>
        <v>59.38</v>
      </c>
      <c r="H222" t="str">
        <f>IF('Boletins Nuppa Site'!K222&lt;&gt;0,'Boletins Nuppa Site'!K222,"NULL")</f>
        <v>57.5</v>
      </c>
      <c r="I222" t="str">
        <f t="shared" si="6"/>
        <v>INSERT INTO COTACAO (cot_id, cot_blt_id, cot_pap_id, cot_prc_comum, cot_prc_min, cot_prc_max, cot_prc_med, cot_prc_mediana) VALUES (221, 42, 27, 55, 50, 70, 59.38, 57.5);</v>
      </c>
      <c r="J222" t="str">
        <f t="shared" si="7"/>
        <v>UPDATE COTACAO SET cot_id = 221, cot_blt_id = 42, cot_pap_id = 27, cot_prc_comum = 55, cot_prc_min = 50, cot_prc_max = 70, cot_prc_med = 59.38, cot_prc_mediana = 57.5 WHERE cot_id = 221;</v>
      </c>
    </row>
    <row r="223" spans="1:10" x14ac:dyDescent="0.3">
      <c r="A223">
        <v>222</v>
      </c>
      <c r="B223">
        <f>IF('Boletins Nuppa Site'!A223&lt;&gt;0,'Boletins Nuppa Site'!A223,"NULL")</f>
        <v>42</v>
      </c>
      <c r="C223">
        <v>28</v>
      </c>
      <c r="D223" s="14">
        <f>IF('Boletins Nuppa Site'!G223&lt;&gt;0,'Boletins Nuppa Site'!G223,"NULL")</f>
        <v>70</v>
      </c>
      <c r="E223" s="14">
        <f>IF('Boletins Nuppa Site'!H223&lt;&gt;0,'Boletins Nuppa Site'!H223,"NULL")</f>
        <v>50</v>
      </c>
      <c r="F223" s="14">
        <f>IF('Boletins Nuppa Site'!I223&lt;&gt;0,'Boletins Nuppa Site'!I223,"NULL")</f>
        <v>80</v>
      </c>
      <c r="G223" t="str">
        <f>IF('Boletins Nuppa Site'!J223&lt;&gt;0,'Boletins Nuppa Site'!J223,"NULL")</f>
        <v>68.57</v>
      </c>
      <c r="H223" s="14">
        <f>IF('Boletins Nuppa Site'!K223&lt;&gt;0,'Boletins Nuppa Site'!K223,"NULL")</f>
        <v>70</v>
      </c>
      <c r="I223" t="str">
        <f t="shared" si="6"/>
        <v>INSERT INTO COTACAO (cot_id, cot_blt_id, cot_pap_id, cot_prc_comum, cot_prc_min, cot_prc_max, cot_prc_med, cot_prc_mediana) VALUES (222, 42, 28, 70, 50, 80, 68.57, 70);</v>
      </c>
      <c r="J223" t="str">
        <f t="shared" si="7"/>
        <v>UPDATE COTACAO SET cot_id = 222, cot_blt_id = 42, cot_pap_id = 28, cot_prc_comum = 70, cot_prc_min = 50, cot_prc_max = 80, cot_prc_med = 68.57, cot_prc_mediana = 70 WHERE cot_id = 222;</v>
      </c>
    </row>
    <row r="224" spans="1:10" x14ac:dyDescent="0.3">
      <c r="A224">
        <v>223</v>
      </c>
      <c r="B224">
        <f>IF('Boletins Nuppa Site'!A224&lt;&gt;0,'Boletins Nuppa Site'!A224,"NULL")</f>
        <v>42</v>
      </c>
      <c r="C224">
        <v>29</v>
      </c>
      <c r="D224" t="str">
        <f>IF('Boletins Nuppa Site'!G224&lt;&gt;0,'Boletins Nuppa Site'!G224,"NULL")</f>
        <v>NULL</v>
      </c>
      <c r="E224" s="14">
        <f>IF('Boletins Nuppa Site'!H224&lt;&gt;0,'Boletins Nuppa Site'!H224,"NULL")</f>
        <v>55</v>
      </c>
      <c r="F224" s="14">
        <f>IF('Boletins Nuppa Site'!I224&lt;&gt;0,'Boletins Nuppa Site'!I224,"NULL")</f>
        <v>70</v>
      </c>
      <c r="G224" t="str">
        <f>IF('Boletins Nuppa Site'!J224&lt;&gt;0,'Boletins Nuppa Site'!J224,"NULL")</f>
        <v>61.67</v>
      </c>
      <c r="H224" s="14">
        <f>IF('Boletins Nuppa Site'!K224&lt;&gt;0,'Boletins Nuppa Site'!K224,"NULL")</f>
        <v>60</v>
      </c>
      <c r="I224" t="str">
        <f t="shared" si="6"/>
        <v>INSERT INTO COTACAO (cot_id, cot_blt_id, cot_pap_id, cot_prc_comum, cot_prc_min, cot_prc_max, cot_prc_med, cot_prc_mediana) VALUES (223, 42, 29, NULL, 55, 70, 61.67, 60);</v>
      </c>
      <c r="J224" t="str">
        <f t="shared" si="7"/>
        <v>UPDATE COTACAO SET cot_id = 223, cot_blt_id = 42, cot_pap_id = 29, cot_prc_comum = NULL, cot_prc_min = 55, cot_prc_max = 70, cot_prc_med = 61.67, cot_prc_mediana = 60 WHERE cot_id = 223;</v>
      </c>
    </row>
    <row r="225" spans="1:10" x14ac:dyDescent="0.3">
      <c r="A225">
        <v>224</v>
      </c>
      <c r="B225">
        <f>IF('Boletins Nuppa Site'!A225&lt;&gt;0,'Boletins Nuppa Site'!A225,"NULL")</f>
        <v>42</v>
      </c>
      <c r="C225">
        <v>30</v>
      </c>
      <c r="D225" t="str">
        <f>IF('Boletins Nuppa Site'!G225&lt;&gt;0,'Boletins Nuppa Site'!G225,"NULL")</f>
        <v>NULL</v>
      </c>
      <c r="E225" s="14">
        <f>IF('Boletins Nuppa Site'!H225&lt;&gt;0,'Boletins Nuppa Site'!H225,"NULL")</f>
        <v>45</v>
      </c>
      <c r="F225" s="14">
        <f>IF('Boletins Nuppa Site'!I225&lt;&gt;0,'Boletins Nuppa Site'!I225,"NULL")</f>
        <v>65</v>
      </c>
      <c r="G225" s="14">
        <f>IF('Boletins Nuppa Site'!J225&lt;&gt;0,'Boletins Nuppa Site'!J225,"NULL")</f>
        <v>55</v>
      </c>
      <c r="H225" s="14">
        <f>IF('Boletins Nuppa Site'!K225&lt;&gt;0,'Boletins Nuppa Site'!K225,"NULL")</f>
        <v>55</v>
      </c>
      <c r="I225" t="str">
        <f t="shared" si="6"/>
        <v>INSERT INTO COTACAO (cot_id, cot_blt_id, cot_pap_id, cot_prc_comum, cot_prc_min, cot_prc_max, cot_prc_med, cot_prc_mediana) VALUES (224, 42, 30, NULL, 45, 65, 55, 55);</v>
      </c>
      <c r="J225" t="str">
        <f t="shared" si="7"/>
        <v>UPDATE COTACAO SET cot_id = 224, cot_blt_id = 42, cot_pap_id = 30, cot_prc_comum = NULL, cot_prc_min = 45, cot_prc_max = 65, cot_prc_med = 55, cot_prc_mediana = 55 WHERE cot_id = 224;</v>
      </c>
    </row>
    <row r="226" spans="1:10" x14ac:dyDescent="0.3">
      <c r="A226">
        <v>225</v>
      </c>
      <c r="B226">
        <f>IF('Boletins Nuppa Site'!A226&lt;&gt;0,'Boletins Nuppa Site'!A226,"NULL")</f>
        <v>42</v>
      </c>
      <c r="C226">
        <v>31</v>
      </c>
      <c r="D226" s="14">
        <f>IF('Boletins Nuppa Site'!G226&lt;&gt;0,'Boletins Nuppa Site'!G226,"NULL")</f>
        <v>85</v>
      </c>
      <c r="E226" s="14">
        <f>IF('Boletins Nuppa Site'!H226&lt;&gt;0,'Boletins Nuppa Site'!H226,"NULL")</f>
        <v>50</v>
      </c>
      <c r="F226" s="14">
        <f>IF('Boletins Nuppa Site'!I226&lt;&gt;0,'Boletins Nuppa Site'!I226,"NULL")</f>
        <v>85</v>
      </c>
      <c r="G226" t="str">
        <f>IF('Boletins Nuppa Site'!J226&lt;&gt;0,'Boletins Nuppa Site'!J226,"NULL")</f>
        <v>72.14</v>
      </c>
      <c r="H226" s="14">
        <f>IF('Boletins Nuppa Site'!K226&lt;&gt;0,'Boletins Nuppa Site'!K226,"NULL")</f>
        <v>75</v>
      </c>
      <c r="I226" t="str">
        <f t="shared" si="6"/>
        <v>INSERT INTO COTACAO (cot_id, cot_blt_id, cot_pap_id, cot_prc_comum, cot_prc_min, cot_prc_max, cot_prc_med, cot_prc_mediana) VALUES (225, 42, 31, 85, 50, 85, 72.14, 75);</v>
      </c>
      <c r="J226" t="str">
        <f t="shared" si="7"/>
        <v>UPDATE COTACAO SET cot_id = 225, cot_blt_id = 42, cot_pap_id = 31, cot_prc_comum = 85, cot_prc_min = 50, cot_prc_max = 85, cot_prc_med = 72.14, cot_prc_mediana = 75 WHERE cot_id = 225;</v>
      </c>
    </row>
    <row r="227" spans="1:10" x14ac:dyDescent="0.3">
      <c r="A227">
        <v>226</v>
      </c>
      <c r="B227">
        <f>IF('Boletins Nuppa Site'!A227&lt;&gt;0,'Boletins Nuppa Site'!A227,"NULL")</f>
        <v>42</v>
      </c>
      <c r="C227">
        <v>32</v>
      </c>
      <c r="D227" s="14">
        <f>IF('Boletins Nuppa Site'!G227&lt;&gt;0,'Boletins Nuppa Site'!G227,"NULL")</f>
        <v>30</v>
      </c>
      <c r="E227" s="14">
        <f>IF('Boletins Nuppa Site'!H227&lt;&gt;0,'Boletins Nuppa Site'!H227,"NULL")</f>
        <v>20</v>
      </c>
      <c r="F227" s="14">
        <f>IF('Boletins Nuppa Site'!I227&lt;&gt;0,'Boletins Nuppa Site'!I227,"NULL")</f>
        <v>50</v>
      </c>
      <c r="G227" s="14">
        <f>IF('Boletins Nuppa Site'!J227&lt;&gt;0,'Boletins Nuppa Site'!J227,"NULL")</f>
        <v>35</v>
      </c>
      <c r="H227" s="14">
        <f>IF('Boletins Nuppa Site'!K227&lt;&gt;0,'Boletins Nuppa Site'!K227,"NULL")</f>
        <v>35</v>
      </c>
      <c r="I227" t="str">
        <f t="shared" si="6"/>
        <v>INSERT INTO COTACAO (cot_id, cot_blt_id, cot_pap_id, cot_prc_comum, cot_prc_min, cot_prc_max, cot_prc_med, cot_prc_mediana) VALUES (226, 42, 32, 30, 20, 50, 35, 35);</v>
      </c>
      <c r="J227" t="str">
        <f t="shared" si="7"/>
        <v>UPDATE COTACAO SET cot_id = 226, cot_blt_id = 42, cot_pap_id = 32, cot_prc_comum = 30, cot_prc_min = 20, cot_prc_max = 50, cot_prc_med = 35, cot_prc_mediana = 35 WHERE cot_id = 226;</v>
      </c>
    </row>
    <row r="228" spans="1:10" x14ac:dyDescent="0.3">
      <c r="A228">
        <v>227</v>
      </c>
      <c r="B228">
        <f>IF('Boletins Nuppa Site'!A228&lt;&gt;0,'Boletins Nuppa Site'!A228,"NULL")</f>
        <v>42</v>
      </c>
      <c r="C228">
        <v>33</v>
      </c>
      <c r="D228" s="14">
        <f>IF('Boletins Nuppa Site'!G228&lt;&gt;0,'Boletins Nuppa Site'!G228,"NULL")</f>
        <v>80</v>
      </c>
      <c r="E228" s="14">
        <f>IF('Boletins Nuppa Site'!H228&lt;&gt;0,'Boletins Nuppa Site'!H228,"NULL")</f>
        <v>50</v>
      </c>
      <c r="F228" s="14">
        <f>IF('Boletins Nuppa Site'!I228&lt;&gt;0,'Boletins Nuppa Site'!I228,"NULL")</f>
        <v>80</v>
      </c>
      <c r="G228" t="str">
        <f>IF('Boletins Nuppa Site'!J228&lt;&gt;0,'Boletins Nuppa Site'!J228,"NULL")</f>
        <v>73.13</v>
      </c>
      <c r="H228" t="str">
        <f>IF('Boletins Nuppa Site'!K228&lt;&gt;0,'Boletins Nuppa Site'!K228,"NULL")</f>
        <v>77.5</v>
      </c>
      <c r="I228" t="str">
        <f t="shared" si="6"/>
        <v>INSERT INTO COTACAO (cot_id, cot_blt_id, cot_pap_id, cot_prc_comum, cot_prc_min, cot_prc_max, cot_prc_med, cot_prc_mediana) VALUES (227, 42, 33, 80, 50, 80, 73.13, 77.5);</v>
      </c>
      <c r="J228" t="str">
        <f t="shared" si="7"/>
        <v>UPDATE COTACAO SET cot_id = 227, cot_blt_id = 42, cot_pap_id = 33, cot_prc_comum = 80, cot_prc_min = 50, cot_prc_max = 80, cot_prc_med = 73.13, cot_prc_mediana = 77.5 WHERE cot_id = 227;</v>
      </c>
    </row>
    <row r="229" spans="1:10" x14ac:dyDescent="0.3">
      <c r="A229">
        <v>228</v>
      </c>
      <c r="B229">
        <f>IF('Boletins Nuppa Site'!A229&lt;&gt;0,'Boletins Nuppa Site'!A229,"NULL")</f>
        <v>42</v>
      </c>
      <c r="C229">
        <v>34</v>
      </c>
      <c r="D229" s="14">
        <f>IF('Boletins Nuppa Site'!G229&lt;&gt;0,'Boletins Nuppa Site'!G229,"NULL")</f>
        <v>100</v>
      </c>
      <c r="E229" s="14">
        <f>IF('Boletins Nuppa Site'!H229&lt;&gt;0,'Boletins Nuppa Site'!H229,"NULL")</f>
        <v>75</v>
      </c>
      <c r="F229" s="14">
        <f>IF('Boletins Nuppa Site'!I229&lt;&gt;0,'Boletins Nuppa Site'!I229,"NULL")</f>
        <v>100</v>
      </c>
      <c r="G229" s="14">
        <f>IF('Boletins Nuppa Site'!J229&lt;&gt;0,'Boletins Nuppa Site'!J229,"NULL")</f>
        <v>90</v>
      </c>
      <c r="H229" s="14">
        <f>IF('Boletins Nuppa Site'!K229&lt;&gt;0,'Boletins Nuppa Site'!K229,"NULL")</f>
        <v>95</v>
      </c>
      <c r="I229" t="str">
        <f t="shared" si="6"/>
        <v>INSERT INTO COTACAO (cot_id, cot_blt_id, cot_pap_id, cot_prc_comum, cot_prc_min, cot_prc_max, cot_prc_med, cot_prc_mediana) VALUES (228, 42, 34, 100, 75, 100, 90, 95);</v>
      </c>
      <c r="J229" t="str">
        <f t="shared" si="7"/>
        <v>UPDATE COTACAO SET cot_id = 228, cot_blt_id = 42, cot_pap_id = 34, cot_prc_comum = 100, cot_prc_min = 75, cot_prc_max = 100, cot_prc_med = 90, cot_prc_mediana = 95 WHERE cot_id = 228;</v>
      </c>
    </row>
    <row r="230" spans="1:10" x14ac:dyDescent="0.3">
      <c r="A230">
        <v>229</v>
      </c>
      <c r="B230">
        <f>IF('Boletins Nuppa Site'!A230&lt;&gt;0,'Boletins Nuppa Site'!A230,"NULL")</f>
        <v>42</v>
      </c>
      <c r="C230">
        <v>35</v>
      </c>
      <c r="D230" s="14">
        <f>IF('Boletins Nuppa Site'!G230&lt;&gt;0,'Boletins Nuppa Site'!G230,"NULL")</f>
        <v>120</v>
      </c>
      <c r="E230" s="14">
        <f>IF('Boletins Nuppa Site'!H230&lt;&gt;0,'Boletins Nuppa Site'!H230,"NULL")</f>
        <v>110</v>
      </c>
      <c r="F230" s="14">
        <f>IF('Boletins Nuppa Site'!I230&lt;&gt;0,'Boletins Nuppa Site'!I230,"NULL")</f>
        <v>130</v>
      </c>
      <c r="G230" s="14">
        <f>IF('Boletins Nuppa Site'!J230&lt;&gt;0,'Boletins Nuppa Site'!J230,"NULL")</f>
        <v>120</v>
      </c>
      <c r="H230" s="14">
        <f>IF('Boletins Nuppa Site'!K230&lt;&gt;0,'Boletins Nuppa Site'!K230,"NULL")</f>
        <v>120</v>
      </c>
      <c r="I230" t="str">
        <f t="shared" si="6"/>
        <v>INSERT INTO COTACAO (cot_id, cot_blt_id, cot_pap_id, cot_prc_comum, cot_prc_min, cot_prc_max, cot_prc_med, cot_prc_mediana) VALUES (229, 42, 35, 120, 110, 130, 120, 120);</v>
      </c>
      <c r="J230" t="str">
        <f t="shared" si="7"/>
        <v>UPDATE COTACAO SET cot_id = 229, cot_blt_id = 42, cot_pap_id = 35, cot_prc_comum = 120, cot_prc_min = 110, cot_prc_max = 130, cot_prc_med = 120, cot_prc_mediana = 120 WHERE cot_id = 229;</v>
      </c>
    </row>
    <row r="231" spans="1:10" x14ac:dyDescent="0.3">
      <c r="A231">
        <v>230</v>
      </c>
      <c r="B231">
        <f>IF('Boletins Nuppa Site'!A231&lt;&gt;0,'Boletins Nuppa Site'!A231,"NULL")</f>
        <v>42</v>
      </c>
      <c r="C231">
        <v>36</v>
      </c>
      <c r="D231" t="str">
        <f>IF('Boletins Nuppa Site'!G231&lt;&gt;0,'Boletins Nuppa Site'!G231,"NULL")</f>
        <v>NULL</v>
      </c>
      <c r="E231" t="str">
        <f>IF('Boletins Nuppa Site'!H231&lt;&gt;0,'Boletins Nuppa Site'!H231,"NULL")</f>
        <v>NULL</v>
      </c>
      <c r="F231" t="str">
        <f>IF('Boletins Nuppa Site'!I231&lt;&gt;0,'Boletins Nuppa Site'!I231,"NULL")</f>
        <v>NULL</v>
      </c>
      <c r="G231" t="str">
        <f>IF('Boletins Nuppa Site'!J231&lt;&gt;0,'Boletins Nuppa Site'!J231,"NULL")</f>
        <v>NULL</v>
      </c>
      <c r="H231" t="str">
        <f>IF('Boletins Nuppa Site'!K231&lt;&gt;0,'Boletins Nuppa Site'!K231,"NULL")</f>
        <v>NULL</v>
      </c>
      <c r="I231" t="str">
        <f t="shared" si="6"/>
        <v>INSERT INTO COTACAO (cot_id, cot_blt_id, cot_pap_id, cot_prc_comum, cot_prc_min, cot_prc_max, cot_prc_med, cot_prc_mediana) VALUES (230, 42, 36, NULL, NULL, NULL, NULL, NULL);</v>
      </c>
      <c r="J231" t="str">
        <f t="shared" si="7"/>
        <v>UPDATE COTACAO SET cot_id = 230, cot_blt_id = 42, cot_pap_id = 36, cot_prc_comum = NULL, cot_prc_min = NULL, cot_prc_max = NULL, cot_prc_med = NULL, cot_prc_mediana = NULL WHERE cot_id = 230;</v>
      </c>
    </row>
    <row r="232" spans="1:10" x14ac:dyDescent="0.3">
      <c r="A232">
        <v>231</v>
      </c>
      <c r="B232">
        <f>IF('Boletins Nuppa Site'!A232&lt;&gt;0,'Boletins Nuppa Site'!A232,"NULL")</f>
        <v>42</v>
      </c>
      <c r="C232">
        <v>37</v>
      </c>
      <c r="D232" t="str">
        <f>IF('Boletins Nuppa Site'!G232&lt;&gt;0,'Boletins Nuppa Site'!G232,"NULL")</f>
        <v>NULL</v>
      </c>
      <c r="E232" t="str">
        <f>IF('Boletins Nuppa Site'!H232&lt;&gt;0,'Boletins Nuppa Site'!H232,"NULL")</f>
        <v>NULL</v>
      </c>
      <c r="F232" t="str">
        <f>IF('Boletins Nuppa Site'!I232&lt;&gt;0,'Boletins Nuppa Site'!I232,"NULL")</f>
        <v>NULL</v>
      </c>
      <c r="G232" t="str">
        <f>IF('Boletins Nuppa Site'!J232&lt;&gt;0,'Boletins Nuppa Site'!J232,"NULL")</f>
        <v>NULL</v>
      </c>
      <c r="H232" t="str">
        <f>IF('Boletins Nuppa Site'!K232&lt;&gt;0,'Boletins Nuppa Site'!K232,"NULL")</f>
        <v>NULL</v>
      </c>
      <c r="I232" t="str">
        <f t="shared" si="6"/>
        <v>INSERT INTO COTACAO (cot_id, cot_blt_id, cot_pap_id, cot_prc_comum, cot_prc_min, cot_prc_max, cot_prc_med, cot_prc_mediana) VALUES (231, 42, 37, NULL, NULL, NULL, NULL, NULL);</v>
      </c>
      <c r="J232" t="str">
        <f t="shared" si="7"/>
        <v>UPDATE COTACAO SET cot_id = 231, cot_blt_id = 42, cot_pap_id = 37, cot_prc_comum = NULL, cot_prc_min = NULL, cot_prc_max = NULL, cot_prc_med = NULL, cot_prc_mediana = NULL WHERE cot_id = 231;</v>
      </c>
    </row>
    <row r="233" spans="1:10" x14ac:dyDescent="0.3">
      <c r="A233">
        <v>232</v>
      </c>
      <c r="B233">
        <f>IF('Boletins Nuppa Site'!A233&lt;&gt;0,'Boletins Nuppa Site'!A233,"NULL")</f>
        <v>42</v>
      </c>
      <c r="C233">
        <v>38</v>
      </c>
      <c r="D233" t="str">
        <f>IF('Boletins Nuppa Site'!G233&lt;&gt;0,'Boletins Nuppa Site'!G233,"NULL")</f>
        <v>NULL</v>
      </c>
      <c r="E233" t="str">
        <f>IF('Boletins Nuppa Site'!H233&lt;&gt;0,'Boletins Nuppa Site'!H233,"NULL")</f>
        <v>NULL</v>
      </c>
      <c r="F233" t="str">
        <f>IF('Boletins Nuppa Site'!I233&lt;&gt;0,'Boletins Nuppa Site'!I233,"NULL")</f>
        <v>NULL</v>
      </c>
      <c r="G233" t="str">
        <f>IF('Boletins Nuppa Site'!J233&lt;&gt;0,'Boletins Nuppa Site'!J233,"NULL")</f>
        <v>NULL</v>
      </c>
      <c r="H233" t="str">
        <f>IF('Boletins Nuppa Site'!K233&lt;&gt;0,'Boletins Nuppa Site'!K233,"NULL")</f>
        <v>NULL</v>
      </c>
      <c r="I233" t="str">
        <f t="shared" si="6"/>
        <v>INSERT INTO COTACAO (cot_id, cot_blt_id, cot_pap_id, cot_prc_comum, cot_prc_min, cot_prc_max, cot_prc_med, cot_prc_mediana) VALUES (232, 42, 38, NULL, NULL, NULL, NULL, NULL);</v>
      </c>
      <c r="J233" t="str">
        <f t="shared" si="7"/>
        <v>UPDATE COTACAO SET cot_id = 232, cot_blt_id = 42, cot_pap_id = 38, cot_prc_comum = NULL, cot_prc_min = NULL, cot_prc_max = NULL, cot_prc_med = NULL, cot_prc_mediana = NULL WHERE cot_id = 232;</v>
      </c>
    </row>
    <row r="234" spans="1:10" x14ac:dyDescent="0.3">
      <c r="A234">
        <v>233</v>
      </c>
      <c r="B234">
        <f>IF('Boletins Nuppa Site'!A234&lt;&gt;0,'Boletins Nuppa Site'!A234,"NULL")</f>
        <v>42</v>
      </c>
      <c r="C234">
        <v>40</v>
      </c>
      <c r="D234" t="str">
        <f>IF('Boletins Nuppa Site'!G234&lt;&gt;0,'Boletins Nuppa Site'!G234,"NULL")</f>
        <v>NULL</v>
      </c>
      <c r="E234" t="str">
        <f>IF('Boletins Nuppa Site'!H234&lt;&gt;0,'Boletins Nuppa Site'!H234,"NULL")</f>
        <v>NULL</v>
      </c>
      <c r="F234" t="str">
        <f>IF('Boletins Nuppa Site'!I234&lt;&gt;0,'Boletins Nuppa Site'!I234,"NULL")</f>
        <v>NULL</v>
      </c>
      <c r="G234" t="str">
        <f>IF('Boletins Nuppa Site'!J234&lt;&gt;0,'Boletins Nuppa Site'!J234,"NULL")</f>
        <v>NULL</v>
      </c>
      <c r="H234" t="str">
        <f>IF('Boletins Nuppa Site'!K234&lt;&gt;0,'Boletins Nuppa Site'!K234,"NULL")</f>
        <v>NULL</v>
      </c>
      <c r="I234" t="str">
        <f t="shared" si="6"/>
        <v>INSERT INTO COTACAO (cot_id, cot_blt_id, cot_pap_id, cot_prc_comum, cot_prc_min, cot_prc_max, cot_prc_med, cot_prc_mediana) VALUES (233, 42, 40, NULL, NULL, NULL, NULL, NULL);</v>
      </c>
      <c r="J234" t="str">
        <f t="shared" si="7"/>
        <v>UPDATE COTACAO SET cot_id = 233, cot_blt_id = 42, cot_pap_id = 40, cot_prc_comum = NULL, cot_prc_min = NULL, cot_prc_max = NULL, cot_prc_med = NULL, cot_prc_mediana = NULL WHERE cot_id = 233;</v>
      </c>
    </row>
    <row r="235" spans="1:10" x14ac:dyDescent="0.3">
      <c r="A235">
        <v>234</v>
      </c>
      <c r="B235">
        <f>IF('Boletins Nuppa Site'!A235&lt;&gt;0,'Boletins Nuppa Site'!A235,"NULL")</f>
        <v>43</v>
      </c>
      <c r="C235">
        <v>1</v>
      </c>
      <c r="D235" s="14">
        <f>IF('Boletins Nuppa Site'!G235&lt;&gt;0,'Boletins Nuppa Site'!G235,"NULL")</f>
        <v>42</v>
      </c>
      <c r="E235" s="14">
        <f>IF('Boletins Nuppa Site'!H235&lt;&gt;0,'Boletins Nuppa Site'!H235,"NULL")</f>
        <v>36</v>
      </c>
      <c r="F235" s="14">
        <f>IF('Boletins Nuppa Site'!I235&lt;&gt;0,'Boletins Nuppa Site'!I235,"NULL")</f>
        <v>42</v>
      </c>
      <c r="G235" s="14">
        <f>IF('Boletins Nuppa Site'!J235&lt;&gt;0,'Boletins Nuppa Site'!J235,"NULL")</f>
        <v>40</v>
      </c>
      <c r="H235" s="14">
        <f>IF('Boletins Nuppa Site'!K235&lt;&gt;0,'Boletins Nuppa Site'!K235,"NULL")</f>
        <v>42</v>
      </c>
      <c r="I235" t="str">
        <f t="shared" si="6"/>
        <v>INSERT INTO COTACAO (cot_id, cot_blt_id, cot_pap_id, cot_prc_comum, cot_prc_min, cot_prc_max, cot_prc_med, cot_prc_mediana) VALUES (234, 43, 1, 42, 36, 42, 40, 42);</v>
      </c>
      <c r="J235" t="str">
        <f t="shared" si="7"/>
        <v>UPDATE COTACAO SET cot_id = 234, cot_blt_id = 43, cot_pap_id = 1, cot_prc_comum = 42, cot_prc_min = 36, cot_prc_max = 42, cot_prc_med = 40, cot_prc_mediana = 42 WHERE cot_id = 234;</v>
      </c>
    </row>
    <row r="236" spans="1:10" x14ac:dyDescent="0.3">
      <c r="A236">
        <v>235</v>
      </c>
      <c r="B236">
        <f>IF('Boletins Nuppa Site'!A236&lt;&gt;0,'Boletins Nuppa Site'!A236,"NULL")</f>
        <v>43</v>
      </c>
      <c r="C236">
        <v>2</v>
      </c>
      <c r="D236" s="14">
        <f>IF('Boletins Nuppa Site'!G236&lt;&gt;0,'Boletins Nuppa Site'!G236,"NULL")</f>
        <v>60</v>
      </c>
      <c r="E236" s="14">
        <f>IF('Boletins Nuppa Site'!H236&lt;&gt;0,'Boletins Nuppa Site'!H236,"NULL")</f>
        <v>36</v>
      </c>
      <c r="F236" s="14">
        <f>IF('Boletins Nuppa Site'!I236&lt;&gt;0,'Boletins Nuppa Site'!I236,"NULL")</f>
        <v>60</v>
      </c>
      <c r="G236" s="14">
        <f>IF('Boletins Nuppa Site'!J236&lt;&gt;0,'Boletins Nuppa Site'!J236,"NULL")</f>
        <v>52</v>
      </c>
      <c r="H236" s="14">
        <f>IF('Boletins Nuppa Site'!K236&lt;&gt;0,'Boletins Nuppa Site'!K236,"NULL")</f>
        <v>60</v>
      </c>
      <c r="I236" t="str">
        <f t="shared" si="6"/>
        <v>INSERT INTO COTACAO (cot_id, cot_blt_id, cot_pap_id, cot_prc_comum, cot_prc_min, cot_prc_max, cot_prc_med, cot_prc_mediana) VALUES (235, 43, 2, 60, 36, 60, 52, 60);</v>
      </c>
      <c r="J236" t="str">
        <f t="shared" si="7"/>
        <v>UPDATE COTACAO SET cot_id = 235, cot_blt_id = 43, cot_pap_id = 2, cot_prc_comum = 60, cot_prc_min = 36, cot_prc_max = 60, cot_prc_med = 52, cot_prc_mediana = 60 WHERE cot_id = 235;</v>
      </c>
    </row>
    <row r="237" spans="1:10" x14ac:dyDescent="0.3">
      <c r="A237">
        <v>236</v>
      </c>
      <c r="B237">
        <f>IF('Boletins Nuppa Site'!A237&lt;&gt;0,'Boletins Nuppa Site'!A237,"NULL")</f>
        <v>43</v>
      </c>
      <c r="C237">
        <v>3</v>
      </c>
      <c r="D237" s="14">
        <f>IF('Boletins Nuppa Site'!G237&lt;&gt;0,'Boletins Nuppa Site'!G237,"NULL")</f>
        <v>36</v>
      </c>
      <c r="E237" s="14">
        <f>IF('Boletins Nuppa Site'!H237&lt;&gt;0,'Boletins Nuppa Site'!H237,"NULL")</f>
        <v>36</v>
      </c>
      <c r="F237" s="14">
        <f>IF('Boletins Nuppa Site'!I237&lt;&gt;0,'Boletins Nuppa Site'!I237,"NULL")</f>
        <v>42</v>
      </c>
      <c r="G237" s="14">
        <f>IF('Boletins Nuppa Site'!J237&lt;&gt;0,'Boletins Nuppa Site'!J237,"NULL")</f>
        <v>38</v>
      </c>
      <c r="H237" s="14">
        <f>IF('Boletins Nuppa Site'!K237&lt;&gt;0,'Boletins Nuppa Site'!K237,"NULL")</f>
        <v>36</v>
      </c>
      <c r="I237" t="str">
        <f t="shared" si="6"/>
        <v>INSERT INTO COTACAO (cot_id, cot_blt_id, cot_pap_id, cot_prc_comum, cot_prc_min, cot_prc_max, cot_prc_med, cot_prc_mediana) VALUES (236, 43, 3, 36, 36, 42, 38, 36);</v>
      </c>
      <c r="J237" t="str">
        <f t="shared" si="7"/>
        <v>UPDATE COTACAO SET cot_id = 236, cot_blt_id = 43, cot_pap_id = 3, cot_prc_comum = 36, cot_prc_min = 36, cot_prc_max = 42, cot_prc_med = 38, cot_prc_mediana = 36 WHERE cot_id = 236;</v>
      </c>
    </row>
    <row r="238" spans="1:10" x14ac:dyDescent="0.3">
      <c r="A238">
        <v>237</v>
      </c>
      <c r="B238">
        <f>IF('Boletins Nuppa Site'!A238&lt;&gt;0,'Boletins Nuppa Site'!A238,"NULL")</f>
        <v>43</v>
      </c>
      <c r="C238">
        <v>4</v>
      </c>
      <c r="D238" s="14">
        <f>IF('Boletins Nuppa Site'!G238&lt;&gt;0,'Boletins Nuppa Site'!G238,"NULL")</f>
        <v>24</v>
      </c>
      <c r="E238" s="14">
        <f>IF('Boletins Nuppa Site'!H238&lt;&gt;0,'Boletins Nuppa Site'!H238,"NULL")</f>
        <v>18</v>
      </c>
      <c r="F238" s="14">
        <f>IF('Boletins Nuppa Site'!I238&lt;&gt;0,'Boletins Nuppa Site'!I238,"NULL")</f>
        <v>24</v>
      </c>
      <c r="G238" t="str">
        <f>IF('Boletins Nuppa Site'!J238&lt;&gt;0,'Boletins Nuppa Site'!J238,"NULL")</f>
        <v>22.5</v>
      </c>
      <c r="H238" s="14">
        <f>IF('Boletins Nuppa Site'!K238&lt;&gt;0,'Boletins Nuppa Site'!K238,"NULL")</f>
        <v>24</v>
      </c>
      <c r="I238" t="str">
        <f t="shared" si="6"/>
        <v>INSERT INTO COTACAO (cot_id, cot_blt_id, cot_pap_id, cot_prc_comum, cot_prc_min, cot_prc_max, cot_prc_med, cot_prc_mediana) VALUES (237, 43, 4, 24, 18, 24, 22.5, 24);</v>
      </c>
      <c r="J238" t="str">
        <f t="shared" si="7"/>
        <v>UPDATE COTACAO SET cot_id = 237, cot_blt_id = 43, cot_pap_id = 4, cot_prc_comum = 24, cot_prc_min = 18, cot_prc_max = 24, cot_prc_med = 22.5, cot_prc_mediana = 24 WHERE cot_id = 237;</v>
      </c>
    </row>
    <row r="239" spans="1:10" x14ac:dyDescent="0.3">
      <c r="A239">
        <v>238</v>
      </c>
      <c r="B239">
        <f>IF('Boletins Nuppa Site'!A239&lt;&gt;0,'Boletins Nuppa Site'!A239,"NULL")</f>
        <v>43</v>
      </c>
      <c r="C239">
        <v>5</v>
      </c>
      <c r="D239" s="14">
        <f>IF('Boletins Nuppa Site'!G239&lt;&gt;0,'Boletins Nuppa Site'!G239,"NULL")</f>
        <v>24</v>
      </c>
      <c r="E239" s="14">
        <f>IF('Boletins Nuppa Site'!H239&lt;&gt;0,'Boletins Nuppa Site'!H239,"NULL")</f>
        <v>18</v>
      </c>
      <c r="F239" s="14">
        <f>IF('Boletins Nuppa Site'!I239&lt;&gt;0,'Boletins Nuppa Site'!I239,"NULL")</f>
        <v>24</v>
      </c>
      <c r="G239" s="14">
        <f>IF('Boletins Nuppa Site'!J239&lt;&gt;0,'Boletins Nuppa Site'!J239,"NULL")</f>
        <v>21</v>
      </c>
      <c r="H239" s="14">
        <f>IF('Boletins Nuppa Site'!K239&lt;&gt;0,'Boletins Nuppa Site'!K239,"NULL")</f>
        <v>21</v>
      </c>
      <c r="I239" t="str">
        <f t="shared" si="6"/>
        <v>INSERT INTO COTACAO (cot_id, cot_blt_id, cot_pap_id, cot_prc_comum, cot_prc_min, cot_prc_max, cot_prc_med, cot_prc_mediana) VALUES (238, 43, 5, 24, 18, 24, 21, 21);</v>
      </c>
      <c r="J239" t="str">
        <f t="shared" si="7"/>
        <v>UPDATE COTACAO SET cot_id = 238, cot_blt_id = 43, cot_pap_id = 5, cot_prc_comum = 24, cot_prc_min = 18, cot_prc_max = 24, cot_prc_med = 21, cot_prc_mediana = 21 WHERE cot_id = 238;</v>
      </c>
    </row>
    <row r="240" spans="1:10" x14ac:dyDescent="0.3">
      <c r="A240">
        <v>239</v>
      </c>
      <c r="B240">
        <f>IF('Boletins Nuppa Site'!A240&lt;&gt;0,'Boletins Nuppa Site'!A240,"NULL")</f>
        <v>43</v>
      </c>
      <c r="C240">
        <v>6</v>
      </c>
      <c r="D240" t="str">
        <f>IF('Boletins Nuppa Site'!G240&lt;&gt;0,'Boletins Nuppa Site'!G240,"NULL")</f>
        <v>NULL</v>
      </c>
      <c r="E240" s="14">
        <f>IF('Boletins Nuppa Site'!H240&lt;&gt;0,'Boletins Nuppa Site'!H240,"NULL")</f>
        <v>42</v>
      </c>
      <c r="F240" s="14">
        <f>IF('Boletins Nuppa Site'!I240&lt;&gt;0,'Boletins Nuppa Site'!I240,"NULL")</f>
        <v>48</v>
      </c>
      <c r="G240" s="14">
        <f>IF('Boletins Nuppa Site'!J240&lt;&gt;0,'Boletins Nuppa Site'!J240,"NULL")</f>
        <v>45</v>
      </c>
      <c r="H240" s="14">
        <f>IF('Boletins Nuppa Site'!K240&lt;&gt;0,'Boletins Nuppa Site'!K240,"NULL")</f>
        <v>45</v>
      </c>
      <c r="I240" t="str">
        <f t="shared" si="6"/>
        <v>INSERT INTO COTACAO (cot_id, cot_blt_id, cot_pap_id, cot_prc_comum, cot_prc_min, cot_prc_max, cot_prc_med, cot_prc_mediana) VALUES (239, 43, 6, NULL, 42, 48, 45, 45);</v>
      </c>
      <c r="J240" t="str">
        <f t="shared" si="7"/>
        <v>UPDATE COTACAO SET cot_id = 239, cot_blt_id = 43, cot_pap_id = 6, cot_prc_comum = NULL, cot_prc_min = 42, cot_prc_max = 48, cot_prc_med = 45, cot_prc_mediana = 45 WHERE cot_id = 239;</v>
      </c>
    </row>
    <row r="241" spans="1:10" x14ac:dyDescent="0.3">
      <c r="A241">
        <v>240</v>
      </c>
      <c r="B241">
        <f>IF('Boletins Nuppa Site'!A241&lt;&gt;0,'Boletins Nuppa Site'!A241,"NULL")</f>
        <v>43</v>
      </c>
      <c r="C241">
        <v>7</v>
      </c>
      <c r="D241" s="14">
        <f>IF('Boletins Nuppa Site'!G241&lt;&gt;0,'Boletins Nuppa Site'!G241,"NULL")</f>
        <v>60</v>
      </c>
      <c r="E241" s="14">
        <f>IF('Boletins Nuppa Site'!H241&lt;&gt;0,'Boletins Nuppa Site'!H241,"NULL")</f>
        <v>60</v>
      </c>
      <c r="F241" s="14">
        <f>IF('Boletins Nuppa Site'!I241&lt;&gt;0,'Boletins Nuppa Site'!I241,"NULL")</f>
        <v>60</v>
      </c>
      <c r="G241" s="14">
        <f>IF('Boletins Nuppa Site'!J241&lt;&gt;0,'Boletins Nuppa Site'!J241,"NULL")</f>
        <v>60</v>
      </c>
      <c r="H241" s="14">
        <f>IF('Boletins Nuppa Site'!K241&lt;&gt;0,'Boletins Nuppa Site'!K241,"NULL")</f>
        <v>60</v>
      </c>
      <c r="I241" t="str">
        <f t="shared" si="6"/>
        <v>INSERT INTO COTACAO (cot_id, cot_blt_id, cot_pap_id, cot_prc_comum, cot_prc_min, cot_prc_max, cot_prc_med, cot_prc_mediana) VALUES (240, 43, 7, 60, 60, 60, 60, 60);</v>
      </c>
      <c r="J241" t="str">
        <f t="shared" si="7"/>
        <v>UPDATE COTACAO SET cot_id = 240, cot_blt_id = 43, cot_pap_id = 7, cot_prc_comum = 60, cot_prc_min = 60, cot_prc_max = 60, cot_prc_med = 60, cot_prc_mediana = 60 WHERE cot_id = 240;</v>
      </c>
    </row>
    <row r="242" spans="1:10" x14ac:dyDescent="0.3">
      <c r="A242">
        <v>241</v>
      </c>
      <c r="B242">
        <f>IF('Boletins Nuppa Site'!A242&lt;&gt;0,'Boletins Nuppa Site'!A242,"NULL")</f>
        <v>43</v>
      </c>
      <c r="C242">
        <v>8</v>
      </c>
      <c r="D242" s="14">
        <f>IF('Boletins Nuppa Site'!G242&lt;&gt;0,'Boletins Nuppa Site'!G242,"NULL")</f>
        <v>60</v>
      </c>
      <c r="E242" s="14">
        <f>IF('Boletins Nuppa Site'!H242&lt;&gt;0,'Boletins Nuppa Site'!H242,"NULL")</f>
        <v>60</v>
      </c>
      <c r="F242" s="14">
        <f>IF('Boletins Nuppa Site'!I242&lt;&gt;0,'Boletins Nuppa Site'!I242,"NULL")</f>
        <v>72</v>
      </c>
      <c r="G242" s="14">
        <f>IF('Boletins Nuppa Site'!J242&lt;&gt;0,'Boletins Nuppa Site'!J242,"NULL")</f>
        <v>64</v>
      </c>
      <c r="H242" s="14">
        <f>IF('Boletins Nuppa Site'!K242&lt;&gt;0,'Boletins Nuppa Site'!K242,"NULL")</f>
        <v>60</v>
      </c>
      <c r="I242" t="str">
        <f t="shared" si="6"/>
        <v>INSERT INTO COTACAO (cot_id, cot_blt_id, cot_pap_id, cot_prc_comum, cot_prc_min, cot_prc_max, cot_prc_med, cot_prc_mediana) VALUES (241, 43, 8, 60, 60, 72, 64, 60);</v>
      </c>
      <c r="J242" t="str">
        <f t="shared" si="7"/>
        <v>UPDATE COTACAO SET cot_id = 241, cot_blt_id = 43, cot_pap_id = 8, cot_prc_comum = 60, cot_prc_min = 60, cot_prc_max = 72, cot_prc_med = 64, cot_prc_mediana = 60 WHERE cot_id = 241;</v>
      </c>
    </row>
    <row r="243" spans="1:10" x14ac:dyDescent="0.3">
      <c r="A243">
        <v>242</v>
      </c>
      <c r="B243">
        <f>IF('Boletins Nuppa Site'!A243&lt;&gt;0,'Boletins Nuppa Site'!A243,"NULL")</f>
        <v>43</v>
      </c>
      <c r="C243">
        <v>9</v>
      </c>
      <c r="D243" s="14">
        <f>IF('Boletins Nuppa Site'!G243&lt;&gt;0,'Boletins Nuppa Site'!G243,"NULL")</f>
        <v>15</v>
      </c>
      <c r="E243" s="14">
        <f>IF('Boletins Nuppa Site'!H243&lt;&gt;0,'Boletins Nuppa Site'!H243,"NULL")</f>
        <v>15</v>
      </c>
      <c r="F243" s="14">
        <f>IF('Boletins Nuppa Site'!I243&lt;&gt;0,'Boletins Nuppa Site'!I243,"NULL")</f>
        <v>24</v>
      </c>
      <c r="G243" s="14">
        <f>IF('Boletins Nuppa Site'!J243&lt;&gt;0,'Boletins Nuppa Site'!J243,"NULL")</f>
        <v>18</v>
      </c>
      <c r="H243" s="14">
        <f>IF('Boletins Nuppa Site'!K243&lt;&gt;0,'Boletins Nuppa Site'!K243,"NULL")</f>
        <v>15</v>
      </c>
      <c r="I243" t="str">
        <f t="shared" si="6"/>
        <v>INSERT INTO COTACAO (cot_id, cot_blt_id, cot_pap_id, cot_prc_comum, cot_prc_min, cot_prc_max, cot_prc_med, cot_prc_mediana) VALUES (242, 43, 9, 15, 15, 24, 18, 15);</v>
      </c>
      <c r="J243" t="str">
        <f t="shared" si="7"/>
        <v>UPDATE COTACAO SET cot_id = 242, cot_blt_id = 43, cot_pap_id = 9, cot_prc_comum = 15, cot_prc_min = 15, cot_prc_max = 24, cot_prc_med = 18, cot_prc_mediana = 15 WHERE cot_id = 242;</v>
      </c>
    </row>
    <row r="244" spans="1:10" x14ac:dyDescent="0.3">
      <c r="A244">
        <v>243</v>
      </c>
      <c r="B244">
        <f>IF('Boletins Nuppa Site'!A244&lt;&gt;0,'Boletins Nuppa Site'!A244,"NULL")</f>
        <v>43</v>
      </c>
      <c r="C244">
        <v>10</v>
      </c>
      <c r="D244" s="14">
        <f>IF('Boletins Nuppa Site'!G244&lt;&gt;0,'Boletins Nuppa Site'!G244,"NULL")</f>
        <v>60</v>
      </c>
      <c r="E244" s="14">
        <f>IF('Boletins Nuppa Site'!H244&lt;&gt;0,'Boletins Nuppa Site'!H244,"NULL")</f>
        <v>60</v>
      </c>
      <c r="F244" s="14">
        <f>IF('Boletins Nuppa Site'!I244&lt;&gt;0,'Boletins Nuppa Site'!I244,"NULL")</f>
        <v>60</v>
      </c>
      <c r="G244" s="14">
        <f>IF('Boletins Nuppa Site'!J244&lt;&gt;0,'Boletins Nuppa Site'!J244,"NULL")</f>
        <v>60</v>
      </c>
      <c r="H244" s="14">
        <f>IF('Boletins Nuppa Site'!K244&lt;&gt;0,'Boletins Nuppa Site'!K244,"NULL")</f>
        <v>60</v>
      </c>
      <c r="I244" t="str">
        <f t="shared" si="6"/>
        <v>INSERT INTO COTACAO (cot_id, cot_blt_id, cot_pap_id, cot_prc_comum, cot_prc_min, cot_prc_max, cot_prc_med, cot_prc_mediana) VALUES (243, 43, 10, 60, 60, 60, 60, 60);</v>
      </c>
      <c r="J244" t="str">
        <f t="shared" si="7"/>
        <v>UPDATE COTACAO SET cot_id = 243, cot_blt_id = 43, cot_pap_id = 10, cot_prc_comum = 60, cot_prc_min = 60, cot_prc_max = 60, cot_prc_med = 60, cot_prc_mediana = 60 WHERE cot_id = 243;</v>
      </c>
    </row>
    <row r="245" spans="1:10" x14ac:dyDescent="0.3">
      <c r="A245">
        <v>244</v>
      </c>
      <c r="B245">
        <f>IF('Boletins Nuppa Site'!A245&lt;&gt;0,'Boletins Nuppa Site'!A245,"NULL")</f>
        <v>43</v>
      </c>
      <c r="C245">
        <v>11</v>
      </c>
      <c r="D245" s="14">
        <f>IF('Boletins Nuppa Site'!G245&lt;&gt;0,'Boletins Nuppa Site'!G245,"NULL")</f>
        <v>24</v>
      </c>
      <c r="E245" s="14">
        <f>IF('Boletins Nuppa Site'!H245&lt;&gt;0,'Boletins Nuppa Site'!H245,"NULL")</f>
        <v>24</v>
      </c>
      <c r="F245" s="14">
        <f>IF('Boletins Nuppa Site'!I245&lt;&gt;0,'Boletins Nuppa Site'!I245,"NULL")</f>
        <v>24</v>
      </c>
      <c r="G245" s="14">
        <f>IF('Boletins Nuppa Site'!J245&lt;&gt;0,'Boletins Nuppa Site'!J245,"NULL")</f>
        <v>24</v>
      </c>
      <c r="H245" s="14">
        <f>IF('Boletins Nuppa Site'!K245&lt;&gt;0,'Boletins Nuppa Site'!K245,"NULL")</f>
        <v>24</v>
      </c>
      <c r="I245" t="str">
        <f t="shared" si="6"/>
        <v>INSERT INTO COTACAO (cot_id, cot_blt_id, cot_pap_id, cot_prc_comum, cot_prc_min, cot_prc_max, cot_prc_med, cot_prc_mediana) VALUES (244, 43, 11, 24, 24, 24, 24, 24);</v>
      </c>
      <c r="J245" t="str">
        <f t="shared" si="7"/>
        <v>UPDATE COTACAO SET cot_id = 244, cot_blt_id = 43, cot_pap_id = 11, cot_prc_comum = 24, cot_prc_min = 24, cot_prc_max = 24, cot_prc_med = 24, cot_prc_mediana = 24 WHERE cot_id = 244;</v>
      </c>
    </row>
    <row r="246" spans="1:10" x14ac:dyDescent="0.3">
      <c r="A246">
        <v>245</v>
      </c>
      <c r="B246">
        <f>IF('Boletins Nuppa Site'!A246&lt;&gt;0,'Boletins Nuppa Site'!A246,"NULL")</f>
        <v>43</v>
      </c>
      <c r="C246">
        <v>12</v>
      </c>
      <c r="D246" s="14">
        <f>IF('Boletins Nuppa Site'!G246&lt;&gt;0,'Boletins Nuppa Site'!G246,"NULL")</f>
        <v>42</v>
      </c>
      <c r="E246" s="14">
        <f>IF('Boletins Nuppa Site'!H246&lt;&gt;0,'Boletins Nuppa Site'!H246,"NULL")</f>
        <v>42</v>
      </c>
      <c r="F246" s="14">
        <f>IF('Boletins Nuppa Site'!I246&lt;&gt;0,'Boletins Nuppa Site'!I246,"NULL")</f>
        <v>42</v>
      </c>
      <c r="G246" s="14">
        <f>IF('Boletins Nuppa Site'!J246&lt;&gt;0,'Boletins Nuppa Site'!J246,"NULL")</f>
        <v>42</v>
      </c>
      <c r="H246" s="14">
        <f>IF('Boletins Nuppa Site'!K246&lt;&gt;0,'Boletins Nuppa Site'!K246,"NULL")</f>
        <v>42</v>
      </c>
      <c r="I246" t="str">
        <f t="shared" si="6"/>
        <v>INSERT INTO COTACAO (cot_id, cot_blt_id, cot_pap_id, cot_prc_comum, cot_prc_min, cot_prc_max, cot_prc_med, cot_prc_mediana) VALUES (245, 43, 12, 42, 42, 42, 42, 42);</v>
      </c>
      <c r="J246" t="str">
        <f t="shared" si="7"/>
        <v>UPDATE COTACAO SET cot_id = 245, cot_blt_id = 43, cot_pap_id = 12, cot_prc_comum = 42, cot_prc_min = 42, cot_prc_max = 42, cot_prc_med = 42, cot_prc_mediana = 42 WHERE cot_id = 245;</v>
      </c>
    </row>
    <row r="247" spans="1:10" x14ac:dyDescent="0.3">
      <c r="A247">
        <v>246</v>
      </c>
      <c r="B247">
        <f>IF('Boletins Nuppa Site'!A247&lt;&gt;0,'Boletins Nuppa Site'!A247,"NULL")</f>
        <v>43</v>
      </c>
      <c r="C247">
        <v>13</v>
      </c>
      <c r="D247" t="str">
        <f>IF('Boletins Nuppa Site'!G247&lt;&gt;0,'Boletins Nuppa Site'!G247,"NULL")</f>
        <v>NULL</v>
      </c>
      <c r="E247" s="14">
        <f>IF('Boletins Nuppa Site'!H247&lt;&gt;0,'Boletins Nuppa Site'!H247,"NULL")</f>
        <v>42</v>
      </c>
      <c r="F247" s="14">
        <f>IF('Boletins Nuppa Site'!I247&lt;&gt;0,'Boletins Nuppa Site'!I247,"NULL")</f>
        <v>60</v>
      </c>
      <c r="G247" s="14">
        <f>IF('Boletins Nuppa Site'!J247&lt;&gt;0,'Boletins Nuppa Site'!J247,"NULL")</f>
        <v>51</v>
      </c>
      <c r="H247" s="14">
        <f>IF('Boletins Nuppa Site'!K247&lt;&gt;0,'Boletins Nuppa Site'!K247,"NULL")</f>
        <v>51</v>
      </c>
      <c r="I247" t="str">
        <f t="shared" si="6"/>
        <v>INSERT INTO COTACAO (cot_id, cot_blt_id, cot_pap_id, cot_prc_comum, cot_prc_min, cot_prc_max, cot_prc_med, cot_prc_mediana) VALUES (246, 43, 13, NULL, 42, 60, 51, 51);</v>
      </c>
      <c r="J247" t="str">
        <f t="shared" si="7"/>
        <v>UPDATE COTACAO SET cot_id = 246, cot_blt_id = 43, cot_pap_id = 13, cot_prc_comum = NULL, cot_prc_min = 42, cot_prc_max = 60, cot_prc_med = 51, cot_prc_mediana = 51 WHERE cot_id = 246;</v>
      </c>
    </row>
    <row r="248" spans="1:10" x14ac:dyDescent="0.3">
      <c r="A248">
        <v>247</v>
      </c>
      <c r="B248">
        <f>IF('Boletins Nuppa Site'!A248&lt;&gt;0,'Boletins Nuppa Site'!A248,"NULL")</f>
        <v>43</v>
      </c>
      <c r="C248">
        <v>14</v>
      </c>
      <c r="D248" s="14">
        <f>IF('Boletins Nuppa Site'!G248&lt;&gt;0,'Boletins Nuppa Site'!G248,"NULL")</f>
        <v>36</v>
      </c>
      <c r="E248" s="14">
        <f>IF('Boletins Nuppa Site'!H248&lt;&gt;0,'Boletins Nuppa Site'!H248,"NULL")</f>
        <v>36</v>
      </c>
      <c r="F248" s="14">
        <f>IF('Boletins Nuppa Site'!I248&lt;&gt;0,'Boletins Nuppa Site'!I248,"NULL")</f>
        <v>48</v>
      </c>
      <c r="G248" s="14">
        <f>IF('Boletins Nuppa Site'!J248&lt;&gt;0,'Boletins Nuppa Site'!J248,"NULL")</f>
        <v>40</v>
      </c>
      <c r="H248" s="14">
        <f>IF('Boletins Nuppa Site'!K248&lt;&gt;0,'Boletins Nuppa Site'!K248,"NULL")</f>
        <v>36</v>
      </c>
      <c r="I248" t="str">
        <f t="shared" si="6"/>
        <v>INSERT INTO COTACAO (cot_id, cot_blt_id, cot_pap_id, cot_prc_comum, cot_prc_min, cot_prc_max, cot_prc_med, cot_prc_mediana) VALUES (247, 43, 14, 36, 36, 48, 40, 36);</v>
      </c>
      <c r="J248" t="str">
        <f t="shared" si="7"/>
        <v>UPDATE COTACAO SET cot_id = 247, cot_blt_id = 43, cot_pap_id = 14, cot_prc_comum = 36, cot_prc_min = 36, cot_prc_max = 48, cot_prc_med = 40, cot_prc_mediana = 36 WHERE cot_id = 247;</v>
      </c>
    </row>
    <row r="249" spans="1:10" x14ac:dyDescent="0.3">
      <c r="A249">
        <v>248</v>
      </c>
      <c r="B249">
        <f>IF('Boletins Nuppa Site'!A249&lt;&gt;0,'Boletins Nuppa Site'!A249,"NULL")</f>
        <v>43</v>
      </c>
      <c r="C249">
        <v>15</v>
      </c>
      <c r="D249" s="14">
        <f>IF('Boletins Nuppa Site'!G249&lt;&gt;0,'Boletins Nuppa Site'!G249,"NULL")</f>
        <v>24</v>
      </c>
      <c r="E249" s="14">
        <f>IF('Boletins Nuppa Site'!H249&lt;&gt;0,'Boletins Nuppa Site'!H249,"NULL")</f>
        <v>18</v>
      </c>
      <c r="F249" s="14">
        <f>IF('Boletins Nuppa Site'!I249&lt;&gt;0,'Boletins Nuppa Site'!I249,"NULL")</f>
        <v>30</v>
      </c>
      <c r="G249" s="14">
        <f>IF('Boletins Nuppa Site'!J249&lt;&gt;0,'Boletins Nuppa Site'!J249,"NULL")</f>
        <v>24</v>
      </c>
      <c r="H249" s="14">
        <f>IF('Boletins Nuppa Site'!K249&lt;&gt;0,'Boletins Nuppa Site'!K249,"NULL")</f>
        <v>24</v>
      </c>
      <c r="I249" t="str">
        <f t="shared" si="6"/>
        <v>INSERT INTO COTACAO (cot_id, cot_blt_id, cot_pap_id, cot_prc_comum, cot_prc_min, cot_prc_max, cot_prc_med, cot_prc_mediana) VALUES (248, 43, 15, 24, 18, 30, 24, 24);</v>
      </c>
      <c r="J249" t="str">
        <f t="shared" si="7"/>
        <v>UPDATE COTACAO SET cot_id = 248, cot_blt_id = 43, cot_pap_id = 15, cot_prc_comum = 24, cot_prc_min = 18, cot_prc_max = 30, cot_prc_med = 24, cot_prc_mediana = 24 WHERE cot_id = 248;</v>
      </c>
    </row>
    <row r="250" spans="1:10" x14ac:dyDescent="0.3">
      <c r="A250">
        <v>249</v>
      </c>
      <c r="B250">
        <f>IF('Boletins Nuppa Site'!A250&lt;&gt;0,'Boletins Nuppa Site'!A250,"NULL")</f>
        <v>43</v>
      </c>
      <c r="C250">
        <v>16</v>
      </c>
      <c r="D250" s="14">
        <f>IF('Boletins Nuppa Site'!G250&lt;&gt;0,'Boletins Nuppa Site'!G250,"NULL")</f>
        <v>42</v>
      </c>
      <c r="E250" s="14">
        <f>IF('Boletins Nuppa Site'!H250&lt;&gt;0,'Boletins Nuppa Site'!H250,"NULL")</f>
        <v>36</v>
      </c>
      <c r="F250" s="14">
        <f>IF('Boletins Nuppa Site'!I250&lt;&gt;0,'Boletins Nuppa Site'!I250,"NULL")</f>
        <v>42</v>
      </c>
      <c r="G250" s="14">
        <f>IF('Boletins Nuppa Site'!J250&lt;&gt;0,'Boletins Nuppa Site'!J250,"NULL")</f>
        <v>39</v>
      </c>
      <c r="H250" s="14">
        <f>IF('Boletins Nuppa Site'!K250&lt;&gt;0,'Boletins Nuppa Site'!K250,"NULL")</f>
        <v>39</v>
      </c>
      <c r="I250" t="str">
        <f t="shared" si="6"/>
        <v>INSERT INTO COTACAO (cot_id, cot_blt_id, cot_pap_id, cot_prc_comum, cot_prc_min, cot_prc_max, cot_prc_med, cot_prc_mediana) VALUES (249, 43, 16, 42, 36, 42, 39, 39);</v>
      </c>
      <c r="J250" t="str">
        <f t="shared" si="7"/>
        <v>UPDATE COTACAO SET cot_id = 249, cot_blt_id = 43, cot_pap_id = 16, cot_prc_comum = 42, cot_prc_min = 36, cot_prc_max = 42, cot_prc_med = 39, cot_prc_mediana = 39 WHERE cot_id = 249;</v>
      </c>
    </row>
    <row r="251" spans="1:10" x14ac:dyDescent="0.3">
      <c r="A251">
        <v>250</v>
      </c>
      <c r="B251">
        <f>IF('Boletins Nuppa Site'!A251&lt;&gt;0,'Boletins Nuppa Site'!A251,"NULL")</f>
        <v>43</v>
      </c>
      <c r="C251">
        <v>17</v>
      </c>
      <c r="D251" s="14">
        <f>IF('Boletins Nuppa Site'!G251&lt;&gt;0,'Boletins Nuppa Site'!G251,"NULL")</f>
        <v>5</v>
      </c>
      <c r="E251" t="str">
        <f>IF('Boletins Nuppa Site'!H251&lt;&gt;0,'Boletins Nuppa Site'!H251,"NULL")</f>
        <v>3.5</v>
      </c>
      <c r="F251" s="14">
        <f>IF('Boletins Nuppa Site'!I251&lt;&gt;0,'Boletins Nuppa Site'!I251,"NULL")</f>
        <v>5</v>
      </c>
      <c r="G251" t="str">
        <f>IF('Boletins Nuppa Site'!J251&lt;&gt;0,'Boletins Nuppa Site'!J251,"NULL")</f>
        <v>4.38</v>
      </c>
      <c r="H251" t="str">
        <f>IF('Boletins Nuppa Site'!K251&lt;&gt;0,'Boletins Nuppa Site'!K251,"NULL")</f>
        <v>4.5</v>
      </c>
      <c r="I251" t="str">
        <f t="shared" si="6"/>
        <v>INSERT INTO COTACAO (cot_id, cot_blt_id, cot_pap_id, cot_prc_comum, cot_prc_min, cot_prc_max, cot_prc_med, cot_prc_mediana) VALUES (250, 43, 17, 5, 3.5, 5, 4.38, 4.5);</v>
      </c>
      <c r="J251" t="str">
        <f t="shared" si="7"/>
        <v>UPDATE COTACAO SET cot_id = 250, cot_blt_id = 43, cot_pap_id = 17, cot_prc_comum = 5, cot_prc_min = 3.5, cot_prc_max = 5, cot_prc_med = 4.38, cot_prc_mediana = 4.5 WHERE cot_id = 250;</v>
      </c>
    </row>
    <row r="252" spans="1:10" x14ac:dyDescent="0.3">
      <c r="A252">
        <v>251</v>
      </c>
      <c r="B252">
        <f>IF('Boletins Nuppa Site'!A252&lt;&gt;0,'Boletins Nuppa Site'!A252,"NULL")</f>
        <v>43</v>
      </c>
      <c r="C252">
        <v>18</v>
      </c>
      <c r="D252" t="str">
        <f>IF('Boletins Nuppa Site'!G252&lt;&gt;0,'Boletins Nuppa Site'!G252,"NULL")</f>
        <v>NULL</v>
      </c>
      <c r="E252" s="14">
        <f>IF('Boletins Nuppa Site'!H252&lt;&gt;0,'Boletins Nuppa Site'!H252,"NULL")</f>
        <v>18</v>
      </c>
      <c r="F252" s="14">
        <f>IF('Boletins Nuppa Site'!I252&lt;&gt;0,'Boletins Nuppa Site'!I252,"NULL")</f>
        <v>25</v>
      </c>
      <c r="G252" s="14">
        <f>IF('Boletins Nuppa Site'!J252&lt;&gt;0,'Boletins Nuppa Site'!J252,"NULL")</f>
        <v>21</v>
      </c>
      <c r="H252" s="14">
        <f>IF('Boletins Nuppa Site'!K252&lt;&gt;0,'Boletins Nuppa Site'!K252,"NULL")</f>
        <v>20</v>
      </c>
      <c r="I252" t="str">
        <f t="shared" si="6"/>
        <v>INSERT INTO COTACAO (cot_id, cot_blt_id, cot_pap_id, cot_prc_comum, cot_prc_min, cot_prc_max, cot_prc_med, cot_prc_mediana) VALUES (251, 43, 18, NULL, 18, 25, 21, 20);</v>
      </c>
      <c r="J252" t="str">
        <f t="shared" si="7"/>
        <v>UPDATE COTACAO SET cot_id = 251, cot_blt_id = 43, cot_pap_id = 18, cot_prc_comum = NULL, cot_prc_min = 18, cot_prc_max = 25, cot_prc_med = 21, cot_prc_mediana = 20 WHERE cot_id = 251;</v>
      </c>
    </row>
    <row r="253" spans="1:10" x14ac:dyDescent="0.3">
      <c r="A253">
        <v>252</v>
      </c>
      <c r="B253">
        <f>IF('Boletins Nuppa Site'!A253&lt;&gt;0,'Boletins Nuppa Site'!A253,"NULL")</f>
        <v>43</v>
      </c>
      <c r="C253">
        <v>19</v>
      </c>
      <c r="D253" s="14">
        <f>IF('Boletins Nuppa Site'!G253&lt;&gt;0,'Boletins Nuppa Site'!G253,"NULL")</f>
        <v>25</v>
      </c>
      <c r="E253" s="14">
        <f>IF('Boletins Nuppa Site'!H253&lt;&gt;0,'Boletins Nuppa Site'!H253,"NULL")</f>
        <v>25</v>
      </c>
      <c r="F253" s="14">
        <f>IF('Boletins Nuppa Site'!I253&lt;&gt;0,'Boletins Nuppa Site'!I253,"NULL")</f>
        <v>30</v>
      </c>
      <c r="G253" t="str">
        <f>IF('Boletins Nuppa Site'!J253&lt;&gt;0,'Boletins Nuppa Site'!J253,"NULL")</f>
        <v>26.67</v>
      </c>
      <c r="H253" s="14">
        <f>IF('Boletins Nuppa Site'!K253&lt;&gt;0,'Boletins Nuppa Site'!K253,"NULL")</f>
        <v>25</v>
      </c>
      <c r="I253" t="str">
        <f t="shared" si="6"/>
        <v>INSERT INTO COTACAO (cot_id, cot_blt_id, cot_pap_id, cot_prc_comum, cot_prc_min, cot_prc_max, cot_prc_med, cot_prc_mediana) VALUES (252, 43, 19, 25, 25, 30, 26.67, 25);</v>
      </c>
      <c r="J253" t="str">
        <f t="shared" si="7"/>
        <v>UPDATE COTACAO SET cot_id = 252, cot_blt_id = 43, cot_pap_id = 19, cot_prc_comum = 25, cot_prc_min = 25, cot_prc_max = 30, cot_prc_med = 26.67, cot_prc_mediana = 25 WHERE cot_id = 252;</v>
      </c>
    </row>
    <row r="254" spans="1:10" x14ac:dyDescent="0.3">
      <c r="A254">
        <v>253</v>
      </c>
      <c r="B254">
        <f>IF('Boletins Nuppa Site'!A254&lt;&gt;0,'Boletins Nuppa Site'!A254,"NULL")</f>
        <v>43</v>
      </c>
      <c r="C254">
        <v>21</v>
      </c>
      <c r="D254" s="14">
        <f>IF('Boletins Nuppa Site'!G254&lt;&gt;0,'Boletins Nuppa Site'!G254,"NULL")</f>
        <v>60</v>
      </c>
      <c r="E254" s="14">
        <f>IF('Boletins Nuppa Site'!H254&lt;&gt;0,'Boletins Nuppa Site'!H254,"NULL")</f>
        <v>40</v>
      </c>
      <c r="F254" s="14">
        <f>IF('Boletins Nuppa Site'!I254&lt;&gt;0,'Boletins Nuppa Site'!I254,"NULL")</f>
        <v>60</v>
      </c>
      <c r="G254" t="str">
        <f>IF('Boletins Nuppa Site'!J254&lt;&gt;0,'Boletins Nuppa Site'!J254,"NULL")</f>
        <v>52.5</v>
      </c>
      <c r="H254" s="14">
        <f>IF('Boletins Nuppa Site'!K254&lt;&gt;0,'Boletins Nuppa Site'!K254,"NULL")</f>
        <v>55</v>
      </c>
      <c r="I254" t="str">
        <f t="shared" si="6"/>
        <v>INSERT INTO COTACAO (cot_id, cot_blt_id, cot_pap_id, cot_prc_comum, cot_prc_min, cot_prc_max, cot_prc_med, cot_prc_mediana) VALUES (253, 43, 21, 60, 40, 60, 52.5, 55);</v>
      </c>
      <c r="J254" t="str">
        <f t="shared" si="7"/>
        <v>UPDATE COTACAO SET cot_id = 253, cot_blt_id = 43, cot_pap_id = 21, cot_prc_comum = 60, cot_prc_min = 40, cot_prc_max = 60, cot_prc_med = 52.5, cot_prc_mediana = 55 WHERE cot_id = 253;</v>
      </c>
    </row>
    <row r="255" spans="1:10" x14ac:dyDescent="0.3">
      <c r="A255">
        <v>254</v>
      </c>
      <c r="B255">
        <f>IF('Boletins Nuppa Site'!A255&lt;&gt;0,'Boletins Nuppa Site'!A255,"NULL")</f>
        <v>43</v>
      </c>
      <c r="C255">
        <v>22</v>
      </c>
      <c r="D255" s="14">
        <f>IF('Boletins Nuppa Site'!G255&lt;&gt;0,'Boletins Nuppa Site'!G255,"NULL")</f>
        <v>50</v>
      </c>
      <c r="E255" s="14">
        <f>IF('Boletins Nuppa Site'!H255&lt;&gt;0,'Boletins Nuppa Site'!H255,"NULL")</f>
        <v>45</v>
      </c>
      <c r="F255" s="14">
        <f>IF('Boletins Nuppa Site'!I255&lt;&gt;0,'Boletins Nuppa Site'!I255,"NULL")</f>
        <v>50</v>
      </c>
      <c r="G255" t="str">
        <f>IF('Boletins Nuppa Site'!J255&lt;&gt;0,'Boletins Nuppa Site'!J255,"NULL")</f>
        <v>48.75</v>
      </c>
      <c r="H255" s="14">
        <f>IF('Boletins Nuppa Site'!K255&lt;&gt;0,'Boletins Nuppa Site'!K255,"NULL")</f>
        <v>50</v>
      </c>
      <c r="I255" t="str">
        <f t="shared" si="6"/>
        <v>INSERT INTO COTACAO (cot_id, cot_blt_id, cot_pap_id, cot_prc_comum, cot_prc_min, cot_prc_max, cot_prc_med, cot_prc_mediana) VALUES (254, 43, 22, 50, 45, 50, 48.75, 50);</v>
      </c>
      <c r="J255" t="str">
        <f t="shared" si="7"/>
        <v>UPDATE COTACAO SET cot_id = 254, cot_blt_id = 43, cot_pap_id = 22, cot_prc_comum = 50, cot_prc_min = 45, cot_prc_max = 50, cot_prc_med = 48.75, cot_prc_mediana = 50 WHERE cot_id = 254;</v>
      </c>
    </row>
    <row r="256" spans="1:10" x14ac:dyDescent="0.3">
      <c r="A256">
        <v>255</v>
      </c>
      <c r="B256">
        <f>IF('Boletins Nuppa Site'!A256&lt;&gt;0,'Boletins Nuppa Site'!A256,"NULL")</f>
        <v>43</v>
      </c>
      <c r="C256">
        <v>23</v>
      </c>
      <c r="D256" s="14">
        <f>IF('Boletins Nuppa Site'!G256&lt;&gt;0,'Boletins Nuppa Site'!G256,"NULL")</f>
        <v>50</v>
      </c>
      <c r="E256" s="14">
        <f>IF('Boletins Nuppa Site'!H256&lt;&gt;0,'Boletins Nuppa Site'!H256,"NULL")</f>
        <v>35</v>
      </c>
      <c r="F256" s="14">
        <f>IF('Boletins Nuppa Site'!I256&lt;&gt;0,'Boletins Nuppa Site'!I256,"NULL")</f>
        <v>50</v>
      </c>
      <c r="G256" s="14">
        <f>IF('Boletins Nuppa Site'!J256&lt;&gt;0,'Boletins Nuppa Site'!J256,"NULL")</f>
        <v>45</v>
      </c>
      <c r="H256" t="str">
        <f>IF('Boletins Nuppa Site'!K256&lt;&gt;0,'Boletins Nuppa Site'!K256,"NULL")</f>
        <v>47.5</v>
      </c>
      <c r="I256" t="str">
        <f t="shared" si="6"/>
        <v>INSERT INTO COTACAO (cot_id, cot_blt_id, cot_pap_id, cot_prc_comum, cot_prc_min, cot_prc_max, cot_prc_med, cot_prc_mediana) VALUES (255, 43, 23, 50, 35, 50, 45, 47.5);</v>
      </c>
      <c r="J256" t="str">
        <f t="shared" si="7"/>
        <v>UPDATE COTACAO SET cot_id = 255, cot_blt_id = 43, cot_pap_id = 23, cot_prc_comum = 50, cot_prc_min = 35, cot_prc_max = 50, cot_prc_med = 45, cot_prc_mediana = 47.5 WHERE cot_id = 255;</v>
      </c>
    </row>
    <row r="257" spans="1:10" x14ac:dyDescent="0.3">
      <c r="A257">
        <v>256</v>
      </c>
      <c r="B257">
        <f>IF('Boletins Nuppa Site'!A257&lt;&gt;0,'Boletins Nuppa Site'!A257,"NULL")</f>
        <v>43</v>
      </c>
      <c r="C257">
        <v>24</v>
      </c>
      <c r="D257" t="str">
        <f>IF('Boletins Nuppa Site'!G257&lt;&gt;0,'Boletins Nuppa Site'!G257,"NULL")</f>
        <v>NULL</v>
      </c>
      <c r="E257" s="14">
        <f>IF('Boletins Nuppa Site'!H257&lt;&gt;0,'Boletins Nuppa Site'!H257,"NULL")</f>
        <v>60</v>
      </c>
      <c r="F257" s="14">
        <f>IF('Boletins Nuppa Site'!I257&lt;&gt;0,'Boletins Nuppa Site'!I257,"NULL")</f>
        <v>60</v>
      </c>
      <c r="G257" s="14">
        <f>IF('Boletins Nuppa Site'!J257&lt;&gt;0,'Boletins Nuppa Site'!J257,"NULL")</f>
        <v>60</v>
      </c>
      <c r="H257" s="14">
        <f>IF('Boletins Nuppa Site'!K257&lt;&gt;0,'Boletins Nuppa Site'!K257,"NULL")</f>
        <v>60</v>
      </c>
      <c r="I257" t="str">
        <f t="shared" si="6"/>
        <v>INSERT INTO COTACAO (cot_id, cot_blt_id, cot_pap_id, cot_prc_comum, cot_prc_min, cot_prc_max, cot_prc_med, cot_prc_mediana) VALUES (256, 43, 24, NULL, 60, 60, 60, 60);</v>
      </c>
      <c r="J257" t="str">
        <f t="shared" si="7"/>
        <v>UPDATE COTACAO SET cot_id = 256, cot_blt_id = 43, cot_pap_id = 24, cot_prc_comum = NULL, cot_prc_min = 60, cot_prc_max = 60, cot_prc_med = 60, cot_prc_mediana = 60 WHERE cot_id = 256;</v>
      </c>
    </row>
    <row r="258" spans="1:10" x14ac:dyDescent="0.3">
      <c r="A258">
        <v>257</v>
      </c>
      <c r="B258">
        <f>IF('Boletins Nuppa Site'!A258&lt;&gt;0,'Boletins Nuppa Site'!A258,"NULL")</f>
        <v>43</v>
      </c>
      <c r="C258">
        <v>25</v>
      </c>
      <c r="D258" s="14">
        <f>IF('Boletins Nuppa Site'!G258&lt;&gt;0,'Boletins Nuppa Site'!G258,"NULL")</f>
        <v>60</v>
      </c>
      <c r="E258" s="14">
        <f>IF('Boletins Nuppa Site'!H258&lt;&gt;0,'Boletins Nuppa Site'!H258,"NULL")</f>
        <v>50</v>
      </c>
      <c r="F258" s="14">
        <f>IF('Boletins Nuppa Site'!I258&lt;&gt;0,'Boletins Nuppa Site'!I258,"NULL")</f>
        <v>70</v>
      </c>
      <c r="G258" s="14">
        <f>IF('Boletins Nuppa Site'!J258&lt;&gt;0,'Boletins Nuppa Site'!J258,"NULL")</f>
        <v>60</v>
      </c>
      <c r="H258" s="14">
        <f>IF('Boletins Nuppa Site'!K258&lt;&gt;0,'Boletins Nuppa Site'!K258,"NULL")</f>
        <v>60</v>
      </c>
      <c r="I258" t="str">
        <f t="shared" si="6"/>
        <v>INSERT INTO COTACAO (cot_id, cot_blt_id, cot_pap_id, cot_prc_comum, cot_prc_min, cot_prc_max, cot_prc_med, cot_prc_mediana) VALUES (257, 43, 25, 60, 50, 70, 60, 60);</v>
      </c>
      <c r="J258" t="str">
        <f t="shared" si="7"/>
        <v>UPDATE COTACAO SET cot_id = 257, cot_blt_id = 43, cot_pap_id = 25, cot_prc_comum = 60, cot_prc_min = 50, cot_prc_max = 70, cot_prc_med = 60, cot_prc_mediana = 60 WHERE cot_id = 257;</v>
      </c>
    </row>
    <row r="259" spans="1:10" x14ac:dyDescent="0.3">
      <c r="A259">
        <v>258</v>
      </c>
      <c r="B259">
        <f>IF('Boletins Nuppa Site'!A259&lt;&gt;0,'Boletins Nuppa Site'!A259,"NULL")</f>
        <v>43</v>
      </c>
      <c r="C259">
        <v>26</v>
      </c>
      <c r="D259" s="14">
        <f>IF('Boletins Nuppa Site'!G259&lt;&gt;0,'Boletins Nuppa Site'!G259,"NULL")</f>
        <v>60</v>
      </c>
      <c r="E259" s="14">
        <f>IF('Boletins Nuppa Site'!H259&lt;&gt;0,'Boletins Nuppa Site'!H259,"NULL")</f>
        <v>40</v>
      </c>
      <c r="F259" s="14">
        <f>IF('Boletins Nuppa Site'!I259&lt;&gt;0,'Boletins Nuppa Site'!I259,"NULL")</f>
        <v>60</v>
      </c>
      <c r="G259" s="14">
        <f>IF('Boletins Nuppa Site'!J259&lt;&gt;0,'Boletins Nuppa Site'!J259,"NULL")</f>
        <v>54</v>
      </c>
      <c r="H259" s="14">
        <f>IF('Boletins Nuppa Site'!K259&lt;&gt;0,'Boletins Nuppa Site'!K259,"NULL")</f>
        <v>60</v>
      </c>
      <c r="I259" t="str">
        <f t="shared" ref="I259:I322" si="8">"INSERT INTO COTACAO (cot_id, cot_blt_id, cot_pap_id, cot_prc_comum, cot_prc_min, cot_prc_max, cot_prc_med, cot_prc_mediana) VALUES ("&amp;A259&amp;", "&amp;B259&amp;", "&amp;C259&amp;", "&amp;D259&amp;", "&amp;E259&amp;", "&amp;F259&amp;", "&amp;G259&amp;", "&amp;H259&amp;");"</f>
        <v>INSERT INTO COTACAO (cot_id, cot_blt_id, cot_pap_id, cot_prc_comum, cot_prc_min, cot_prc_max, cot_prc_med, cot_prc_mediana) VALUES (258, 43, 26, 60, 40, 60, 54, 60);</v>
      </c>
      <c r="J259" t="str">
        <f t="shared" ref="J259:J322" si="9">"UPDATE COTACAO SET cot_id = "&amp;A259&amp;", cot_blt_id = "&amp;B259&amp;", cot_pap_id = "&amp;C259&amp;", cot_prc_comum = "&amp;D259&amp;", cot_prc_min = "&amp;E259&amp;", cot_prc_max = "&amp;F259&amp;", cot_prc_med = "&amp;G259&amp;", cot_prc_mediana = "&amp;H259&amp;" WHERE cot_id = "&amp;A259&amp;";"</f>
        <v>UPDATE COTACAO SET cot_id = 258, cot_blt_id = 43, cot_pap_id = 26, cot_prc_comum = 60, cot_prc_min = 40, cot_prc_max = 60, cot_prc_med = 54, cot_prc_mediana = 60 WHERE cot_id = 258;</v>
      </c>
    </row>
    <row r="260" spans="1:10" x14ac:dyDescent="0.3">
      <c r="A260">
        <v>259</v>
      </c>
      <c r="B260">
        <f>IF('Boletins Nuppa Site'!A260&lt;&gt;0,'Boletins Nuppa Site'!A260,"NULL")</f>
        <v>43</v>
      </c>
      <c r="C260">
        <v>27</v>
      </c>
      <c r="D260" s="14">
        <f>IF('Boletins Nuppa Site'!G260&lt;&gt;0,'Boletins Nuppa Site'!G260,"NULL")</f>
        <v>50</v>
      </c>
      <c r="E260" s="14">
        <f>IF('Boletins Nuppa Site'!H260&lt;&gt;0,'Boletins Nuppa Site'!H260,"NULL")</f>
        <v>35</v>
      </c>
      <c r="F260" s="14">
        <f>IF('Boletins Nuppa Site'!I260&lt;&gt;0,'Boletins Nuppa Site'!I260,"NULL")</f>
        <v>50</v>
      </c>
      <c r="G260" s="14">
        <f>IF('Boletins Nuppa Site'!J260&lt;&gt;0,'Boletins Nuppa Site'!J260,"NULL")</f>
        <v>46</v>
      </c>
      <c r="H260" s="14">
        <f>IF('Boletins Nuppa Site'!K260&lt;&gt;0,'Boletins Nuppa Site'!K260,"NULL")</f>
        <v>50</v>
      </c>
      <c r="I260" t="str">
        <f t="shared" si="8"/>
        <v>INSERT INTO COTACAO (cot_id, cot_blt_id, cot_pap_id, cot_prc_comum, cot_prc_min, cot_prc_max, cot_prc_med, cot_prc_mediana) VALUES (259, 43, 27, 50, 35, 50, 46, 50);</v>
      </c>
      <c r="J260" t="str">
        <f t="shared" si="9"/>
        <v>UPDATE COTACAO SET cot_id = 259, cot_blt_id = 43, cot_pap_id = 27, cot_prc_comum = 50, cot_prc_min = 35, cot_prc_max = 50, cot_prc_med = 46, cot_prc_mediana = 50 WHERE cot_id = 259;</v>
      </c>
    </row>
    <row r="261" spans="1:10" x14ac:dyDescent="0.3">
      <c r="A261">
        <v>260</v>
      </c>
      <c r="B261">
        <f>IF('Boletins Nuppa Site'!A261&lt;&gt;0,'Boletins Nuppa Site'!A261,"NULL")</f>
        <v>43</v>
      </c>
      <c r="C261">
        <v>28</v>
      </c>
      <c r="D261" s="14">
        <f>IF('Boletins Nuppa Site'!G261&lt;&gt;0,'Boletins Nuppa Site'!G261,"NULL")</f>
        <v>70</v>
      </c>
      <c r="E261" s="14">
        <f>IF('Boletins Nuppa Site'!H261&lt;&gt;0,'Boletins Nuppa Site'!H261,"NULL")</f>
        <v>50</v>
      </c>
      <c r="F261" s="14">
        <f>IF('Boletins Nuppa Site'!I261&lt;&gt;0,'Boletins Nuppa Site'!I261,"NULL")</f>
        <v>70</v>
      </c>
      <c r="G261" t="str">
        <f>IF('Boletins Nuppa Site'!J261&lt;&gt;0,'Boletins Nuppa Site'!J261,"NULL")</f>
        <v>62.5</v>
      </c>
      <c r="H261" s="14">
        <f>IF('Boletins Nuppa Site'!K261&lt;&gt;0,'Boletins Nuppa Site'!K261,"NULL")</f>
        <v>65</v>
      </c>
      <c r="I261" t="str">
        <f t="shared" si="8"/>
        <v>INSERT INTO COTACAO (cot_id, cot_blt_id, cot_pap_id, cot_prc_comum, cot_prc_min, cot_prc_max, cot_prc_med, cot_prc_mediana) VALUES (260, 43, 28, 70, 50, 70, 62.5, 65);</v>
      </c>
      <c r="J261" t="str">
        <f t="shared" si="9"/>
        <v>UPDATE COTACAO SET cot_id = 260, cot_blt_id = 43, cot_pap_id = 28, cot_prc_comum = 70, cot_prc_min = 50, cot_prc_max = 70, cot_prc_med = 62.5, cot_prc_mediana = 65 WHERE cot_id = 260;</v>
      </c>
    </row>
    <row r="262" spans="1:10" x14ac:dyDescent="0.3">
      <c r="A262">
        <v>261</v>
      </c>
      <c r="B262">
        <f>IF('Boletins Nuppa Site'!A262&lt;&gt;0,'Boletins Nuppa Site'!A262,"NULL")</f>
        <v>43</v>
      </c>
      <c r="C262">
        <v>29</v>
      </c>
      <c r="D262" t="str">
        <f>IF('Boletins Nuppa Site'!G262&lt;&gt;0,'Boletins Nuppa Site'!G262,"NULL")</f>
        <v>NULL</v>
      </c>
      <c r="E262" s="14">
        <f>IF('Boletins Nuppa Site'!H262&lt;&gt;0,'Boletins Nuppa Site'!H262,"NULL")</f>
        <v>50</v>
      </c>
      <c r="F262" s="14">
        <f>IF('Boletins Nuppa Site'!I262&lt;&gt;0,'Boletins Nuppa Site'!I262,"NULL")</f>
        <v>55</v>
      </c>
      <c r="G262" t="str">
        <f>IF('Boletins Nuppa Site'!J262&lt;&gt;0,'Boletins Nuppa Site'!J262,"NULL")</f>
        <v>52.5</v>
      </c>
      <c r="H262" t="str">
        <f>IF('Boletins Nuppa Site'!K262&lt;&gt;0,'Boletins Nuppa Site'!K262,"NULL")</f>
        <v>52.5</v>
      </c>
      <c r="I262" t="str">
        <f t="shared" si="8"/>
        <v>INSERT INTO COTACAO (cot_id, cot_blt_id, cot_pap_id, cot_prc_comum, cot_prc_min, cot_prc_max, cot_prc_med, cot_prc_mediana) VALUES (261, 43, 29, NULL, 50, 55, 52.5, 52.5);</v>
      </c>
      <c r="J262" t="str">
        <f t="shared" si="9"/>
        <v>UPDATE COTACAO SET cot_id = 261, cot_blt_id = 43, cot_pap_id = 29, cot_prc_comum = NULL, cot_prc_min = 50, cot_prc_max = 55, cot_prc_med = 52.5, cot_prc_mediana = 52.5 WHERE cot_id = 261;</v>
      </c>
    </row>
    <row r="263" spans="1:10" x14ac:dyDescent="0.3">
      <c r="A263">
        <v>262</v>
      </c>
      <c r="B263">
        <f>IF('Boletins Nuppa Site'!A263&lt;&gt;0,'Boletins Nuppa Site'!A263,"NULL")</f>
        <v>43</v>
      </c>
      <c r="C263">
        <v>30</v>
      </c>
      <c r="D263" t="str">
        <f>IF('Boletins Nuppa Site'!G263&lt;&gt;0,'Boletins Nuppa Site'!G263,"NULL")</f>
        <v>NULL</v>
      </c>
      <c r="E263" s="14">
        <f>IF('Boletins Nuppa Site'!H263&lt;&gt;0,'Boletins Nuppa Site'!H263,"NULL")</f>
        <v>45</v>
      </c>
      <c r="F263" s="14">
        <f>IF('Boletins Nuppa Site'!I263&lt;&gt;0,'Boletins Nuppa Site'!I263,"NULL")</f>
        <v>60</v>
      </c>
      <c r="G263" t="str">
        <f>IF('Boletins Nuppa Site'!J263&lt;&gt;0,'Boletins Nuppa Site'!J263,"NULL")</f>
        <v>51.67</v>
      </c>
      <c r="H263" s="14">
        <f>IF('Boletins Nuppa Site'!K263&lt;&gt;0,'Boletins Nuppa Site'!K263,"NULL")</f>
        <v>50</v>
      </c>
      <c r="I263" t="str">
        <f t="shared" si="8"/>
        <v>INSERT INTO COTACAO (cot_id, cot_blt_id, cot_pap_id, cot_prc_comum, cot_prc_min, cot_prc_max, cot_prc_med, cot_prc_mediana) VALUES (262, 43, 30, NULL, 45, 60, 51.67, 50);</v>
      </c>
      <c r="J263" t="str">
        <f t="shared" si="9"/>
        <v>UPDATE COTACAO SET cot_id = 262, cot_blt_id = 43, cot_pap_id = 30, cot_prc_comum = NULL, cot_prc_min = 45, cot_prc_max = 60, cot_prc_med = 51.67, cot_prc_mediana = 50 WHERE cot_id = 262;</v>
      </c>
    </row>
    <row r="264" spans="1:10" x14ac:dyDescent="0.3">
      <c r="A264">
        <v>263</v>
      </c>
      <c r="B264">
        <f>IF('Boletins Nuppa Site'!A264&lt;&gt;0,'Boletins Nuppa Site'!A264,"NULL")</f>
        <v>43</v>
      </c>
      <c r="C264">
        <v>31</v>
      </c>
      <c r="D264" t="str">
        <f>IF('Boletins Nuppa Site'!G264&lt;&gt;0,'Boletins Nuppa Site'!G264,"NULL")</f>
        <v>NULL</v>
      </c>
      <c r="E264" s="14">
        <f>IF('Boletins Nuppa Site'!H264&lt;&gt;0,'Boletins Nuppa Site'!H264,"NULL")</f>
        <v>60</v>
      </c>
      <c r="F264" s="14">
        <f>IF('Boletins Nuppa Site'!I264&lt;&gt;0,'Boletins Nuppa Site'!I264,"NULL")</f>
        <v>100</v>
      </c>
      <c r="G264" s="14">
        <f>IF('Boletins Nuppa Site'!J264&lt;&gt;0,'Boletins Nuppa Site'!J264,"NULL")</f>
        <v>81</v>
      </c>
      <c r="H264" s="14">
        <f>IF('Boletins Nuppa Site'!K264&lt;&gt;0,'Boletins Nuppa Site'!K264,"NULL")</f>
        <v>80</v>
      </c>
      <c r="I264" t="str">
        <f t="shared" si="8"/>
        <v>INSERT INTO COTACAO (cot_id, cot_blt_id, cot_pap_id, cot_prc_comum, cot_prc_min, cot_prc_max, cot_prc_med, cot_prc_mediana) VALUES (263, 43, 31, NULL, 60, 100, 81, 80);</v>
      </c>
      <c r="J264" t="str">
        <f t="shared" si="9"/>
        <v>UPDATE COTACAO SET cot_id = 263, cot_blt_id = 43, cot_pap_id = 31, cot_prc_comum = NULL, cot_prc_min = 60, cot_prc_max = 100, cot_prc_med = 81, cot_prc_mediana = 80 WHERE cot_id = 263;</v>
      </c>
    </row>
    <row r="265" spans="1:10" x14ac:dyDescent="0.3">
      <c r="A265">
        <v>264</v>
      </c>
      <c r="B265">
        <f>IF('Boletins Nuppa Site'!A265&lt;&gt;0,'Boletins Nuppa Site'!A265,"NULL")</f>
        <v>43</v>
      </c>
      <c r="C265">
        <v>32</v>
      </c>
      <c r="D265" s="14">
        <f>IF('Boletins Nuppa Site'!G265&lt;&gt;0,'Boletins Nuppa Site'!G265,"NULL")</f>
        <v>40</v>
      </c>
      <c r="E265" s="14">
        <f>IF('Boletins Nuppa Site'!H265&lt;&gt;0,'Boletins Nuppa Site'!H265,"NULL")</f>
        <v>35</v>
      </c>
      <c r="F265" s="14">
        <f>IF('Boletins Nuppa Site'!I265&lt;&gt;0,'Boletins Nuppa Site'!I265,"NULL")</f>
        <v>40</v>
      </c>
      <c r="G265" t="str">
        <f>IF('Boletins Nuppa Site'!J265&lt;&gt;0,'Boletins Nuppa Site'!J265,"NULL")</f>
        <v>38.75</v>
      </c>
      <c r="H265" s="14">
        <f>IF('Boletins Nuppa Site'!K265&lt;&gt;0,'Boletins Nuppa Site'!K265,"NULL")</f>
        <v>40</v>
      </c>
      <c r="I265" t="str">
        <f t="shared" si="8"/>
        <v>INSERT INTO COTACAO (cot_id, cot_blt_id, cot_pap_id, cot_prc_comum, cot_prc_min, cot_prc_max, cot_prc_med, cot_prc_mediana) VALUES (264, 43, 32, 40, 35, 40, 38.75, 40);</v>
      </c>
      <c r="J265" t="str">
        <f t="shared" si="9"/>
        <v>UPDATE COTACAO SET cot_id = 264, cot_blt_id = 43, cot_pap_id = 32, cot_prc_comum = 40, cot_prc_min = 35, cot_prc_max = 40, cot_prc_med = 38.75, cot_prc_mediana = 40 WHERE cot_id = 264;</v>
      </c>
    </row>
    <row r="266" spans="1:10" x14ac:dyDescent="0.3">
      <c r="A266">
        <v>265</v>
      </c>
      <c r="B266">
        <f>IF('Boletins Nuppa Site'!A266&lt;&gt;0,'Boletins Nuppa Site'!A266,"NULL")</f>
        <v>43</v>
      </c>
      <c r="C266">
        <v>33</v>
      </c>
      <c r="D266" s="14">
        <f>IF('Boletins Nuppa Site'!G266&lt;&gt;0,'Boletins Nuppa Site'!G266,"NULL")</f>
        <v>70</v>
      </c>
      <c r="E266" s="14">
        <f>IF('Boletins Nuppa Site'!H266&lt;&gt;0,'Boletins Nuppa Site'!H266,"NULL")</f>
        <v>70</v>
      </c>
      <c r="F266" s="14">
        <f>IF('Boletins Nuppa Site'!I266&lt;&gt;0,'Boletins Nuppa Site'!I266,"NULL")</f>
        <v>100</v>
      </c>
      <c r="G266" s="14">
        <f>IF('Boletins Nuppa Site'!J266&lt;&gt;0,'Boletins Nuppa Site'!J266,"NULL")</f>
        <v>80</v>
      </c>
      <c r="H266" s="14">
        <f>IF('Boletins Nuppa Site'!K266&lt;&gt;0,'Boletins Nuppa Site'!K266,"NULL")</f>
        <v>75</v>
      </c>
      <c r="I266" t="str">
        <f t="shared" si="8"/>
        <v>INSERT INTO COTACAO (cot_id, cot_blt_id, cot_pap_id, cot_prc_comum, cot_prc_min, cot_prc_max, cot_prc_med, cot_prc_mediana) VALUES (265, 43, 33, 70, 70, 100, 80, 75);</v>
      </c>
      <c r="J266" t="str">
        <f t="shared" si="9"/>
        <v>UPDATE COTACAO SET cot_id = 265, cot_blt_id = 43, cot_pap_id = 33, cot_prc_comum = 70, cot_prc_min = 70, cot_prc_max = 100, cot_prc_med = 80, cot_prc_mediana = 75 WHERE cot_id = 265;</v>
      </c>
    </row>
    <row r="267" spans="1:10" x14ac:dyDescent="0.3">
      <c r="A267">
        <v>266</v>
      </c>
      <c r="B267">
        <f>IF('Boletins Nuppa Site'!A267&lt;&gt;0,'Boletins Nuppa Site'!A267,"NULL")</f>
        <v>43</v>
      </c>
      <c r="C267">
        <v>34</v>
      </c>
      <c r="D267" s="14">
        <f>IF('Boletins Nuppa Site'!G267&lt;&gt;0,'Boletins Nuppa Site'!G267,"NULL")</f>
        <v>110</v>
      </c>
      <c r="E267" s="14">
        <f>IF('Boletins Nuppa Site'!H267&lt;&gt;0,'Boletins Nuppa Site'!H267,"NULL")</f>
        <v>100</v>
      </c>
      <c r="F267" s="14">
        <f>IF('Boletins Nuppa Site'!I267&lt;&gt;0,'Boletins Nuppa Site'!I267,"NULL")</f>
        <v>140</v>
      </c>
      <c r="G267" s="14">
        <f>IF('Boletins Nuppa Site'!J267&lt;&gt;0,'Boletins Nuppa Site'!J267,"NULL")</f>
        <v>115</v>
      </c>
      <c r="H267" s="14">
        <f>IF('Boletins Nuppa Site'!K267&lt;&gt;0,'Boletins Nuppa Site'!K267,"NULL")</f>
        <v>110</v>
      </c>
      <c r="I267" t="str">
        <f t="shared" si="8"/>
        <v>INSERT INTO COTACAO (cot_id, cot_blt_id, cot_pap_id, cot_prc_comum, cot_prc_min, cot_prc_max, cot_prc_med, cot_prc_mediana) VALUES (266, 43, 34, 110, 100, 140, 115, 110);</v>
      </c>
      <c r="J267" t="str">
        <f t="shared" si="9"/>
        <v>UPDATE COTACAO SET cot_id = 266, cot_blt_id = 43, cot_pap_id = 34, cot_prc_comum = 110, cot_prc_min = 100, cot_prc_max = 140, cot_prc_med = 115, cot_prc_mediana = 110 WHERE cot_id = 266;</v>
      </c>
    </row>
    <row r="268" spans="1:10" x14ac:dyDescent="0.3">
      <c r="A268">
        <v>267</v>
      </c>
      <c r="B268">
        <f>IF('Boletins Nuppa Site'!A268&lt;&gt;0,'Boletins Nuppa Site'!A268,"NULL")</f>
        <v>43</v>
      </c>
      <c r="C268">
        <v>35</v>
      </c>
      <c r="D268" s="14">
        <f>IF('Boletins Nuppa Site'!G268&lt;&gt;0,'Boletins Nuppa Site'!G268,"NULL")</f>
        <v>120</v>
      </c>
      <c r="E268" s="14">
        <f>IF('Boletins Nuppa Site'!H268&lt;&gt;0,'Boletins Nuppa Site'!H268,"NULL")</f>
        <v>100</v>
      </c>
      <c r="F268" s="14">
        <f>IF('Boletins Nuppa Site'!I268&lt;&gt;0,'Boletins Nuppa Site'!I268,"NULL")</f>
        <v>130</v>
      </c>
      <c r="G268" t="str">
        <f>IF('Boletins Nuppa Site'!J268&lt;&gt;0,'Boletins Nuppa Site'!J268,"NULL")</f>
        <v>117.5</v>
      </c>
      <c r="H268" s="14">
        <f>IF('Boletins Nuppa Site'!K268&lt;&gt;0,'Boletins Nuppa Site'!K268,"NULL")</f>
        <v>120</v>
      </c>
      <c r="I268" t="str">
        <f t="shared" si="8"/>
        <v>INSERT INTO COTACAO (cot_id, cot_blt_id, cot_pap_id, cot_prc_comum, cot_prc_min, cot_prc_max, cot_prc_med, cot_prc_mediana) VALUES (267, 43, 35, 120, 100, 130, 117.5, 120);</v>
      </c>
      <c r="J268" t="str">
        <f t="shared" si="9"/>
        <v>UPDATE COTACAO SET cot_id = 267, cot_blt_id = 43, cot_pap_id = 35, cot_prc_comum = 120, cot_prc_min = 100, cot_prc_max = 130, cot_prc_med = 117.5, cot_prc_mediana = 120 WHERE cot_id = 267;</v>
      </c>
    </row>
    <row r="269" spans="1:10" x14ac:dyDescent="0.3">
      <c r="A269">
        <v>268</v>
      </c>
      <c r="B269">
        <f>IF('Boletins Nuppa Site'!A269&lt;&gt;0,'Boletins Nuppa Site'!A269,"NULL")</f>
        <v>43</v>
      </c>
      <c r="C269">
        <v>36</v>
      </c>
      <c r="D269" t="str">
        <f>IF('Boletins Nuppa Site'!G269&lt;&gt;0,'Boletins Nuppa Site'!G269,"NULL")</f>
        <v>NULL</v>
      </c>
      <c r="E269" t="str">
        <f>IF('Boletins Nuppa Site'!H269&lt;&gt;0,'Boletins Nuppa Site'!H269,"NULL")</f>
        <v>NULL</v>
      </c>
      <c r="F269" t="str">
        <f>IF('Boletins Nuppa Site'!I269&lt;&gt;0,'Boletins Nuppa Site'!I269,"NULL")</f>
        <v>NULL</v>
      </c>
      <c r="G269" t="str">
        <f>IF('Boletins Nuppa Site'!J269&lt;&gt;0,'Boletins Nuppa Site'!J269,"NULL")</f>
        <v>NULL</v>
      </c>
      <c r="H269" t="str">
        <f>IF('Boletins Nuppa Site'!K269&lt;&gt;0,'Boletins Nuppa Site'!K269,"NULL")</f>
        <v>NULL</v>
      </c>
      <c r="I269" t="str">
        <f t="shared" si="8"/>
        <v>INSERT INTO COTACAO (cot_id, cot_blt_id, cot_pap_id, cot_prc_comum, cot_prc_min, cot_prc_max, cot_prc_med, cot_prc_mediana) VALUES (268, 43, 36, NULL, NULL, NULL, NULL, NULL);</v>
      </c>
      <c r="J269" t="str">
        <f t="shared" si="9"/>
        <v>UPDATE COTACAO SET cot_id = 268, cot_blt_id = 43, cot_pap_id = 36, cot_prc_comum = NULL, cot_prc_min = NULL, cot_prc_max = NULL, cot_prc_med = NULL, cot_prc_mediana = NULL WHERE cot_id = 268;</v>
      </c>
    </row>
    <row r="270" spans="1:10" x14ac:dyDescent="0.3">
      <c r="A270">
        <v>269</v>
      </c>
      <c r="B270">
        <f>IF('Boletins Nuppa Site'!A270&lt;&gt;0,'Boletins Nuppa Site'!A270,"NULL")</f>
        <v>43</v>
      </c>
      <c r="C270">
        <v>37</v>
      </c>
      <c r="D270" t="str">
        <f>IF('Boletins Nuppa Site'!G270&lt;&gt;0,'Boletins Nuppa Site'!G270,"NULL")</f>
        <v>NULL</v>
      </c>
      <c r="E270" t="str">
        <f>IF('Boletins Nuppa Site'!H270&lt;&gt;0,'Boletins Nuppa Site'!H270,"NULL")</f>
        <v>NULL</v>
      </c>
      <c r="F270" t="str">
        <f>IF('Boletins Nuppa Site'!I270&lt;&gt;0,'Boletins Nuppa Site'!I270,"NULL")</f>
        <v>NULL</v>
      </c>
      <c r="G270" t="str">
        <f>IF('Boletins Nuppa Site'!J270&lt;&gt;0,'Boletins Nuppa Site'!J270,"NULL")</f>
        <v>NULL</v>
      </c>
      <c r="H270" t="str">
        <f>IF('Boletins Nuppa Site'!K270&lt;&gt;0,'Boletins Nuppa Site'!K270,"NULL")</f>
        <v>NULL</v>
      </c>
      <c r="I270" t="str">
        <f t="shared" si="8"/>
        <v>INSERT INTO COTACAO (cot_id, cot_blt_id, cot_pap_id, cot_prc_comum, cot_prc_min, cot_prc_max, cot_prc_med, cot_prc_mediana) VALUES (269, 43, 37, NULL, NULL, NULL, NULL, NULL);</v>
      </c>
      <c r="J270" t="str">
        <f t="shared" si="9"/>
        <v>UPDATE COTACAO SET cot_id = 269, cot_blt_id = 43, cot_pap_id = 37, cot_prc_comum = NULL, cot_prc_min = NULL, cot_prc_max = NULL, cot_prc_med = NULL, cot_prc_mediana = NULL WHERE cot_id = 269;</v>
      </c>
    </row>
    <row r="271" spans="1:10" x14ac:dyDescent="0.3">
      <c r="A271">
        <v>270</v>
      </c>
      <c r="B271">
        <f>IF('Boletins Nuppa Site'!A271&lt;&gt;0,'Boletins Nuppa Site'!A271,"NULL")</f>
        <v>43</v>
      </c>
      <c r="C271">
        <v>38</v>
      </c>
      <c r="D271" t="str">
        <f>IF('Boletins Nuppa Site'!G271&lt;&gt;0,'Boletins Nuppa Site'!G271,"NULL")</f>
        <v>NULL</v>
      </c>
      <c r="E271" t="str">
        <f>IF('Boletins Nuppa Site'!H271&lt;&gt;0,'Boletins Nuppa Site'!H271,"NULL")</f>
        <v>NULL</v>
      </c>
      <c r="F271" t="str">
        <f>IF('Boletins Nuppa Site'!I271&lt;&gt;0,'Boletins Nuppa Site'!I271,"NULL")</f>
        <v>NULL</v>
      </c>
      <c r="G271" t="str">
        <f>IF('Boletins Nuppa Site'!J271&lt;&gt;0,'Boletins Nuppa Site'!J271,"NULL")</f>
        <v>NULL</v>
      </c>
      <c r="H271" t="str">
        <f>IF('Boletins Nuppa Site'!K271&lt;&gt;0,'Boletins Nuppa Site'!K271,"NULL")</f>
        <v>NULL</v>
      </c>
      <c r="I271" t="str">
        <f t="shared" si="8"/>
        <v>INSERT INTO COTACAO (cot_id, cot_blt_id, cot_pap_id, cot_prc_comum, cot_prc_min, cot_prc_max, cot_prc_med, cot_prc_mediana) VALUES (270, 43, 38, NULL, NULL, NULL, NULL, NULL);</v>
      </c>
      <c r="J271" t="str">
        <f t="shared" si="9"/>
        <v>UPDATE COTACAO SET cot_id = 270, cot_blt_id = 43, cot_pap_id = 38, cot_prc_comum = NULL, cot_prc_min = NULL, cot_prc_max = NULL, cot_prc_med = NULL, cot_prc_mediana = NULL WHERE cot_id = 270;</v>
      </c>
    </row>
    <row r="272" spans="1:10" x14ac:dyDescent="0.3">
      <c r="A272">
        <v>271</v>
      </c>
      <c r="B272">
        <f>IF('Boletins Nuppa Site'!A272&lt;&gt;0,'Boletins Nuppa Site'!A272,"NULL")</f>
        <v>43</v>
      </c>
      <c r="C272">
        <v>39</v>
      </c>
      <c r="D272" t="str">
        <f>IF('Boletins Nuppa Site'!G272&lt;&gt;0,'Boletins Nuppa Site'!G272,"NULL")</f>
        <v>NULL</v>
      </c>
      <c r="E272" t="str">
        <f>IF('Boletins Nuppa Site'!H272&lt;&gt;0,'Boletins Nuppa Site'!H272,"NULL")</f>
        <v>NULL</v>
      </c>
      <c r="F272" t="str">
        <f>IF('Boletins Nuppa Site'!I272&lt;&gt;0,'Boletins Nuppa Site'!I272,"NULL")</f>
        <v>NULL</v>
      </c>
      <c r="G272" t="str">
        <f>IF('Boletins Nuppa Site'!J272&lt;&gt;0,'Boletins Nuppa Site'!J272,"NULL")</f>
        <v>NULL</v>
      </c>
      <c r="H272" t="str">
        <f>IF('Boletins Nuppa Site'!K272&lt;&gt;0,'Boletins Nuppa Site'!K272,"NULL")</f>
        <v>NULL</v>
      </c>
      <c r="I272" t="str">
        <f t="shared" si="8"/>
        <v>INSERT INTO COTACAO (cot_id, cot_blt_id, cot_pap_id, cot_prc_comum, cot_prc_min, cot_prc_max, cot_prc_med, cot_prc_mediana) VALUES (271, 43, 39, NULL, NULL, NULL, NULL, NULL);</v>
      </c>
      <c r="J272" t="str">
        <f t="shared" si="9"/>
        <v>UPDATE COTACAO SET cot_id = 271, cot_blt_id = 43, cot_pap_id = 39, cot_prc_comum = NULL, cot_prc_min = NULL, cot_prc_max = NULL, cot_prc_med = NULL, cot_prc_mediana = NULL WHERE cot_id = 271;</v>
      </c>
    </row>
    <row r="273" spans="1:10" x14ac:dyDescent="0.3">
      <c r="A273">
        <v>272</v>
      </c>
      <c r="B273">
        <f>IF('Boletins Nuppa Site'!A273&lt;&gt;0,'Boletins Nuppa Site'!A273,"NULL")</f>
        <v>43</v>
      </c>
      <c r="C273">
        <v>40</v>
      </c>
      <c r="D273" t="str">
        <f>IF('Boletins Nuppa Site'!G273&lt;&gt;0,'Boletins Nuppa Site'!G273,"NULL")</f>
        <v>NULL</v>
      </c>
      <c r="E273" t="str">
        <f>IF('Boletins Nuppa Site'!H273&lt;&gt;0,'Boletins Nuppa Site'!H273,"NULL")</f>
        <v>NULL</v>
      </c>
      <c r="F273" t="str">
        <f>IF('Boletins Nuppa Site'!I273&lt;&gt;0,'Boletins Nuppa Site'!I273,"NULL")</f>
        <v>NULL</v>
      </c>
      <c r="G273" t="str">
        <f>IF('Boletins Nuppa Site'!J273&lt;&gt;0,'Boletins Nuppa Site'!J273,"NULL")</f>
        <v>NULL</v>
      </c>
      <c r="H273" t="str">
        <f>IF('Boletins Nuppa Site'!K273&lt;&gt;0,'Boletins Nuppa Site'!K273,"NULL")</f>
        <v>NULL</v>
      </c>
      <c r="I273" t="str">
        <f t="shared" si="8"/>
        <v>INSERT INTO COTACAO (cot_id, cot_blt_id, cot_pap_id, cot_prc_comum, cot_prc_min, cot_prc_max, cot_prc_med, cot_prc_mediana) VALUES (272, 43, 40, NULL, NULL, NULL, NULL, NULL);</v>
      </c>
      <c r="J273" t="str">
        <f t="shared" si="9"/>
        <v>UPDATE COTACAO SET cot_id = 272, cot_blt_id = 43, cot_pap_id = 40, cot_prc_comum = NULL, cot_prc_min = NULL, cot_prc_max = NULL, cot_prc_med = NULL, cot_prc_mediana = NULL WHERE cot_id = 272;</v>
      </c>
    </row>
    <row r="274" spans="1:10" x14ac:dyDescent="0.3">
      <c r="A274">
        <v>273</v>
      </c>
      <c r="B274">
        <f>IF('Boletins Nuppa Site'!A274&lt;&gt;0,'Boletins Nuppa Site'!A274,"NULL")</f>
        <v>44</v>
      </c>
      <c r="C274">
        <v>1</v>
      </c>
      <c r="D274" s="14">
        <f>IF('Boletins Nuppa Site'!G274&lt;&gt;0,'Boletins Nuppa Site'!G274,"NULL")</f>
        <v>60</v>
      </c>
      <c r="E274" s="14">
        <f>IF('Boletins Nuppa Site'!H274&lt;&gt;0,'Boletins Nuppa Site'!H274,"NULL")</f>
        <v>48</v>
      </c>
      <c r="F274" s="14">
        <f>IF('Boletins Nuppa Site'!I274&lt;&gt;0,'Boletins Nuppa Site'!I274,"NULL")</f>
        <v>78</v>
      </c>
      <c r="G274" t="str">
        <f>IF('Boletins Nuppa Site'!J274&lt;&gt;0,'Boletins Nuppa Site'!J274,"NULL")</f>
        <v>61.5</v>
      </c>
      <c r="H274" s="14">
        <f>IF('Boletins Nuppa Site'!K274&lt;&gt;0,'Boletins Nuppa Site'!K274,"NULL")</f>
        <v>60</v>
      </c>
      <c r="I274" t="str">
        <f t="shared" si="8"/>
        <v>INSERT INTO COTACAO (cot_id, cot_blt_id, cot_pap_id, cot_prc_comum, cot_prc_min, cot_prc_max, cot_prc_med, cot_prc_mediana) VALUES (273, 44, 1, 60, 48, 78, 61.5, 60);</v>
      </c>
      <c r="J274" t="str">
        <f t="shared" si="9"/>
        <v>UPDATE COTACAO SET cot_id = 273, cot_blt_id = 44, cot_pap_id = 1, cot_prc_comum = 60, cot_prc_min = 48, cot_prc_max = 78, cot_prc_med = 61.5, cot_prc_mediana = 60 WHERE cot_id = 273;</v>
      </c>
    </row>
    <row r="275" spans="1:10" x14ac:dyDescent="0.3">
      <c r="A275">
        <v>274</v>
      </c>
      <c r="B275">
        <f>IF('Boletins Nuppa Site'!A275&lt;&gt;0,'Boletins Nuppa Site'!A275,"NULL")</f>
        <v>44</v>
      </c>
      <c r="C275">
        <v>2</v>
      </c>
      <c r="D275" s="14">
        <f>IF('Boletins Nuppa Site'!G275&lt;&gt;0,'Boletins Nuppa Site'!G275,"NULL")</f>
        <v>84</v>
      </c>
      <c r="E275" s="14">
        <f>IF('Boletins Nuppa Site'!H275&lt;&gt;0,'Boletins Nuppa Site'!H275,"NULL")</f>
        <v>72</v>
      </c>
      <c r="F275" s="14">
        <f>IF('Boletins Nuppa Site'!I275&lt;&gt;0,'Boletins Nuppa Site'!I275,"NULL")</f>
        <v>84</v>
      </c>
      <c r="G275" s="14">
        <f>IF('Boletins Nuppa Site'!J275&lt;&gt;0,'Boletins Nuppa Site'!J275,"NULL")</f>
        <v>80</v>
      </c>
      <c r="H275" s="14">
        <f>IF('Boletins Nuppa Site'!K275&lt;&gt;0,'Boletins Nuppa Site'!K275,"NULL")</f>
        <v>84</v>
      </c>
      <c r="I275" t="str">
        <f t="shared" si="8"/>
        <v>INSERT INTO COTACAO (cot_id, cot_blt_id, cot_pap_id, cot_prc_comum, cot_prc_min, cot_prc_max, cot_prc_med, cot_prc_mediana) VALUES (274, 44, 2, 84, 72, 84, 80, 84);</v>
      </c>
      <c r="J275" t="str">
        <f t="shared" si="9"/>
        <v>UPDATE COTACAO SET cot_id = 274, cot_blt_id = 44, cot_pap_id = 2, cot_prc_comum = 84, cot_prc_min = 72, cot_prc_max = 84, cot_prc_med = 80, cot_prc_mediana = 84 WHERE cot_id = 274;</v>
      </c>
    </row>
    <row r="276" spans="1:10" x14ac:dyDescent="0.3">
      <c r="A276">
        <v>275</v>
      </c>
      <c r="B276">
        <f>IF('Boletins Nuppa Site'!A276&lt;&gt;0,'Boletins Nuppa Site'!A276,"NULL")</f>
        <v>44</v>
      </c>
      <c r="C276">
        <v>3</v>
      </c>
      <c r="D276" t="str">
        <f>IF('Boletins Nuppa Site'!G276&lt;&gt;0,'Boletins Nuppa Site'!G276,"NULL")</f>
        <v>NULL</v>
      </c>
      <c r="E276" s="14">
        <f>IF('Boletins Nuppa Site'!H276&lt;&gt;0,'Boletins Nuppa Site'!H276,"NULL")</f>
        <v>45</v>
      </c>
      <c r="F276" s="14">
        <f>IF('Boletins Nuppa Site'!I276&lt;&gt;0,'Boletins Nuppa Site'!I276,"NULL")</f>
        <v>60</v>
      </c>
      <c r="G276" t="str">
        <f>IF('Boletins Nuppa Site'!J276&lt;&gt;0,'Boletins Nuppa Site'!J276,"NULL")</f>
        <v>51.75</v>
      </c>
      <c r="H276" s="14">
        <f>IF('Boletins Nuppa Site'!K276&lt;&gt;0,'Boletins Nuppa Site'!K276,"NULL")</f>
        <v>51</v>
      </c>
      <c r="I276" t="str">
        <f t="shared" si="8"/>
        <v>INSERT INTO COTACAO (cot_id, cot_blt_id, cot_pap_id, cot_prc_comum, cot_prc_min, cot_prc_max, cot_prc_med, cot_prc_mediana) VALUES (275, 44, 3, NULL, 45, 60, 51.75, 51);</v>
      </c>
      <c r="J276" t="str">
        <f t="shared" si="9"/>
        <v>UPDATE COTACAO SET cot_id = 275, cot_blt_id = 44, cot_pap_id = 3, cot_prc_comum = NULL, cot_prc_min = 45, cot_prc_max = 60, cot_prc_med = 51.75, cot_prc_mediana = 51 WHERE cot_id = 275;</v>
      </c>
    </row>
    <row r="277" spans="1:10" x14ac:dyDescent="0.3">
      <c r="A277">
        <v>276</v>
      </c>
      <c r="B277">
        <f>IF('Boletins Nuppa Site'!A277&lt;&gt;0,'Boletins Nuppa Site'!A277,"NULL")</f>
        <v>44</v>
      </c>
      <c r="C277">
        <v>4</v>
      </c>
      <c r="D277" t="str">
        <f>IF('Boletins Nuppa Site'!G277&lt;&gt;0,'Boletins Nuppa Site'!G277,"NULL")</f>
        <v>NULL</v>
      </c>
      <c r="E277" s="14">
        <f>IF('Boletins Nuppa Site'!H277&lt;&gt;0,'Boletins Nuppa Site'!H277,"NULL")</f>
        <v>30</v>
      </c>
      <c r="F277" s="14">
        <f>IF('Boletins Nuppa Site'!I277&lt;&gt;0,'Boletins Nuppa Site'!I277,"NULL")</f>
        <v>50</v>
      </c>
      <c r="G277" t="str">
        <f>IF('Boletins Nuppa Site'!J277&lt;&gt;0,'Boletins Nuppa Site'!J277,"NULL")</f>
        <v>38.6</v>
      </c>
      <c r="H277" s="14">
        <f>IF('Boletins Nuppa Site'!K277&lt;&gt;0,'Boletins Nuppa Site'!K277,"NULL")</f>
        <v>36</v>
      </c>
      <c r="I277" t="str">
        <f t="shared" si="8"/>
        <v>INSERT INTO COTACAO (cot_id, cot_blt_id, cot_pap_id, cot_prc_comum, cot_prc_min, cot_prc_max, cot_prc_med, cot_prc_mediana) VALUES (276, 44, 4, NULL, 30, 50, 38.6, 36);</v>
      </c>
      <c r="J277" t="str">
        <f t="shared" si="9"/>
        <v>UPDATE COTACAO SET cot_id = 276, cot_blt_id = 44, cot_pap_id = 4, cot_prc_comum = NULL, cot_prc_min = 30, cot_prc_max = 50, cot_prc_med = 38.6, cot_prc_mediana = 36 WHERE cot_id = 276;</v>
      </c>
    </row>
    <row r="278" spans="1:10" x14ac:dyDescent="0.3">
      <c r="A278">
        <v>277</v>
      </c>
      <c r="B278">
        <f>IF('Boletins Nuppa Site'!A278&lt;&gt;0,'Boletins Nuppa Site'!A278,"NULL")</f>
        <v>44</v>
      </c>
      <c r="C278">
        <v>5</v>
      </c>
      <c r="D278" t="str">
        <f>IF('Boletins Nuppa Site'!G278&lt;&gt;0,'Boletins Nuppa Site'!G278,"NULL")</f>
        <v>NULL</v>
      </c>
      <c r="E278" s="14">
        <f>IF('Boletins Nuppa Site'!H278&lt;&gt;0,'Boletins Nuppa Site'!H278,"NULL")</f>
        <v>30</v>
      </c>
      <c r="F278" s="14">
        <f>IF('Boletins Nuppa Site'!I278&lt;&gt;0,'Boletins Nuppa Site'!I278,"NULL")</f>
        <v>42</v>
      </c>
      <c r="G278" t="str">
        <f>IF('Boletins Nuppa Site'!J278&lt;&gt;0,'Boletins Nuppa Site'!J278,"NULL")</f>
        <v>35.75</v>
      </c>
      <c r="H278" t="str">
        <f>IF('Boletins Nuppa Site'!K278&lt;&gt;0,'Boletins Nuppa Site'!K278,"NULL")</f>
        <v>35.5</v>
      </c>
      <c r="I278" t="str">
        <f t="shared" si="8"/>
        <v>INSERT INTO COTACAO (cot_id, cot_blt_id, cot_pap_id, cot_prc_comum, cot_prc_min, cot_prc_max, cot_prc_med, cot_prc_mediana) VALUES (277, 44, 5, NULL, 30, 42, 35.75, 35.5);</v>
      </c>
      <c r="J278" t="str">
        <f t="shared" si="9"/>
        <v>UPDATE COTACAO SET cot_id = 277, cot_blt_id = 44, cot_pap_id = 5, cot_prc_comum = NULL, cot_prc_min = 30, cot_prc_max = 42, cot_prc_med = 35.75, cot_prc_mediana = 35.5 WHERE cot_id = 277;</v>
      </c>
    </row>
    <row r="279" spans="1:10" x14ac:dyDescent="0.3">
      <c r="A279">
        <v>278</v>
      </c>
      <c r="B279">
        <f>IF('Boletins Nuppa Site'!A279&lt;&gt;0,'Boletins Nuppa Site'!A279,"NULL")</f>
        <v>44</v>
      </c>
      <c r="C279">
        <v>6</v>
      </c>
      <c r="D279" s="14">
        <f>IF('Boletins Nuppa Site'!G279&lt;&gt;0,'Boletins Nuppa Site'!G279,"NULL")</f>
        <v>60</v>
      </c>
      <c r="E279" s="14">
        <f>IF('Boletins Nuppa Site'!H279&lt;&gt;0,'Boletins Nuppa Site'!H279,"NULL")</f>
        <v>48</v>
      </c>
      <c r="F279" s="14">
        <f>IF('Boletins Nuppa Site'!I279&lt;&gt;0,'Boletins Nuppa Site'!I279,"NULL")</f>
        <v>60</v>
      </c>
      <c r="G279" s="14">
        <f>IF('Boletins Nuppa Site'!J279&lt;&gt;0,'Boletins Nuppa Site'!J279,"NULL")</f>
        <v>56</v>
      </c>
      <c r="H279" s="14">
        <f>IF('Boletins Nuppa Site'!K279&lt;&gt;0,'Boletins Nuppa Site'!K279,"NULL")</f>
        <v>60</v>
      </c>
      <c r="I279" t="str">
        <f t="shared" si="8"/>
        <v>INSERT INTO COTACAO (cot_id, cot_blt_id, cot_pap_id, cot_prc_comum, cot_prc_min, cot_prc_max, cot_prc_med, cot_prc_mediana) VALUES (278, 44, 6, 60, 48, 60, 56, 60);</v>
      </c>
      <c r="J279" t="str">
        <f t="shared" si="9"/>
        <v>UPDATE COTACAO SET cot_id = 278, cot_blt_id = 44, cot_pap_id = 6, cot_prc_comum = 60, cot_prc_min = 48, cot_prc_max = 60, cot_prc_med = 56, cot_prc_mediana = 60 WHERE cot_id = 278;</v>
      </c>
    </row>
    <row r="280" spans="1:10" x14ac:dyDescent="0.3">
      <c r="A280">
        <v>279</v>
      </c>
      <c r="B280">
        <f>IF('Boletins Nuppa Site'!A280&lt;&gt;0,'Boletins Nuppa Site'!A280,"NULL")</f>
        <v>44</v>
      </c>
      <c r="C280">
        <v>7</v>
      </c>
      <c r="D280" s="14">
        <f>IF('Boletins Nuppa Site'!G280&lt;&gt;0,'Boletins Nuppa Site'!G280,"NULL")</f>
        <v>72</v>
      </c>
      <c r="E280" s="14">
        <f>IF('Boletins Nuppa Site'!H280&lt;&gt;0,'Boletins Nuppa Site'!H280,"NULL")</f>
        <v>60</v>
      </c>
      <c r="F280" s="14">
        <f>IF('Boletins Nuppa Site'!I280&lt;&gt;0,'Boletins Nuppa Site'!I280,"NULL")</f>
        <v>84</v>
      </c>
      <c r="G280" s="14">
        <f>IF('Boletins Nuppa Site'!J280&lt;&gt;0,'Boletins Nuppa Site'!J280,"NULL")</f>
        <v>72</v>
      </c>
      <c r="H280" s="14">
        <f>IF('Boletins Nuppa Site'!K280&lt;&gt;0,'Boletins Nuppa Site'!K280,"NULL")</f>
        <v>72</v>
      </c>
      <c r="I280" t="str">
        <f t="shared" si="8"/>
        <v>INSERT INTO COTACAO (cot_id, cot_blt_id, cot_pap_id, cot_prc_comum, cot_prc_min, cot_prc_max, cot_prc_med, cot_prc_mediana) VALUES (279, 44, 7, 72, 60, 84, 72, 72);</v>
      </c>
      <c r="J280" t="str">
        <f t="shared" si="9"/>
        <v>UPDATE COTACAO SET cot_id = 279, cot_blt_id = 44, cot_pap_id = 7, cot_prc_comum = 72, cot_prc_min = 60, cot_prc_max = 84, cot_prc_med = 72, cot_prc_mediana = 72 WHERE cot_id = 279;</v>
      </c>
    </row>
    <row r="281" spans="1:10" x14ac:dyDescent="0.3">
      <c r="A281">
        <v>280</v>
      </c>
      <c r="B281">
        <f>IF('Boletins Nuppa Site'!A281&lt;&gt;0,'Boletins Nuppa Site'!A281,"NULL")</f>
        <v>44</v>
      </c>
      <c r="C281">
        <v>8</v>
      </c>
      <c r="D281" s="14">
        <f>IF('Boletins Nuppa Site'!G281&lt;&gt;0,'Boletins Nuppa Site'!G281,"NULL")</f>
        <v>84</v>
      </c>
      <c r="E281" s="14">
        <f>IF('Boletins Nuppa Site'!H281&lt;&gt;0,'Boletins Nuppa Site'!H281,"NULL")</f>
        <v>72</v>
      </c>
      <c r="F281" s="14">
        <f>IF('Boletins Nuppa Site'!I281&lt;&gt;0,'Boletins Nuppa Site'!I281,"NULL")</f>
        <v>96</v>
      </c>
      <c r="G281" s="14">
        <f>IF('Boletins Nuppa Site'!J281&lt;&gt;0,'Boletins Nuppa Site'!J281,"NULL")</f>
        <v>84</v>
      </c>
      <c r="H281" s="14">
        <f>IF('Boletins Nuppa Site'!K281&lt;&gt;0,'Boletins Nuppa Site'!K281,"NULL")</f>
        <v>84</v>
      </c>
      <c r="I281" t="str">
        <f t="shared" si="8"/>
        <v>INSERT INTO COTACAO (cot_id, cot_blt_id, cot_pap_id, cot_prc_comum, cot_prc_min, cot_prc_max, cot_prc_med, cot_prc_mediana) VALUES (280, 44, 8, 84, 72, 96, 84, 84);</v>
      </c>
      <c r="J281" t="str">
        <f t="shared" si="9"/>
        <v>UPDATE COTACAO SET cot_id = 280, cot_blt_id = 44, cot_pap_id = 8, cot_prc_comum = 84, cot_prc_min = 72, cot_prc_max = 96, cot_prc_med = 84, cot_prc_mediana = 84 WHERE cot_id = 280;</v>
      </c>
    </row>
    <row r="282" spans="1:10" x14ac:dyDescent="0.3">
      <c r="A282">
        <v>281</v>
      </c>
      <c r="B282">
        <f>IF('Boletins Nuppa Site'!A282&lt;&gt;0,'Boletins Nuppa Site'!A282,"NULL")</f>
        <v>44</v>
      </c>
      <c r="C282">
        <v>9</v>
      </c>
      <c r="D282" s="14">
        <f>IF('Boletins Nuppa Site'!G282&lt;&gt;0,'Boletins Nuppa Site'!G282,"NULL")</f>
        <v>25</v>
      </c>
      <c r="E282" s="14">
        <f>IF('Boletins Nuppa Site'!H282&lt;&gt;0,'Boletins Nuppa Site'!H282,"NULL")</f>
        <v>24</v>
      </c>
      <c r="F282" s="14">
        <f>IF('Boletins Nuppa Site'!I282&lt;&gt;0,'Boletins Nuppa Site'!I282,"NULL")</f>
        <v>30</v>
      </c>
      <c r="G282" s="14">
        <f>IF('Boletins Nuppa Site'!J282&lt;&gt;0,'Boletins Nuppa Site'!J282,"NULL")</f>
        <v>26</v>
      </c>
      <c r="H282" s="14">
        <f>IF('Boletins Nuppa Site'!K282&lt;&gt;0,'Boletins Nuppa Site'!K282,"NULL")</f>
        <v>25</v>
      </c>
      <c r="I282" t="str">
        <f t="shared" si="8"/>
        <v>INSERT INTO COTACAO (cot_id, cot_blt_id, cot_pap_id, cot_prc_comum, cot_prc_min, cot_prc_max, cot_prc_med, cot_prc_mediana) VALUES (281, 44, 9, 25, 24, 30, 26, 25);</v>
      </c>
      <c r="J282" t="str">
        <f t="shared" si="9"/>
        <v>UPDATE COTACAO SET cot_id = 281, cot_blt_id = 44, cot_pap_id = 9, cot_prc_comum = 25, cot_prc_min = 24, cot_prc_max = 30, cot_prc_med = 26, cot_prc_mediana = 25 WHERE cot_id = 281;</v>
      </c>
    </row>
    <row r="283" spans="1:10" x14ac:dyDescent="0.3">
      <c r="A283">
        <v>282</v>
      </c>
      <c r="B283">
        <f>IF('Boletins Nuppa Site'!A283&lt;&gt;0,'Boletins Nuppa Site'!A283,"NULL")</f>
        <v>44</v>
      </c>
      <c r="C283">
        <v>10</v>
      </c>
      <c r="D283" s="14">
        <f>IF('Boletins Nuppa Site'!G283&lt;&gt;0,'Boletins Nuppa Site'!G283,"NULL")</f>
        <v>84</v>
      </c>
      <c r="E283" s="14">
        <f>IF('Boletins Nuppa Site'!H283&lt;&gt;0,'Boletins Nuppa Site'!H283,"NULL")</f>
        <v>84</v>
      </c>
      <c r="F283" s="14">
        <f>IF('Boletins Nuppa Site'!I283&lt;&gt;0,'Boletins Nuppa Site'!I283,"NULL")</f>
        <v>108</v>
      </c>
      <c r="G283" t="str">
        <f>IF('Boletins Nuppa Site'!J283&lt;&gt;0,'Boletins Nuppa Site'!J283,"NULL")</f>
        <v>93.6</v>
      </c>
      <c r="H283" s="14">
        <f>IF('Boletins Nuppa Site'!K283&lt;&gt;0,'Boletins Nuppa Site'!K283,"NULL")</f>
        <v>96</v>
      </c>
      <c r="I283" t="str">
        <f t="shared" si="8"/>
        <v>INSERT INTO COTACAO (cot_id, cot_blt_id, cot_pap_id, cot_prc_comum, cot_prc_min, cot_prc_max, cot_prc_med, cot_prc_mediana) VALUES (282, 44, 10, 84, 84, 108, 93.6, 96);</v>
      </c>
      <c r="J283" t="str">
        <f t="shared" si="9"/>
        <v>UPDATE COTACAO SET cot_id = 282, cot_blt_id = 44, cot_pap_id = 10, cot_prc_comum = 84, cot_prc_min = 84, cot_prc_max = 108, cot_prc_med = 93.6, cot_prc_mediana = 96 WHERE cot_id = 282;</v>
      </c>
    </row>
    <row r="284" spans="1:10" x14ac:dyDescent="0.3">
      <c r="A284">
        <v>283</v>
      </c>
      <c r="B284">
        <f>IF('Boletins Nuppa Site'!A284&lt;&gt;0,'Boletins Nuppa Site'!A284,"NULL")</f>
        <v>44</v>
      </c>
      <c r="C284">
        <v>11</v>
      </c>
      <c r="D284" t="str">
        <f>IF('Boletins Nuppa Site'!G284&lt;&gt;0,'Boletins Nuppa Site'!G284,"NULL")</f>
        <v>NULL</v>
      </c>
      <c r="E284" s="14">
        <f>IF('Boletins Nuppa Site'!H284&lt;&gt;0,'Boletins Nuppa Site'!H284,"NULL")</f>
        <v>25</v>
      </c>
      <c r="F284" s="14">
        <f>IF('Boletins Nuppa Site'!I284&lt;&gt;0,'Boletins Nuppa Site'!I284,"NULL")</f>
        <v>42</v>
      </c>
      <c r="G284" t="str">
        <f>IF('Boletins Nuppa Site'!J284&lt;&gt;0,'Boletins Nuppa Site'!J284,"NULL")</f>
        <v>33.25</v>
      </c>
      <c r="H284" s="14">
        <f>IF('Boletins Nuppa Site'!K284&lt;&gt;0,'Boletins Nuppa Site'!K284,"NULL")</f>
        <v>33</v>
      </c>
      <c r="I284" t="str">
        <f t="shared" si="8"/>
        <v>INSERT INTO COTACAO (cot_id, cot_blt_id, cot_pap_id, cot_prc_comum, cot_prc_min, cot_prc_max, cot_prc_med, cot_prc_mediana) VALUES (283, 44, 11, NULL, 25, 42, 33.25, 33);</v>
      </c>
      <c r="J284" t="str">
        <f t="shared" si="9"/>
        <v>UPDATE COTACAO SET cot_id = 283, cot_blt_id = 44, cot_pap_id = 11, cot_prc_comum = NULL, cot_prc_min = 25, cot_prc_max = 42, cot_prc_med = 33.25, cot_prc_mediana = 33 WHERE cot_id = 283;</v>
      </c>
    </row>
    <row r="285" spans="1:10" x14ac:dyDescent="0.3">
      <c r="A285">
        <v>284</v>
      </c>
      <c r="B285">
        <f>IF('Boletins Nuppa Site'!A285&lt;&gt;0,'Boletins Nuppa Site'!A285,"NULL")</f>
        <v>44</v>
      </c>
      <c r="C285">
        <v>12</v>
      </c>
      <c r="D285" s="14">
        <f>IF('Boletins Nuppa Site'!G285&lt;&gt;0,'Boletins Nuppa Site'!G285,"NULL")</f>
        <v>60</v>
      </c>
      <c r="E285" s="14">
        <f>IF('Boletins Nuppa Site'!H285&lt;&gt;0,'Boletins Nuppa Site'!H285,"NULL")</f>
        <v>60</v>
      </c>
      <c r="F285" s="14">
        <f>IF('Boletins Nuppa Site'!I285&lt;&gt;0,'Boletins Nuppa Site'!I285,"NULL")</f>
        <v>72</v>
      </c>
      <c r="G285" s="14">
        <f>IF('Boletins Nuppa Site'!J285&lt;&gt;0,'Boletins Nuppa Site'!J285,"NULL")</f>
        <v>64</v>
      </c>
      <c r="H285" s="14">
        <f>IF('Boletins Nuppa Site'!K285&lt;&gt;0,'Boletins Nuppa Site'!K285,"NULL")</f>
        <v>60</v>
      </c>
      <c r="I285" t="str">
        <f t="shared" si="8"/>
        <v>INSERT INTO COTACAO (cot_id, cot_blt_id, cot_pap_id, cot_prc_comum, cot_prc_min, cot_prc_max, cot_prc_med, cot_prc_mediana) VALUES (284, 44, 12, 60, 60, 72, 64, 60);</v>
      </c>
      <c r="J285" t="str">
        <f t="shared" si="9"/>
        <v>UPDATE COTACAO SET cot_id = 284, cot_blt_id = 44, cot_pap_id = 12, cot_prc_comum = 60, cot_prc_min = 60, cot_prc_max = 72, cot_prc_med = 64, cot_prc_mediana = 60 WHERE cot_id = 284;</v>
      </c>
    </row>
    <row r="286" spans="1:10" x14ac:dyDescent="0.3">
      <c r="A286">
        <v>285</v>
      </c>
      <c r="B286">
        <f>IF('Boletins Nuppa Site'!A286&lt;&gt;0,'Boletins Nuppa Site'!A286,"NULL")</f>
        <v>44</v>
      </c>
      <c r="C286">
        <v>13</v>
      </c>
      <c r="D286" s="14">
        <f>IF('Boletins Nuppa Site'!G286&lt;&gt;0,'Boletins Nuppa Site'!G286,"NULL")</f>
        <v>60</v>
      </c>
      <c r="E286" s="14">
        <f>IF('Boletins Nuppa Site'!H286&lt;&gt;0,'Boletins Nuppa Site'!H286,"NULL")</f>
        <v>48</v>
      </c>
      <c r="F286" s="14">
        <f>IF('Boletins Nuppa Site'!I286&lt;&gt;0,'Boletins Nuppa Site'!I286,"NULL")</f>
        <v>72</v>
      </c>
      <c r="G286" s="14">
        <f>IF('Boletins Nuppa Site'!J286&lt;&gt;0,'Boletins Nuppa Site'!J286,"NULL")</f>
        <v>60</v>
      </c>
      <c r="H286" s="14">
        <f>IF('Boletins Nuppa Site'!K286&lt;&gt;0,'Boletins Nuppa Site'!K286,"NULL")</f>
        <v>60</v>
      </c>
      <c r="I286" t="str">
        <f t="shared" si="8"/>
        <v>INSERT INTO COTACAO (cot_id, cot_blt_id, cot_pap_id, cot_prc_comum, cot_prc_min, cot_prc_max, cot_prc_med, cot_prc_mediana) VALUES (285, 44, 13, 60, 48, 72, 60, 60);</v>
      </c>
      <c r="J286" t="str">
        <f t="shared" si="9"/>
        <v>UPDATE COTACAO SET cot_id = 285, cot_blt_id = 44, cot_pap_id = 13, cot_prc_comum = 60, cot_prc_min = 48, cot_prc_max = 72, cot_prc_med = 60, cot_prc_mediana = 60 WHERE cot_id = 285;</v>
      </c>
    </row>
    <row r="287" spans="1:10" x14ac:dyDescent="0.3">
      <c r="A287">
        <v>286</v>
      </c>
      <c r="B287">
        <f>IF('Boletins Nuppa Site'!A287&lt;&gt;0,'Boletins Nuppa Site'!A287,"NULL")</f>
        <v>44</v>
      </c>
      <c r="C287">
        <v>14</v>
      </c>
      <c r="D287" s="14">
        <f>IF('Boletins Nuppa Site'!G287&lt;&gt;0,'Boletins Nuppa Site'!G287,"NULL")</f>
        <v>84</v>
      </c>
      <c r="E287" s="14">
        <f>IF('Boletins Nuppa Site'!H287&lt;&gt;0,'Boletins Nuppa Site'!H287,"NULL")</f>
        <v>60</v>
      </c>
      <c r="F287" s="14">
        <f>IF('Boletins Nuppa Site'!I287&lt;&gt;0,'Boletins Nuppa Site'!I287,"NULL")</f>
        <v>84</v>
      </c>
      <c r="G287" s="14">
        <f>IF('Boletins Nuppa Site'!J287&lt;&gt;0,'Boletins Nuppa Site'!J287,"NULL")</f>
        <v>75</v>
      </c>
      <c r="H287" s="14">
        <f>IF('Boletins Nuppa Site'!K287&lt;&gt;0,'Boletins Nuppa Site'!K287,"NULL")</f>
        <v>78</v>
      </c>
      <c r="I287" t="str">
        <f t="shared" si="8"/>
        <v>INSERT INTO COTACAO (cot_id, cot_blt_id, cot_pap_id, cot_prc_comum, cot_prc_min, cot_prc_max, cot_prc_med, cot_prc_mediana) VALUES (286, 44, 14, 84, 60, 84, 75, 78);</v>
      </c>
      <c r="J287" t="str">
        <f t="shared" si="9"/>
        <v>UPDATE COTACAO SET cot_id = 286, cot_blt_id = 44, cot_pap_id = 14, cot_prc_comum = 84, cot_prc_min = 60, cot_prc_max = 84, cot_prc_med = 75, cot_prc_mediana = 78 WHERE cot_id = 286;</v>
      </c>
    </row>
    <row r="288" spans="1:10" x14ac:dyDescent="0.3">
      <c r="A288">
        <v>287</v>
      </c>
      <c r="B288">
        <f>IF('Boletins Nuppa Site'!A288&lt;&gt;0,'Boletins Nuppa Site'!A288,"NULL")</f>
        <v>44</v>
      </c>
      <c r="C288">
        <v>15</v>
      </c>
      <c r="D288" s="14">
        <f>IF('Boletins Nuppa Site'!G288&lt;&gt;0,'Boletins Nuppa Site'!G288,"NULL")</f>
        <v>60</v>
      </c>
      <c r="E288" s="14">
        <f>IF('Boletins Nuppa Site'!H288&lt;&gt;0,'Boletins Nuppa Site'!H288,"NULL")</f>
        <v>48</v>
      </c>
      <c r="F288" s="14">
        <f>IF('Boletins Nuppa Site'!I288&lt;&gt;0,'Boletins Nuppa Site'!I288,"NULL")</f>
        <v>78</v>
      </c>
      <c r="G288" t="str">
        <f>IF('Boletins Nuppa Site'!J288&lt;&gt;0,'Boletins Nuppa Site'!J288,"NULL")</f>
        <v>61.2</v>
      </c>
      <c r="H288" s="14">
        <f>IF('Boletins Nuppa Site'!K288&lt;&gt;0,'Boletins Nuppa Site'!K288,"NULL")</f>
        <v>60</v>
      </c>
      <c r="I288" t="str">
        <f t="shared" si="8"/>
        <v>INSERT INTO COTACAO (cot_id, cot_blt_id, cot_pap_id, cot_prc_comum, cot_prc_min, cot_prc_max, cot_prc_med, cot_prc_mediana) VALUES (287, 44, 15, 60, 48, 78, 61.2, 60);</v>
      </c>
      <c r="J288" t="str">
        <f t="shared" si="9"/>
        <v>UPDATE COTACAO SET cot_id = 287, cot_blt_id = 44, cot_pap_id = 15, cot_prc_comum = 60, cot_prc_min = 48, cot_prc_max = 78, cot_prc_med = 61.2, cot_prc_mediana = 60 WHERE cot_id = 287;</v>
      </c>
    </row>
    <row r="289" spans="1:10" x14ac:dyDescent="0.3">
      <c r="A289">
        <v>288</v>
      </c>
      <c r="B289">
        <f>IF('Boletins Nuppa Site'!A289&lt;&gt;0,'Boletins Nuppa Site'!A289,"NULL")</f>
        <v>44</v>
      </c>
      <c r="C289">
        <v>16</v>
      </c>
      <c r="D289" t="str">
        <f>IF('Boletins Nuppa Site'!G289&lt;&gt;0,'Boletins Nuppa Site'!G289,"NULL")</f>
        <v>NULL</v>
      </c>
      <c r="E289" s="14">
        <f>IF('Boletins Nuppa Site'!H289&lt;&gt;0,'Boletins Nuppa Site'!H289,"NULL")</f>
        <v>42</v>
      </c>
      <c r="F289" s="14">
        <f>IF('Boletins Nuppa Site'!I289&lt;&gt;0,'Boletins Nuppa Site'!I289,"NULL")</f>
        <v>54</v>
      </c>
      <c r="G289" s="14">
        <f>IF('Boletins Nuppa Site'!J289&lt;&gt;0,'Boletins Nuppa Site'!J289,"NULL")</f>
        <v>48</v>
      </c>
      <c r="H289" s="14">
        <f>IF('Boletins Nuppa Site'!K289&lt;&gt;0,'Boletins Nuppa Site'!K289,"NULL")</f>
        <v>48</v>
      </c>
      <c r="I289" t="str">
        <f t="shared" si="8"/>
        <v>INSERT INTO COTACAO (cot_id, cot_blt_id, cot_pap_id, cot_prc_comum, cot_prc_min, cot_prc_max, cot_prc_med, cot_prc_mediana) VALUES (288, 44, 16, NULL, 42, 54, 48, 48);</v>
      </c>
      <c r="J289" t="str">
        <f t="shared" si="9"/>
        <v>UPDATE COTACAO SET cot_id = 288, cot_blt_id = 44, cot_pap_id = 16, cot_prc_comum = NULL, cot_prc_min = 42, cot_prc_max = 54, cot_prc_med = 48, cot_prc_mediana = 48 WHERE cot_id = 288;</v>
      </c>
    </row>
    <row r="290" spans="1:10" x14ac:dyDescent="0.3">
      <c r="A290">
        <v>289</v>
      </c>
      <c r="B290">
        <f>IF('Boletins Nuppa Site'!A290&lt;&gt;0,'Boletins Nuppa Site'!A290,"NULL")</f>
        <v>44</v>
      </c>
      <c r="C290">
        <v>17</v>
      </c>
      <c r="D290" s="14">
        <f>IF('Boletins Nuppa Site'!G290&lt;&gt;0,'Boletins Nuppa Site'!G290,"NULL")</f>
        <v>5</v>
      </c>
      <c r="E290" s="14">
        <f>IF('Boletins Nuppa Site'!H290&lt;&gt;0,'Boletins Nuppa Site'!H290,"NULL")</f>
        <v>4</v>
      </c>
      <c r="F290" s="14">
        <f>IF('Boletins Nuppa Site'!I290&lt;&gt;0,'Boletins Nuppa Site'!I290,"NULL")</f>
        <v>5</v>
      </c>
      <c r="G290" t="str">
        <f>IF('Boletins Nuppa Site'!J290&lt;&gt;0,'Boletins Nuppa Site'!J290,"NULL")</f>
        <v>4.63</v>
      </c>
      <c r="H290" t="str">
        <f>IF('Boletins Nuppa Site'!K290&lt;&gt;0,'Boletins Nuppa Site'!K290,"NULL")</f>
        <v>4.75</v>
      </c>
      <c r="I290" t="str">
        <f t="shared" si="8"/>
        <v>INSERT INTO COTACAO (cot_id, cot_blt_id, cot_pap_id, cot_prc_comum, cot_prc_min, cot_prc_max, cot_prc_med, cot_prc_mediana) VALUES (289, 44, 17, 5, 4, 5, 4.63, 4.75);</v>
      </c>
      <c r="J290" t="str">
        <f t="shared" si="9"/>
        <v>UPDATE COTACAO SET cot_id = 289, cot_blt_id = 44, cot_pap_id = 17, cot_prc_comum = 5, cot_prc_min = 4, cot_prc_max = 5, cot_prc_med = 4.63, cot_prc_mediana = 4.75 WHERE cot_id = 289;</v>
      </c>
    </row>
    <row r="291" spans="1:10" x14ac:dyDescent="0.3">
      <c r="A291">
        <v>290</v>
      </c>
      <c r="B291">
        <f>IF('Boletins Nuppa Site'!A291&lt;&gt;0,'Boletins Nuppa Site'!A291,"NULL")</f>
        <v>44</v>
      </c>
      <c r="C291">
        <v>18</v>
      </c>
      <c r="D291" s="14">
        <f>IF('Boletins Nuppa Site'!G291&lt;&gt;0,'Boletins Nuppa Site'!G291,"NULL")</f>
        <v>20</v>
      </c>
      <c r="E291" s="14">
        <f>IF('Boletins Nuppa Site'!H291&lt;&gt;0,'Boletins Nuppa Site'!H291,"NULL")</f>
        <v>20</v>
      </c>
      <c r="F291" s="14">
        <f>IF('Boletins Nuppa Site'!I291&lt;&gt;0,'Boletins Nuppa Site'!I291,"NULL")</f>
        <v>40</v>
      </c>
      <c r="G291" t="str">
        <f>IF('Boletins Nuppa Site'!J291&lt;&gt;0,'Boletins Nuppa Site'!J291,"NULL")</f>
        <v>26.25</v>
      </c>
      <c r="H291" t="str">
        <f>IF('Boletins Nuppa Site'!K291&lt;&gt;0,'Boletins Nuppa Site'!K291,"NULL")</f>
        <v>22.5</v>
      </c>
      <c r="I291" t="str">
        <f t="shared" si="8"/>
        <v>INSERT INTO COTACAO (cot_id, cot_blt_id, cot_pap_id, cot_prc_comum, cot_prc_min, cot_prc_max, cot_prc_med, cot_prc_mediana) VALUES (290, 44, 18, 20, 20, 40, 26.25, 22.5);</v>
      </c>
      <c r="J291" t="str">
        <f t="shared" si="9"/>
        <v>UPDATE COTACAO SET cot_id = 290, cot_blt_id = 44, cot_pap_id = 18, cot_prc_comum = 20, cot_prc_min = 20, cot_prc_max = 40, cot_prc_med = 26.25, cot_prc_mediana = 22.5 WHERE cot_id = 290;</v>
      </c>
    </row>
    <row r="292" spans="1:10" x14ac:dyDescent="0.3">
      <c r="A292">
        <v>291</v>
      </c>
      <c r="B292">
        <f>IF('Boletins Nuppa Site'!A292&lt;&gt;0,'Boletins Nuppa Site'!A292,"NULL")</f>
        <v>44</v>
      </c>
      <c r="C292">
        <v>19</v>
      </c>
      <c r="D292" s="14">
        <f>IF('Boletins Nuppa Site'!G292&lt;&gt;0,'Boletins Nuppa Site'!G292,"NULL")</f>
        <v>25</v>
      </c>
      <c r="E292" s="14">
        <f>IF('Boletins Nuppa Site'!H292&lt;&gt;0,'Boletins Nuppa Site'!H292,"NULL")</f>
        <v>25</v>
      </c>
      <c r="F292" s="14">
        <f>IF('Boletins Nuppa Site'!I292&lt;&gt;0,'Boletins Nuppa Site'!I292,"NULL")</f>
        <v>30</v>
      </c>
      <c r="G292" t="str">
        <f>IF('Boletins Nuppa Site'!J292&lt;&gt;0,'Boletins Nuppa Site'!J292,"NULL")</f>
        <v>27.6</v>
      </c>
      <c r="H292" s="14">
        <f>IF('Boletins Nuppa Site'!K292&lt;&gt;0,'Boletins Nuppa Site'!K292,"NULL")</f>
        <v>28</v>
      </c>
      <c r="I292" t="str">
        <f t="shared" si="8"/>
        <v>INSERT INTO COTACAO (cot_id, cot_blt_id, cot_pap_id, cot_prc_comum, cot_prc_min, cot_prc_max, cot_prc_med, cot_prc_mediana) VALUES (291, 44, 19, 25, 25, 30, 27.6, 28);</v>
      </c>
      <c r="J292" t="str">
        <f t="shared" si="9"/>
        <v>UPDATE COTACAO SET cot_id = 291, cot_blt_id = 44, cot_pap_id = 19, cot_prc_comum = 25, cot_prc_min = 25, cot_prc_max = 30, cot_prc_med = 27.6, cot_prc_mediana = 28 WHERE cot_id = 291;</v>
      </c>
    </row>
    <row r="293" spans="1:10" x14ac:dyDescent="0.3">
      <c r="A293">
        <v>292</v>
      </c>
      <c r="B293">
        <f>IF('Boletins Nuppa Site'!A293&lt;&gt;0,'Boletins Nuppa Site'!A293,"NULL")</f>
        <v>44</v>
      </c>
      <c r="C293">
        <v>20</v>
      </c>
      <c r="D293" t="str">
        <f>IF('Boletins Nuppa Site'!G293&lt;&gt;0,'Boletins Nuppa Site'!G293,"NULL")</f>
        <v>NULL</v>
      </c>
      <c r="E293" s="14">
        <f>IF('Boletins Nuppa Site'!H293&lt;&gt;0,'Boletins Nuppa Site'!H293,"NULL")</f>
        <v>10</v>
      </c>
      <c r="F293" s="14">
        <f>IF('Boletins Nuppa Site'!I293&lt;&gt;0,'Boletins Nuppa Site'!I293,"NULL")</f>
        <v>110</v>
      </c>
      <c r="G293" t="str">
        <f>IF('Boletins Nuppa Site'!J293&lt;&gt;0,'Boletins Nuppa Site'!J293,"NULL")</f>
        <v>78.75</v>
      </c>
      <c r="H293" t="str">
        <f>IF('Boletins Nuppa Site'!K293&lt;&gt;0,'Boletins Nuppa Site'!K293,"NULL")</f>
        <v>97.5</v>
      </c>
      <c r="I293" t="str">
        <f t="shared" si="8"/>
        <v>INSERT INTO COTACAO (cot_id, cot_blt_id, cot_pap_id, cot_prc_comum, cot_prc_min, cot_prc_max, cot_prc_med, cot_prc_mediana) VALUES (292, 44, 20, NULL, 10, 110, 78.75, 97.5);</v>
      </c>
      <c r="J293" t="str">
        <f t="shared" si="9"/>
        <v>UPDATE COTACAO SET cot_id = 292, cot_blt_id = 44, cot_pap_id = 20, cot_prc_comum = NULL, cot_prc_min = 10, cot_prc_max = 110, cot_prc_med = 78.75, cot_prc_mediana = 97.5 WHERE cot_id = 292;</v>
      </c>
    </row>
    <row r="294" spans="1:10" x14ac:dyDescent="0.3">
      <c r="A294">
        <v>293</v>
      </c>
      <c r="B294">
        <f>IF('Boletins Nuppa Site'!A294&lt;&gt;0,'Boletins Nuppa Site'!A294,"NULL")</f>
        <v>44</v>
      </c>
      <c r="C294">
        <v>21</v>
      </c>
      <c r="D294" s="14">
        <f>IF('Boletins Nuppa Site'!G294&lt;&gt;0,'Boletins Nuppa Site'!G294,"NULL")</f>
        <v>100</v>
      </c>
      <c r="E294" s="14">
        <f>IF('Boletins Nuppa Site'!H294&lt;&gt;0,'Boletins Nuppa Site'!H294,"NULL")</f>
        <v>78</v>
      </c>
      <c r="F294" s="14">
        <f>IF('Boletins Nuppa Site'!I294&lt;&gt;0,'Boletins Nuppa Site'!I294,"NULL")</f>
        <v>100</v>
      </c>
      <c r="G294" t="str">
        <f>IF('Boletins Nuppa Site'!J294&lt;&gt;0,'Boletins Nuppa Site'!J294,"NULL")</f>
        <v>89.67</v>
      </c>
      <c r="H294" s="14">
        <f>IF('Boletins Nuppa Site'!K294&lt;&gt;0,'Boletins Nuppa Site'!K294,"NULL")</f>
        <v>90</v>
      </c>
      <c r="I294" t="str">
        <f t="shared" si="8"/>
        <v>INSERT INTO COTACAO (cot_id, cot_blt_id, cot_pap_id, cot_prc_comum, cot_prc_min, cot_prc_max, cot_prc_med, cot_prc_mediana) VALUES (293, 44, 21, 100, 78, 100, 89.67, 90);</v>
      </c>
      <c r="J294" t="str">
        <f t="shared" si="9"/>
        <v>UPDATE COTACAO SET cot_id = 293, cot_blt_id = 44, cot_pap_id = 21, cot_prc_comum = 100, cot_prc_min = 78, cot_prc_max = 100, cot_prc_med = 89.67, cot_prc_mediana = 90 WHERE cot_id = 293;</v>
      </c>
    </row>
    <row r="295" spans="1:10" x14ac:dyDescent="0.3">
      <c r="A295">
        <v>294</v>
      </c>
      <c r="B295">
        <f>IF('Boletins Nuppa Site'!A295&lt;&gt;0,'Boletins Nuppa Site'!A295,"NULL")</f>
        <v>44</v>
      </c>
      <c r="C295">
        <v>22</v>
      </c>
      <c r="D295" t="str">
        <f>IF('Boletins Nuppa Site'!G295&lt;&gt;0,'Boletins Nuppa Site'!G295,"NULL")</f>
        <v>NULL</v>
      </c>
      <c r="E295" s="14">
        <f>IF('Boletins Nuppa Site'!H295&lt;&gt;0,'Boletins Nuppa Site'!H295,"NULL")</f>
        <v>50</v>
      </c>
      <c r="F295" s="14">
        <f>IF('Boletins Nuppa Site'!I295&lt;&gt;0,'Boletins Nuppa Site'!I295,"NULL")</f>
        <v>80</v>
      </c>
      <c r="G295" s="14">
        <f>IF('Boletins Nuppa Site'!J295&lt;&gt;0,'Boletins Nuppa Site'!J295,"NULL")</f>
        <v>66</v>
      </c>
      <c r="H295" s="14">
        <f>IF('Boletins Nuppa Site'!K295&lt;&gt;0,'Boletins Nuppa Site'!K295,"NULL")</f>
        <v>70</v>
      </c>
      <c r="I295" t="str">
        <f t="shared" si="8"/>
        <v>INSERT INTO COTACAO (cot_id, cot_blt_id, cot_pap_id, cot_prc_comum, cot_prc_min, cot_prc_max, cot_prc_med, cot_prc_mediana) VALUES (294, 44, 22, NULL, 50, 80, 66, 70);</v>
      </c>
      <c r="J295" t="str">
        <f t="shared" si="9"/>
        <v>UPDATE COTACAO SET cot_id = 294, cot_blt_id = 44, cot_pap_id = 22, cot_prc_comum = NULL, cot_prc_min = 50, cot_prc_max = 80, cot_prc_med = 66, cot_prc_mediana = 70 WHERE cot_id = 294;</v>
      </c>
    </row>
    <row r="296" spans="1:10" x14ac:dyDescent="0.3">
      <c r="A296">
        <v>295</v>
      </c>
      <c r="B296">
        <f>IF('Boletins Nuppa Site'!A296&lt;&gt;0,'Boletins Nuppa Site'!A296,"NULL")</f>
        <v>44</v>
      </c>
      <c r="C296">
        <v>23</v>
      </c>
      <c r="D296" s="14">
        <f>IF('Boletins Nuppa Site'!G296&lt;&gt;0,'Boletins Nuppa Site'!G296,"NULL")</f>
        <v>40</v>
      </c>
      <c r="E296" s="14">
        <f>IF('Boletins Nuppa Site'!H296&lt;&gt;0,'Boletins Nuppa Site'!H296,"NULL")</f>
        <v>30</v>
      </c>
      <c r="F296" s="14">
        <f>IF('Boletins Nuppa Site'!I296&lt;&gt;0,'Boletins Nuppa Site'!I296,"NULL")</f>
        <v>50</v>
      </c>
      <c r="G296" s="14">
        <f>IF('Boletins Nuppa Site'!J296&lt;&gt;0,'Boletins Nuppa Site'!J296,"NULL")</f>
        <v>40</v>
      </c>
      <c r="H296" s="14">
        <f>IF('Boletins Nuppa Site'!K296&lt;&gt;0,'Boletins Nuppa Site'!K296,"NULL")</f>
        <v>40</v>
      </c>
      <c r="I296" t="str">
        <f t="shared" si="8"/>
        <v>INSERT INTO COTACAO (cot_id, cot_blt_id, cot_pap_id, cot_prc_comum, cot_prc_min, cot_prc_max, cot_prc_med, cot_prc_mediana) VALUES (295, 44, 23, 40, 30, 50, 40, 40);</v>
      </c>
      <c r="J296" t="str">
        <f t="shared" si="9"/>
        <v>UPDATE COTACAO SET cot_id = 295, cot_blt_id = 44, cot_pap_id = 23, cot_prc_comum = 40, cot_prc_min = 30, cot_prc_max = 50, cot_prc_med = 40, cot_prc_mediana = 40 WHERE cot_id = 295;</v>
      </c>
    </row>
    <row r="297" spans="1:10" x14ac:dyDescent="0.3">
      <c r="A297">
        <v>296</v>
      </c>
      <c r="B297">
        <f>IF('Boletins Nuppa Site'!A297&lt;&gt;0,'Boletins Nuppa Site'!A297,"NULL")</f>
        <v>44</v>
      </c>
      <c r="C297">
        <v>24</v>
      </c>
      <c r="D297" t="str">
        <f>IF('Boletins Nuppa Site'!G297&lt;&gt;0,'Boletins Nuppa Site'!G297,"NULL")</f>
        <v>NULL</v>
      </c>
      <c r="E297" s="14">
        <f>IF('Boletins Nuppa Site'!H297&lt;&gt;0,'Boletins Nuppa Site'!H297,"NULL")</f>
        <v>95</v>
      </c>
      <c r="F297" s="14">
        <f>IF('Boletins Nuppa Site'!I297&lt;&gt;0,'Boletins Nuppa Site'!I297,"NULL")</f>
        <v>100</v>
      </c>
      <c r="G297" t="str">
        <f>IF('Boletins Nuppa Site'!J297&lt;&gt;0,'Boletins Nuppa Site'!J297,"NULL")</f>
        <v>97.5</v>
      </c>
      <c r="H297" t="str">
        <f>IF('Boletins Nuppa Site'!K297&lt;&gt;0,'Boletins Nuppa Site'!K297,"NULL")</f>
        <v>97.5</v>
      </c>
      <c r="I297" t="str">
        <f t="shared" si="8"/>
        <v>INSERT INTO COTACAO (cot_id, cot_blt_id, cot_pap_id, cot_prc_comum, cot_prc_min, cot_prc_max, cot_prc_med, cot_prc_mediana) VALUES (296, 44, 24, NULL, 95, 100, 97.5, 97.5);</v>
      </c>
      <c r="J297" t="str">
        <f t="shared" si="9"/>
        <v>UPDATE COTACAO SET cot_id = 296, cot_blt_id = 44, cot_pap_id = 24, cot_prc_comum = NULL, cot_prc_min = 95, cot_prc_max = 100, cot_prc_med = 97.5, cot_prc_mediana = 97.5 WHERE cot_id = 296;</v>
      </c>
    </row>
    <row r="298" spans="1:10" x14ac:dyDescent="0.3">
      <c r="A298">
        <v>297</v>
      </c>
      <c r="B298">
        <f>IF('Boletins Nuppa Site'!A298&lt;&gt;0,'Boletins Nuppa Site'!A298,"NULL")</f>
        <v>44</v>
      </c>
      <c r="C298">
        <v>25</v>
      </c>
      <c r="D298" s="14">
        <f>IF('Boletins Nuppa Site'!G298&lt;&gt;0,'Boletins Nuppa Site'!G298,"NULL")</f>
        <v>95</v>
      </c>
      <c r="E298" s="14">
        <f>IF('Boletins Nuppa Site'!H298&lt;&gt;0,'Boletins Nuppa Site'!H298,"NULL")</f>
        <v>70</v>
      </c>
      <c r="F298" s="14">
        <f>IF('Boletins Nuppa Site'!I298&lt;&gt;0,'Boletins Nuppa Site'!I298,"NULL")</f>
        <v>120</v>
      </c>
      <c r="G298" s="14">
        <f>IF('Boletins Nuppa Site'!J298&lt;&gt;0,'Boletins Nuppa Site'!J298,"NULL")</f>
        <v>92</v>
      </c>
      <c r="H298" s="14">
        <f>IF('Boletins Nuppa Site'!K298&lt;&gt;0,'Boletins Nuppa Site'!K298,"NULL")</f>
        <v>95</v>
      </c>
      <c r="I298" t="str">
        <f t="shared" si="8"/>
        <v>INSERT INTO COTACAO (cot_id, cot_blt_id, cot_pap_id, cot_prc_comum, cot_prc_min, cot_prc_max, cot_prc_med, cot_prc_mediana) VALUES (297, 44, 25, 95, 70, 120, 92, 95);</v>
      </c>
      <c r="J298" t="str">
        <f t="shared" si="9"/>
        <v>UPDATE COTACAO SET cot_id = 297, cot_blt_id = 44, cot_pap_id = 25, cot_prc_comum = 95, cot_prc_min = 70, cot_prc_max = 120, cot_prc_med = 92, cot_prc_mediana = 95 WHERE cot_id = 297;</v>
      </c>
    </row>
    <row r="299" spans="1:10" x14ac:dyDescent="0.3">
      <c r="A299">
        <v>298</v>
      </c>
      <c r="B299">
        <f>IF('Boletins Nuppa Site'!A299&lt;&gt;0,'Boletins Nuppa Site'!A299,"NULL")</f>
        <v>44</v>
      </c>
      <c r="C299">
        <v>26</v>
      </c>
      <c r="D299" s="14">
        <f>IF('Boletins Nuppa Site'!G299&lt;&gt;0,'Boletins Nuppa Site'!G299,"NULL")</f>
        <v>130</v>
      </c>
      <c r="E299" s="14">
        <f>IF('Boletins Nuppa Site'!H299&lt;&gt;0,'Boletins Nuppa Site'!H299,"NULL")</f>
        <v>80</v>
      </c>
      <c r="F299" s="14">
        <f>IF('Boletins Nuppa Site'!I299&lt;&gt;0,'Boletins Nuppa Site'!I299,"NULL")</f>
        <v>130</v>
      </c>
      <c r="G299" s="14">
        <f>IF('Boletins Nuppa Site'!J299&lt;&gt;0,'Boletins Nuppa Site'!J299,"NULL")</f>
        <v>110</v>
      </c>
      <c r="H299" s="14">
        <f>IF('Boletins Nuppa Site'!K299&lt;&gt;0,'Boletins Nuppa Site'!K299,"NULL")</f>
        <v>130</v>
      </c>
      <c r="I299" t="str">
        <f t="shared" si="8"/>
        <v>INSERT INTO COTACAO (cot_id, cot_blt_id, cot_pap_id, cot_prc_comum, cot_prc_min, cot_prc_max, cot_prc_med, cot_prc_mediana) VALUES (298, 44, 26, 130, 80, 130, 110, 130);</v>
      </c>
      <c r="J299" t="str">
        <f t="shared" si="9"/>
        <v>UPDATE COTACAO SET cot_id = 298, cot_blt_id = 44, cot_pap_id = 26, cot_prc_comum = 130, cot_prc_min = 80, cot_prc_max = 130, cot_prc_med = 110, cot_prc_mediana = 130 WHERE cot_id = 298;</v>
      </c>
    </row>
    <row r="300" spans="1:10" x14ac:dyDescent="0.3">
      <c r="A300">
        <v>299</v>
      </c>
      <c r="B300">
        <f>IF('Boletins Nuppa Site'!A300&lt;&gt;0,'Boletins Nuppa Site'!A300,"NULL")</f>
        <v>44</v>
      </c>
      <c r="C300">
        <v>27</v>
      </c>
      <c r="D300" s="14">
        <f>IF('Boletins Nuppa Site'!G300&lt;&gt;0,'Boletins Nuppa Site'!G300,"NULL")</f>
        <v>60</v>
      </c>
      <c r="E300" s="14">
        <f>IF('Boletins Nuppa Site'!H300&lt;&gt;0,'Boletins Nuppa Site'!H300,"NULL")</f>
        <v>50</v>
      </c>
      <c r="F300" s="14">
        <f>IF('Boletins Nuppa Site'!I300&lt;&gt;0,'Boletins Nuppa Site'!I300,"NULL")</f>
        <v>80</v>
      </c>
      <c r="G300" s="14">
        <f>IF('Boletins Nuppa Site'!J300&lt;&gt;0,'Boletins Nuppa Site'!J300,"NULL")</f>
        <v>64</v>
      </c>
      <c r="H300" s="14">
        <f>IF('Boletins Nuppa Site'!K300&lt;&gt;0,'Boletins Nuppa Site'!K300,"NULL")</f>
        <v>60</v>
      </c>
      <c r="I300" t="str">
        <f t="shared" si="8"/>
        <v>INSERT INTO COTACAO (cot_id, cot_blt_id, cot_pap_id, cot_prc_comum, cot_prc_min, cot_prc_max, cot_prc_med, cot_prc_mediana) VALUES (299, 44, 27, 60, 50, 80, 64, 60);</v>
      </c>
      <c r="J300" t="str">
        <f t="shared" si="9"/>
        <v>UPDATE COTACAO SET cot_id = 299, cot_blt_id = 44, cot_pap_id = 27, cot_prc_comum = 60, cot_prc_min = 50, cot_prc_max = 80, cot_prc_med = 64, cot_prc_mediana = 60 WHERE cot_id = 299;</v>
      </c>
    </row>
    <row r="301" spans="1:10" x14ac:dyDescent="0.3">
      <c r="A301">
        <v>300</v>
      </c>
      <c r="B301">
        <f>IF('Boletins Nuppa Site'!A301&lt;&gt;0,'Boletins Nuppa Site'!A301,"NULL")</f>
        <v>44</v>
      </c>
      <c r="C301">
        <v>28</v>
      </c>
      <c r="D301" s="14">
        <f>IF('Boletins Nuppa Site'!G301&lt;&gt;0,'Boletins Nuppa Site'!G301,"NULL")</f>
        <v>80</v>
      </c>
      <c r="E301" s="14">
        <f>IF('Boletins Nuppa Site'!H301&lt;&gt;0,'Boletins Nuppa Site'!H301,"NULL")</f>
        <v>40</v>
      </c>
      <c r="F301" s="14">
        <f>IF('Boletins Nuppa Site'!I301&lt;&gt;0,'Boletins Nuppa Site'!I301,"NULL")</f>
        <v>100</v>
      </c>
      <c r="G301" t="str">
        <f>IF('Boletins Nuppa Site'!J301&lt;&gt;0,'Boletins Nuppa Site'!J301,"NULL")</f>
        <v>70.83</v>
      </c>
      <c r="H301" t="str">
        <f>IF('Boletins Nuppa Site'!K301&lt;&gt;0,'Boletins Nuppa Site'!K301,"NULL")</f>
        <v>77.5</v>
      </c>
      <c r="I301" t="str">
        <f t="shared" si="8"/>
        <v>INSERT INTO COTACAO (cot_id, cot_blt_id, cot_pap_id, cot_prc_comum, cot_prc_min, cot_prc_max, cot_prc_med, cot_prc_mediana) VALUES (300, 44, 28, 80, 40, 100, 70.83, 77.5);</v>
      </c>
      <c r="J301" t="str">
        <f t="shared" si="9"/>
        <v>UPDATE COTACAO SET cot_id = 300, cot_blt_id = 44, cot_pap_id = 28, cot_prc_comum = 80, cot_prc_min = 40, cot_prc_max = 100, cot_prc_med = 70.83, cot_prc_mediana = 77.5 WHERE cot_id = 300;</v>
      </c>
    </row>
    <row r="302" spans="1:10" x14ac:dyDescent="0.3">
      <c r="A302">
        <v>301</v>
      </c>
      <c r="B302">
        <f>IF('Boletins Nuppa Site'!A302&lt;&gt;0,'Boletins Nuppa Site'!A302,"NULL")</f>
        <v>44</v>
      </c>
      <c r="C302">
        <v>29</v>
      </c>
      <c r="D302" t="str">
        <f>IF('Boletins Nuppa Site'!G302&lt;&gt;0,'Boletins Nuppa Site'!G302,"NULL")</f>
        <v>NULL</v>
      </c>
      <c r="E302" s="14">
        <f>IF('Boletins Nuppa Site'!H302&lt;&gt;0,'Boletins Nuppa Site'!H302,"NULL")</f>
        <v>80</v>
      </c>
      <c r="F302" s="14">
        <f>IF('Boletins Nuppa Site'!I302&lt;&gt;0,'Boletins Nuppa Site'!I302,"NULL")</f>
        <v>80</v>
      </c>
      <c r="G302" s="14">
        <f>IF('Boletins Nuppa Site'!J302&lt;&gt;0,'Boletins Nuppa Site'!J302,"NULL")</f>
        <v>80</v>
      </c>
      <c r="H302" s="14">
        <f>IF('Boletins Nuppa Site'!K302&lt;&gt;0,'Boletins Nuppa Site'!K302,"NULL")</f>
        <v>80</v>
      </c>
      <c r="I302" t="str">
        <f t="shared" si="8"/>
        <v>INSERT INTO COTACAO (cot_id, cot_blt_id, cot_pap_id, cot_prc_comum, cot_prc_min, cot_prc_max, cot_prc_med, cot_prc_mediana) VALUES (301, 44, 29, NULL, 80, 80, 80, 80);</v>
      </c>
      <c r="J302" t="str">
        <f t="shared" si="9"/>
        <v>UPDATE COTACAO SET cot_id = 301, cot_blt_id = 44, cot_pap_id = 29, cot_prc_comum = NULL, cot_prc_min = 80, cot_prc_max = 80, cot_prc_med = 80, cot_prc_mediana = 80 WHERE cot_id = 301;</v>
      </c>
    </row>
    <row r="303" spans="1:10" x14ac:dyDescent="0.3">
      <c r="A303">
        <v>302</v>
      </c>
      <c r="B303">
        <f>IF('Boletins Nuppa Site'!A303&lt;&gt;0,'Boletins Nuppa Site'!A303,"NULL")</f>
        <v>44</v>
      </c>
      <c r="C303">
        <v>30</v>
      </c>
      <c r="D303" s="14">
        <f>IF('Boletins Nuppa Site'!G303&lt;&gt;0,'Boletins Nuppa Site'!G303,"NULL")</f>
        <v>80</v>
      </c>
      <c r="E303" s="14">
        <f>IF('Boletins Nuppa Site'!H303&lt;&gt;0,'Boletins Nuppa Site'!H303,"NULL")</f>
        <v>70</v>
      </c>
      <c r="F303" s="14">
        <f>IF('Boletins Nuppa Site'!I303&lt;&gt;0,'Boletins Nuppa Site'!I303,"NULL")</f>
        <v>80</v>
      </c>
      <c r="G303" t="str">
        <f>IF('Boletins Nuppa Site'!J303&lt;&gt;0,'Boletins Nuppa Site'!J303,"NULL")</f>
        <v>76.67</v>
      </c>
      <c r="H303" s="14">
        <f>IF('Boletins Nuppa Site'!K303&lt;&gt;0,'Boletins Nuppa Site'!K303,"NULL")</f>
        <v>80</v>
      </c>
      <c r="I303" t="str">
        <f t="shared" si="8"/>
        <v>INSERT INTO COTACAO (cot_id, cot_blt_id, cot_pap_id, cot_prc_comum, cot_prc_min, cot_prc_max, cot_prc_med, cot_prc_mediana) VALUES (302, 44, 30, 80, 70, 80, 76.67, 80);</v>
      </c>
      <c r="J303" t="str">
        <f t="shared" si="9"/>
        <v>UPDATE COTACAO SET cot_id = 302, cot_blt_id = 44, cot_pap_id = 30, cot_prc_comum = 80, cot_prc_min = 70, cot_prc_max = 80, cot_prc_med = 76.67, cot_prc_mediana = 80 WHERE cot_id = 302;</v>
      </c>
    </row>
    <row r="304" spans="1:10" x14ac:dyDescent="0.3">
      <c r="A304">
        <v>303</v>
      </c>
      <c r="B304">
        <f>IF('Boletins Nuppa Site'!A304&lt;&gt;0,'Boletins Nuppa Site'!A304,"NULL")</f>
        <v>44</v>
      </c>
      <c r="C304">
        <v>31</v>
      </c>
      <c r="D304" s="14">
        <f>IF('Boletins Nuppa Site'!G304&lt;&gt;0,'Boletins Nuppa Site'!G304,"NULL")</f>
        <v>100</v>
      </c>
      <c r="E304" s="14">
        <f>IF('Boletins Nuppa Site'!H304&lt;&gt;0,'Boletins Nuppa Site'!H304,"NULL")</f>
        <v>70</v>
      </c>
      <c r="F304" s="14">
        <f>IF('Boletins Nuppa Site'!I304&lt;&gt;0,'Boletins Nuppa Site'!I304,"NULL")</f>
        <v>120</v>
      </c>
      <c r="G304" t="str">
        <f>IF('Boletins Nuppa Site'!J304&lt;&gt;0,'Boletins Nuppa Site'!J304,"NULL")</f>
        <v>97.5</v>
      </c>
      <c r="H304" s="14">
        <f>IF('Boletins Nuppa Site'!K304&lt;&gt;0,'Boletins Nuppa Site'!K304,"NULL")</f>
        <v>100</v>
      </c>
      <c r="I304" t="str">
        <f t="shared" si="8"/>
        <v>INSERT INTO COTACAO (cot_id, cot_blt_id, cot_pap_id, cot_prc_comum, cot_prc_min, cot_prc_max, cot_prc_med, cot_prc_mediana) VALUES (303, 44, 31, 100, 70, 120, 97.5, 100);</v>
      </c>
      <c r="J304" t="str">
        <f t="shared" si="9"/>
        <v>UPDATE COTACAO SET cot_id = 303, cot_blt_id = 44, cot_pap_id = 31, cot_prc_comum = 100, cot_prc_min = 70, cot_prc_max = 120, cot_prc_med = 97.5, cot_prc_mediana = 100 WHERE cot_id = 303;</v>
      </c>
    </row>
    <row r="305" spans="1:10" x14ac:dyDescent="0.3">
      <c r="A305">
        <v>304</v>
      </c>
      <c r="B305">
        <f>IF('Boletins Nuppa Site'!A305&lt;&gt;0,'Boletins Nuppa Site'!A305,"NULL")</f>
        <v>44</v>
      </c>
      <c r="C305">
        <v>32</v>
      </c>
      <c r="D305" s="14">
        <f>IF('Boletins Nuppa Site'!G305&lt;&gt;0,'Boletins Nuppa Site'!G305,"NULL")</f>
        <v>50</v>
      </c>
      <c r="E305" s="14">
        <f>IF('Boletins Nuppa Site'!H305&lt;&gt;0,'Boletins Nuppa Site'!H305,"NULL")</f>
        <v>40</v>
      </c>
      <c r="F305" s="14">
        <f>IF('Boletins Nuppa Site'!I305&lt;&gt;0,'Boletins Nuppa Site'!I305,"NULL")</f>
        <v>60</v>
      </c>
      <c r="G305" t="str">
        <f>IF('Boletins Nuppa Site'!J305&lt;&gt;0,'Boletins Nuppa Site'!J305,"NULL")</f>
        <v>48.33</v>
      </c>
      <c r="H305" s="14">
        <f>IF('Boletins Nuppa Site'!K305&lt;&gt;0,'Boletins Nuppa Site'!K305,"NULL")</f>
        <v>50</v>
      </c>
      <c r="I305" t="str">
        <f t="shared" si="8"/>
        <v>INSERT INTO COTACAO (cot_id, cot_blt_id, cot_pap_id, cot_prc_comum, cot_prc_min, cot_prc_max, cot_prc_med, cot_prc_mediana) VALUES (304, 44, 32, 50, 40, 60, 48.33, 50);</v>
      </c>
      <c r="J305" t="str">
        <f t="shared" si="9"/>
        <v>UPDATE COTACAO SET cot_id = 304, cot_blt_id = 44, cot_pap_id = 32, cot_prc_comum = 50, cot_prc_min = 40, cot_prc_max = 60, cot_prc_med = 48.33, cot_prc_mediana = 50 WHERE cot_id = 304;</v>
      </c>
    </row>
    <row r="306" spans="1:10" x14ac:dyDescent="0.3">
      <c r="A306">
        <v>305</v>
      </c>
      <c r="B306">
        <f>IF('Boletins Nuppa Site'!A306&lt;&gt;0,'Boletins Nuppa Site'!A306,"NULL")</f>
        <v>44</v>
      </c>
      <c r="C306">
        <v>33</v>
      </c>
      <c r="D306" s="14">
        <f>IF('Boletins Nuppa Site'!G306&lt;&gt;0,'Boletins Nuppa Site'!G306,"NULL")</f>
        <v>70</v>
      </c>
      <c r="E306" s="14">
        <f>IF('Boletins Nuppa Site'!H306&lt;&gt;0,'Boletins Nuppa Site'!H306,"NULL")</f>
        <v>60</v>
      </c>
      <c r="F306" s="14">
        <f>IF('Boletins Nuppa Site'!I306&lt;&gt;0,'Boletins Nuppa Site'!I306,"NULL")</f>
        <v>90</v>
      </c>
      <c r="G306" t="str">
        <f>IF('Boletins Nuppa Site'!J306&lt;&gt;0,'Boletins Nuppa Site'!J306,"NULL")</f>
        <v>73.33</v>
      </c>
      <c r="H306" s="14">
        <f>IF('Boletins Nuppa Site'!K306&lt;&gt;0,'Boletins Nuppa Site'!K306,"NULL")</f>
        <v>70</v>
      </c>
      <c r="I306" t="str">
        <f t="shared" si="8"/>
        <v>INSERT INTO COTACAO (cot_id, cot_blt_id, cot_pap_id, cot_prc_comum, cot_prc_min, cot_prc_max, cot_prc_med, cot_prc_mediana) VALUES (305, 44, 33, 70, 60, 90, 73.33, 70);</v>
      </c>
      <c r="J306" t="str">
        <f t="shared" si="9"/>
        <v>UPDATE COTACAO SET cot_id = 305, cot_blt_id = 44, cot_pap_id = 33, cot_prc_comum = 70, cot_prc_min = 60, cot_prc_max = 90, cot_prc_med = 73.33, cot_prc_mediana = 70 WHERE cot_id = 305;</v>
      </c>
    </row>
    <row r="307" spans="1:10" x14ac:dyDescent="0.3">
      <c r="A307">
        <v>306</v>
      </c>
      <c r="B307">
        <f>IF('Boletins Nuppa Site'!A307&lt;&gt;0,'Boletins Nuppa Site'!A307,"NULL")</f>
        <v>44</v>
      </c>
      <c r="C307">
        <v>34</v>
      </c>
      <c r="D307" s="14">
        <f>IF('Boletins Nuppa Site'!G307&lt;&gt;0,'Boletins Nuppa Site'!G307,"NULL")</f>
        <v>130</v>
      </c>
      <c r="E307" s="14">
        <f>IF('Boletins Nuppa Site'!H307&lt;&gt;0,'Boletins Nuppa Site'!H307,"NULL")</f>
        <v>100</v>
      </c>
      <c r="F307" s="14">
        <f>IF('Boletins Nuppa Site'!I307&lt;&gt;0,'Boletins Nuppa Site'!I307,"NULL")</f>
        <v>130</v>
      </c>
      <c r="G307" t="str">
        <f>IF('Boletins Nuppa Site'!J307&lt;&gt;0,'Boletins Nuppa Site'!J307,"NULL")</f>
        <v>117.14</v>
      </c>
      <c r="H307" s="14">
        <f>IF('Boletins Nuppa Site'!K307&lt;&gt;0,'Boletins Nuppa Site'!K307,"NULL")</f>
        <v>120</v>
      </c>
      <c r="I307" t="str">
        <f t="shared" si="8"/>
        <v>INSERT INTO COTACAO (cot_id, cot_blt_id, cot_pap_id, cot_prc_comum, cot_prc_min, cot_prc_max, cot_prc_med, cot_prc_mediana) VALUES (306, 44, 34, 130, 100, 130, 117.14, 120);</v>
      </c>
      <c r="J307" t="str">
        <f t="shared" si="9"/>
        <v>UPDATE COTACAO SET cot_id = 306, cot_blt_id = 44, cot_pap_id = 34, cot_prc_comum = 130, cot_prc_min = 100, cot_prc_max = 130, cot_prc_med = 117.14, cot_prc_mediana = 120 WHERE cot_id = 306;</v>
      </c>
    </row>
    <row r="308" spans="1:10" x14ac:dyDescent="0.3">
      <c r="A308">
        <v>307</v>
      </c>
      <c r="B308">
        <f>IF('Boletins Nuppa Site'!A308&lt;&gt;0,'Boletins Nuppa Site'!A308,"NULL")</f>
        <v>44</v>
      </c>
      <c r="C308">
        <v>35</v>
      </c>
      <c r="D308" s="14">
        <f>IF('Boletins Nuppa Site'!G308&lt;&gt;0,'Boletins Nuppa Site'!G308,"NULL")</f>
        <v>120</v>
      </c>
      <c r="E308" s="14">
        <f>IF('Boletins Nuppa Site'!H308&lt;&gt;0,'Boletins Nuppa Site'!H308,"NULL")</f>
        <v>110</v>
      </c>
      <c r="F308" s="14">
        <f>IF('Boletins Nuppa Site'!I308&lt;&gt;0,'Boletins Nuppa Site'!I308,"NULL")</f>
        <v>150</v>
      </c>
      <c r="G308" s="14">
        <f>IF('Boletins Nuppa Site'!J308&lt;&gt;0,'Boletins Nuppa Site'!J308,"NULL")</f>
        <v>128</v>
      </c>
      <c r="H308" s="14">
        <f>IF('Boletins Nuppa Site'!K308&lt;&gt;0,'Boletins Nuppa Site'!K308,"NULL")</f>
        <v>120</v>
      </c>
      <c r="I308" t="str">
        <f t="shared" si="8"/>
        <v>INSERT INTO COTACAO (cot_id, cot_blt_id, cot_pap_id, cot_prc_comum, cot_prc_min, cot_prc_max, cot_prc_med, cot_prc_mediana) VALUES (307, 44, 35, 120, 110, 150, 128, 120);</v>
      </c>
      <c r="J308" t="str">
        <f t="shared" si="9"/>
        <v>UPDATE COTACAO SET cot_id = 307, cot_blt_id = 44, cot_pap_id = 35, cot_prc_comum = 120, cot_prc_min = 110, cot_prc_max = 150, cot_prc_med = 128, cot_prc_mediana = 120 WHERE cot_id = 307;</v>
      </c>
    </row>
    <row r="309" spans="1:10" x14ac:dyDescent="0.3">
      <c r="A309">
        <v>308</v>
      </c>
      <c r="B309">
        <f>IF('Boletins Nuppa Site'!A309&lt;&gt;0,'Boletins Nuppa Site'!A309,"NULL")</f>
        <v>44</v>
      </c>
      <c r="C309">
        <v>36</v>
      </c>
      <c r="D309" t="str">
        <f>IF('Boletins Nuppa Site'!G309&lt;&gt;0,'Boletins Nuppa Site'!G309,"NULL")</f>
        <v>NULL</v>
      </c>
      <c r="E309" s="14">
        <f>IF('Boletins Nuppa Site'!H309&lt;&gt;0,'Boletins Nuppa Site'!H309,"NULL")</f>
        <v>80</v>
      </c>
      <c r="F309" s="14">
        <f>IF('Boletins Nuppa Site'!I309&lt;&gt;0,'Boletins Nuppa Site'!I309,"NULL")</f>
        <v>80</v>
      </c>
      <c r="G309" s="14">
        <f>IF('Boletins Nuppa Site'!J309&lt;&gt;0,'Boletins Nuppa Site'!J309,"NULL")</f>
        <v>80</v>
      </c>
      <c r="H309" s="14">
        <f>IF('Boletins Nuppa Site'!K309&lt;&gt;0,'Boletins Nuppa Site'!K309,"NULL")</f>
        <v>80</v>
      </c>
      <c r="I309" t="str">
        <f t="shared" si="8"/>
        <v>INSERT INTO COTACAO (cot_id, cot_blt_id, cot_pap_id, cot_prc_comum, cot_prc_min, cot_prc_max, cot_prc_med, cot_prc_mediana) VALUES (308, 44, 36, NULL, 80, 80, 80, 80);</v>
      </c>
      <c r="J309" t="str">
        <f t="shared" si="9"/>
        <v>UPDATE COTACAO SET cot_id = 308, cot_blt_id = 44, cot_pap_id = 36, cot_prc_comum = NULL, cot_prc_min = 80, cot_prc_max = 80, cot_prc_med = 80, cot_prc_mediana = 80 WHERE cot_id = 308;</v>
      </c>
    </row>
    <row r="310" spans="1:10" x14ac:dyDescent="0.3">
      <c r="A310">
        <v>309</v>
      </c>
      <c r="B310">
        <f>IF('Boletins Nuppa Site'!A310&lt;&gt;0,'Boletins Nuppa Site'!A310,"NULL")</f>
        <v>44</v>
      </c>
      <c r="C310">
        <v>37</v>
      </c>
      <c r="D310" t="str">
        <f>IF('Boletins Nuppa Site'!G310&lt;&gt;0,'Boletins Nuppa Site'!G310,"NULL")</f>
        <v>NULL</v>
      </c>
      <c r="E310" s="14">
        <f>IF('Boletins Nuppa Site'!H310&lt;&gt;0,'Boletins Nuppa Site'!H310,"NULL")</f>
        <v>60</v>
      </c>
      <c r="F310" s="14">
        <f>IF('Boletins Nuppa Site'!I310&lt;&gt;0,'Boletins Nuppa Site'!I310,"NULL")</f>
        <v>60</v>
      </c>
      <c r="G310" s="14">
        <f>IF('Boletins Nuppa Site'!J310&lt;&gt;0,'Boletins Nuppa Site'!J310,"NULL")</f>
        <v>60</v>
      </c>
      <c r="H310" s="14">
        <f>IF('Boletins Nuppa Site'!K310&lt;&gt;0,'Boletins Nuppa Site'!K310,"NULL")</f>
        <v>60</v>
      </c>
      <c r="I310" t="str">
        <f t="shared" si="8"/>
        <v>INSERT INTO COTACAO (cot_id, cot_blt_id, cot_pap_id, cot_prc_comum, cot_prc_min, cot_prc_max, cot_prc_med, cot_prc_mediana) VALUES (309, 44, 37, NULL, 60, 60, 60, 60);</v>
      </c>
      <c r="J310" t="str">
        <f t="shared" si="9"/>
        <v>UPDATE COTACAO SET cot_id = 309, cot_blt_id = 44, cot_pap_id = 37, cot_prc_comum = NULL, cot_prc_min = 60, cot_prc_max = 60, cot_prc_med = 60, cot_prc_mediana = 60 WHERE cot_id = 309;</v>
      </c>
    </row>
    <row r="311" spans="1:10" x14ac:dyDescent="0.3">
      <c r="A311">
        <v>310</v>
      </c>
      <c r="B311">
        <f>IF('Boletins Nuppa Site'!A311&lt;&gt;0,'Boletins Nuppa Site'!A311,"NULL")</f>
        <v>44</v>
      </c>
      <c r="C311">
        <v>38</v>
      </c>
      <c r="D311" t="str">
        <f>IF('Boletins Nuppa Site'!G311&lt;&gt;0,'Boletins Nuppa Site'!G311,"NULL")</f>
        <v>NULL</v>
      </c>
      <c r="E311" s="14">
        <f>IF('Boletins Nuppa Site'!H311&lt;&gt;0,'Boletins Nuppa Site'!H311,"NULL")</f>
        <v>40</v>
      </c>
      <c r="F311" s="14">
        <f>IF('Boletins Nuppa Site'!I311&lt;&gt;0,'Boletins Nuppa Site'!I311,"NULL")</f>
        <v>40</v>
      </c>
      <c r="G311" s="14">
        <f>IF('Boletins Nuppa Site'!J311&lt;&gt;0,'Boletins Nuppa Site'!J311,"NULL")</f>
        <v>40</v>
      </c>
      <c r="H311" s="14">
        <f>IF('Boletins Nuppa Site'!K311&lt;&gt;0,'Boletins Nuppa Site'!K311,"NULL")</f>
        <v>40</v>
      </c>
      <c r="I311" t="str">
        <f t="shared" si="8"/>
        <v>INSERT INTO COTACAO (cot_id, cot_blt_id, cot_pap_id, cot_prc_comum, cot_prc_min, cot_prc_max, cot_prc_med, cot_prc_mediana) VALUES (310, 44, 38, NULL, 40, 40, 40, 40);</v>
      </c>
      <c r="J311" t="str">
        <f t="shared" si="9"/>
        <v>UPDATE COTACAO SET cot_id = 310, cot_blt_id = 44, cot_pap_id = 38, cot_prc_comum = NULL, cot_prc_min = 40, cot_prc_max = 40, cot_prc_med = 40, cot_prc_mediana = 40 WHERE cot_id = 310;</v>
      </c>
    </row>
    <row r="312" spans="1:10" x14ac:dyDescent="0.3">
      <c r="A312">
        <v>311</v>
      </c>
      <c r="B312">
        <f>IF('Boletins Nuppa Site'!A312&lt;&gt;0,'Boletins Nuppa Site'!A312,"NULL")</f>
        <v>44</v>
      </c>
      <c r="C312">
        <v>39</v>
      </c>
      <c r="D312" t="str">
        <f>IF('Boletins Nuppa Site'!G312&lt;&gt;0,'Boletins Nuppa Site'!G312,"NULL")</f>
        <v>NULL</v>
      </c>
      <c r="E312" t="str">
        <f>IF('Boletins Nuppa Site'!H312&lt;&gt;0,'Boletins Nuppa Site'!H312,"NULL")</f>
        <v>NULL</v>
      </c>
      <c r="F312" t="str">
        <f>IF('Boletins Nuppa Site'!I312&lt;&gt;0,'Boletins Nuppa Site'!I312,"NULL")</f>
        <v>NULL</v>
      </c>
      <c r="G312" t="str">
        <f>IF('Boletins Nuppa Site'!J312&lt;&gt;0,'Boletins Nuppa Site'!J312,"NULL")</f>
        <v>NULL</v>
      </c>
      <c r="H312" t="str">
        <f>IF('Boletins Nuppa Site'!K312&lt;&gt;0,'Boletins Nuppa Site'!K312,"NULL")</f>
        <v>NULL</v>
      </c>
      <c r="I312" t="str">
        <f t="shared" si="8"/>
        <v>INSERT INTO COTACAO (cot_id, cot_blt_id, cot_pap_id, cot_prc_comum, cot_prc_min, cot_prc_max, cot_prc_med, cot_prc_mediana) VALUES (311, 44, 39, NULL, NULL, NULL, NULL, NULL);</v>
      </c>
      <c r="J312" t="str">
        <f t="shared" si="9"/>
        <v>UPDATE COTACAO SET cot_id = 311, cot_blt_id = 44, cot_pap_id = 39, cot_prc_comum = NULL, cot_prc_min = NULL, cot_prc_max = NULL, cot_prc_med = NULL, cot_prc_mediana = NULL WHERE cot_id = 311;</v>
      </c>
    </row>
    <row r="313" spans="1:10" x14ac:dyDescent="0.3">
      <c r="A313">
        <v>312</v>
      </c>
      <c r="B313">
        <f>IF('Boletins Nuppa Site'!A313&lt;&gt;0,'Boletins Nuppa Site'!A313,"NULL")</f>
        <v>44</v>
      </c>
      <c r="C313">
        <v>40</v>
      </c>
      <c r="D313" t="str">
        <f>IF('Boletins Nuppa Site'!G313&lt;&gt;0,'Boletins Nuppa Site'!G313,"NULL")</f>
        <v>NULL</v>
      </c>
      <c r="E313" t="str">
        <f>IF('Boletins Nuppa Site'!H313&lt;&gt;0,'Boletins Nuppa Site'!H313,"NULL")</f>
        <v>NULL</v>
      </c>
      <c r="F313" t="str">
        <f>IF('Boletins Nuppa Site'!I313&lt;&gt;0,'Boletins Nuppa Site'!I313,"NULL")</f>
        <v>NULL</v>
      </c>
      <c r="G313" t="str">
        <f>IF('Boletins Nuppa Site'!J313&lt;&gt;0,'Boletins Nuppa Site'!J313,"NULL")</f>
        <v>NULL</v>
      </c>
      <c r="H313" t="str">
        <f>IF('Boletins Nuppa Site'!K313&lt;&gt;0,'Boletins Nuppa Site'!K313,"NULL")</f>
        <v>NULL</v>
      </c>
      <c r="I313" t="str">
        <f t="shared" si="8"/>
        <v>INSERT INTO COTACAO (cot_id, cot_blt_id, cot_pap_id, cot_prc_comum, cot_prc_min, cot_prc_max, cot_prc_med, cot_prc_mediana) VALUES (312, 44, 40, NULL, NULL, NULL, NULL, NULL);</v>
      </c>
      <c r="J313" t="str">
        <f t="shared" si="9"/>
        <v>UPDATE COTACAO SET cot_id = 312, cot_blt_id = 44, cot_pap_id = 40, cot_prc_comum = NULL, cot_prc_min = NULL, cot_prc_max = NULL, cot_prc_med = NULL, cot_prc_mediana = NULL WHERE cot_id = 312;</v>
      </c>
    </row>
    <row r="314" spans="1:10" x14ac:dyDescent="0.3">
      <c r="A314">
        <v>313</v>
      </c>
      <c r="B314">
        <f>IF('Boletins Nuppa Site'!A314&lt;&gt;0,'Boletins Nuppa Site'!A314,"NULL")</f>
        <v>45</v>
      </c>
      <c r="C314">
        <v>1</v>
      </c>
      <c r="D314" t="str">
        <f>IF('Boletins Nuppa Site'!G314&lt;&gt;0,'Boletins Nuppa Site'!G314,"NULL")</f>
        <v>NULL</v>
      </c>
      <c r="E314" s="14">
        <f>IF('Boletins Nuppa Site'!H314&lt;&gt;0,'Boletins Nuppa Site'!H314,"NULL")</f>
        <v>60</v>
      </c>
      <c r="F314" s="14">
        <f>IF('Boletins Nuppa Site'!I314&lt;&gt;0,'Boletins Nuppa Site'!I314,"NULL")</f>
        <v>78</v>
      </c>
      <c r="G314" s="14">
        <f>IF('Boletins Nuppa Site'!J314&lt;&gt;0,'Boletins Nuppa Site'!J314,"NULL")</f>
        <v>69</v>
      </c>
      <c r="H314" s="14">
        <f>IF('Boletins Nuppa Site'!K314&lt;&gt;0,'Boletins Nuppa Site'!K314,"NULL")</f>
        <v>69</v>
      </c>
      <c r="I314" t="str">
        <f t="shared" si="8"/>
        <v>INSERT INTO COTACAO (cot_id, cot_blt_id, cot_pap_id, cot_prc_comum, cot_prc_min, cot_prc_max, cot_prc_med, cot_prc_mediana) VALUES (313, 45, 1, NULL, 60, 78, 69, 69);</v>
      </c>
      <c r="J314" t="str">
        <f t="shared" si="9"/>
        <v>UPDATE COTACAO SET cot_id = 313, cot_blt_id = 45, cot_pap_id = 1, cot_prc_comum = NULL, cot_prc_min = 60, cot_prc_max = 78, cot_prc_med = 69, cot_prc_mediana = 69 WHERE cot_id = 313;</v>
      </c>
    </row>
    <row r="315" spans="1:10" x14ac:dyDescent="0.3">
      <c r="A315">
        <v>314</v>
      </c>
      <c r="B315">
        <f>IF('Boletins Nuppa Site'!A315&lt;&gt;0,'Boletins Nuppa Site'!A315,"NULL")</f>
        <v>45</v>
      </c>
      <c r="C315">
        <v>2</v>
      </c>
      <c r="D315" s="14">
        <f>IF('Boletins Nuppa Site'!G315&lt;&gt;0,'Boletins Nuppa Site'!G315,"NULL")</f>
        <v>84</v>
      </c>
      <c r="E315" s="14">
        <f>IF('Boletins Nuppa Site'!H315&lt;&gt;0,'Boletins Nuppa Site'!H315,"NULL")</f>
        <v>84</v>
      </c>
      <c r="F315" s="14">
        <f>IF('Boletins Nuppa Site'!I315&lt;&gt;0,'Boletins Nuppa Site'!I315,"NULL")</f>
        <v>84</v>
      </c>
      <c r="G315" s="14">
        <f>IF('Boletins Nuppa Site'!J315&lt;&gt;0,'Boletins Nuppa Site'!J315,"NULL")</f>
        <v>84</v>
      </c>
      <c r="H315" s="14">
        <f>IF('Boletins Nuppa Site'!K315&lt;&gt;0,'Boletins Nuppa Site'!K315,"NULL")</f>
        <v>84</v>
      </c>
      <c r="I315" t="str">
        <f t="shared" si="8"/>
        <v>INSERT INTO COTACAO (cot_id, cot_blt_id, cot_pap_id, cot_prc_comum, cot_prc_min, cot_prc_max, cot_prc_med, cot_prc_mediana) VALUES (314, 45, 2, 84, 84, 84, 84, 84);</v>
      </c>
      <c r="J315" t="str">
        <f t="shared" si="9"/>
        <v>UPDATE COTACAO SET cot_id = 314, cot_blt_id = 45, cot_pap_id = 2, cot_prc_comum = 84, cot_prc_min = 84, cot_prc_max = 84, cot_prc_med = 84, cot_prc_mediana = 84 WHERE cot_id = 314;</v>
      </c>
    </row>
    <row r="316" spans="1:10" x14ac:dyDescent="0.3">
      <c r="A316">
        <v>315</v>
      </c>
      <c r="B316">
        <f>IF('Boletins Nuppa Site'!A316&lt;&gt;0,'Boletins Nuppa Site'!A316,"NULL")</f>
        <v>45</v>
      </c>
      <c r="C316">
        <v>3</v>
      </c>
      <c r="D316" t="str">
        <f>IF('Boletins Nuppa Site'!G316&lt;&gt;0,'Boletins Nuppa Site'!G316,"NULL")</f>
        <v>NULL</v>
      </c>
      <c r="E316" s="14">
        <f>IF('Boletins Nuppa Site'!H316&lt;&gt;0,'Boletins Nuppa Site'!H316,"NULL")</f>
        <v>50</v>
      </c>
      <c r="F316" s="14">
        <f>IF('Boletins Nuppa Site'!I316&lt;&gt;0,'Boletins Nuppa Site'!I316,"NULL")</f>
        <v>60</v>
      </c>
      <c r="G316" t="str">
        <f>IF('Boletins Nuppa Site'!J316&lt;&gt;0,'Boletins Nuppa Site'!J316,"NULL")</f>
        <v>54.67</v>
      </c>
      <c r="H316" s="14">
        <f>IF('Boletins Nuppa Site'!K316&lt;&gt;0,'Boletins Nuppa Site'!K316,"NULL")</f>
        <v>54</v>
      </c>
      <c r="I316" t="str">
        <f t="shared" si="8"/>
        <v>INSERT INTO COTACAO (cot_id, cot_blt_id, cot_pap_id, cot_prc_comum, cot_prc_min, cot_prc_max, cot_prc_med, cot_prc_mediana) VALUES (315, 45, 3, NULL, 50, 60, 54.67, 54);</v>
      </c>
      <c r="J316" t="str">
        <f t="shared" si="9"/>
        <v>UPDATE COTACAO SET cot_id = 315, cot_blt_id = 45, cot_pap_id = 3, cot_prc_comum = NULL, cot_prc_min = 50, cot_prc_max = 60, cot_prc_med = 54.67, cot_prc_mediana = 54 WHERE cot_id = 315;</v>
      </c>
    </row>
    <row r="317" spans="1:10" x14ac:dyDescent="0.3">
      <c r="A317">
        <v>316</v>
      </c>
      <c r="B317">
        <f>IF('Boletins Nuppa Site'!A317&lt;&gt;0,'Boletins Nuppa Site'!A317,"NULL")</f>
        <v>45</v>
      </c>
      <c r="C317">
        <v>4</v>
      </c>
      <c r="D317" t="str">
        <f>IF('Boletins Nuppa Site'!G317&lt;&gt;0,'Boletins Nuppa Site'!G317,"NULL")</f>
        <v>NULL</v>
      </c>
      <c r="E317" s="14">
        <f>IF('Boletins Nuppa Site'!H317&lt;&gt;0,'Boletins Nuppa Site'!H317,"NULL")</f>
        <v>30</v>
      </c>
      <c r="F317" s="14">
        <f>IF('Boletins Nuppa Site'!I317&lt;&gt;0,'Boletins Nuppa Site'!I317,"NULL")</f>
        <v>42</v>
      </c>
      <c r="G317" s="14">
        <f>IF('Boletins Nuppa Site'!J317&lt;&gt;0,'Boletins Nuppa Site'!J317,"NULL")</f>
        <v>36</v>
      </c>
      <c r="H317" s="14">
        <f>IF('Boletins Nuppa Site'!K317&lt;&gt;0,'Boletins Nuppa Site'!K317,"NULL")</f>
        <v>36</v>
      </c>
      <c r="I317" t="str">
        <f t="shared" si="8"/>
        <v>INSERT INTO COTACAO (cot_id, cot_blt_id, cot_pap_id, cot_prc_comum, cot_prc_min, cot_prc_max, cot_prc_med, cot_prc_mediana) VALUES (316, 45, 4, NULL, 30, 42, 36, 36);</v>
      </c>
      <c r="J317" t="str">
        <f t="shared" si="9"/>
        <v>UPDATE COTACAO SET cot_id = 316, cot_blt_id = 45, cot_pap_id = 4, cot_prc_comum = NULL, cot_prc_min = 30, cot_prc_max = 42, cot_prc_med = 36, cot_prc_mediana = 36 WHERE cot_id = 316;</v>
      </c>
    </row>
    <row r="318" spans="1:10" x14ac:dyDescent="0.3">
      <c r="A318">
        <v>317</v>
      </c>
      <c r="B318">
        <f>IF('Boletins Nuppa Site'!A318&lt;&gt;0,'Boletins Nuppa Site'!A318,"NULL")</f>
        <v>45</v>
      </c>
      <c r="C318">
        <v>5</v>
      </c>
      <c r="D318" t="str">
        <f>IF('Boletins Nuppa Site'!G318&lt;&gt;0,'Boletins Nuppa Site'!G318,"NULL")</f>
        <v>NULL</v>
      </c>
      <c r="E318" s="14">
        <f>IF('Boletins Nuppa Site'!H318&lt;&gt;0,'Boletins Nuppa Site'!H318,"NULL")</f>
        <v>36</v>
      </c>
      <c r="F318" s="14">
        <f>IF('Boletins Nuppa Site'!I318&lt;&gt;0,'Boletins Nuppa Site'!I318,"NULL")</f>
        <v>42</v>
      </c>
      <c r="G318" s="14">
        <f>IF('Boletins Nuppa Site'!J318&lt;&gt;0,'Boletins Nuppa Site'!J318,"NULL")</f>
        <v>39</v>
      </c>
      <c r="H318" s="14">
        <f>IF('Boletins Nuppa Site'!K318&lt;&gt;0,'Boletins Nuppa Site'!K318,"NULL")</f>
        <v>39</v>
      </c>
      <c r="I318" t="str">
        <f t="shared" si="8"/>
        <v>INSERT INTO COTACAO (cot_id, cot_blt_id, cot_pap_id, cot_prc_comum, cot_prc_min, cot_prc_max, cot_prc_med, cot_prc_mediana) VALUES (317, 45, 5, NULL, 36, 42, 39, 39);</v>
      </c>
      <c r="J318" t="str">
        <f t="shared" si="9"/>
        <v>UPDATE COTACAO SET cot_id = 317, cot_blt_id = 45, cot_pap_id = 5, cot_prc_comum = NULL, cot_prc_min = 36, cot_prc_max = 42, cot_prc_med = 39, cot_prc_mediana = 39 WHERE cot_id = 317;</v>
      </c>
    </row>
    <row r="319" spans="1:10" x14ac:dyDescent="0.3">
      <c r="A319">
        <v>318</v>
      </c>
      <c r="B319">
        <f>IF('Boletins Nuppa Site'!A319&lt;&gt;0,'Boletins Nuppa Site'!A319,"NULL")</f>
        <v>45</v>
      </c>
      <c r="C319">
        <v>6</v>
      </c>
      <c r="D319" s="14">
        <f>IF('Boletins Nuppa Site'!G319&lt;&gt;0,'Boletins Nuppa Site'!G319,"NULL")</f>
        <v>60</v>
      </c>
      <c r="E319" s="14">
        <f>IF('Boletins Nuppa Site'!H319&lt;&gt;0,'Boletins Nuppa Site'!H319,"NULL")</f>
        <v>60</v>
      </c>
      <c r="F319" s="14">
        <f>IF('Boletins Nuppa Site'!I319&lt;&gt;0,'Boletins Nuppa Site'!I319,"NULL")</f>
        <v>60</v>
      </c>
      <c r="G319" s="14">
        <f>IF('Boletins Nuppa Site'!J319&lt;&gt;0,'Boletins Nuppa Site'!J319,"NULL")</f>
        <v>60</v>
      </c>
      <c r="H319" s="14">
        <f>IF('Boletins Nuppa Site'!K319&lt;&gt;0,'Boletins Nuppa Site'!K319,"NULL")</f>
        <v>60</v>
      </c>
      <c r="I319" t="str">
        <f t="shared" si="8"/>
        <v>INSERT INTO COTACAO (cot_id, cot_blt_id, cot_pap_id, cot_prc_comum, cot_prc_min, cot_prc_max, cot_prc_med, cot_prc_mediana) VALUES (318, 45, 6, 60, 60, 60, 60, 60);</v>
      </c>
      <c r="J319" t="str">
        <f t="shared" si="9"/>
        <v>UPDATE COTACAO SET cot_id = 318, cot_blt_id = 45, cot_pap_id = 6, cot_prc_comum = 60, cot_prc_min = 60, cot_prc_max = 60, cot_prc_med = 60, cot_prc_mediana = 60 WHERE cot_id = 318;</v>
      </c>
    </row>
    <row r="320" spans="1:10" x14ac:dyDescent="0.3">
      <c r="A320">
        <v>319</v>
      </c>
      <c r="B320">
        <f>IF('Boletins Nuppa Site'!A320&lt;&gt;0,'Boletins Nuppa Site'!A320,"NULL")</f>
        <v>45</v>
      </c>
      <c r="C320">
        <v>7</v>
      </c>
      <c r="D320" t="str">
        <f>IF('Boletins Nuppa Site'!G320&lt;&gt;0,'Boletins Nuppa Site'!G320,"NULL")</f>
        <v>NULL</v>
      </c>
      <c r="E320" s="14">
        <f>IF('Boletins Nuppa Site'!H320&lt;&gt;0,'Boletins Nuppa Site'!H320,"NULL")</f>
        <v>78</v>
      </c>
      <c r="F320" s="14">
        <f>IF('Boletins Nuppa Site'!I320&lt;&gt;0,'Boletins Nuppa Site'!I320,"NULL")</f>
        <v>84</v>
      </c>
      <c r="G320" s="14">
        <f>IF('Boletins Nuppa Site'!J320&lt;&gt;0,'Boletins Nuppa Site'!J320,"NULL")</f>
        <v>81</v>
      </c>
      <c r="H320" s="14">
        <f>IF('Boletins Nuppa Site'!K320&lt;&gt;0,'Boletins Nuppa Site'!K320,"NULL")</f>
        <v>81</v>
      </c>
      <c r="I320" t="str">
        <f t="shared" si="8"/>
        <v>INSERT INTO COTACAO (cot_id, cot_blt_id, cot_pap_id, cot_prc_comum, cot_prc_min, cot_prc_max, cot_prc_med, cot_prc_mediana) VALUES (319, 45, 7, NULL, 78, 84, 81, 81);</v>
      </c>
      <c r="J320" t="str">
        <f t="shared" si="9"/>
        <v>UPDATE COTACAO SET cot_id = 319, cot_blt_id = 45, cot_pap_id = 7, cot_prc_comum = NULL, cot_prc_min = 78, cot_prc_max = 84, cot_prc_med = 81, cot_prc_mediana = 81 WHERE cot_id = 319;</v>
      </c>
    </row>
    <row r="321" spans="1:10" x14ac:dyDescent="0.3">
      <c r="A321">
        <v>320</v>
      </c>
      <c r="B321">
        <f>IF('Boletins Nuppa Site'!A321&lt;&gt;0,'Boletins Nuppa Site'!A321,"NULL")</f>
        <v>45</v>
      </c>
      <c r="C321">
        <v>8</v>
      </c>
      <c r="D321" t="str">
        <f>IF('Boletins Nuppa Site'!G321&lt;&gt;0,'Boletins Nuppa Site'!G321,"NULL")</f>
        <v>NULL</v>
      </c>
      <c r="E321" s="14">
        <f>IF('Boletins Nuppa Site'!H321&lt;&gt;0,'Boletins Nuppa Site'!H321,"NULL")</f>
        <v>96</v>
      </c>
      <c r="F321" s="14">
        <f>IF('Boletins Nuppa Site'!I321&lt;&gt;0,'Boletins Nuppa Site'!I321,"NULL")</f>
        <v>96</v>
      </c>
      <c r="G321" s="14">
        <f>IF('Boletins Nuppa Site'!J321&lt;&gt;0,'Boletins Nuppa Site'!J321,"NULL")</f>
        <v>96</v>
      </c>
      <c r="H321" s="14">
        <f>IF('Boletins Nuppa Site'!K321&lt;&gt;0,'Boletins Nuppa Site'!K321,"NULL")</f>
        <v>96</v>
      </c>
      <c r="I321" t="str">
        <f t="shared" si="8"/>
        <v>INSERT INTO COTACAO (cot_id, cot_blt_id, cot_pap_id, cot_prc_comum, cot_prc_min, cot_prc_max, cot_prc_med, cot_prc_mediana) VALUES (320, 45, 8, NULL, 96, 96, 96, 96);</v>
      </c>
      <c r="J321" t="str">
        <f t="shared" si="9"/>
        <v>UPDATE COTACAO SET cot_id = 320, cot_blt_id = 45, cot_pap_id = 8, cot_prc_comum = NULL, cot_prc_min = 96, cot_prc_max = 96, cot_prc_med = 96, cot_prc_mediana = 96 WHERE cot_id = 320;</v>
      </c>
    </row>
    <row r="322" spans="1:10" x14ac:dyDescent="0.3">
      <c r="A322">
        <v>321</v>
      </c>
      <c r="B322">
        <f>IF('Boletins Nuppa Site'!A322&lt;&gt;0,'Boletins Nuppa Site'!A322,"NULL")</f>
        <v>45</v>
      </c>
      <c r="C322">
        <v>9</v>
      </c>
      <c r="D322" t="str">
        <f>IF('Boletins Nuppa Site'!G322&lt;&gt;0,'Boletins Nuppa Site'!G322,"NULL")</f>
        <v>NULL</v>
      </c>
      <c r="E322" s="14">
        <f>IF('Boletins Nuppa Site'!H322&lt;&gt;0,'Boletins Nuppa Site'!H322,"NULL")</f>
        <v>25</v>
      </c>
      <c r="F322" s="14">
        <f>IF('Boletins Nuppa Site'!I322&lt;&gt;0,'Boletins Nuppa Site'!I322,"NULL")</f>
        <v>36</v>
      </c>
      <c r="G322" t="str">
        <f>IF('Boletins Nuppa Site'!J322&lt;&gt;0,'Boletins Nuppa Site'!J322,"NULL")</f>
        <v>30.5</v>
      </c>
      <c r="H322" t="str">
        <f>IF('Boletins Nuppa Site'!K322&lt;&gt;0,'Boletins Nuppa Site'!K322,"NULL")</f>
        <v>30.5</v>
      </c>
      <c r="I322" t="str">
        <f t="shared" si="8"/>
        <v>INSERT INTO COTACAO (cot_id, cot_blt_id, cot_pap_id, cot_prc_comum, cot_prc_min, cot_prc_max, cot_prc_med, cot_prc_mediana) VALUES (321, 45, 9, NULL, 25, 36, 30.5, 30.5);</v>
      </c>
      <c r="J322" t="str">
        <f t="shared" si="9"/>
        <v>UPDATE COTACAO SET cot_id = 321, cot_blt_id = 45, cot_pap_id = 9, cot_prc_comum = NULL, cot_prc_min = 25, cot_prc_max = 36, cot_prc_med = 30.5, cot_prc_mediana = 30.5 WHERE cot_id = 321;</v>
      </c>
    </row>
    <row r="323" spans="1:10" x14ac:dyDescent="0.3">
      <c r="A323">
        <v>322</v>
      </c>
      <c r="B323">
        <f>IF('Boletins Nuppa Site'!A323&lt;&gt;0,'Boletins Nuppa Site'!A323,"NULL")</f>
        <v>45</v>
      </c>
      <c r="C323">
        <v>10</v>
      </c>
      <c r="D323" t="str">
        <f>IF('Boletins Nuppa Site'!G323&lt;&gt;0,'Boletins Nuppa Site'!G323,"NULL")</f>
        <v>NULL</v>
      </c>
      <c r="E323" s="14">
        <f>IF('Boletins Nuppa Site'!H323&lt;&gt;0,'Boletins Nuppa Site'!H323,"NULL")</f>
        <v>84</v>
      </c>
      <c r="F323" s="14">
        <f>IF('Boletins Nuppa Site'!I323&lt;&gt;0,'Boletins Nuppa Site'!I323,"NULL")</f>
        <v>120</v>
      </c>
      <c r="G323" s="14">
        <f>IF('Boletins Nuppa Site'!J323&lt;&gt;0,'Boletins Nuppa Site'!J323,"NULL")</f>
        <v>102</v>
      </c>
      <c r="H323" s="14">
        <f>IF('Boletins Nuppa Site'!K323&lt;&gt;0,'Boletins Nuppa Site'!K323,"NULL")</f>
        <v>102</v>
      </c>
      <c r="I323" t="str">
        <f t="shared" ref="I323:I386" si="10">"INSERT INTO COTACAO (cot_id, cot_blt_id, cot_pap_id, cot_prc_comum, cot_prc_min, cot_prc_max, cot_prc_med, cot_prc_mediana) VALUES ("&amp;A323&amp;", "&amp;B323&amp;", "&amp;C323&amp;", "&amp;D323&amp;", "&amp;E323&amp;", "&amp;F323&amp;", "&amp;G323&amp;", "&amp;H323&amp;");"</f>
        <v>INSERT INTO COTACAO (cot_id, cot_blt_id, cot_pap_id, cot_prc_comum, cot_prc_min, cot_prc_max, cot_prc_med, cot_prc_mediana) VALUES (322, 45, 10, NULL, 84, 120, 102, 102);</v>
      </c>
      <c r="J323" t="str">
        <f t="shared" ref="J323:J386" si="11">"UPDATE COTACAO SET cot_id = "&amp;A323&amp;", cot_blt_id = "&amp;B323&amp;", cot_pap_id = "&amp;C323&amp;", cot_prc_comum = "&amp;D323&amp;", cot_prc_min = "&amp;E323&amp;", cot_prc_max = "&amp;F323&amp;", cot_prc_med = "&amp;G323&amp;", cot_prc_mediana = "&amp;H323&amp;" WHERE cot_id = "&amp;A323&amp;";"</f>
        <v>UPDATE COTACAO SET cot_id = 322, cot_blt_id = 45, cot_pap_id = 10, cot_prc_comum = NULL, cot_prc_min = 84, cot_prc_max = 120, cot_prc_med = 102, cot_prc_mediana = 102 WHERE cot_id = 322;</v>
      </c>
    </row>
    <row r="324" spans="1:10" x14ac:dyDescent="0.3">
      <c r="A324">
        <v>323</v>
      </c>
      <c r="B324">
        <f>IF('Boletins Nuppa Site'!A324&lt;&gt;0,'Boletins Nuppa Site'!A324,"NULL")</f>
        <v>45</v>
      </c>
      <c r="C324">
        <v>11</v>
      </c>
      <c r="D324" t="str">
        <f>IF('Boletins Nuppa Site'!G324&lt;&gt;0,'Boletins Nuppa Site'!G324,"NULL")</f>
        <v>NULL</v>
      </c>
      <c r="E324" s="14">
        <f>IF('Boletins Nuppa Site'!H324&lt;&gt;0,'Boletins Nuppa Site'!H324,"NULL")</f>
        <v>36</v>
      </c>
      <c r="F324" s="14">
        <f>IF('Boletins Nuppa Site'!I324&lt;&gt;0,'Boletins Nuppa Site'!I324,"NULL")</f>
        <v>42</v>
      </c>
      <c r="G324" s="14">
        <f>IF('Boletins Nuppa Site'!J324&lt;&gt;0,'Boletins Nuppa Site'!J324,"NULL")</f>
        <v>39</v>
      </c>
      <c r="H324" s="14">
        <f>IF('Boletins Nuppa Site'!K324&lt;&gt;0,'Boletins Nuppa Site'!K324,"NULL")</f>
        <v>39</v>
      </c>
      <c r="I324" t="str">
        <f t="shared" si="10"/>
        <v>INSERT INTO COTACAO (cot_id, cot_blt_id, cot_pap_id, cot_prc_comum, cot_prc_min, cot_prc_max, cot_prc_med, cot_prc_mediana) VALUES (323, 45, 11, NULL, 36, 42, 39, 39);</v>
      </c>
      <c r="J324" t="str">
        <f t="shared" si="11"/>
        <v>UPDATE COTACAO SET cot_id = 323, cot_blt_id = 45, cot_pap_id = 11, cot_prc_comum = NULL, cot_prc_min = 36, cot_prc_max = 42, cot_prc_med = 39, cot_prc_mediana = 39 WHERE cot_id = 323;</v>
      </c>
    </row>
    <row r="325" spans="1:10" x14ac:dyDescent="0.3">
      <c r="A325">
        <v>324</v>
      </c>
      <c r="B325">
        <f>IF('Boletins Nuppa Site'!A325&lt;&gt;0,'Boletins Nuppa Site'!A325,"NULL")</f>
        <v>45</v>
      </c>
      <c r="C325">
        <v>12</v>
      </c>
      <c r="D325" t="str">
        <f>IF('Boletins Nuppa Site'!G325&lt;&gt;0,'Boletins Nuppa Site'!G325,"NULL")</f>
        <v>NULL</v>
      </c>
      <c r="E325" s="14">
        <f>IF('Boletins Nuppa Site'!H325&lt;&gt;0,'Boletins Nuppa Site'!H325,"NULL")</f>
        <v>54</v>
      </c>
      <c r="F325" s="14">
        <f>IF('Boletins Nuppa Site'!I325&lt;&gt;0,'Boletins Nuppa Site'!I325,"NULL")</f>
        <v>60</v>
      </c>
      <c r="G325" s="14">
        <f>IF('Boletins Nuppa Site'!J325&lt;&gt;0,'Boletins Nuppa Site'!J325,"NULL")</f>
        <v>57</v>
      </c>
      <c r="H325" s="14">
        <f>IF('Boletins Nuppa Site'!K325&lt;&gt;0,'Boletins Nuppa Site'!K325,"NULL")</f>
        <v>57</v>
      </c>
      <c r="I325" t="str">
        <f t="shared" si="10"/>
        <v>INSERT INTO COTACAO (cot_id, cot_blt_id, cot_pap_id, cot_prc_comum, cot_prc_min, cot_prc_max, cot_prc_med, cot_prc_mediana) VALUES (324, 45, 12, NULL, 54, 60, 57, 57);</v>
      </c>
      <c r="J325" t="str">
        <f t="shared" si="11"/>
        <v>UPDATE COTACAO SET cot_id = 324, cot_blt_id = 45, cot_pap_id = 12, cot_prc_comum = NULL, cot_prc_min = 54, cot_prc_max = 60, cot_prc_med = 57, cot_prc_mediana = 57 WHERE cot_id = 324;</v>
      </c>
    </row>
    <row r="326" spans="1:10" x14ac:dyDescent="0.3">
      <c r="A326">
        <v>325</v>
      </c>
      <c r="B326">
        <f>IF('Boletins Nuppa Site'!A326&lt;&gt;0,'Boletins Nuppa Site'!A326,"NULL")</f>
        <v>45</v>
      </c>
      <c r="C326">
        <v>13</v>
      </c>
      <c r="D326" t="str">
        <f>IF('Boletins Nuppa Site'!G326&lt;&gt;0,'Boletins Nuppa Site'!G326,"NULL")</f>
        <v>NULL</v>
      </c>
      <c r="E326" s="14">
        <f>IF('Boletins Nuppa Site'!H326&lt;&gt;0,'Boletins Nuppa Site'!H326,"NULL")</f>
        <v>60</v>
      </c>
      <c r="F326" s="14">
        <f>IF('Boletins Nuppa Site'!I326&lt;&gt;0,'Boletins Nuppa Site'!I326,"NULL")</f>
        <v>78</v>
      </c>
      <c r="G326" s="14">
        <f>IF('Boletins Nuppa Site'!J326&lt;&gt;0,'Boletins Nuppa Site'!J326,"NULL")</f>
        <v>69</v>
      </c>
      <c r="H326" s="14">
        <f>IF('Boletins Nuppa Site'!K326&lt;&gt;0,'Boletins Nuppa Site'!K326,"NULL")</f>
        <v>69</v>
      </c>
      <c r="I326" t="str">
        <f t="shared" si="10"/>
        <v>INSERT INTO COTACAO (cot_id, cot_blt_id, cot_pap_id, cot_prc_comum, cot_prc_min, cot_prc_max, cot_prc_med, cot_prc_mediana) VALUES (325, 45, 13, NULL, 60, 78, 69, 69);</v>
      </c>
      <c r="J326" t="str">
        <f t="shared" si="11"/>
        <v>UPDATE COTACAO SET cot_id = 325, cot_blt_id = 45, cot_pap_id = 13, cot_prc_comum = NULL, cot_prc_min = 60, cot_prc_max = 78, cot_prc_med = 69, cot_prc_mediana = 69 WHERE cot_id = 325;</v>
      </c>
    </row>
    <row r="327" spans="1:10" x14ac:dyDescent="0.3">
      <c r="A327">
        <v>326</v>
      </c>
      <c r="B327">
        <f>IF('Boletins Nuppa Site'!A327&lt;&gt;0,'Boletins Nuppa Site'!A327,"NULL")</f>
        <v>45</v>
      </c>
      <c r="C327">
        <v>14</v>
      </c>
      <c r="D327" t="str">
        <f>IF('Boletins Nuppa Site'!G327&lt;&gt;0,'Boletins Nuppa Site'!G327,"NULL")</f>
        <v>NULL</v>
      </c>
      <c r="E327" s="14">
        <f>IF('Boletins Nuppa Site'!H327&lt;&gt;0,'Boletins Nuppa Site'!H327,"NULL")</f>
        <v>72</v>
      </c>
      <c r="F327" s="14">
        <f>IF('Boletins Nuppa Site'!I327&lt;&gt;0,'Boletins Nuppa Site'!I327,"NULL")</f>
        <v>102</v>
      </c>
      <c r="G327" s="14">
        <f>IF('Boletins Nuppa Site'!J327&lt;&gt;0,'Boletins Nuppa Site'!J327,"NULL")</f>
        <v>87</v>
      </c>
      <c r="H327" s="14">
        <f>IF('Boletins Nuppa Site'!K327&lt;&gt;0,'Boletins Nuppa Site'!K327,"NULL")</f>
        <v>87</v>
      </c>
      <c r="I327" t="str">
        <f t="shared" si="10"/>
        <v>INSERT INTO COTACAO (cot_id, cot_blt_id, cot_pap_id, cot_prc_comum, cot_prc_min, cot_prc_max, cot_prc_med, cot_prc_mediana) VALUES (326, 45, 14, NULL, 72, 102, 87, 87);</v>
      </c>
      <c r="J327" t="str">
        <f t="shared" si="11"/>
        <v>UPDATE COTACAO SET cot_id = 326, cot_blt_id = 45, cot_pap_id = 14, cot_prc_comum = NULL, cot_prc_min = 72, cot_prc_max = 102, cot_prc_med = 87, cot_prc_mediana = 87 WHERE cot_id = 326;</v>
      </c>
    </row>
    <row r="328" spans="1:10" x14ac:dyDescent="0.3">
      <c r="A328">
        <v>327</v>
      </c>
      <c r="B328">
        <f>IF('Boletins Nuppa Site'!A328&lt;&gt;0,'Boletins Nuppa Site'!A328,"NULL")</f>
        <v>45</v>
      </c>
      <c r="C328">
        <v>15</v>
      </c>
      <c r="D328" t="str">
        <f>IF('Boletins Nuppa Site'!G328&lt;&gt;0,'Boletins Nuppa Site'!G328,"NULL")</f>
        <v>NULL</v>
      </c>
      <c r="E328" s="14">
        <f>IF('Boletins Nuppa Site'!H328&lt;&gt;0,'Boletins Nuppa Site'!H328,"NULL")</f>
        <v>55</v>
      </c>
      <c r="F328" s="14">
        <f>IF('Boletins Nuppa Site'!I328&lt;&gt;0,'Boletins Nuppa Site'!I328,"NULL")</f>
        <v>84</v>
      </c>
      <c r="G328" t="str">
        <f>IF('Boletins Nuppa Site'!J328&lt;&gt;0,'Boletins Nuppa Site'!J328,"NULL")</f>
        <v>66.33</v>
      </c>
      <c r="H328" s="14">
        <f>IF('Boletins Nuppa Site'!K328&lt;&gt;0,'Boletins Nuppa Site'!K328,"NULL")</f>
        <v>60</v>
      </c>
      <c r="I328" t="str">
        <f t="shared" si="10"/>
        <v>INSERT INTO COTACAO (cot_id, cot_blt_id, cot_pap_id, cot_prc_comum, cot_prc_min, cot_prc_max, cot_prc_med, cot_prc_mediana) VALUES (327, 45, 15, NULL, 55, 84, 66.33, 60);</v>
      </c>
      <c r="J328" t="str">
        <f t="shared" si="11"/>
        <v>UPDATE COTACAO SET cot_id = 327, cot_blt_id = 45, cot_pap_id = 15, cot_prc_comum = NULL, cot_prc_min = 55, cot_prc_max = 84, cot_prc_med = 66.33, cot_prc_mediana = 60 WHERE cot_id = 327;</v>
      </c>
    </row>
    <row r="329" spans="1:10" x14ac:dyDescent="0.3">
      <c r="A329">
        <v>328</v>
      </c>
      <c r="B329">
        <f>IF('Boletins Nuppa Site'!A329&lt;&gt;0,'Boletins Nuppa Site'!A329,"NULL")</f>
        <v>45</v>
      </c>
      <c r="C329">
        <v>16</v>
      </c>
      <c r="D329" s="14">
        <f>IF('Boletins Nuppa Site'!G329&lt;&gt;0,'Boletins Nuppa Site'!G329,"NULL")</f>
        <v>54</v>
      </c>
      <c r="E329" s="14">
        <f>IF('Boletins Nuppa Site'!H329&lt;&gt;0,'Boletins Nuppa Site'!H329,"NULL")</f>
        <v>54</v>
      </c>
      <c r="F329" s="14">
        <f>IF('Boletins Nuppa Site'!I329&lt;&gt;0,'Boletins Nuppa Site'!I329,"NULL")</f>
        <v>54</v>
      </c>
      <c r="G329" s="14">
        <f>IF('Boletins Nuppa Site'!J329&lt;&gt;0,'Boletins Nuppa Site'!J329,"NULL")</f>
        <v>54</v>
      </c>
      <c r="H329" s="14">
        <f>IF('Boletins Nuppa Site'!K329&lt;&gt;0,'Boletins Nuppa Site'!K329,"NULL")</f>
        <v>54</v>
      </c>
      <c r="I329" t="str">
        <f t="shared" si="10"/>
        <v>INSERT INTO COTACAO (cot_id, cot_blt_id, cot_pap_id, cot_prc_comum, cot_prc_min, cot_prc_max, cot_prc_med, cot_prc_mediana) VALUES (328, 45, 16, 54, 54, 54, 54, 54);</v>
      </c>
      <c r="J329" t="str">
        <f t="shared" si="11"/>
        <v>UPDATE COTACAO SET cot_id = 328, cot_blt_id = 45, cot_pap_id = 16, cot_prc_comum = 54, cot_prc_min = 54, cot_prc_max = 54, cot_prc_med = 54, cot_prc_mediana = 54 WHERE cot_id = 328;</v>
      </c>
    </row>
    <row r="330" spans="1:10" x14ac:dyDescent="0.3">
      <c r="A330">
        <v>329</v>
      </c>
      <c r="B330">
        <f>IF('Boletins Nuppa Site'!A330&lt;&gt;0,'Boletins Nuppa Site'!A330,"NULL")</f>
        <v>45</v>
      </c>
      <c r="C330">
        <v>17</v>
      </c>
      <c r="D330" s="14">
        <f>IF('Boletins Nuppa Site'!G330&lt;&gt;0,'Boletins Nuppa Site'!G330,"NULL")</f>
        <v>5</v>
      </c>
      <c r="E330" t="str">
        <f>IF('Boletins Nuppa Site'!H330&lt;&gt;0,'Boletins Nuppa Site'!H330,"NULL")</f>
        <v>4.5</v>
      </c>
      <c r="F330" s="14">
        <f>IF('Boletins Nuppa Site'!I330&lt;&gt;0,'Boletins Nuppa Site'!I330,"NULL")</f>
        <v>5</v>
      </c>
      <c r="G330" t="str">
        <f>IF('Boletins Nuppa Site'!J330&lt;&gt;0,'Boletins Nuppa Site'!J330,"NULL")</f>
        <v>4.83</v>
      </c>
      <c r="H330" s="14">
        <f>IF('Boletins Nuppa Site'!K330&lt;&gt;0,'Boletins Nuppa Site'!K330,"NULL")</f>
        <v>5</v>
      </c>
      <c r="I330" t="str">
        <f t="shared" si="10"/>
        <v>INSERT INTO COTACAO (cot_id, cot_blt_id, cot_pap_id, cot_prc_comum, cot_prc_min, cot_prc_max, cot_prc_med, cot_prc_mediana) VALUES (329, 45, 17, 5, 4.5, 5, 4.83, 5);</v>
      </c>
      <c r="J330" t="str">
        <f t="shared" si="11"/>
        <v>UPDATE COTACAO SET cot_id = 329, cot_blt_id = 45, cot_pap_id = 17, cot_prc_comum = 5, cot_prc_min = 4.5, cot_prc_max = 5, cot_prc_med = 4.83, cot_prc_mediana = 5 WHERE cot_id = 329;</v>
      </c>
    </row>
    <row r="331" spans="1:10" x14ac:dyDescent="0.3">
      <c r="A331">
        <v>330</v>
      </c>
      <c r="B331">
        <f>IF('Boletins Nuppa Site'!A331&lt;&gt;0,'Boletins Nuppa Site'!A331,"NULL")</f>
        <v>45</v>
      </c>
      <c r="C331">
        <v>18</v>
      </c>
      <c r="D331" t="str">
        <f>IF('Boletins Nuppa Site'!G331&lt;&gt;0,'Boletins Nuppa Site'!G331,"NULL")</f>
        <v>NULL</v>
      </c>
      <c r="E331" s="14">
        <f>IF('Boletins Nuppa Site'!H331&lt;&gt;0,'Boletins Nuppa Site'!H331,"NULL")</f>
        <v>20</v>
      </c>
      <c r="F331" s="14">
        <f>IF('Boletins Nuppa Site'!I331&lt;&gt;0,'Boletins Nuppa Site'!I331,"NULL")</f>
        <v>35</v>
      </c>
      <c r="G331" t="str">
        <f>IF('Boletins Nuppa Site'!J331&lt;&gt;0,'Boletins Nuppa Site'!J331,"NULL")</f>
        <v>26.67</v>
      </c>
      <c r="H331" s="14">
        <f>IF('Boletins Nuppa Site'!K331&lt;&gt;0,'Boletins Nuppa Site'!K331,"NULL")</f>
        <v>25</v>
      </c>
      <c r="I331" t="str">
        <f t="shared" si="10"/>
        <v>INSERT INTO COTACAO (cot_id, cot_blt_id, cot_pap_id, cot_prc_comum, cot_prc_min, cot_prc_max, cot_prc_med, cot_prc_mediana) VALUES (330, 45, 18, NULL, 20, 35, 26.67, 25);</v>
      </c>
      <c r="J331" t="str">
        <f t="shared" si="11"/>
        <v>UPDATE COTACAO SET cot_id = 330, cot_blt_id = 45, cot_pap_id = 18, cot_prc_comum = NULL, cot_prc_min = 20, cot_prc_max = 35, cot_prc_med = 26.67, cot_prc_mediana = 25 WHERE cot_id = 330;</v>
      </c>
    </row>
    <row r="332" spans="1:10" x14ac:dyDescent="0.3">
      <c r="A332">
        <v>331</v>
      </c>
      <c r="B332">
        <f>IF('Boletins Nuppa Site'!A332&lt;&gt;0,'Boletins Nuppa Site'!A332,"NULL")</f>
        <v>45</v>
      </c>
      <c r="C332">
        <v>19</v>
      </c>
      <c r="D332" t="str">
        <f>IF('Boletins Nuppa Site'!G332&lt;&gt;0,'Boletins Nuppa Site'!G332,"NULL")</f>
        <v>NULL</v>
      </c>
      <c r="E332" s="14">
        <f>IF('Boletins Nuppa Site'!H332&lt;&gt;0,'Boletins Nuppa Site'!H332,"NULL")</f>
        <v>30</v>
      </c>
      <c r="F332" s="14">
        <f>IF('Boletins Nuppa Site'!I332&lt;&gt;0,'Boletins Nuppa Site'!I332,"NULL")</f>
        <v>40</v>
      </c>
      <c r="G332" s="14">
        <f>IF('Boletins Nuppa Site'!J332&lt;&gt;0,'Boletins Nuppa Site'!J332,"NULL")</f>
        <v>35</v>
      </c>
      <c r="H332" s="14">
        <f>IF('Boletins Nuppa Site'!K332&lt;&gt;0,'Boletins Nuppa Site'!K332,"NULL")</f>
        <v>35</v>
      </c>
      <c r="I332" t="str">
        <f t="shared" si="10"/>
        <v>INSERT INTO COTACAO (cot_id, cot_blt_id, cot_pap_id, cot_prc_comum, cot_prc_min, cot_prc_max, cot_prc_med, cot_prc_mediana) VALUES (331, 45, 19, NULL, 30, 40, 35, 35);</v>
      </c>
      <c r="J332" t="str">
        <f t="shared" si="11"/>
        <v>UPDATE COTACAO SET cot_id = 331, cot_blt_id = 45, cot_pap_id = 19, cot_prc_comum = NULL, cot_prc_min = 30, cot_prc_max = 40, cot_prc_med = 35, cot_prc_mediana = 35 WHERE cot_id = 331;</v>
      </c>
    </row>
    <row r="333" spans="1:10" x14ac:dyDescent="0.3">
      <c r="A333">
        <v>332</v>
      </c>
      <c r="B333">
        <f>IF('Boletins Nuppa Site'!A333&lt;&gt;0,'Boletins Nuppa Site'!A333,"NULL")</f>
        <v>45</v>
      </c>
      <c r="C333">
        <v>20</v>
      </c>
      <c r="D333" t="str">
        <f>IF('Boletins Nuppa Site'!G333&lt;&gt;0,'Boletins Nuppa Site'!G333,"NULL")</f>
        <v>NULL</v>
      </c>
      <c r="E333" t="str">
        <f>IF('Boletins Nuppa Site'!H333&lt;&gt;0,'Boletins Nuppa Site'!H333,"NULL")</f>
        <v>NULL</v>
      </c>
      <c r="F333" t="str">
        <f>IF('Boletins Nuppa Site'!I333&lt;&gt;0,'Boletins Nuppa Site'!I333,"NULL")</f>
        <v>NULL</v>
      </c>
      <c r="G333" t="str">
        <f>IF('Boletins Nuppa Site'!J333&lt;&gt;0,'Boletins Nuppa Site'!J333,"NULL")</f>
        <v>NULL</v>
      </c>
      <c r="H333" t="str">
        <f>IF('Boletins Nuppa Site'!K333&lt;&gt;0,'Boletins Nuppa Site'!K333,"NULL")</f>
        <v>NULL</v>
      </c>
      <c r="I333" t="str">
        <f t="shared" si="10"/>
        <v>INSERT INTO COTACAO (cot_id, cot_blt_id, cot_pap_id, cot_prc_comum, cot_prc_min, cot_prc_max, cot_prc_med, cot_prc_mediana) VALUES (332, 45, 20, NULL, NULL, NULL, NULL, NULL);</v>
      </c>
      <c r="J333" t="str">
        <f t="shared" si="11"/>
        <v>UPDATE COTACAO SET cot_id = 332, cot_blt_id = 45, cot_pap_id = 20, cot_prc_comum = NULL, cot_prc_min = NULL, cot_prc_max = NULL, cot_prc_med = NULL, cot_prc_mediana = NULL WHERE cot_id = 332;</v>
      </c>
    </row>
    <row r="334" spans="1:10" x14ac:dyDescent="0.3">
      <c r="A334">
        <v>333</v>
      </c>
      <c r="B334">
        <f>IF('Boletins Nuppa Site'!A334&lt;&gt;0,'Boletins Nuppa Site'!A334,"NULL")</f>
        <v>45</v>
      </c>
      <c r="C334">
        <v>21</v>
      </c>
      <c r="D334" s="14">
        <f>IF('Boletins Nuppa Site'!G334&lt;&gt;0,'Boletins Nuppa Site'!G334,"NULL")</f>
        <v>80</v>
      </c>
      <c r="E334" s="14">
        <f>IF('Boletins Nuppa Site'!H334&lt;&gt;0,'Boletins Nuppa Site'!H334,"NULL")</f>
        <v>70</v>
      </c>
      <c r="F334" s="14">
        <f>IF('Boletins Nuppa Site'!I334&lt;&gt;0,'Boletins Nuppa Site'!I334,"NULL")</f>
        <v>85</v>
      </c>
      <c r="G334" t="str">
        <f>IF('Boletins Nuppa Site'!J334&lt;&gt;0,'Boletins Nuppa Site'!J334,"NULL")</f>
        <v>78.75</v>
      </c>
      <c r="H334" s="14">
        <f>IF('Boletins Nuppa Site'!K334&lt;&gt;0,'Boletins Nuppa Site'!K334,"NULL")</f>
        <v>80</v>
      </c>
      <c r="I334" t="str">
        <f t="shared" si="10"/>
        <v>INSERT INTO COTACAO (cot_id, cot_blt_id, cot_pap_id, cot_prc_comum, cot_prc_min, cot_prc_max, cot_prc_med, cot_prc_mediana) VALUES (333, 45, 21, 80, 70, 85, 78.75, 80);</v>
      </c>
      <c r="J334" t="str">
        <f t="shared" si="11"/>
        <v>UPDATE COTACAO SET cot_id = 333, cot_blt_id = 45, cot_pap_id = 21, cot_prc_comum = 80, cot_prc_min = 70, cot_prc_max = 85, cot_prc_med = 78.75, cot_prc_mediana = 80 WHERE cot_id = 333;</v>
      </c>
    </row>
    <row r="335" spans="1:10" x14ac:dyDescent="0.3">
      <c r="A335">
        <v>334</v>
      </c>
      <c r="B335">
        <f>IF('Boletins Nuppa Site'!A335&lt;&gt;0,'Boletins Nuppa Site'!A335,"NULL")</f>
        <v>45</v>
      </c>
      <c r="C335">
        <v>22</v>
      </c>
      <c r="D335" s="14">
        <f>IF('Boletins Nuppa Site'!G335&lt;&gt;0,'Boletins Nuppa Site'!G335,"NULL")</f>
        <v>75</v>
      </c>
      <c r="E335" s="14">
        <f>IF('Boletins Nuppa Site'!H335&lt;&gt;0,'Boletins Nuppa Site'!H335,"NULL")</f>
        <v>55</v>
      </c>
      <c r="F335" s="14">
        <f>IF('Boletins Nuppa Site'!I335&lt;&gt;0,'Boletins Nuppa Site'!I335,"NULL")</f>
        <v>75</v>
      </c>
      <c r="G335" s="14">
        <f>IF('Boletins Nuppa Site'!J335&lt;&gt;0,'Boletins Nuppa Site'!J335,"NULL")</f>
        <v>70</v>
      </c>
      <c r="H335" s="14">
        <f>IF('Boletins Nuppa Site'!K335&lt;&gt;0,'Boletins Nuppa Site'!K335,"NULL")</f>
        <v>75</v>
      </c>
      <c r="I335" t="str">
        <f t="shared" si="10"/>
        <v>INSERT INTO COTACAO (cot_id, cot_blt_id, cot_pap_id, cot_prc_comum, cot_prc_min, cot_prc_max, cot_prc_med, cot_prc_mediana) VALUES (334, 45, 22, 75, 55, 75, 70, 75);</v>
      </c>
      <c r="J335" t="str">
        <f t="shared" si="11"/>
        <v>UPDATE COTACAO SET cot_id = 334, cot_blt_id = 45, cot_pap_id = 22, cot_prc_comum = 75, cot_prc_min = 55, cot_prc_max = 75, cot_prc_med = 70, cot_prc_mediana = 75 WHERE cot_id = 334;</v>
      </c>
    </row>
    <row r="336" spans="1:10" x14ac:dyDescent="0.3">
      <c r="A336">
        <v>335</v>
      </c>
      <c r="B336">
        <f>IF('Boletins Nuppa Site'!A336&lt;&gt;0,'Boletins Nuppa Site'!A336,"NULL")</f>
        <v>45</v>
      </c>
      <c r="C336">
        <v>23</v>
      </c>
      <c r="D336" s="14">
        <f>IF('Boletins Nuppa Site'!G336&lt;&gt;0,'Boletins Nuppa Site'!G336,"NULL")</f>
        <v>50</v>
      </c>
      <c r="E336" s="14">
        <f>IF('Boletins Nuppa Site'!H336&lt;&gt;0,'Boletins Nuppa Site'!H336,"NULL")</f>
        <v>30</v>
      </c>
      <c r="F336" s="14">
        <f>IF('Boletins Nuppa Site'!I336&lt;&gt;0,'Boletins Nuppa Site'!I336,"NULL")</f>
        <v>50</v>
      </c>
      <c r="G336" s="14">
        <f>IF('Boletins Nuppa Site'!J336&lt;&gt;0,'Boletins Nuppa Site'!J336,"NULL")</f>
        <v>44</v>
      </c>
      <c r="H336" s="14">
        <f>IF('Boletins Nuppa Site'!K336&lt;&gt;0,'Boletins Nuppa Site'!K336,"NULL")</f>
        <v>50</v>
      </c>
      <c r="I336" t="str">
        <f t="shared" si="10"/>
        <v>INSERT INTO COTACAO (cot_id, cot_blt_id, cot_pap_id, cot_prc_comum, cot_prc_min, cot_prc_max, cot_prc_med, cot_prc_mediana) VALUES (335, 45, 23, 50, 30, 50, 44, 50);</v>
      </c>
      <c r="J336" t="str">
        <f t="shared" si="11"/>
        <v>UPDATE COTACAO SET cot_id = 335, cot_blt_id = 45, cot_pap_id = 23, cot_prc_comum = 50, cot_prc_min = 30, cot_prc_max = 50, cot_prc_med = 44, cot_prc_mediana = 50 WHERE cot_id = 335;</v>
      </c>
    </row>
    <row r="337" spans="1:10" x14ac:dyDescent="0.3">
      <c r="A337">
        <v>336</v>
      </c>
      <c r="B337">
        <f>IF('Boletins Nuppa Site'!A337&lt;&gt;0,'Boletins Nuppa Site'!A337,"NULL")</f>
        <v>45</v>
      </c>
      <c r="C337">
        <v>24</v>
      </c>
      <c r="D337" t="str">
        <f>IF('Boletins Nuppa Site'!G337&lt;&gt;0,'Boletins Nuppa Site'!G337,"NULL")</f>
        <v>NULL</v>
      </c>
      <c r="E337" s="14">
        <f>IF('Boletins Nuppa Site'!H337&lt;&gt;0,'Boletins Nuppa Site'!H337,"NULL")</f>
        <v>80</v>
      </c>
      <c r="F337" s="14">
        <f>IF('Boletins Nuppa Site'!I337&lt;&gt;0,'Boletins Nuppa Site'!I337,"NULL")</f>
        <v>80</v>
      </c>
      <c r="G337" s="14">
        <f>IF('Boletins Nuppa Site'!J337&lt;&gt;0,'Boletins Nuppa Site'!J337,"NULL")</f>
        <v>80</v>
      </c>
      <c r="H337" s="14">
        <f>IF('Boletins Nuppa Site'!K337&lt;&gt;0,'Boletins Nuppa Site'!K337,"NULL")</f>
        <v>80</v>
      </c>
      <c r="I337" t="str">
        <f t="shared" si="10"/>
        <v>INSERT INTO COTACAO (cot_id, cot_blt_id, cot_pap_id, cot_prc_comum, cot_prc_min, cot_prc_max, cot_prc_med, cot_prc_mediana) VALUES (336, 45, 24, NULL, 80, 80, 80, 80);</v>
      </c>
      <c r="J337" t="str">
        <f t="shared" si="11"/>
        <v>UPDATE COTACAO SET cot_id = 336, cot_blt_id = 45, cot_pap_id = 24, cot_prc_comum = NULL, cot_prc_min = 80, cot_prc_max = 80, cot_prc_med = 80, cot_prc_mediana = 80 WHERE cot_id = 336;</v>
      </c>
    </row>
    <row r="338" spans="1:10" x14ac:dyDescent="0.3">
      <c r="A338">
        <v>337</v>
      </c>
      <c r="B338">
        <f>IF('Boletins Nuppa Site'!A338&lt;&gt;0,'Boletins Nuppa Site'!A338,"NULL")</f>
        <v>45</v>
      </c>
      <c r="C338">
        <v>25</v>
      </c>
      <c r="D338" s="14">
        <f>IF('Boletins Nuppa Site'!G338&lt;&gt;0,'Boletins Nuppa Site'!G338,"NULL")</f>
        <v>100</v>
      </c>
      <c r="E338" s="14">
        <f>IF('Boletins Nuppa Site'!H338&lt;&gt;0,'Boletins Nuppa Site'!H338,"NULL")</f>
        <v>100</v>
      </c>
      <c r="F338" s="14">
        <f>IF('Boletins Nuppa Site'!I338&lt;&gt;0,'Boletins Nuppa Site'!I338,"NULL")</f>
        <v>130</v>
      </c>
      <c r="G338" t="str">
        <f>IF('Boletins Nuppa Site'!J338&lt;&gt;0,'Boletins Nuppa Site'!J338,"NULL")</f>
        <v>113.75</v>
      </c>
      <c r="H338" t="str">
        <f>IF('Boletins Nuppa Site'!K338&lt;&gt;0,'Boletins Nuppa Site'!K338,"NULL")</f>
        <v>112.5</v>
      </c>
      <c r="I338" t="str">
        <f t="shared" si="10"/>
        <v>INSERT INTO COTACAO (cot_id, cot_blt_id, cot_pap_id, cot_prc_comum, cot_prc_min, cot_prc_max, cot_prc_med, cot_prc_mediana) VALUES (337, 45, 25, 100, 100, 130, 113.75, 112.5);</v>
      </c>
      <c r="J338" t="str">
        <f t="shared" si="11"/>
        <v>UPDATE COTACAO SET cot_id = 337, cot_blt_id = 45, cot_pap_id = 25, cot_prc_comum = 100, cot_prc_min = 100, cot_prc_max = 130, cot_prc_med = 113.75, cot_prc_mediana = 112.5 WHERE cot_id = 337;</v>
      </c>
    </row>
    <row r="339" spans="1:10" x14ac:dyDescent="0.3">
      <c r="A339">
        <v>338</v>
      </c>
      <c r="B339">
        <f>IF('Boletins Nuppa Site'!A339&lt;&gt;0,'Boletins Nuppa Site'!A339,"NULL")</f>
        <v>45</v>
      </c>
      <c r="C339">
        <v>26</v>
      </c>
      <c r="D339" s="14">
        <f>IF('Boletins Nuppa Site'!G339&lt;&gt;0,'Boletins Nuppa Site'!G339,"NULL")</f>
        <v>130</v>
      </c>
      <c r="E339" s="14">
        <f>IF('Boletins Nuppa Site'!H339&lt;&gt;0,'Boletins Nuppa Site'!H339,"NULL")</f>
        <v>90</v>
      </c>
      <c r="F339" s="14">
        <f>IF('Boletins Nuppa Site'!I339&lt;&gt;0,'Boletins Nuppa Site'!I339,"NULL")</f>
        <v>140</v>
      </c>
      <c r="G339" t="str">
        <f>IF('Boletins Nuppa Site'!J339&lt;&gt;0,'Boletins Nuppa Site'!J339,"NULL")</f>
        <v>122.5</v>
      </c>
      <c r="H339" s="14">
        <f>IF('Boletins Nuppa Site'!K339&lt;&gt;0,'Boletins Nuppa Site'!K339,"NULL")</f>
        <v>130</v>
      </c>
      <c r="I339" t="str">
        <f t="shared" si="10"/>
        <v>INSERT INTO COTACAO (cot_id, cot_blt_id, cot_pap_id, cot_prc_comum, cot_prc_min, cot_prc_max, cot_prc_med, cot_prc_mediana) VALUES (338, 45, 26, 130, 90, 140, 122.5, 130);</v>
      </c>
      <c r="J339" t="str">
        <f t="shared" si="11"/>
        <v>UPDATE COTACAO SET cot_id = 338, cot_blt_id = 45, cot_pap_id = 26, cot_prc_comum = 130, cot_prc_min = 90, cot_prc_max = 140, cot_prc_med = 122.5, cot_prc_mediana = 130 WHERE cot_id = 338;</v>
      </c>
    </row>
    <row r="340" spans="1:10" x14ac:dyDescent="0.3">
      <c r="A340">
        <v>339</v>
      </c>
      <c r="B340">
        <f>IF('Boletins Nuppa Site'!A340&lt;&gt;0,'Boletins Nuppa Site'!A340,"NULL")</f>
        <v>45</v>
      </c>
      <c r="C340">
        <v>27</v>
      </c>
      <c r="D340" s="14">
        <f>IF('Boletins Nuppa Site'!G340&lt;&gt;0,'Boletins Nuppa Site'!G340,"NULL")</f>
        <v>70</v>
      </c>
      <c r="E340" s="14">
        <f>IF('Boletins Nuppa Site'!H340&lt;&gt;0,'Boletins Nuppa Site'!H340,"NULL")</f>
        <v>70</v>
      </c>
      <c r="F340" s="14">
        <f>IF('Boletins Nuppa Site'!I340&lt;&gt;0,'Boletins Nuppa Site'!I340,"NULL")</f>
        <v>90</v>
      </c>
      <c r="G340" s="14">
        <f>IF('Boletins Nuppa Site'!J340&lt;&gt;0,'Boletins Nuppa Site'!J340,"NULL")</f>
        <v>75</v>
      </c>
      <c r="H340" s="14">
        <f>IF('Boletins Nuppa Site'!K340&lt;&gt;0,'Boletins Nuppa Site'!K340,"NULL")</f>
        <v>70</v>
      </c>
      <c r="I340" t="str">
        <f t="shared" si="10"/>
        <v>INSERT INTO COTACAO (cot_id, cot_blt_id, cot_pap_id, cot_prc_comum, cot_prc_min, cot_prc_max, cot_prc_med, cot_prc_mediana) VALUES (339, 45, 27, 70, 70, 90, 75, 70);</v>
      </c>
      <c r="J340" t="str">
        <f t="shared" si="11"/>
        <v>UPDATE COTACAO SET cot_id = 339, cot_blt_id = 45, cot_pap_id = 27, cot_prc_comum = 70, cot_prc_min = 70, cot_prc_max = 90, cot_prc_med = 75, cot_prc_mediana = 70 WHERE cot_id = 339;</v>
      </c>
    </row>
    <row r="341" spans="1:10" x14ac:dyDescent="0.3">
      <c r="A341">
        <v>340</v>
      </c>
      <c r="B341">
        <f>IF('Boletins Nuppa Site'!A341&lt;&gt;0,'Boletins Nuppa Site'!A341,"NULL")</f>
        <v>45</v>
      </c>
      <c r="C341">
        <v>28</v>
      </c>
      <c r="D341" t="str">
        <f>IF('Boletins Nuppa Site'!G341&lt;&gt;0,'Boletins Nuppa Site'!G341,"NULL")</f>
        <v>NULL</v>
      </c>
      <c r="E341" s="14">
        <f>IF('Boletins Nuppa Site'!H341&lt;&gt;0,'Boletins Nuppa Site'!H341,"NULL")</f>
        <v>80</v>
      </c>
      <c r="F341" s="14">
        <f>IF('Boletins Nuppa Site'!I341&lt;&gt;0,'Boletins Nuppa Site'!I341,"NULL")</f>
        <v>85</v>
      </c>
      <c r="G341" t="str">
        <f>IF('Boletins Nuppa Site'!J341&lt;&gt;0,'Boletins Nuppa Site'!J341,"NULL")</f>
        <v>82.5</v>
      </c>
      <c r="H341" t="str">
        <f>IF('Boletins Nuppa Site'!K341&lt;&gt;0,'Boletins Nuppa Site'!K341,"NULL")</f>
        <v>82.5</v>
      </c>
      <c r="I341" t="str">
        <f t="shared" si="10"/>
        <v>INSERT INTO COTACAO (cot_id, cot_blt_id, cot_pap_id, cot_prc_comum, cot_prc_min, cot_prc_max, cot_prc_med, cot_prc_mediana) VALUES (340, 45, 28, NULL, 80, 85, 82.5, 82.5);</v>
      </c>
      <c r="J341" t="str">
        <f t="shared" si="11"/>
        <v>UPDATE COTACAO SET cot_id = 340, cot_blt_id = 45, cot_pap_id = 28, cot_prc_comum = NULL, cot_prc_min = 80, cot_prc_max = 85, cot_prc_med = 82.5, cot_prc_mediana = 82.5 WHERE cot_id = 340;</v>
      </c>
    </row>
    <row r="342" spans="1:10" x14ac:dyDescent="0.3">
      <c r="A342">
        <v>341</v>
      </c>
      <c r="B342">
        <f>IF('Boletins Nuppa Site'!A342&lt;&gt;0,'Boletins Nuppa Site'!A342,"NULL")</f>
        <v>45</v>
      </c>
      <c r="C342">
        <v>29</v>
      </c>
      <c r="D342" s="14">
        <f>IF('Boletins Nuppa Site'!G342&lt;&gt;0,'Boletins Nuppa Site'!G342,"NULL")</f>
        <v>60</v>
      </c>
      <c r="E342" s="14">
        <f>IF('Boletins Nuppa Site'!H342&lt;&gt;0,'Boletins Nuppa Site'!H342,"NULL")</f>
        <v>60</v>
      </c>
      <c r="F342" s="14">
        <f>IF('Boletins Nuppa Site'!I342&lt;&gt;0,'Boletins Nuppa Site'!I342,"NULL")</f>
        <v>60</v>
      </c>
      <c r="G342" s="14">
        <f>IF('Boletins Nuppa Site'!J342&lt;&gt;0,'Boletins Nuppa Site'!J342,"NULL")</f>
        <v>60</v>
      </c>
      <c r="H342" s="14">
        <f>IF('Boletins Nuppa Site'!K342&lt;&gt;0,'Boletins Nuppa Site'!K342,"NULL")</f>
        <v>60</v>
      </c>
      <c r="I342" t="str">
        <f t="shared" si="10"/>
        <v>INSERT INTO COTACAO (cot_id, cot_blt_id, cot_pap_id, cot_prc_comum, cot_prc_min, cot_prc_max, cot_prc_med, cot_prc_mediana) VALUES (341, 45, 29, 60, 60, 60, 60, 60);</v>
      </c>
      <c r="J342" t="str">
        <f t="shared" si="11"/>
        <v>UPDATE COTACAO SET cot_id = 341, cot_blt_id = 45, cot_pap_id = 29, cot_prc_comum = 60, cot_prc_min = 60, cot_prc_max = 60, cot_prc_med = 60, cot_prc_mediana = 60 WHERE cot_id = 341;</v>
      </c>
    </row>
    <row r="343" spans="1:10" x14ac:dyDescent="0.3">
      <c r="A343">
        <v>342</v>
      </c>
      <c r="B343">
        <f>IF('Boletins Nuppa Site'!A343&lt;&gt;0,'Boletins Nuppa Site'!A343,"NULL")</f>
        <v>45</v>
      </c>
      <c r="C343">
        <v>30</v>
      </c>
      <c r="D343" s="14">
        <f>IF('Boletins Nuppa Site'!G343&lt;&gt;0,'Boletins Nuppa Site'!G343,"NULL")</f>
        <v>70</v>
      </c>
      <c r="E343" s="14">
        <f>IF('Boletins Nuppa Site'!H343&lt;&gt;0,'Boletins Nuppa Site'!H343,"NULL")</f>
        <v>70</v>
      </c>
      <c r="F343" s="14">
        <f>IF('Boletins Nuppa Site'!I343&lt;&gt;0,'Boletins Nuppa Site'!I343,"NULL")</f>
        <v>70</v>
      </c>
      <c r="G343" s="14">
        <f>IF('Boletins Nuppa Site'!J343&lt;&gt;0,'Boletins Nuppa Site'!J343,"NULL")</f>
        <v>70</v>
      </c>
      <c r="H343" s="14">
        <f>IF('Boletins Nuppa Site'!K343&lt;&gt;0,'Boletins Nuppa Site'!K343,"NULL")</f>
        <v>70</v>
      </c>
      <c r="I343" t="str">
        <f t="shared" si="10"/>
        <v>INSERT INTO COTACAO (cot_id, cot_blt_id, cot_pap_id, cot_prc_comum, cot_prc_min, cot_prc_max, cot_prc_med, cot_prc_mediana) VALUES (342, 45, 30, 70, 70, 70, 70, 70);</v>
      </c>
      <c r="J343" t="str">
        <f t="shared" si="11"/>
        <v>UPDATE COTACAO SET cot_id = 342, cot_blt_id = 45, cot_pap_id = 30, cot_prc_comum = 70, cot_prc_min = 70, cot_prc_max = 70, cot_prc_med = 70, cot_prc_mediana = 70 WHERE cot_id = 342;</v>
      </c>
    </row>
    <row r="344" spans="1:10" x14ac:dyDescent="0.3">
      <c r="A344">
        <v>343</v>
      </c>
      <c r="B344">
        <f>IF('Boletins Nuppa Site'!A344&lt;&gt;0,'Boletins Nuppa Site'!A344,"NULL")</f>
        <v>45</v>
      </c>
      <c r="C344">
        <v>31</v>
      </c>
      <c r="D344" t="str">
        <f>IF('Boletins Nuppa Site'!G344&lt;&gt;0,'Boletins Nuppa Site'!G344,"NULL")</f>
        <v>NULL</v>
      </c>
      <c r="E344" s="14">
        <f>IF('Boletins Nuppa Site'!H344&lt;&gt;0,'Boletins Nuppa Site'!H344,"NULL")</f>
        <v>80</v>
      </c>
      <c r="F344" s="14">
        <f>IF('Boletins Nuppa Site'!I344&lt;&gt;0,'Boletins Nuppa Site'!I344,"NULL")</f>
        <v>135</v>
      </c>
      <c r="G344" t="str">
        <f>IF('Boletins Nuppa Site'!J344&lt;&gt;0,'Boletins Nuppa Site'!J344,"NULL")</f>
        <v>106.25</v>
      </c>
      <c r="H344" s="14">
        <f>IF('Boletins Nuppa Site'!K344&lt;&gt;0,'Boletins Nuppa Site'!K344,"NULL")</f>
        <v>105</v>
      </c>
      <c r="I344" t="str">
        <f t="shared" si="10"/>
        <v>INSERT INTO COTACAO (cot_id, cot_blt_id, cot_pap_id, cot_prc_comum, cot_prc_min, cot_prc_max, cot_prc_med, cot_prc_mediana) VALUES (343, 45, 31, NULL, 80, 135, 106.25, 105);</v>
      </c>
      <c r="J344" t="str">
        <f t="shared" si="11"/>
        <v>UPDATE COTACAO SET cot_id = 343, cot_blt_id = 45, cot_pap_id = 31, cot_prc_comum = NULL, cot_prc_min = 80, cot_prc_max = 135, cot_prc_med = 106.25, cot_prc_mediana = 105 WHERE cot_id = 343;</v>
      </c>
    </row>
    <row r="345" spans="1:10" x14ac:dyDescent="0.3">
      <c r="A345">
        <v>344</v>
      </c>
      <c r="B345">
        <f>IF('Boletins Nuppa Site'!A345&lt;&gt;0,'Boletins Nuppa Site'!A345,"NULL")</f>
        <v>45</v>
      </c>
      <c r="C345">
        <v>32</v>
      </c>
      <c r="D345" s="14">
        <f>IF('Boletins Nuppa Site'!G345&lt;&gt;0,'Boletins Nuppa Site'!G345,"NULL")</f>
        <v>60</v>
      </c>
      <c r="E345" s="14">
        <f>IF('Boletins Nuppa Site'!H345&lt;&gt;0,'Boletins Nuppa Site'!H345,"NULL")</f>
        <v>45</v>
      </c>
      <c r="F345" s="14">
        <f>IF('Boletins Nuppa Site'!I345&lt;&gt;0,'Boletins Nuppa Site'!I345,"NULL")</f>
        <v>70</v>
      </c>
      <c r="G345" t="str">
        <f>IF('Boletins Nuppa Site'!J345&lt;&gt;0,'Boletins Nuppa Site'!J345,"NULL")</f>
        <v>58.75</v>
      </c>
      <c r="H345" s="14">
        <f>IF('Boletins Nuppa Site'!K345&lt;&gt;0,'Boletins Nuppa Site'!K345,"NULL")</f>
        <v>60</v>
      </c>
      <c r="I345" t="str">
        <f t="shared" si="10"/>
        <v>INSERT INTO COTACAO (cot_id, cot_blt_id, cot_pap_id, cot_prc_comum, cot_prc_min, cot_prc_max, cot_prc_med, cot_prc_mediana) VALUES (344, 45, 32, 60, 45, 70, 58.75, 60);</v>
      </c>
      <c r="J345" t="str">
        <f t="shared" si="11"/>
        <v>UPDATE COTACAO SET cot_id = 344, cot_blt_id = 45, cot_pap_id = 32, cot_prc_comum = 60, cot_prc_min = 45, cot_prc_max = 70, cot_prc_med = 58.75, cot_prc_mediana = 60 WHERE cot_id = 344;</v>
      </c>
    </row>
    <row r="346" spans="1:10" x14ac:dyDescent="0.3">
      <c r="A346">
        <v>345</v>
      </c>
      <c r="B346">
        <f>IF('Boletins Nuppa Site'!A346&lt;&gt;0,'Boletins Nuppa Site'!A346,"NULL")</f>
        <v>45</v>
      </c>
      <c r="C346">
        <v>33</v>
      </c>
      <c r="D346" t="str">
        <f>IF('Boletins Nuppa Site'!G346&lt;&gt;0,'Boletins Nuppa Site'!G346,"NULL")</f>
        <v>NULL</v>
      </c>
      <c r="E346" s="14">
        <f>IF('Boletins Nuppa Site'!H346&lt;&gt;0,'Boletins Nuppa Site'!H346,"NULL")</f>
        <v>50</v>
      </c>
      <c r="F346" s="14">
        <f>IF('Boletins Nuppa Site'!I346&lt;&gt;0,'Boletins Nuppa Site'!I346,"NULL")</f>
        <v>70</v>
      </c>
      <c r="G346" s="14">
        <f>IF('Boletins Nuppa Site'!J346&lt;&gt;0,'Boletins Nuppa Site'!J346,"NULL")</f>
        <v>60</v>
      </c>
      <c r="H346" s="14">
        <f>IF('Boletins Nuppa Site'!K346&lt;&gt;0,'Boletins Nuppa Site'!K346,"NULL")</f>
        <v>60</v>
      </c>
      <c r="I346" t="str">
        <f t="shared" si="10"/>
        <v>INSERT INTO COTACAO (cot_id, cot_blt_id, cot_pap_id, cot_prc_comum, cot_prc_min, cot_prc_max, cot_prc_med, cot_prc_mediana) VALUES (345, 45, 33, NULL, 50, 70, 60, 60);</v>
      </c>
      <c r="J346" t="str">
        <f t="shared" si="11"/>
        <v>UPDATE COTACAO SET cot_id = 345, cot_blt_id = 45, cot_pap_id = 33, cot_prc_comum = NULL, cot_prc_min = 50, cot_prc_max = 70, cot_prc_med = 60, cot_prc_mediana = 60 WHERE cot_id = 345;</v>
      </c>
    </row>
    <row r="347" spans="1:10" x14ac:dyDescent="0.3">
      <c r="A347">
        <v>346</v>
      </c>
      <c r="B347">
        <f>IF('Boletins Nuppa Site'!A347&lt;&gt;0,'Boletins Nuppa Site'!A347,"NULL")</f>
        <v>45</v>
      </c>
      <c r="C347">
        <v>34</v>
      </c>
      <c r="D347" s="14">
        <f>IF('Boletins Nuppa Site'!G347&lt;&gt;0,'Boletins Nuppa Site'!G347,"NULL")</f>
        <v>150</v>
      </c>
      <c r="E347" s="14">
        <f>IF('Boletins Nuppa Site'!H347&lt;&gt;0,'Boletins Nuppa Site'!H347,"NULL")</f>
        <v>110</v>
      </c>
      <c r="F347" s="14">
        <f>IF('Boletins Nuppa Site'!I347&lt;&gt;0,'Boletins Nuppa Site'!I347,"NULL")</f>
        <v>150</v>
      </c>
      <c r="G347" t="str">
        <f>IF('Boletins Nuppa Site'!J347&lt;&gt;0,'Boletins Nuppa Site'!J347,"NULL")</f>
        <v>137.5</v>
      </c>
      <c r="H347" s="14">
        <f>IF('Boletins Nuppa Site'!K347&lt;&gt;0,'Boletins Nuppa Site'!K347,"NULL")</f>
        <v>145</v>
      </c>
      <c r="I347" t="str">
        <f t="shared" si="10"/>
        <v>INSERT INTO COTACAO (cot_id, cot_blt_id, cot_pap_id, cot_prc_comum, cot_prc_min, cot_prc_max, cot_prc_med, cot_prc_mediana) VALUES (346, 45, 34, 150, 110, 150, 137.5, 145);</v>
      </c>
      <c r="J347" t="str">
        <f t="shared" si="11"/>
        <v>UPDATE COTACAO SET cot_id = 346, cot_blt_id = 45, cot_pap_id = 34, cot_prc_comum = 150, cot_prc_min = 110, cot_prc_max = 150, cot_prc_med = 137.5, cot_prc_mediana = 145 WHERE cot_id = 346;</v>
      </c>
    </row>
    <row r="348" spans="1:10" x14ac:dyDescent="0.3">
      <c r="A348">
        <v>347</v>
      </c>
      <c r="B348">
        <f>IF('Boletins Nuppa Site'!A348&lt;&gt;0,'Boletins Nuppa Site'!A348,"NULL")</f>
        <v>45</v>
      </c>
      <c r="C348">
        <v>35</v>
      </c>
      <c r="D348" t="str">
        <f>IF('Boletins Nuppa Site'!G348&lt;&gt;0,'Boletins Nuppa Site'!G348,"NULL")</f>
        <v>NULL</v>
      </c>
      <c r="E348" s="14">
        <f>IF('Boletins Nuppa Site'!H348&lt;&gt;0,'Boletins Nuppa Site'!H348,"NULL")</f>
        <v>120</v>
      </c>
      <c r="F348" s="14">
        <f>IF('Boletins Nuppa Site'!I348&lt;&gt;0,'Boletins Nuppa Site'!I348,"NULL")</f>
        <v>150</v>
      </c>
      <c r="G348" t="str">
        <f>IF('Boletins Nuppa Site'!J348&lt;&gt;0,'Boletins Nuppa Site'!J348,"NULL")</f>
        <v>136.67</v>
      </c>
      <c r="H348" s="14">
        <f>IF('Boletins Nuppa Site'!K348&lt;&gt;0,'Boletins Nuppa Site'!K348,"NULL")</f>
        <v>140</v>
      </c>
      <c r="I348" t="str">
        <f t="shared" si="10"/>
        <v>INSERT INTO COTACAO (cot_id, cot_blt_id, cot_pap_id, cot_prc_comum, cot_prc_min, cot_prc_max, cot_prc_med, cot_prc_mediana) VALUES (347, 45, 35, NULL, 120, 150, 136.67, 140);</v>
      </c>
      <c r="J348" t="str">
        <f t="shared" si="11"/>
        <v>UPDATE COTACAO SET cot_id = 347, cot_blt_id = 45, cot_pap_id = 35, cot_prc_comum = NULL, cot_prc_min = 120, cot_prc_max = 150, cot_prc_med = 136.67, cot_prc_mediana = 140 WHERE cot_id = 347;</v>
      </c>
    </row>
    <row r="349" spans="1:10" x14ac:dyDescent="0.3">
      <c r="A349">
        <v>348</v>
      </c>
      <c r="B349">
        <f>IF('Boletins Nuppa Site'!A349&lt;&gt;0,'Boletins Nuppa Site'!A349,"NULL")</f>
        <v>45</v>
      </c>
      <c r="C349">
        <v>36</v>
      </c>
      <c r="D349" t="str">
        <f>IF('Boletins Nuppa Site'!G349&lt;&gt;0,'Boletins Nuppa Site'!G349,"NULL")</f>
        <v>NULL</v>
      </c>
      <c r="E349" s="14">
        <f>IF('Boletins Nuppa Site'!H349&lt;&gt;0,'Boletins Nuppa Site'!H349,"NULL")</f>
        <v>110</v>
      </c>
      <c r="F349" s="14">
        <f>IF('Boletins Nuppa Site'!I349&lt;&gt;0,'Boletins Nuppa Site'!I349,"NULL")</f>
        <v>110</v>
      </c>
      <c r="G349" s="14">
        <f>IF('Boletins Nuppa Site'!J349&lt;&gt;0,'Boletins Nuppa Site'!J349,"NULL")</f>
        <v>110</v>
      </c>
      <c r="H349" s="14">
        <f>IF('Boletins Nuppa Site'!K349&lt;&gt;0,'Boletins Nuppa Site'!K349,"NULL")</f>
        <v>110</v>
      </c>
      <c r="I349" t="str">
        <f t="shared" si="10"/>
        <v>INSERT INTO COTACAO (cot_id, cot_blt_id, cot_pap_id, cot_prc_comum, cot_prc_min, cot_prc_max, cot_prc_med, cot_prc_mediana) VALUES (348, 45, 36, NULL, 110, 110, 110, 110);</v>
      </c>
      <c r="J349" t="str">
        <f t="shared" si="11"/>
        <v>UPDATE COTACAO SET cot_id = 348, cot_blt_id = 45, cot_pap_id = 36, cot_prc_comum = NULL, cot_prc_min = 110, cot_prc_max = 110, cot_prc_med = 110, cot_prc_mediana = 110 WHERE cot_id = 348;</v>
      </c>
    </row>
    <row r="350" spans="1:10" x14ac:dyDescent="0.3">
      <c r="A350">
        <v>349</v>
      </c>
      <c r="B350">
        <f>IF('Boletins Nuppa Site'!A350&lt;&gt;0,'Boletins Nuppa Site'!A350,"NULL")</f>
        <v>45</v>
      </c>
      <c r="C350">
        <v>37</v>
      </c>
      <c r="D350" t="str">
        <f>IF('Boletins Nuppa Site'!G350&lt;&gt;0,'Boletins Nuppa Site'!G350,"NULL")</f>
        <v>NULL</v>
      </c>
      <c r="E350" s="14">
        <f>IF('Boletins Nuppa Site'!H350&lt;&gt;0,'Boletins Nuppa Site'!H350,"NULL")</f>
        <v>70</v>
      </c>
      <c r="F350" s="14">
        <f>IF('Boletins Nuppa Site'!I350&lt;&gt;0,'Boletins Nuppa Site'!I350,"NULL")</f>
        <v>70</v>
      </c>
      <c r="G350" s="14">
        <f>IF('Boletins Nuppa Site'!J350&lt;&gt;0,'Boletins Nuppa Site'!J350,"NULL")</f>
        <v>70</v>
      </c>
      <c r="H350" s="14">
        <f>IF('Boletins Nuppa Site'!K350&lt;&gt;0,'Boletins Nuppa Site'!K350,"NULL")</f>
        <v>70</v>
      </c>
      <c r="I350" t="str">
        <f t="shared" si="10"/>
        <v>INSERT INTO COTACAO (cot_id, cot_blt_id, cot_pap_id, cot_prc_comum, cot_prc_min, cot_prc_max, cot_prc_med, cot_prc_mediana) VALUES (349, 45, 37, NULL, 70, 70, 70, 70);</v>
      </c>
      <c r="J350" t="str">
        <f t="shared" si="11"/>
        <v>UPDATE COTACAO SET cot_id = 349, cot_blt_id = 45, cot_pap_id = 37, cot_prc_comum = NULL, cot_prc_min = 70, cot_prc_max = 70, cot_prc_med = 70, cot_prc_mediana = 70 WHERE cot_id = 349;</v>
      </c>
    </row>
    <row r="351" spans="1:10" x14ac:dyDescent="0.3">
      <c r="A351">
        <v>350</v>
      </c>
      <c r="B351">
        <f>IF('Boletins Nuppa Site'!A351&lt;&gt;0,'Boletins Nuppa Site'!A351,"NULL")</f>
        <v>45</v>
      </c>
      <c r="C351">
        <v>38</v>
      </c>
      <c r="D351" t="str">
        <f>IF('Boletins Nuppa Site'!G351&lt;&gt;0,'Boletins Nuppa Site'!G351,"NULL")</f>
        <v>NULL</v>
      </c>
      <c r="E351" s="14">
        <f>IF('Boletins Nuppa Site'!H351&lt;&gt;0,'Boletins Nuppa Site'!H351,"NULL")</f>
        <v>40</v>
      </c>
      <c r="F351" s="14">
        <f>IF('Boletins Nuppa Site'!I351&lt;&gt;0,'Boletins Nuppa Site'!I351,"NULL")</f>
        <v>40</v>
      </c>
      <c r="G351" s="14">
        <f>IF('Boletins Nuppa Site'!J351&lt;&gt;0,'Boletins Nuppa Site'!J351,"NULL")</f>
        <v>40</v>
      </c>
      <c r="H351" s="14">
        <f>IF('Boletins Nuppa Site'!K351&lt;&gt;0,'Boletins Nuppa Site'!K351,"NULL")</f>
        <v>40</v>
      </c>
      <c r="I351" t="str">
        <f t="shared" si="10"/>
        <v>INSERT INTO COTACAO (cot_id, cot_blt_id, cot_pap_id, cot_prc_comum, cot_prc_min, cot_prc_max, cot_prc_med, cot_prc_mediana) VALUES (350, 45, 38, NULL, 40, 40, 40, 40);</v>
      </c>
      <c r="J351" t="str">
        <f t="shared" si="11"/>
        <v>UPDATE COTACAO SET cot_id = 350, cot_blt_id = 45, cot_pap_id = 38, cot_prc_comum = NULL, cot_prc_min = 40, cot_prc_max = 40, cot_prc_med = 40, cot_prc_mediana = 40 WHERE cot_id = 350;</v>
      </c>
    </row>
    <row r="352" spans="1:10" x14ac:dyDescent="0.3">
      <c r="A352">
        <v>351</v>
      </c>
      <c r="B352">
        <f>IF('Boletins Nuppa Site'!A352&lt;&gt;0,'Boletins Nuppa Site'!A352,"NULL")</f>
        <v>45</v>
      </c>
      <c r="C352">
        <v>39</v>
      </c>
      <c r="D352" t="str">
        <f>IF('Boletins Nuppa Site'!G352&lt;&gt;0,'Boletins Nuppa Site'!G352,"NULL")</f>
        <v>NULL</v>
      </c>
      <c r="E352" s="14">
        <f>IF('Boletins Nuppa Site'!H352&lt;&gt;0,'Boletins Nuppa Site'!H352,"NULL")</f>
        <v>50</v>
      </c>
      <c r="F352" s="14">
        <f>IF('Boletins Nuppa Site'!I352&lt;&gt;0,'Boletins Nuppa Site'!I352,"NULL")</f>
        <v>50</v>
      </c>
      <c r="G352" s="14">
        <f>IF('Boletins Nuppa Site'!J352&lt;&gt;0,'Boletins Nuppa Site'!J352,"NULL")</f>
        <v>50</v>
      </c>
      <c r="H352" s="14">
        <f>IF('Boletins Nuppa Site'!K352&lt;&gt;0,'Boletins Nuppa Site'!K352,"NULL")</f>
        <v>50</v>
      </c>
      <c r="I352" t="str">
        <f t="shared" si="10"/>
        <v>INSERT INTO COTACAO (cot_id, cot_blt_id, cot_pap_id, cot_prc_comum, cot_prc_min, cot_prc_max, cot_prc_med, cot_prc_mediana) VALUES (351, 45, 39, NULL, 50, 50, 50, 50);</v>
      </c>
      <c r="J352" t="str">
        <f t="shared" si="11"/>
        <v>UPDATE COTACAO SET cot_id = 351, cot_blt_id = 45, cot_pap_id = 39, cot_prc_comum = NULL, cot_prc_min = 50, cot_prc_max = 50, cot_prc_med = 50, cot_prc_mediana = 50 WHERE cot_id = 351;</v>
      </c>
    </row>
    <row r="353" spans="1:10" x14ac:dyDescent="0.3">
      <c r="A353">
        <v>352</v>
      </c>
      <c r="B353">
        <f>IF('Boletins Nuppa Site'!A353&lt;&gt;0,'Boletins Nuppa Site'!A353,"NULL")</f>
        <v>45</v>
      </c>
      <c r="C353">
        <v>40</v>
      </c>
      <c r="D353" t="str">
        <f>IF('Boletins Nuppa Site'!G353&lt;&gt;0,'Boletins Nuppa Site'!G353,"NULL")</f>
        <v>NULL</v>
      </c>
      <c r="E353" t="str">
        <f>IF('Boletins Nuppa Site'!H353&lt;&gt;0,'Boletins Nuppa Site'!H353,"NULL")</f>
        <v>NULL</v>
      </c>
      <c r="F353" t="str">
        <f>IF('Boletins Nuppa Site'!I353&lt;&gt;0,'Boletins Nuppa Site'!I353,"NULL")</f>
        <v>NULL</v>
      </c>
      <c r="G353" t="str">
        <f>IF('Boletins Nuppa Site'!J353&lt;&gt;0,'Boletins Nuppa Site'!J353,"NULL")</f>
        <v>NULL</v>
      </c>
      <c r="H353" t="str">
        <f>IF('Boletins Nuppa Site'!K353&lt;&gt;0,'Boletins Nuppa Site'!K353,"NULL")</f>
        <v>NULL</v>
      </c>
      <c r="I353" t="str">
        <f t="shared" si="10"/>
        <v>INSERT INTO COTACAO (cot_id, cot_blt_id, cot_pap_id, cot_prc_comum, cot_prc_min, cot_prc_max, cot_prc_med, cot_prc_mediana) VALUES (352, 45, 40, NULL, NULL, NULL, NULL, NULL);</v>
      </c>
      <c r="J353" t="str">
        <f t="shared" si="11"/>
        <v>UPDATE COTACAO SET cot_id = 352, cot_blt_id = 45, cot_pap_id = 40, cot_prc_comum = NULL, cot_prc_min = NULL, cot_prc_max = NULL, cot_prc_med = NULL, cot_prc_mediana = NULL WHERE cot_id = 352;</v>
      </c>
    </row>
    <row r="354" spans="1:10" x14ac:dyDescent="0.3">
      <c r="A354">
        <v>353</v>
      </c>
      <c r="B354">
        <f>IF('Boletins Nuppa Site'!A354&lt;&gt;0,'Boletins Nuppa Site'!A354,"NULL")</f>
        <v>46</v>
      </c>
      <c r="C354">
        <v>1</v>
      </c>
      <c r="D354" s="14">
        <f>IF('Boletins Nuppa Site'!G354&lt;&gt;0,'Boletins Nuppa Site'!G354,"NULL")</f>
        <v>60</v>
      </c>
      <c r="E354" s="14">
        <f>IF('Boletins Nuppa Site'!H354&lt;&gt;0,'Boletins Nuppa Site'!H354,"NULL")</f>
        <v>60</v>
      </c>
      <c r="F354" s="14">
        <f>IF('Boletins Nuppa Site'!I354&lt;&gt;0,'Boletins Nuppa Site'!I354,"NULL")</f>
        <v>84</v>
      </c>
      <c r="G354" s="14">
        <f>IF('Boletins Nuppa Site'!J354&lt;&gt;0,'Boletins Nuppa Site'!J354,"NULL")</f>
        <v>68</v>
      </c>
      <c r="H354" s="14">
        <f>IF('Boletins Nuppa Site'!K354&lt;&gt;0,'Boletins Nuppa Site'!K354,"NULL")</f>
        <v>60</v>
      </c>
      <c r="I354" t="str">
        <f t="shared" si="10"/>
        <v>INSERT INTO COTACAO (cot_id, cot_blt_id, cot_pap_id, cot_prc_comum, cot_prc_min, cot_prc_max, cot_prc_med, cot_prc_mediana) VALUES (353, 46, 1, 60, 60, 84, 68, 60);</v>
      </c>
      <c r="J354" t="str">
        <f t="shared" si="11"/>
        <v>UPDATE COTACAO SET cot_id = 353, cot_blt_id = 46, cot_pap_id = 1, cot_prc_comum = 60, cot_prc_min = 60, cot_prc_max = 84, cot_prc_med = 68, cot_prc_mediana = 60 WHERE cot_id = 353;</v>
      </c>
    </row>
    <row r="355" spans="1:10" x14ac:dyDescent="0.3">
      <c r="A355">
        <v>354</v>
      </c>
      <c r="B355">
        <f>IF('Boletins Nuppa Site'!A355&lt;&gt;0,'Boletins Nuppa Site'!A355,"NULL")</f>
        <v>46</v>
      </c>
      <c r="C355">
        <v>2</v>
      </c>
      <c r="D355" t="str">
        <f>IF('Boletins Nuppa Site'!G355&lt;&gt;0,'Boletins Nuppa Site'!G355,"NULL")</f>
        <v>NULL</v>
      </c>
      <c r="E355" s="14">
        <f>IF('Boletins Nuppa Site'!H355&lt;&gt;0,'Boletins Nuppa Site'!H355,"NULL")</f>
        <v>32</v>
      </c>
      <c r="F355" s="14">
        <f>IF('Boletins Nuppa Site'!I355&lt;&gt;0,'Boletins Nuppa Site'!I355,"NULL")</f>
        <v>84</v>
      </c>
      <c r="G355" t="str">
        <f>IF('Boletins Nuppa Site'!J355&lt;&gt;0,'Boletins Nuppa Site'!J355,"NULL")</f>
        <v>62.67</v>
      </c>
      <c r="H355" s="14">
        <f>IF('Boletins Nuppa Site'!K355&lt;&gt;0,'Boletins Nuppa Site'!K355,"NULL")</f>
        <v>72</v>
      </c>
      <c r="I355" t="str">
        <f t="shared" si="10"/>
        <v>INSERT INTO COTACAO (cot_id, cot_blt_id, cot_pap_id, cot_prc_comum, cot_prc_min, cot_prc_max, cot_prc_med, cot_prc_mediana) VALUES (354, 46, 2, NULL, 32, 84, 62.67, 72);</v>
      </c>
      <c r="J355" t="str">
        <f t="shared" si="11"/>
        <v>UPDATE COTACAO SET cot_id = 354, cot_blt_id = 46, cot_pap_id = 2, cot_prc_comum = NULL, cot_prc_min = 32, cot_prc_max = 84, cot_prc_med = 62.67, cot_prc_mediana = 72 WHERE cot_id = 354;</v>
      </c>
    </row>
    <row r="356" spans="1:10" x14ac:dyDescent="0.3">
      <c r="A356">
        <v>355</v>
      </c>
      <c r="B356">
        <f>IF('Boletins Nuppa Site'!A356&lt;&gt;0,'Boletins Nuppa Site'!A356,"NULL")</f>
        <v>46</v>
      </c>
      <c r="C356">
        <v>3</v>
      </c>
      <c r="D356" s="14">
        <f>IF('Boletins Nuppa Site'!G356&lt;&gt;0,'Boletins Nuppa Site'!G356,"NULL")</f>
        <v>45</v>
      </c>
      <c r="E356" s="14">
        <f>IF('Boletins Nuppa Site'!H356&lt;&gt;0,'Boletins Nuppa Site'!H356,"NULL")</f>
        <v>45</v>
      </c>
      <c r="F356" s="14">
        <f>IF('Boletins Nuppa Site'!I356&lt;&gt;0,'Boletins Nuppa Site'!I356,"NULL")</f>
        <v>60</v>
      </c>
      <c r="G356" t="str">
        <f>IF('Boletins Nuppa Site'!J356&lt;&gt;0,'Boletins Nuppa Site'!J356,"NULL")</f>
        <v>49.5</v>
      </c>
      <c r="H356" t="str">
        <f>IF('Boletins Nuppa Site'!K356&lt;&gt;0,'Boletins Nuppa Site'!K356,"NULL")</f>
        <v>46.5</v>
      </c>
      <c r="I356" t="str">
        <f t="shared" si="10"/>
        <v>INSERT INTO COTACAO (cot_id, cot_blt_id, cot_pap_id, cot_prc_comum, cot_prc_min, cot_prc_max, cot_prc_med, cot_prc_mediana) VALUES (355, 46, 3, 45, 45, 60, 49.5, 46.5);</v>
      </c>
      <c r="J356" t="str">
        <f t="shared" si="11"/>
        <v>UPDATE COTACAO SET cot_id = 355, cot_blt_id = 46, cot_pap_id = 3, cot_prc_comum = 45, cot_prc_min = 45, cot_prc_max = 60, cot_prc_med = 49.5, cot_prc_mediana = 46.5 WHERE cot_id = 355;</v>
      </c>
    </row>
    <row r="357" spans="1:10" x14ac:dyDescent="0.3">
      <c r="A357">
        <v>356</v>
      </c>
      <c r="B357">
        <f>IF('Boletins Nuppa Site'!A357&lt;&gt;0,'Boletins Nuppa Site'!A357,"NULL")</f>
        <v>46</v>
      </c>
      <c r="C357">
        <v>4</v>
      </c>
      <c r="D357" t="str">
        <f>IF('Boletins Nuppa Site'!G357&lt;&gt;0,'Boletins Nuppa Site'!G357,"NULL")</f>
        <v>NULL</v>
      </c>
      <c r="E357" s="14">
        <f>IF('Boletins Nuppa Site'!H357&lt;&gt;0,'Boletins Nuppa Site'!H357,"NULL")</f>
        <v>30</v>
      </c>
      <c r="F357" s="14">
        <f>IF('Boletins Nuppa Site'!I357&lt;&gt;0,'Boletins Nuppa Site'!I357,"NULL")</f>
        <v>60</v>
      </c>
      <c r="G357" t="str">
        <f>IF('Boletins Nuppa Site'!J357&lt;&gt;0,'Boletins Nuppa Site'!J357,"NULL")</f>
        <v>41.75</v>
      </c>
      <c r="H357" t="str">
        <f>IF('Boletins Nuppa Site'!K357&lt;&gt;0,'Boletins Nuppa Site'!K357,"NULL")</f>
        <v>38.5</v>
      </c>
      <c r="I357" t="str">
        <f t="shared" si="10"/>
        <v>INSERT INTO COTACAO (cot_id, cot_blt_id, cot_pap_id, cot_prc_comum, cot_prc_min, cot_prc_max, cot_prc_med, cot_prc_mediana) VALUES (356, 46, 4, NULL, 30, 60, 41.75, 38.5);</v>
      </c>
      <c r="J357" t="str">
        <f t="shared" si="11"/>
        <v>UPDATE COTACAO SET cot_id = 356, cot_blt_id = 46, cot_pap_id = 4, cot_prc_comum = NULL, cot_prc_min = 30, cot_prc_max = 60, cot_prc_med = 41.75, cot_prc_mediana = 38.5 WHERE cot_id = 356;</v>
      </c>
    </row>
    <row r="358" spans="1:10" x14ac:dyDescent="0.3">
      <c r="A358">
        <v>357</v>
      </c>
      <c r="B358">
        <f>IF('Boletins Nuppa Site'!A358&lt;&gt;0,'Boletins Nuppa Site'!A358,"NULL")</f>
        <v>46</v>
      </c>
      <c r="C358">
        <v>5</v>
      </c>
      <c r="D358" t="str">
        <f>IF('Boletins Nuppa Site'!G358&lt;&gt;0,'Boletins Nuppa Site'!G358,"NULL")</f>
        <v>NULL</v>
      </c>
      <c r="E358" s="14">
        <f>IF('Boletins Nuppa Site'!H358&lt;&gt;0,'Boletins Nuppa Site'!H358,"NULL")</f>
        <v>35</v>
      </c>
      <c r="F358" s="14">
        <f>IF('Boletins Nuppa Site'!I358&lt;&gt;0,'Boletins Nuppa Site'!I358,"NULL")</f>
        <v>60</v>
      </c>
      <c r="G358" t="str">
        <f>IF('Boletins Nuppa Site'!J358&lt;&gt;0,'Boletins Nuppa Site'!J358,"NULL")</f>
        <v>45.67</v>
      </c>
      <c r="H358" s="14">
        <f>IF('Boletins Nuppa Site'!K358&lt;&gt;0,'Boletins Nuppa Site'!K358,"NULL")</f>
        <v>42</v>
      </c>
      <c r="I358" t="str">
        <f t="shared" si="10"/>
        <v>INSERT INTO COTACAO (cot_id, cot_blt_id, cot_pap_id, cot_prc_comum, cot_prc_min, cot_prc_max, cot_prc_med, cot_prc_mediana) VALUES (357, 46, 5, NULL, 35, 60, 45.67, 42);</v>
      </c>
      <c r="J358" t="str">
        <f t="shared" si="11"/>
        <v>UPDATE COTACAO SET cot_id = 357, cot_blt_id = 46, cot_pap_id = 5, cot_prc_comum = NULL, cot_prc_min = 35, cot_prc_max = 60, cot_prc_med = 45.67, cot_prc_mediana = 42 WHERE cot_id = 357;</v>
      </c>
    </row>
    <row r="359" spans="1:10" x14ac:dyDescent="0.3">
      <c r="A359">
        <v>358</v>
      </c>
      <c r="B359">
        <f>IF('Boletins Nuppa Site'!A359&lt;&gt;0,'Boletins Nuppa Site'!A359,"NULL")</f>
        <v>46</v>
      </c>
      <c r="C359">
        <v>6</v>
      </c>
      <c r="D359" s="14">
        <f>IF('Boletins Nuppa Site'!G359&lt;&gt;0,'Boletins Nuppa Site'!G359,"NULL")</f>
        <v>60</v>
      </c>
      <c r="E359" s="14">
        <f>IF('Boletins Nuppa Site'!H359&lt;&gt;0,'Boletins Nuppa Site'!H359,"NULL")</f>
        <v>54</v>
      </c>
      <c r="F359" s="14">
        <f>IF('Boletins Nuppa Site'!I359&lt;&gt;0,'Boletins Nuppa Site'!I359,"NULL")</f>
        <v>60</v>
      </c>
      <c r="G359" s="14">
        <f>IF('Boletins Nuppa Site'!J359&lt;&gt;0,'Boletins Nuppa Site'!J359,"NULL")</f>
        <v>58</v>
      </c>
      <c r="H359" s="14">
        <f>IF('Boletins Nuppa Site'!K359&lt;&gt;0,'Boletins Nuppa Site'!K359,"NULL")</f>
        <v>60</v>
      </c>
      <c r="I359" t="str">
        <f t="shared" si="10"/>
        <v>INSERT INTO COTACAO (cot_id, cot_blt_id, cot_pap_id, cot_prc_comum, cot_prc_min, cot_prc_max, cot_prc_med, cot_prc_mediana) VALUES (358, 46, 6, 60, 54, 60, 58, 60);</v>
      </c>
      <c r="J359" t="str">
        <f t="shared" si="11"/>
        <v>UPDATE COTACAO SET cot_id = 358, cot_blt_id = 46, cot_pap_id = 6, cot_prc_comum = 60, cot_prc_min = 54, cot_prc_max = 60, cot_prc_med = 58, cot_prc_mediana = 60 WHERE cot_id = 358;</v>
      </c>
    </row>
    <row r="360" spans="1:10" x14ac:dyDescent="0.3">
      <c r="A360">
        <v>359</v>
      </c>
      <c r="B360">
        <f>IF('Boletins Nuppa Site'!A360&lt;&gt;0,'Boletins Nuppa Site'!A360,"NULL")</f>
        <v>46</v>
      </c>
      <c r="C360">
        <v>7</v>
      </c>
      <c r="D360" s="14">
        <f>IF('Boletins Nuppa Site'!G360&lt;&gt;0,'Boletins Nuppa Site'!G360,"NULL")</f>
        <v>60</v>
      </c>
      <c r="E360" s="14">
        <f>IF('Boletins Nuppa Site'!H360&lt;&gt;0,'Boletins Nuppa Site'!H360,"NULL")</f>
        <v>60</v>
      </c>
      <c r="F360" s="14">
        <f>IF('Boletins Nuppa Site'!I360&lt;&gt;0,'Boletins Nuppa Site'!I360,"NULL")</f>
        <v>78</v>
      </c>
      <c r="G360" t="str">
        <f>IF('Boletins Nuppa Site'!J360&lt;&gt;0,'Boletins Nuppa Site'!J360,"NULL")</f>
        <v>64.5</v>
      </c>
      <c r="H360" s="14">
        <f>IF('Boletins Nuppa Site'!K360&lt;&gt;0,'Boletins Nuppa Site'!K360,"NULL")</f>
        <v>60</v>
      </c>
      <c r="I360" t="str">
        <f t="shared" si="10"/>
        <v>INSERT INTO COTACAO (cot_id, cot_blt_id, cot_pap_id, cot_prc_comum, cot_prc_min, cot_prc_max, cot_prc_med, cot_prc_mediana) VALUES (359, 46, 7, 60, 60, 78, 64.5, 60);</v>
      </c>
      <c r="J360" t="str">
        <f t="shared" si="11"/>
        <v>UPDATE COTACAO SET cot_id = 359, cot_blt_id = 46, cot_pap_id = 7, cot_prc_comum = 60, cot_prc_min = 60, cot_prc_max = 78, cot_prc_med = 64.5, cot_prc_mediana = 60 WHERE cot_id = 359;</v>
      </c>
    </row>
    <row r="361" spans="1:10" x14ac:dyDescent="0.3">
      <c r="A361">
        <v>360</v>
      </c>
      <c r="B361">
        <f>IF('Boletins Nuppa Site'!A361&lt;&gt;0,'Boletins Nuppa Site'!A361,"NULL")</f>
        <v>46</v>
      </c>
      <c r="C361">
        <v>8</v>
      </c>
      <c r="D361" s="14">
        <f>IF('Boletins Nuppa Site'!G361&lt;&gt;0,'Boletins Nuppa Site'!G361,"NULL")</f>
        <v>84</v>
      </c>
      <c r="E361" s="14">
        <f>IF('Boletins Nuppa Site'!H361&lt;&gt;0,'Boletins Nuppa Site'!H361,"NULL")</f>
        <v>72</v>
      </c>
      <c r="F361" s="14">
        <f>IF('Boletins Nuppa Site'!I361&lt;&gt;0,'Boletins Nuppa Site'!I361,"NULL")</f>
        <v>96</v>
      </c>
      <c r="G361" s="14">
        <f>IF('Boletins Nuppa Site'!J361&lt;&gt;0,'Boletins Nuppa Site'!J361,"NULL")</f>
        <v>84</v>
      </c>
      <c r="H361" s="14">
        <f>IF('Boletins Nuppa Site'!K361&lt;&gt;0,'Boletins Nuppa Site'!K361,"NULL")</f>
        <v>84</v>
      </c>
      <c r="I361" t="str">
        <f t="shared" si="10"/>
        <v>INSERT INTO COTACAO (cot_id, cot_blt_id, cot_pap_id, cot_prc_comum, cot_prc_min, cot_prc_max, cot_prc_med, cot_prc_mediana) VALUES (360, 46, 8, 84, 72, 96, 84, 84);</v>
      </c>
      <c r="J361" t="str">
        <f t="shared" si="11"/>
        <v>UPDATE COTACAO SET cot_id = 360, cot_blt_id = 46, cot_pap_id = 8, cot_prc_comum = 84, cot_prc_min = 72, cot_prc_max = 96, cot_prc_med = 84, cot_prc_mediana = 84 WHERE cot_id = 360;</v>
      </c>
    </row>
    <row r="362" spans="1:10" x14ac:dyDescent="0.3">
      <c r="A362">
        <v>361</v>
      </c>
      <c r="B362">
        <f>IF('Boletins Nuppa Site'!A362&lt;&gt;0,'Boletins Nuppa Site'!A362,"NULL")</f>
        <v>46</v>
      </c>
      <c r="C362">
        <v>9</v>
      </c>
      <c r="D362" s="14">
        <f>IF('Boletins Nuppa Site'!G362&lt;&gt;0,'Boletins Nuppa Site'!G362,"NULL")</f>
        <v>30</v>
      </c>
      <c r="E362" s="14">
        <f>IF('Boletins Nuppa Site'!H362&lt;&gt;0,'Boletins Nuppa Site'!H362,"NULL")</f>
        <v>24</v>
      </c>
      <c r="F362" s="14">
        <f>IF('Boletins Nuppa Site'!I362&lt;&gt;0,'Boletins Nuppa Site'!I362,"NULL")</f>
        <v>30</v>
      </c>
      <c r="G362" t="str">
        <f>IF('Boletins Nuppa Site'!J362&lt;&gt;0,'Boletins Nuppa Site'!J362,"NULL")</f>
        <v>28.5</v>
      </c>
      <c r="H362" s="14">
        <f>IF('Boletins Nuppa Site'!K362&lt;&gt;0,'Boletins Nuppa Site'!K362,"NULL")</f>
        <v>30</v>
      </c>
      <c r="I362" t="str">
        <f t="shared" si="10"/>
        <v>INSERT INTO COTACAO (cot_id, cot_blt_id, cot_pap_id, cot_prc_comum, cot_prc_min, cot_prc_max, cot_prc_med, cot_prc_mediana) VALUES (361, 46, 9, 30, 24, 30, 28.5, 30);</v>
      </c>
      <c r="J362" t="str">
        <f t="shared" si="11"/>
        <v>UPDATE COTACAO SET cot_id = 361, cot_blt_id = 46, cot_pap_id = 9, cot_prc_comum = 30, cot_prc_min = 24, cot_prc_max = 30, cot_prc_med = 28.5, cot_prc_mediana = 30 WHERE cot_id = 361;</v>
      </c>
    </row>
    <row r="363" spans="1:10" x14ac:dyDescent="0.3">
      <c r="A363">
        <v>362</v>
      </c>
      <c r="B363">
        <f>IF('Boletins Nuppa Site'!A363&lt;&gt;0,'Boletins Nuppa Site'!A363,"NULL")</f>
        <v>46</v>
      </c>
      <c r="C363">
        <v>10</v>
      </c>
      <c r="D363" t="str">
        <f>IF('Boletins Nuppa Site'!G363&lt;&gt;0,'Boletins Nuppa Site'!G363,"NULL")</f>
        <v>NULL</v>
      </c>
      <c r="E363" s="14">
        <f>IF('Boletins Nuppa Site'!H363&lt;&gt;0,'Boletins Nuppa Site'!H363,"NULL")</f>
        <v>84</v>
      </c>
      <c r="F363" s="14">
        <f>IF('Boletins Nuppa Site'!I363&lt;&gt;0,'Boletins Nuppa Site'!I363,"NULL")</f>
        <v>120</v>
      </c>
      <c r="G363" s="14">
        <f>IF('Boletins Nuppa Site'!J363&lt;&gt;0,'Boletins Nuppa Site'!J363,"NULL")</f>
        <v>100</v>
      </c>
      <c r="H363" s="14">
        <f>IF('Boletins Nuppa Site'!K363&lt;&gt;0,'Boletins Nuppa Site'!K363,"NULL")</f>
        <v>96</v>
      </c>
      <c r="I363" t="str">
        <f t="shared" si="10"/>
        <v>INSERT INTO COTACAO (cot_id, cot_blt_id, cot_pap_id, cot_prc_comum, cot_prc_min, cot_prc_max, cot_prc_med, cot_prc_mediana) VALUES (362, 46, 10, NULL, 84, 120, 100, 96);</v>
      </c>
      <c r="J363" t="str">
        <f t="shared" si="11"/>
        <v>UPDATE COTACAO SET cot_id = 362, cot_blt_id = 46, cot_pap_id = 10, cot_prc_comum = NULL, cot_prc_min = 84, cot_prc_max = 120, cot_prc_med = 100, cot_prc_mediana = 96 WHERE cot_id = 362;</v>
      </c>
    </row>
    <row r="364" spans="1:10" x14ac:dyDescent="0.3">
      <c r="A364">
        <v>363</v>
      </c>
      <c r="B364">
        <f>IF('Boletins Nuppa Site'!A364&lt;&gt;0,'Boletins Nuppa Site'!A364,"NULL")</f>
        <v>46</v>
      </c>
      <c r="C364">
        <v>11</v>
      </c>
      <c r="D364" t="str">
        <f>IF('Boletins Nuppa Site'!G364&lt;&gt;0,'Boletins Nuppa Site'!G364,"NULL")</f>
        <v>NULL</v>
      </c>
      <c r="E364" s="14">
        <f>IF('Boletins Nuppa Site'!H364&lt;&gt;0,'Boletins Nuppa Site'!H364,"NULL")</f>
        <v>30</v>
      </c>
      <c r="F364" s="14">
        <f>IF('Boletins Nuppa Site'!I364&lt;&gt;0,'Boletins Nuppa Site'!I364,"NULL")</f>
        <v>42</v>
      </c>
      <c r="G364" t="str">
        <f>IF('Boletins Nuppa Site'!J364&lt;&gt;0,'Boletins Nuppa Site'!J364,"NULL")</f>
        <v>35.67</v>
      </c>
      <c r="H364" s="14">
        <f>IF('Boletins Nuppa Site'!K364&lt;&gt;0,'Boletins Nuppa Site'!K364,"NULL")</f>
        <v>35</v>
      </c>
      <c r="I364" t="str">
        <f t="shared" si="10"/>
        <v>INSERT INTO COTACAO (cot_id, cot_blt_id, cot_pap_id, cot_prc_comum, cot_prc_min, cot_prc_max, cot_prc_med, cot_prc_mediana) VALUES (363, 46, 11, NULL, 30, 42, 35.67, 35);</v>
      </c>
      <c r="J364" t="str">
        <f t="shared" si="11"/>
        <v>UPDATE COTACAO SET cot_id = 363, cot_blt_id = 46, cot_pap_id = 11, cot_prc_comum = NULL, cot_prc_min = 30, cot_prc_max = 42, cot_prc_med = 35.67, cot_prc_mediana = 35 WHERE cot_id = 363;</v>
      </c>
    </row>
    <row r="365" spans="1:10" x14ac:dyDescent="0.3">
      <c r="A365">
        <v>364</v>
      </c>
      <c r="B365">
        <f>IF('Boletins Nuppa Site'!A365&lt;&gt;0,'Boletins Nuppa Site'!A365,"NULL")</f>
        <v>46</v>
      </c>
      <c r="C365">
        <v>12</v>
      </c>
      <c r="D365" s="14">
        <f>IF('Boletins Nuppa Site'!G365&lt;&gt;0,'Boletins Nuppa Site'!G365,"NULL")</f>
        <v>84</v>
      </c>
      <c r="E365" s="14">
        <f>IF('Boletins Nuppa Site'!H365&lt;&gt;0,'Boletins Nuppa Site'!H365,"NULL")</f>
        <v>72</v>
      </c>
      <c r="F365" s="14">
        <f>IF('Boletins Nuppa Site'!I365&lt;&gt;0,'Boletins Nuppa Site'!I365,"NULL")</f>
        <v>84</v>
      </c>
      <c r="G365" s="14">
        <f>IF('Boletins Nuppa Site'!J365&lt;&gt;0,'Boletins Nuppa Site'!J365,"NULL")</f>
        <v>80</v>
      </c>
      <c r="H365" s="14">
        <f>IF('Boletins Nuppa Site'!K365&lt;&gt;0,'Boletins Nuppa Site'!K365,"NULL")</f>
        <v>84</v>
      </c>
      <c r="I365" t="str">
        <f t="shared" si="10"/>
        <v>INSERT INTO COTACAO (cot_id, cot_blt_id, cot_pap_id, cot_prc_comum, cot_prc_min, cot_prc_max, cot_prc_med, cot_prc_mediana) VALUES (364, 46, 12, 84, 72, 84, 80, 84);</v>
      </c>
      <c r="J365" t="str">
        <f t="shared" si="11"/>
        <v>UPDATE COTACAO SET cot_id = 364, cot_blt_id = 46, cot_pap_id = 12, cot_prc_comum = 84, cot_prc_min = 72, cot_prc_max = 84, cot_prc_med = 80, cot_prc_mediana = 84 WHERE cot_id = 364;</v>
      </c>
    </row>
    <row r="366" spans="1:10" x14ac:dyDescent="0.3">
      <c r="A366">
        <v>365</v>
      </c>
      <c r="B366">
        <f>IF('Boletins Nuppa Site'!A366&lt;&gt;0,'Boletins Nuppa Site'!A366,"NULL")</f>
        <v>46</v>
      </c>
      <c r="C366">
        <v>13</v>
      </c>
      <c r="D366" t="str">
        <f>IF('Boletins Nuppa Site'!G366&lt;&gt;0,'Boletins Nuppa Site'!G366,"NULL")</f>
        <v>NULL</v>
      </c>
      <c r="E366" s="14">
        <f>IF('Boletins Nuppa Site'!H366&lt;&gt;0,'Boletins Nuppa Site'!H366,"NULL")</f>
        <v>48</v>
      </c>
      <c r="F366" s="14">
        <f>IF('Boletins Nuppa Site'!I366&lt;&gt;0,'Boletins Nuppa Site'!I366,"NULL")</f>
        <v>78</v>
      </c>
      <c r="G366" t="str">
        <f>IF('Boletins Nuppa Site'!J366&lt;&gt;0,'Boletins Nuppa Site'!J366,"NULL")</f>
        <v>64.5</v>
      </c>
      <c r="H366" s="14">
        <f>IF('Boletins Nuppa Site'!K366&lt;&gt;0,'Boletins Nuppa Site'!K366,"NULL")</f>
        <v>66</v>
      </c>
      <c r="I366" t="str">
        <f t="shared" si="10"/>
        <v>INSERT INTO COTACAO (cot_id, cot_blt_id, cot_pap_id, cot_prc_comum, cot_prc_min, cot_prc_max, cot_prc_med, cot_prc_mediana) VALUES (365, 46, 13, NULL, 48, 78, 64.5, 66);</v>
      </c>
      <c r="J366" t="str">
        <f t="shared" si="11"/>
        <v>UPDATE COTACAO SET cot_id = 365, cot_blt_id = 46, cot_pap_id = 13, cot_prc_comum = NULL, cot_prc_min = 48, cot_prc_max = 78, cot_prc_med = 64.5, cot_prc_mediana = 66 WHERE cot_id = 365;</v>
      </c>
    </row>
    <row r="367" spans="1:10" x14ac:dyDescent="0.3">
      <c r="A367">
        <v>366</v>
      </c>
      <c r="B367">
        <f>IF('Boletins Nuppa Site'!A367&lt;&gt;0,'Boletins Nuppa Site'!A367,"NULL")</f>
        <v>46</v>
      </c>
      <c r="C367">
        <v>14</v>
      </c>
      <c r="D367" t="str">
        <f>IF('Boletins Nuppa Site'!G367&lt;&gt;0,'Boletins Nuppa Site'!G367,"NULL")</f>
        <v>NULL</v>
      </c>
      <c r="E367" s="14">
        <f>IF('Boletins Nuppa Site'!H367&lt;&gt;0,'Boletins Nuppa Site'!H367,"NULL")</f>
        <v>50</v>
      </c>
      <c r="F367" s="14">
        <f>IF('Boletins Nuppa Site'!I367&lt;&gt;0,'Boletins Nuppa Site'!I367,"NULL")</f>
        <v>80</v>
      </c>
      <c r="G367" t="str">
        <f>IF('Boletins Nuppa Site'!J367&lt;&gt;0,'Boletins Nuppa Site'!J367,"NULL")</f>
        <v>67.33</v>
      </c>
      <c r="H367" s="14">
        <f>IF('Boletins Nuppa Site'!K367&lt;&gt;0,'Boletins Nuppa Site'!K367,"NULL")</f>
        <v>72</v>
      </c>
      <c r="I367" t="str">
        <f t="shared" si="10"/>
        <v>INSERT INTO COTACAO (cot_id, cot_blt_id, cot_pap_id, cot_prc_comum, cot_prc_min, cot_prc_max, cot_prc_med, cot_prc_mediana) VALUES (366, 46, 14, NULL, 50, 80, 67.33, 72);</v>
      </c>
      <c r="J367" t="str">
        <f t="shared" si="11"/>
        <v>UPDATE COTACAO SET cot_id = 366, cot_blt_id = 46, cot_pap_id = 14, cot_prc_comum = NULL, cot_prc_min = 50, cot_prc_max = 80, cot_prc_med = 67.33, cot_prc_mediana = 72 WHERE cot_id = 366;</v>
      </c>
    </row>
    <row r="368" spans="1:10" x14ac:dyDescent="0.3">
      <c r="A368">
        <v>367</v>
      </c>
      <c r="B368">
        <f>IF('Boletins Nuppa Site'!A368&lt;&gt;0,'Boletins Nuppa Site'!A368,"NULL")</f>
        <v>46</v>
      </c>
      <c r="C368">
        <v>15</v>
      </c>
      <c r="D368" s="14">
        <f>IF('Boletins Nuppa Site'!G368&lt;&gt;0,'Boletins Nuppa Site'!G368,"NULL")</f>
        <v>50</v>
      </c>
      <c r="E368" s="14">
        <f>IF('Boletins Nuppa Site'!H368&lt;&gt;0,'Boletins Nuppa Site'!H368,"NULL")</f>
        <v>50</v>
      </c>
      <c r="F368" s="14">
        <f>IF('Boletins Nuppa Site'!I368&lt;&gt;0,'Boletins Nuppa Site'!I368,"NULL")</f>
        <v>60</v>
      </c>
      <c r="G368" s="14">
        <f>IF('Boletins Nuppa Site'!J368&lt;&gt;0,'Boletins Nuppa Site'!J368,"NULL")</f>
        <v>55</v>
      </c>
      <c r="H368" s="14">
        <f>IF('Boletins Nuppa Site'!K368&lt;&gt;0,'Boletins Nuppa Site'!K368,"NULL")</f>
        <v>55</v>
      </c>
      <c r="I368" t="str">
        <f t="shared" si="10"/>
        <v>INSERT INTO COTACAO (cot_id, cot_blt_id, cot_pap_id, cot_prc_comum, cot_prc_min, cot_prc_max, cot_prc_med, cot_prc_mediana) VALUES (367, 46, 15, 50, 50, 60, 55, 55);</v>
      </c>
      <c r="J368" t="str">
        <f t="shared" si="11"/>
        <v>UPDATE COTACAO SET cot_id = 367, cot_blt_id = 46, cot_pap_id = 15, cot_prc_comum = 50, cot_prc_min = 50, cot_prc_max = 60, cot_prc_med = 55, cot_prc_mediana = 55 WHERE cot_id = 367;</v>
      </c>
    </row>
    <row r="369" spans="1:10" x14ac:dyDescent="0.3">
      <c r="A369">
        <v>368</v>
      </c>
      <c r="B369">
        <f>IF('Boletins Nuppa Site'!A369&lt;&gt;0,'Boletins Nuppa Site'!A369,"NULL")</f>
        <v>46</v>
      </c>
      <c r="C369">
        <v>16</v>
      </c>
      <c r="D369" t="str">
        <f>IF('Boletins Nuppa Site'!G369&lt;&gt;0,'Boletins Nuppa Site'!G369,"NULL")</f>
        <v>NULL</v>
      </c>
      <c r="E369" s="14">
        <f>IF('Boletins Nuppa Site'!H369&lt;&gt;0,'Boletins Nuppa Site'!H369,"NULL")</f>
        <v>42</v>
      </c>
      <c r="F369" s="14">
        <f>IF('Boletins Nuppa Site'!I369&lt;&gt;0,'Boletins Nuppa Site'!I369,"NULL")</f>
        <v>54</v>
      </c>
      <c r="G369" s="14">
        <f>IF('Boletins Nuppa Site'!J369&lt;&gt;0,'Boletins Nuppa Site'!J369,"NULL")</f>
        <v>48</v>
      </c>
      <c r="H369" s="14">
        <f>IF('Boletins Nuppa Site'!K369&lt;&gt;0,'Boletins Nuppa Site'!K369,"NULL")</f>
        <v>48</v>
      </c>
      <c r="I369" t="str">
        <f t="shared" si="10"/>
        <v>INSERT INTO COTACAO (cot_id, cot_blt_id, cot_pap_id, cot_prc_comum, cot_prc_min, cot_prc_max, cot_prc_med, cot_prc_mediana) VALUES (368, 46, 16, NULL, 42, 54, 48, 48);</v>
      </c>
      <c r="J369" t="str">
        <f t="shared" si="11"/>
        <v>UPDATE COTACAO SET cot_id = 368, cot_blt_id = 46, cot_pap_id = 16, cot_prc_comum = NULL, cot_prc_min = 42, cot_prc_max = 54, cot_prc_med = 48, cot_prc_mediana = 48 WHERE cot_id = 368;</v>
      </c>
    </row>
    <row r="370" spans="1:10" x14ac:dyDescent="0.3">
      <c r="A370">
        <v>369</v>
      </c>
      <c r="B370">
        <f>IF('Boletins Nuppa Site'!A370&lt;&gt;0,'Boletins Nuppa Site'!A370,"NULL")</f>
        <v>46</v>
      </c>
      <c r="C370">
        <v>17</v>
      </c>
      <c r="D370" s="14">
        <f>IF('Boletins Nuppa Site'!G370&lt;&gt;0,'Boletins Nuppa Site'!G370,"NULL")</f>
        <v>5</v>
      </c>
      <c r="E370" s="14">
        <f>IF('Boletins Nuppa Site'!H370&lt;&gt;0,'Boletins Nuppa Site'!H370,"NULL")</f>
        <v>4</v>
      </c>
      <c r="F370" s="14">
        <f>IF('Boletins Nuppa Site'!I370&lt;&gt;0,'Boletins Nuppa Site'!I370,"NULL")</f>
        <v>5</v>
      </c>
      <c r="G370" t="str">
        <f>IF('Boletins Nuppa Site'!J370&lt;&gt;0,'Boletins Nuppa Site'!J370,"NULL")</f>
        <v>4.63</v>
      </c>
      <c r="H370" t="str">
        <f>IF('Boletins Nuppa Site'!K370&lt;&gt;0,'Boletins Nuppa Site'!K370,"NULL")</f>
        <v>4.75</v>
      </c>
      <c r="I370" t="str">
        <f t="shared" si="10"/>
        <v>INSERT INTO COTACAO (cot_id, cot_blt_id, cot_pap_id, cot_prc_comum, cot_prc_min, cot_prc_max, cot_prc_med, cot_prc_mediana) VALUES (369, 46, 17, 5, 4, 5, 4.63, 4.75);</v>
      </c>
      <c r="J370" t="str">
        <f t="shared" si="11"/>
        <v>UPDATE COTACAO SET cot_id = 369, cot_blt_id = 46, cot_pap_id = 17, cot_prc_comum = 5, cot_prc_min = 4, cot_prc_max = 5, cot_prc_med = 4.63, cot_prc_mediana = 4.75 WHERE cot_id = 369;</v>
      </c>
    </row>
    <row r="371" spans="1:10" x14ac:dyDescent="0.3">
      <c r="A371">
        <v>370</v>
      </c>
      <c r="B371">
        <f>IF('Boletins Nuppa Site'!A371&lt;&gt;0,'Boletins Nuppa Site'!A371,"NULL")</f>
        <v>46</v>
      </c>
      <c r="C371">
        <v>18</v>
      </c>
      <c r="D371" s="14">
        <f>IF('Boletins Nuppa Site'!G371&lt;&gt;0,'Boletins Nuppa Site'!G371,"NULL")</f>
        <v>20</v>
      </c>
      <c r="E371" s="14">
        <f>IF('Boletins Nuppa Site'!H371&lt;&gt;0,'Boletins Nuppa Site'!H371,"NULL")</f>
        <v>15</v>
      </c>
      <c r="F371" s="14">
        <f>IF('Boletins Nuppa Site'!I371&lt;&gt;0,'Boletins Nuppa Site'!I371,"NULL")</f>
        <v>25</v>
      </c>
      <c r="G371" t="str">
        <f>IF('Boletins Nuppa Site'!J371&lt;&gt;0,'Boletins Nuppa Site'!J371,"NULL")</f>
        <v>20.83</v>
      </c>
      <c r="H371" s="14">
        <f>IF('Boletins Nuppa Site'!K371&lt;&gt;0,'Boletins Nuppa Site'!K371,"NULL")</f>
        <v>20</v>
      </c>
      <c r="I371" t="str">
        <f t="shared" si="10"/>
        <v>INSERT INTO COTACAO (cot_id, cot_blt_id, cot_pap_id, cot_prc_comum, cot_prc_min, cot_prc_max, cot_prc_med, cot_prc_mediana) VALUES (370, 46, 18, 20, 15, 25, 20.83, 20);</v>
      </c>
      <c r="J371" t="str">
        <f t="shared" si="11"/>
        <v>UPDATE COTACAO SET cot_id = 370, cot_blt_id = 46, cot_pap_id = 18, cot_prc_comum = 20, cot_prc_min = 15, cot_prc_max = 25, cot_prc_med = 20.83, cot_prc_mediana = 20 WHERE cot_id = 370;</v>
      </c>
    </row>
    <row r="372" spans="1:10" x14ac:dyDescent="0.3">
      <c r="A372">
        <v>371</v>
      </c>
      <c r="B372">
        <f>IF('Boletins Nuppa Site'!A372&lt;&gt;0,'Boletins Nuppa Site'!A372,"NULL")</f>
        <v>46</v>
      </c>
      <c r="C372">
        <v>19</v>
      </c>
      <c r="D372" t="str">
        <f>IF('Boletins Nuppa Site'!G372&lt;&gt;0,'Boletins Nuppa Site'!G372,"NULL")</f>
        <v>NULL</v>
      </c>
      <c r="E372" s="14">
        <f>IF('Boletins Nuppa Site'!H372&lt;&gt;0,'Boletins Nuppa Site'!H372,"NULL")</f>
        <v>30</v>
      </c>
      <c r="F372" s="14">
        <f>IF('Boletins Nuppa Site'!I372&lt;&gt;0,'Boletins Nuppa Site'!I372,"NULL")</f>
        <v>45</v>
      </c>
      <c r="G372" t="str">
        <f>IF('Boletins Nuppa Site'!J372&lt;&gt;0,'Boletins Nuppa Site'!J372,"NULL")</f>
        <v>37.5</v>
      </c>
      <c r="H372" t="str">
        <f>IF('Boletins Nuppa Site'!K372&lt;&gt;0,'Boletins Nuppa Site'!K372,"NULL")</f>
        <v>37.5</v>
      </c>
      <c r="I372" t="str">
        <f t="shared" si="10"/>
        <v>INSERT INTO COTACAO (cot_id, cot_blt_id, cot_pap_id, cot_prc_comum, cot_prc_min, cot_prc_max, cot_prc_med, cot_prc_mediana) VALUES (371, 46, 19, NULL, 30, 45, 37.5, 37.5);</v>
      </c>
      <c r="J372" t="str">
        <f t="shared" si="11"/>
        <v>UPDATE COTACAO SET cot_id = 371, cot_blt_id = 46, cot_pap_id = 19, cot_prc_comum = NULL, cot_prc_min = 30, cot_prc_max = 45, cot_prc_med = 37.5, cot_prc_mediana = 37.5 WHERE cot_id = 371;</v>
      </c>
    </row>
    <row r="373" spans="1:10" x14ac:dyDescent="0.3">
      <c r="A373">
        <v>372</v>
      </c>
      <c r="B373">
        <f>IF('Boletins Nuppa Site'!A373&lt;&gt;0,'Boletins Nuppa Site'!A373,"NULL")</f>
        <v>46</v>
      </c>
      <c r="C373">
        <v>20</v>
      </c>
      <c r="D373" t="str">
        <f>IF('Boletins Nuppa Site'!G373&lt;&gt;0,'Boletins Nuppa Site'!G373,"NULL")</f>
        <v>NULL</v>
      </c>
      <c r="E373" s="14">
        <f>IF('Boletins Nuppa Site'!H373&lt;&gt;0,'Boletins Nuppa Site'!H373,"NULL")</f>
        <v>100</v>
      </c>
      <c r="F373" s="14">
        <f>IF('Boletins Nuppa Site'!I373&lt;&gt;0,'Boletins Nuppa Site'!I373,"NULL")</f>
        <v>105</v>
      </c>
      <c r="G373" t="str">
        <f>IF('Boletins Nuppa Site'!J373&lt;&gt;0,'Boletins Nuppa Site'!J373,"NULL")</f>
        <v>102.5</v>
      </c>
      <c r="H373" t="str">
        <f>IF('Boletins Nuppa Site'!K373&lt;&gt;0,'Boletins Nuppa Site'!K373,"NULL")</f>
        <v>102.5</v>
      </c>
      <c r="I373" t="str">
        <f t="shared" si="10"/>
        <v>INSERT INTO COTACAO (cot_id, cot_blt_id, cot_pap_id, cot_prc_comum, cot_prc_min, cot_prc_max, cot_prc_med, cot_prc_mediana) VALUES (372, 46, 20, NULL, 100, 105, 102.5, 102.5);</v>
      </c>
      <c r="J373" t="str">
        <f t="shared" si="11"/>
        <v>UPDATE COTACAO SET cot_id = 372, cot_blt_id = 46, cot_pap_id = 20, cot_prc_comum = NULL, cot_prc_min = 100, cot_prc_max = 105, cot_prc_med = 102.5, cot_prc_mediana = 102.5 WHERE cot_id = 372;</v>
      </c>
    </row>
    <row r="374" spans="1:10" x14ac:dyDescent="0.3">
      <c r="A374">
        <v>373</v>
      </c>
      <c r="B374">
        <f>IF('Boletins Nuppa Site'!A374&lt;&gt;0,'Boletins Nuppa Site'!A374,"NULL")</f>
        <v>46</v>
      </c>
      <c r="C374">
        <v>21</v>
      </c>
      <c r="D374" s="14">
        <f>IF('Boletins Nuppa Site'!G374&lt;&gt;0,'Boletins Nuppa Site'!G374,"NULL")</f>
        <v>70</v>
      </c>
      <c r="E374" s="14">
        <f>IF('Boletins Nuppa Site'!H374&lt;&gt;0,'Boletins Nuppa Site'!H374,"NULL")</f>
        <v>50</v>
      </c>
      <c r="F374" s="14">
        <f>IF('Boletins Nuppa Site'!I374&lt;&gt;0,'Boletins Nuppa Site'!I374,"NULL")</f>
        <v>80</v>
      </c>
      <c r="G374" t="str">
        <f>IF('Boletins Nuppa Site'!J374&lt;&gt;0,'Boletins Nuppa Site'!J374,"NULL")</f>
        <v>67.5</v>
      </c>
      <c r="H374" s="14">
        <f>IF('Boletins Nuppa Site'!K374&lt;&gt;0,'Boletins Nuppa Site'!K374,"NULL")</f>
        <v>70</v>
      </c>
      <c r="I374" t="str">
        <f t="shared" si="10"/>
        <v>INSERT INTO COTACAO (cot_id, cot_blt_id, cot_pap_id, cot_prc_comum, cot_prc_min, cot_prc_max, cot_prc_med, cot_prc_mediana) VALUES (373, 46, 21, 70, 50, 80, 67.5, 70);</v>
      </c>
      <c r="J374" t="str">
        <f t="shared" si="11"/>
        <v>UPDATE COTACAO SET cot_id = 373, cot_blt_id = 46, cot_pap_id = 21, cot_prc_comum = 70, cot_prc_min = 50, cot_prc_max = 80, cot_prc_med = 67.5, cot_prc_mediana = 70 WHERE cot_id = 373;</v>
      </c>
    </row>
    <row r="375" spans="1:10" x14ac:dyDescent="0.3">
      <c r="A375">
        <v>374</v>
      </c>
      <c r="B375">
        <f>IF('Boletins Nuppa Site'!A375&lt;&gt;0,'Boletins Nuppa Site'!A375,"NULL")</f>
        <v>46</v>
      </c>
      <c r="C375">
        <v>22</v>
      </c>
      <c r="D375" s="14">
        <f>IF('Boletins Nuppa Site'!G375&lt;&gt;0,'Boletins Nuppa Site'!G375,"NULL")</f>
        <v>70</v>
      </c>
      <c r="E375" s="14">
        <f>IF('Boletins Nuppa Site'!H375&lt;&gt;0,'Boletins Nuppa Site'!H375,"NULL")</f>
        <v>50</v>
      </c>
      <c r="F375" s="14">
        <f>IF('Boletins Nuppa Site'!I375&lt;&gt;0,'Boletins Nuppa Site'!I375,"NULL")</f>
        <v>75</v>
      </c>
      <c r="G375" s="14">
        <f>IF('Boletins Nuppa Site'!J375&lt;&gt;0,'Boletins Nuppa Site'!J375,"NULL")</f>
        <v>65</v>
      </c>
      <c r="H375" s="14">
        <f>IF('Boletins Nuppa Site'!K375&lt;&gt;0,'Boletins Nuppa Site'!K375,"NULL")</f>
        <v>70</v>
      </c>
      <c r="I375" t="str">
        <f t="shared" si="10"/>
        <v>INSERT INTO COTACAO (cot_id, cot_blt_id, cot_pap_id, cot_prc_comum, cot_prc_min, cot_prc_max, cot_prc_med, cot_prc_mediana) VALUES (374, 46, 22, 70, 50, 75, 65, 70);</v>
      </c>
      <c r="J375" t="str">
        <f t="shared" si="11"/>
        <v>UPDATE COTACAO SET cot_id = 374, cot_blt_id = 46, cot_pap_id = 22, cot_prc_comum = 70, cot_prc_min = 50, cot_prc_max = 75, cot_prc_med = 65, cot_prc_mediana = 70 WHERE cot_id = 374;</v>
      </c>
    </row>
    <row r="376" spans="1:10" x14ac:dyDescent="0.3">
      <c r="A376">
        <v>375</v>
      </c>
      <c r="B376">
        <f>IF('Boletins Nuppa Site'!A376&lt;&gt;0,'Boletins Nuppa Site'!A376,"NULL")</f>
        <v>46</v>
      </c>
      <c r="C376">
        <v>23</v>
      </c>
      <c r="D376" s="14">
        <f>IF('Boletins Nuppa Site'!G376&lt;&gt;0,'Boletins Nuppa Site'!G376,"NULL")</f>
        <v>35</v>
      </c>
      <c r="E376" s="14">
        <f>IF('Boletins Nuppa Site'!H376&lt;&gt;0,'Boletins Nuppa Site'!H376,"NULL")</f>
        <v>35</v>
      </c>
      <c r="F376" s="14">
        <f>IF('Boletins Nuppa Site'!I376&lt;&gt;0,'Boletins Nuppa Site'!I376,"NULL")</f>
        <v>50</v>
      </c>
      <c r="G376" t="str">
        <f>IF('Boletins Nuppa Site'!J376&lt;&gt;0,'Boletins Nuppa Site'!J376,"NULL")</f>
        <v>42.5</v>
      </c>
      <c r="H376" t="str">
        <f>IF('Boletins Nuppa Site'!K376&lt;&gt;0,'Boletins Nuppa Site'!K376,"NULL")</f>
        <v>42.5</v>
      </c>
      <c r="I376" t="str">
        <f t="shared" si="10"/>
        <v>INSERT INTO COTACAO (cot_id, cot_blt_id, cot_pap_id, cot_prc_comum, cot_prc_min, cot_prc_max, cot_prc_med, cot_prc_mediana) VALUES (375, 46, 23, 35, 35, 50, 42.5, 42.5);</v>
      </c>
      <c r="J376" t="str">
        <f t="shared" si="11"/>
        <v>UPDATE COTACAO SET cot_id = 375, cot_blt_id = 46, cot_pap_id = 23, cot_prc_comum = 35, cot_prc_min = 35, cot_prc_max = 50, cot_prc_med = 42.5, cot_prc_mediana = 42.5 WHERE cot_id = 375;</v>
      </c>
    </row>
    <row r="377" spans="1:10" x14ac:dyDescent="0.3">
      <c r="A377">
        <v>376</v>
      </c>
      <c r="B377">
        <f>IF('Boletins Nuppa Site'!A377&lt;&gt;0,'Boletins Nuppa Site'!A377,"NULL")</f>
        <v>46</v>
      </c>
      <c r="C377">
        <v>24</v>
      </c>
      <c r="D377" t="str">
        <f>IF('Boletins Nuppa Site'!G377&lt;&gt;0,'Boletins Nuppa Site'!G377,"NULL")</f>
        <v>NULL</v>
      </c>
      <c r="E377" s="14">
        <f>IF('Boletins Nuppa Site'!H377&lt;&gt;0,'Boletins Nuppa Site'!H377,"NULL")</f>
        <v>100</v>
      </c>
      <c r="F377" s="14">
        <f>IF('Boletins Nuppa Site'!I377&lt;&gt;0,'Boletins Nuppa Site'!I377,"NULL")</f>
        <v>120</v>
      </c>
      <c r="G377" s="14">
        <f>IF('Boletins Nuppa Site'!J377&lt;&gt;0,'Boletins Nuppa Site'!J377,"NULL")</f>
        <v>110</v>
      </c>
      <c r="H377" s="14">
        <f>IF('Boletins Nuppa Site'!K377&lt;&gt;0,'Boletins Nuppa Site'!K377,"NULL")</f>
        <v>110</v>
      </c>
      <c r="I377" t="str">
        <f t="shared" si="10"/>
        <v>INSERT INTO COTACAO (cot_id, cot_blt_id, cot_pap_id, cot_prc_comum, cot_prc_min, cot_prc_max, cot_prc_med, cot_prc_mediana) VALUES (376, 46, 24, NULL, 100, 120, 110, 110);</v>
      </c>
      <c r="J377" t="str">
        <f t="shared" si="11"/>
        <v>UPDATE COTACAO SET cot_id = 376, cot_blt_id = 46, cot_pap_id = 24, cot_prc_comum = NULL, cot_prc_min = 100, cot_prc_max = 120, cot_prc_med = 110, cot_prc_mediana = 110 WHERE cot_id = 376;</v>
      </c>
    </row>
    <row r="378" spans="1:10" x14ac:dyDescent="0.3">
      <c r="A378">
        <v>377</v>
      </c>
      <c r="B378">
        <f>IF('Boletins Nuppa Site'!A378&lt;&gt;0,'Boletins Nuppa Site'!A378,"NULL")</f>
        <v>46</v>
      </c>
      <c r="C378">
        <v>25</v>
      </c>
      <c r="D378" s="14">
        <f>IF('Boletins Nuppa Site'!G378&lt;&gt;0,'Boletins Nuppa Site'!G378,"NULL")</f>
        <v>100</v>
      </c>
      <c r="E378" s="14">
        <f>IF('Boletins Nuppa Site'!H378&lt;&gt;0,'Boletins Nuppa Site'!H378,"NULL")</f>
        <v>70</v>
      </c>
      <c r="F378" s="14">
        <f>IF('Boletins Nuppa Site'!I378&lt;&gt;0,'Boletins Nuppa Site'!I378,"NULL")</f>
        <v>130</v>
      </c>
      <c r="G378" s="14">
        <f>IF('Boletins Nuppa Site'!J378&lt;&gt;0,'Boletins Nuppa Site'!J378,"NULL")</f>
        <v>106</v>
      </c>
      <c r="H378" s="14">
        <f>IF('Boletins Nuppa Site'!K378&lt;&gt;0,'Boletins Nuppa Site'!K378,"NULL")</f>
        <v>100</v>
      </c>
      <c r="I378" t="str">
        <f t="shared" si="10"/>
        <v>INSERT INTO COTACAO (cot_id, cot_blt_id, cot_pap_id, cot_prc_comum, cot_prc_min, cot_prc_max, cot_prc_med, cot_prc_mediana) VALUES (377, 46, 25, 100, 70, 130, 106, 100);</v>
      </c>
      <c r="J378" t="str">
        <f t="shared" si="11"/>
        <v>UPDATE COTACAO SET cot_id = 377, cot_blt_id = 46, cot_pap_id = 25, cot_prc_comum = 100, cot_prc_min = 70, cot_prc_max = 130, cot_prc_med = 106, cot_prc_mediana = 100 WHERE cot_id = 377;</v>
      </c>
    </row>
    <row r="379" spans="1:10" x14ac:dyDescent="0.3">
      <c r="A379">
        <v>378</v>
      </c>
      <c r="B379">
        <f>IF('Boletins Nuppa Site'!A379&lt;&gt;0,'Boletins Nuppa Site'!A379,"NULL")</f>
        <v>46</v>
      </c>
      <c r="C379">
        <v>26</v>
      </c>
      <c r="D379" t="str">
        <f>IF('Boletins Nuppa Site'!G379&lt;&gt;0,'Boletins Nuppa Site'!G379,"NULL")</f>
        <v>NULL</v>
      </c>
      <c r="E379" s="14">
        <f>IF('Boletins Nuppa Site'!H379&lt;&gt;0,'Boletins Nuppa Site'!H379,"NULL")</f>
        <v>60</v>
      </c>
      <c r="F379" s="14">
        <f>IF('Boletins Nuppa Site'!I379&lt;&gt;0,'Boletins Nuppa Site'!I379,"NULL")</f>
        <v>140</v>
      </c>
      <c r="G379" t="str">
        <f>IF('Boletins Nuppa Site'!J379&lt;&gt;0,'Boletins Nuppa Site'!J379,"NULL")</f>
        <v>96.67</v>
      </c>
      <c r="H379" s="14">
        <f>IF('Boletins Nuppa Site'!K379&lt;&gt;0,'Boletins Nuppa Site'!K379,"NULL")</f>
        <v>90</v>
      </c>
      <c r="I379" t="str">
        <f t="shared" si="10"/>
        <v>INSERT INTO COTACAO (cot_id, cot_blt_id, cot_pap_id, cot_prc_comum, cot_prc_min, cot_prc_max, cot_prc_med, cot_prc_mediana) VALUES (378, 46, 26, NULL, 60, 140, 96.67, 90);</v>
      </c>
      <c r="J379" t="str">
        <f t="shared" si="11"/>
        <v>UPDATE COTACAO SET cot_id = 378, cot_blt_id = 46, cot_pap_id = 26, cot_prc_comum = NULL, cot_prc_min = 60, cot_prc_max = 140, cot_prc_med = 96.67, cot_prc_mediana = 90 WHERE cot_id = 378;</v>
      </c>
    </row>
    <row r="380" spans="1:10" x14ac:dyDescent="0.3">
      <c r="A380">
        <v>379</v>
      </c>
      <c r="B380">
        <f>IF('Boletins Nuppa Site'!A380&lt;&gt;0,'Boletins Nuppa Site'!A380,"NULL")</f>
        <v>46</v>
      </c>
      <c r="C380">
        <v>27</v>
      </c>
      <c r="D380" t="str">
        <f>IF('Boletins Nuppa Site'!G380&lt;&gt;0,'Boletins Nuppa Site'!G380,"NULL")</f>
        <v>NULL</v>
      </c>
      <c r="E380" s="14">
        <f>IF('Boletins Nuppa Site'!H380&lt;&gt;0,'Boletins Nuppa Site'!H380,"NULL")</f>
        <v>50</v>
      </c>
      <c r="F380" s="14">
        <f>IF('Boletins Nuppa Site'!I380&lt;&gt;0,'Boletins Nuppa Site'!I380,"NULL")</f>
        <v>95</v>
      </c>
      <c r="G380" s="14">
        <f>IF('Boletins Nuppa Site'!J380&lt;&gt;0,'Boletins Nuppa Site'!J380,"NULL")</f>
        <v>68</v>
      </c>
      <c r="H380" s="14">
        <f>IF('Boletins Nuppa Site'!K380&lt;&gt;0,'Boletins Nuppa Site'!K380,"NULL")</f>
        <v>65</v>
      </c>
      <c r="I380" t="str">
        <f t="shared" si="10"/>
        <v>INSERT INTO COTACAO (cot_id, cot_blt_id, cot_pap_id, cot_prc_comum, cot_prc_min, cot_prc_max, cot_prc_med, cot_prc_mediana) VALUES (379, 46, 27, NULL, 50, 95, 68, 65);</v>
      </c>
      <c r="J380" t="str">
        <f t="shared" si="11"/>
        <v>UPDATE COTACAO SET cot_id = 379, cot_blt_id = 46, cot_pap_id = 27, cot_prc_comum = NULL, cot_prc_min = 50, cot_prc_max = 95, cot_prc_med = 68, cot_prc_mediana = 65 WHERE cot_id = 379;</v>
      </c>
    </row>
    <row r="381" spans="1:10" x14ac:dyDescent="0.3">
      <c r="A381">
        <v>380</v>
      </c>
      <c r="B381">
        <f>IF('Boletins Nuppa Site'!A381&lt;&gt;0,'Boletins Nuppa Site'!A381,"NULL")</f>
        <v>46</v>
      </c>
      <c r="C381">
        <v>28</v>
      </c>
      <c r="D381" t="str">
        <f>IF('Boletins Nuppa Site'!G381&lt;&gt;0,'Boletins Nuppa Site'!G381,"NULL")</f>
        <v>NULL</v>
      </c>
      <c r="E381" s="14">
        <f>IF('Boletins Nuppa Site'!H381&lt;&gt;0,'Boletins Nuppa Site'!H381,"NULL")</f>
        <v>90</v>
      </c>
      <c r="F381" s="14">
        <f>IF('Boletins Nuppa Site'!I381&lt;&gt;0,'Boletins Nuppa Site'!I381,"NULL")</f>
        <v>90</v>
      </c>
      <c r="G381" s="14">
        <f>IF('Boletins Nuppa Site'!J381&lt;&gt;0,'Boletins Nuppa Site'!J381,"NULL")</f>
        <v>90</v>
      </c>
      <c r="H381" s="14">
        <f>IF('Boletins Nuppa Site'!K381&lt;&gt;0,'Boletins Nuppa Site'!K381,"NULL")</f>
        <v>90</v>
      </c>
      <c r="I381" t="str">
        <f t="shared" si="10"/>
        <v>INSERT INTO COTACAO (cot_id, cot_blt_id, cot_pap_id, cot_prc_comum, cot_prc_min, cot_prc_max, cot_prc_med, cot_prc_mediana) VALUES (380, 46, 28, NULL, 90, 90, 90, 90);</v>
      </c>
      <c r="J381" t="str">
        <f t="shared" si="11"/>
        <v>UPDATE COTACAO SET cot_id = 380, cot_blt_id = 46, cot_pap_id = 28, cot_prc_comum = NULL, cot_prc_min = 90, cot_prc_max = 90, cot_prc_med = 90, cot_prc_mediana = 90 WHERE cot_id = 380;</v>
      </c>
    </row>
    <row r="382" spans="1:10" x14ac:dyDescent="0.3">
      <c r="A382">
        <v>381</v>
      </c>
      <c r="B382">
        <f>IF('Boletins Nuppa Site'!A382&lt;&gt;0,'Boletins Nuppa Site'!A382,"NULL")</f>
        <v>46</v>
      </c>
      <c r="C382">
        <v>29</v>
      </c>
      <c r="D382" t="str">
        <f>IF('Boletins Nuppa Site'!G382&lt;&gt;0,'Boletins Nuppa Site'!G382,"NULL")</f>
        <v>NULL</v>
      </c>
      <c r="E382" s="14">
        <f>IF('Boletins Nuppa Site'!H382&lt;&gt;0,'Boletins Nuppa Site'!H382,"NULL")</f>
        <v>80</v>
      </c>
      <c r="F382" s="14">
        <f>IF('Boletins Nuppa Site'!I382&lt;&gt;0,'Boletins Nuppa Site'!I382,"NULL")</f>
        <v>90</v>
      </c>
      <c r="G382" s="14">
        <f>IF('Boletins Nuppa Site'!J382&lt;&gt;0,'Boletins Nuppa Site'!J382,"NULL")</f>
        <v>85</v>
      </c>
      <c r="H382" s="14">
        <f>IF('Boletins Nuppa Site'!K382&lt;&gt;0,'Boletins Nuppa Site'!K382,"NULL")</f>
        <v>85</v>
      </c>
      <c r="I382" t="str">
        <f t="shared" si="10"/>
        <v>INSERT INTO COTACAO (cot_id, cot_blt_id, cot_pap_id, cot_prc_comum, cot_prc_min, cot_prc_max, cot_prc_med, cot_prc_mediana) VALUES (381, 46, 29, NULL, 80, 90, 85, 85);</v>
      </c>
      <c r="J382" t="str">
        <f t="shared" si="11"/>
        <v>UPDATE COTACAO SET cot_id = 381, cot_blt_id = 46, cot_pap_id = 29, cot_prc_comum = NULL, cot_prc_min = 80, cot_prc_max = 90, cot_prc_med = 85, cot_prc_mediana = 85 WHERE cot_id = 381;</v>
      </c>
    </row>
    <row r="383" spans="1:10" x14ac:dyDescent="0.3">
      <c r="A383">
        <v>382</v>
      </c>
      <c r="B383">
        <f>IF('Boletins Nuppa Site'!A383&lt;&gt;0,'Boletins Nuppa Site'!A383,"NULL")</f>
        <v>46</v>
      </c>
      <c r="C383">
        <v>30</v>
      </c>
      <c r="D383" t="str">
        <f>IF('Boletins Nuppa Site'!G383&lt;&gt;0,'Boletins Nuppa Site'!G383,"NULL")</f>
        <v>NULL</v>
      </c>
      <c r="E383" s="14">
        <f>IF('Boletins Nuppa Site'!H383&lt;&gt;0,'Boletins Nuppa Site'!H383,"NULL")</f>
        <v>42</v>
      </c>
      <c r="F383" s="14">
        <f>IF('Boletins Nuppa Site'!I383&lt;&gt;0,'Boletins Nuppa Site'!I383,"NULL")</f>
        <v>110</v>
      </c>
      <c r="G383" s="14">
        <f>IF('Boletins Nuppa Site'!J383&lt;&gt;0,'Boletins Nuppa Site'!J383,"NULL")</f>
        <v>84</v>
      </c>
      <c r="H383" s="14">
        <f>IF('Boletins Nuppa Site'!K383&lt;&gt;0,'Boletins Nuppa Site'!K383,"NULL")</f>
        <v>100</v>
      </c>
      <c r="I383" t="str">
        <f t="shared" si="10"/>
        <v>INSERT INTO COTACAO (cot_id, cot_blt_id, cot_pap_id, cot_prc_comum, cot_prc_min, cot_prc_max, cot_prc_med, cot_prc_mediana) VALUES (382, 46, 30, NULL, 42, 110, 84, 100);</v>
      </c>
      <c r="J383" t="str">
        <f t="shared" si="11"/>
        <v>UPDATE COTACAO SET cot_id = 382, cot_blt_id = 46, cot_pap_id = 30, cot_prc_comum = NULL, cot_prc_min = 42, cot_prc_max = 110, cot_prc_med = 84, cot_prc_mediana = 100 WHERE cot_id = 382;</v>
      </c>
    </row>
    <row r="384" spans="1:10" x14ac:dyDescent="0.3">
      <c r="A384">
        <v>383</v>
      </c>
      <c r="B384">
        <f>IF('Boletins Nuppa Site'!A384&lt;&gt;0,'Boletins Nuppa Site'!A384,"NULL")</f>
        <v>46</v>
      </c>
      <c r="C384">
        <v>31</v>
      </c>
      <c r="D384" s="14">
        <f>IF('Boletins Nuppa Site'!G384&lt;&gt;0,'Boletins Nuppa Site'!G384,"NULL")</f>
        <v>100</v>
      </c>
      <c r="E384" s="14">
        <f>IF('Boletins Nuppa Site'!H384&lt;&gt;0,'Boletins Nuppa Site'!H384,"NULL")</f>
        <v>75</v>
      </c>
      <c r="F384" s="14">
        <f>IF('Boletins Nuppa Site'!I384&lt;&gt;0,'Boletins Nuppa Site'!I384,"NULL")</f>
        <v>120</v>
      </c>
      <c r="G384" s="14">
        <f>IF('Boletins Nuppa Site'!J384&lt;&gt;0,'Boletins Nuppa Site'!J384,"NULL")</f>
        <v>95</v>
      </c>
      <c r="H384" s="14">
        <f>IF('Boletins Nuppa Site'!K384&lt;&gt;0,'Boletins Nuppa Site'!K384,"NULL")</f>
        <v>100</v>
      </c>
      <c r="I384" t="str">
        <f t="shared" si="10"/>
        <v>INSERT INTO COTACAO (cot_id, cot_blt_id, cot_pap_id, cot_prc_comum, cot_prc_min, cot_prc_max, cot_prc_med, cot_prc_mediana) VALUES (383, 46, 31, 100, 75, 120, 95, 100);</v>
      </c>
      <c r="J384" t="str">
        <f t="shared" si="11"/>
        <v>UPDATE COTACAO SET cot_id = 383, cot_blt_id = 46, cot_pap_id = 31, cot_prc_comum = 100, cot_prc_min = 75, cot_prc_max = 120, cot_prc_med = 95, cot_prc_mediana = 100 WHERE cot_id = 383;</v>
      </c>
    </row>
    <row r="385" spans="1:10" x14ac:dyDescent="0.3">
      <c r="A385">
        <v>384</v>
      </c>
      <c r="B385">
        <f>IF('Boletins Nuppa Site'!A385&lt;&gt;0,'Boletins Nuppa Site'!A385,"NULL")</f>
        <v>46</v>
      </c>
      <c r="C385">
        <v>32</v>
      </c>
      <c r="D385" s="14">
        <f>IF('Boletins Nuppa Site'!G385&lt;&gt;0,'Boletins Nuppa Site'!G385,"NULL")</f>
        <v>60</v>
      </c>
      <c r="E385" s="14">
        <f>IF('Boletins Nuppa Site'!H385&lt;&gt;0,'Boletins Nuppa Site'!H385,"NULL")</f>
        <v>40</v>
      </c>
      <c r="F385" s="14">
        <f>IF('Boletins Nuppa Site'!I385&lt;&gt;0,'Boletins Nuppa Site'!I385,"NULL")</f>
        <v>80</v>
      </c>
      <c r="G385" s="14">
        <f>IF('Boletins Nuppa Site'!J385&lt;&gt;0,'Boletins Nuppa Site'!J385,"NULL")</f>
        <v>60</v>
      </c>
      <c r="H385" s="14">
        <f>IF('Boletins Nuppa Site'!K385&lt;&gt;0,'Boletins Nuppa Site'!K385,"NULL")</f>
        <v>60</v>
      </c>
      <c r="I385" t="str">
        <f t="shared" si="10"/>
        <v>INSERT INTO COTACAO (cot_id, cot_blt_id, cot_pap_id, cot_prc_comum, cot_prc_min, cot_prc_max, cot_prc_med, cot_prc_mediana) VALUES (384, 46, 32, 60, 40, 80, 60, 60);</v>
      </c>
      <c r="J385" t="str">
        <f t="shared" si="11"/>
        <v>UPDATE COTACAO SET cot_id = 384, cot_blt_id = 46, cot_pap_id = 32, cot_prc_comum = 60, cot_prc_min = 40, cot_prc_max = 80, cot_prc_med = 60, cot_prc_mediana = 60 WHERE cot_id = 384;</v>
      </c>
    </row>
    <row r="386" spans="1:10" x14ac:dyDescent="0.3">
      <c r="A386">
        <v>385</v>
      </c>
      <c r="B386">
        <f>IF('Boletins Nuppa Site'!A386&lt;&gt;0,'Boletins Nuppa Site'!A386,"NULL")</f>
        <v>46</v>
      </c>
      <c r="C386">
        <v>33</v>
      </c>
      <c r="D386" s="14">
        <f>IF('Boletins Nuppa Site'!G386&lt;&gt;0,'Boletins Nuppa Site'!G386,"NULL")</f>
        <v>60</v>
      </c>
      <c r="E386" s="14">
        <f>IF('Boletins Nuppa Site'!H386&lt;&gt;0,'Boletins Nuppa Site'!H386,"NULL")</f>
        <v>60</v>
      </c>
      <c r="F386" s="14">
        <f>IF('Boletins Nuppa Site'!I386&lt;&gt;0,'Boletins Nuppa Site'!I386,"NULL")</f>
        <v>130</v>
      </c>
      <c r="G386" s="14">
        <f>IF('Boletins Nuppa Site'!J386&lt;&gt;0,'Boletins Nuppa Site'!J386,"NULL")</f>
        <v>77</v>
      </c>
      <c r="H386" s="14">
        <f>IF('Boletins Nuppa Site'!K386&lt;&gt;0,'Boletins Nuppa Site'!K386,"NULL")</f>
        <v>65</v>
      </c>
      <c r="I386" t="str">
        <f t="shared" si="10"/>
        <v>INSERT INTO COTACAO (cot_id, cot_blt_id, cot_pap_id, cot_prc_comum, cot_prc_min, cot_prc_max, cot_prc_med, cot_prc_mediana) VALUES (385, 46, 33, 60, 60, 130, 77, 65);</v>
      </c>
      <c r="J386" t="str">
        <f t="shared" si="11"/>
        <v>UPDATE COTACAO SET cot_id = 385, cot_blt_id = 46, cot_pap_id = 33, cot_prc_comum = 60, cot_prc_min = 60, cot_prc_max = 130, cot_prc_med = 77, cot_prc_mediana = 65 WHERE cot_id = 385;</v>
      </c>
    </row>
    <row r="387" spans="1:10" x14ac:dyDescent="0.3">
      <c r="A387">
        <v>386</v>
      </c>
      <c r="B387">
        <f>IF('Boletins Nuppa Site'!A387&lt;&gt;0,'Boletins Nuppa Site'!A387,"NULL")</f>
        <v>46</v>
      </c>
      <c r="C387">
        <v>34</v>
      </c>
      <c r="D387" t="str">
        <f>IF('Boletins Nuppa Site'!G387&lt;&gt;0,'Boletins Nuppa Site'!G387,"NULL")</f>
        <v>NULL</v>
      </c>
      <c r="E387" s="14">
        <f>IF('Boletins Nuppa Site'!H387&lt;&gt;0,'Boletins Nuppa Site'!H387,"NULL")</f>
        <v>65</v>
      </c>
      <c r="F387" s="14">
        <f>IF('Boletins Nuppa Site'!I387&lt;&gt;0,'Boletins Nuppa Site'!I387,"NULL")</f>
        <v>140</v>
      </c>
      <c r="G387" s="14">
        <f>IF('Boletins Nuppa Site'!J387&lt;&gt;0,'Boletins Nuppa Site'!J387,"NULL")</f>
        <v>107</v>
      </c>
      <c r="H387" s="14">
        <f>IF('Boletins Nuppa Site'!K387&lt;&gt;0,'Boletins Nuppa Site'!K387,"NULL")</f>
        <v>110</v>
      </c>
      <c r="I387" t="str">
        <f t="shared" ref="I387:I450" si="12">"INSERT INTO COTACAO (cot_id, cot_blt_id, cot_pap_id, cot_prc_comum, cot_prc_min, cot_prc_max, cot_prc_med, cot_prc_mediana) VALUES ("&amp;A387&amp;", "&amp;B387&amp;", "&amp;C387&amp;", "&amp;D387&amp;", "&amp;E387&amp;", "&amp;F387&amp;", "&amp;G387&amp;", "&amp;H387&amp;");"</f>
        <v>INSERT INTO COTACAO (cot_id, cot_blt_id, cot_pap_id, cot_prc_comum, cot_prc_min, cot_prc_max, cot_prc_med, cot_prc_mediana) VALUES (386, 46, 34, NULL, 65, 140, 107, 110);</v>
      </c>
      <c r="J387" t="str">
        <f t="shared" ref="J387:J450" si="13">"UPDATE COTACAO SET cot_id = "&amp;A387&amp;", cot_blt_id = "&amp;B387&amp;", cot_pap_id = "&amp;C387&amp;", cot_prc_comum = "&amp;D387&amp;", cot_prc_min = "&amp;E387&amp;", cot_prc_max = "&amp;F387&amp;", cot_prc_med = "&amp;G387&amp;", cot_prc_mediana = "&amp;H387&amp;" WHERE cot_id = "&amp;A387&amp;";"</f>
        <v>UPDATE COTACAO SET cot_id = 386, cot_blt_id = 46, cot_pap_id = 34, cot_prc_comum = NULL, cot_prc_min = 65, cot_prc_max = 140, cot_prc_med = 107, cot_prc_mediana = 110 WHERE cot_id = 386;</v>
      </c>
    </row>
    <row r="388" spans="1:10" x14ac:dyDescent="0.3">
      <c r="A388">
        <v>387</v>
      </c>
      <c r="B388">
        <f>IF('Boletins Nuppa Site'!A388&lt;&gt;0,'Boletins Nuppa Site'!A388,"NULL")</f>
        <v>46</v>
      </c>
      <c r="C388">
        <v>35</v>
      </c>
      <c r="D388" s="14">
        <f>IF('Boletins Nuppa Site'!G388&lt;&gt;0,'Boletins Nuppa Site'!G388,"NULL")</f>
        <v>120</v>
      </c>
      <c r="E388" s="14">
        <f>IF('Boletins Nuppa Site'!H388&lt;&gt;0,'Boletins Nuppa Site'!H388,"NULL")</f>
        <v>100</v>
      </c>
      <c r="F388" s="14">
        <f>IF('Boletins Nuppa Site'!I388&lt;&gt;0,'Boletins Nuppa Site'!I388,"NULL")</f>
        <v>120</v>
      </c>
      <c r="G388" s="14">
        <f>IF('Boletins Nuppa Site'!J388&lt;&gt;0,'Boletins Nuppa Site'!J388,"NULL")</f>
        <v>115</v>
      </c>
      <c r="H388" s="14">
        <f>IF('Boletins Nuppa Site'!K388&lt;&gt;0,'Boletins Nuppa Site'!K388,"NULL")</f>
        <v>120</v>
      </c>
      <c r="I388" t="str">
        <f t="shared" si="12"/>
        <v>INSERT INTO COTACAO (cot_id, cot_blt_id, cot_pap_id, cot_prc_comum, cot_prc_min, cot_prc_max, cot_prc_med, cot_prc_mediana) VALUES (387, 46, 35, 120, 100, 120, 115, 120);</v>
      </c>
      <c r="J388" t="str">
        <f t="shared" si="13"/>
        <v>UPDATE COTACAO SET cot_id = 387, cot_blt_id = 46, cot_pap_id = 35, cot_prc_comum = 120, cot_prc_min = 100, cot_prc_max = 120, cot_prc_med = 115, cot_prc_mediana = 120 WHERE cot_id = 387;</v>
      </c>
    </row>
    <row r="389" spans="1:10" x14ac:dyDescent="0.3">
      <c r="A389">
        <v>388</v>
      </c>
      <c r="B389">
        <f>IF('Boletins Nuppa Site'!A389&lt;&gt;0,'Boletins Nuppa Site'!A389,"NULL")</f>
        <v>46</v>
      </c>
      <c r="C389">
        <v>36</v>
      </c>
      <c r="D389" t="str">
        <f>IF('Boletins Nuppa Site'!G389&lt;&gt;0,'Boletins Nuppa Site'!G389,"NULL")</f>
        <v>NULL</v>
      </c>
      <c r="E389" s="14">
        <f>IF('Boletins Nuppa Site'!H389&lt;&gt;0,'Boletins Nuppa Site'!H389,"NULL")</f>
        <v>80</v>
      </c>
      <c r="F389" s="14">
        <f>IF('Boletins Nuppa Site'!I389&lt;&gt;0,'Boletins Nuppa Site'!I389,"NULL")</f>
        <v>80</v>
      </c>
      <c r="G389" s="14">
        <f>IF('Boletins Nuppa Site'!J389&lt;&gt;0,'Boletins Nuppa Site'!J389,"NULL")</f>
        <v>80</v>
      </c>
      <c r="H389" s="14">
        <f>IF('Boletins Nuppa Site'!K389&lt;&gt;0,'Boletins Nuppa Site'!K389,"NULL")</f>
        <v>80</v>
      </c>
      <c r="I389" t="str">
        <f t="shared" si="12"/>
        <v>INSERT INTO COTACAO (cot_id, cot_blt_id, cot_pap_id, cot_prc_comum, cot_prc_min, cot_prc_max, cot_prc_med, cot_prc_mediana) VALUES (388, 46, 36, NULL, 80, 80, 80, 80);</v>
      </c>
      <c r="J389" t="str">
        <f t="shared" si="13"/>
        <v>UPDATE COTACAO SET cot_id = 388, cot_blt_id = 46, cot_pap_id = 36, cot_prc_comum = NULL, cot_prc_min = 80, cot_prc_max = 80, cot_prc_med = 80, cot_prc_mediana = 80 WHERE cot_id = 388;</v>
      </c>
    </row>
    <row r="390" spans="1:10" x14ac:dyDescent="0.3">
      <c r="A390">
        <v>389</v>
      </c>
      <c r="B390">
        <f>IF('Boletins Nuppa Site'!A390&lt;&gt;0,'Boletins Nuppa Site'!A390,"NULL")</f>
        <v>46</v>
      </c>
      <c r="C390">
        <v>37</v>
      </c>
      <c r="D390" t="str">
        <f>IF('Boletins Nuppa Site'!G390&lt;&gt;0,'Boletins Nuppa Site'!G390,"NULL")</f>
        <v>NULL</v>
      </c>
      <c r="E390" s="14">
        <f>IF('Boletins Nuppa Site'!H390&lt;&gt;0,'Boletins Nuppa Site'!H390,"NULL")</f>
        <v>60</v>
      </c>
      <c r="F390" s="14">
        <f>IF('Boletins Nuppa Site'!I390&lt;&gt;0,'Boletins Nuppa Site'!I390,"NULL")</f>
        <v>60</v>
      </c>
      <c r="G390" s="14">
        <f>IF('Boletins Nuppa Site'!J390&lt;&gt;0,'Boletins Nuppa Site'!J390,"NULL")</f>
        <v>60</v>
      </c>
      <c r="H390" s="14">
        <f>IF('Boletins Nuppa Site'!K390&lt;&gt;0,'Boletins Nuppa Site'!K390,"NULL")</f>
        <v>60</v>
      </c>
      <c r="I390" t="str">
        <f t="shared" si="12"/>
        <v>INSERT INTO COTACAO (cot_id, cot_blt_id, cot_pap_id, cot_prc_comum, cot_prc_min, cot_prc_max, cot_prc_med, cot_prc_mediana) VALUES (389, 46, 37, NULL, 60, 60, 60, 60);</v>
      </c>
      <c r="J390" t="str">
        <f t="shared" si="13"/>
        <v>UPDATE COTACAO SET cot_id = 389, cot_blt_id = 46, cot_pap_id = 37, cot_prc_comum = NULL, cot_prc_min = 60, cot_prc_max = 60, cot_prc_med = 60, cot_prc_mediana = 60 WHERE cot_id = 389;</v>
      </c>
    </row>
    <row r="391" spans="1:10" x14ac:dyDescent="0.3">
      <c r="A391">
        <v>390</v>
      </c>
      <c r="B391">
        <f>IF('Boletins Nuppa Site'!A391&lt;&gt;0,'Boletins Nuppa Site'!A391,"NULL")</f>
        <v>46</v>
      </c>
      <c r="C391">
        <v>38</v>
      </c>
      <c r="D391" t="str">
        <f>IF('Boletins Nuppa Site'!G391&lt;&gt;0,'Boletins Nuppa Site'!G391,"NULL")</f>
        <v>NULL</v>
      </c>
      <c r="E391" s="14">
        <f>IF('Boletins Nuppa Site'!H391&lt;&gt;0,'Boletins Nuppa Site'!H391,"NULL")</f>
        <v>45</v>
      </c>
      <c r="F391" s="14">
        <f>IF('Boletins Nuppa Site'!I391&lt;&gt;0,'Boletins Nuppa Site'!I391,"NULL")</f>
        <v>60</v>
      </c>
      <c r="G391" t="str">
        <f>IF('Boletins Nuppa Site'!J391&lt;&gt;0,'Boletins Nuppa Site'!J391,"NULL")</f>
        <v>52.5</v>
      </c>
      <c r="H391" t="str">
        <f>IF('Boletins Nuppa Site'!K391&lt;&gt;0,'Boletins Nuppa Site'!K391,"NULL")</f>
        <v>52.5</v>
      </c>
      <c r="I391" t="str">
        <f t="shared" si="12"/>
        <v>INSERT INTO COTACAO (cot_id, cot_blt_id, cot_pap_id, cot_prc_comum, cot_prc_min, cot_prc_max, cot_prc_med, cot_prc_mediana) VALUES (390, 46, 38, NULL, 45, 60, 52.5, 52.5);</v>
      </c>
      <c r="J391" t="str">
        <f t="shared" si="13"/>
        <v>UPDATE COTACAO SET cot_id = 390, cot_blt_id = 46, cot_pap_id = 38, cot_prc_comum = NULL, cot_prc_min = 45, cot_prc_max = 60, cot_prc_med = 52.5, cot_prc_mediana = 52.5 WHERE cot_id = 390;</v>
      </c>
    </row>
    <row r="392" spans="1:10" x14ac:dyDescent="0.3">
      <c r="A392">
        <v>391</v>
      </c>
      <c r="B392">
        <f>IF('Boletins Nuppa Site'!A392&lt;&gt;0,'Boletins Nuppa Site'!A392,"NULL")</f>
        <v>46</v>
      </c>
      <c r="C392">
        <v>39</v>
      </c>
      <c r="D392" t="str">
        <f>IF('Boletins Nuppa Site'!G392&lt;&gt;0,'Boletins Nuppa Site'!G392,"NULL")</f>
        <v>NULL</v>
      </c>
      <c r="E392" s="14">
        <f>IF('Boletins Nuppa Site'!H392&lt;&gt;0,'Boletins Nuppa Site'!H392,"NULL")</f>
        <v>48</v>
      </c>
      <c r="F392" s="14">
        <f>IF('Boletins Nuppa Site'!I392&lt;&gt;0,'Boletins Nuppa Site'!I392,"NULL")</f>
        <v>48</v>
      </c>
      <c r="G392" s="14">
        <f>IF('Boletins Nuppa Site'!J392&lt;&gt;0,'Boletins Nuppa Site'!J392,"NULL")</f>
        <v>48</v>
      </c>
      <c r="H392" s="14">
        <f>IF('Boletins Nuppa Site'!K392&lt;&gt;0,'Boletins Nuppa Site'!K392,"NULL")</f>
        <v>48</v>
      </c>
      <c r="I392" t="str">
        <f t="shared" si="12"/>
        <v>INSERT INTO COTACAO (cot_id, cot_blt_id, cot_pap_id, cot_prc_comum, cot_prc_min, cot_prc_max, cot_prc_med, cot_prc_mediana) VALUES (391, 46, 39, NULL, 48, 48, 48, 48);</v>
      </c>
      <c r="J392" t="str">
        <f t="shared" si="13"/>
        <v>UPDATE COTACAO SET cot_id = 391, cot_blt_id = 46, cot_pap_id = 39, cot_prc_comum = NULL, cot_prc_min = 48, cot_prc_max = 48, cot_prc_med = 48, cot_prc_mediana = 48 WHERE cot_id = 391;</v>
      </c>
    </row>
    <row r="393" spans="1:10" x14ac:dyDescent="0.3">
      <c r="A393">
        <v>392</v>
      </c>
      <c r="B393">
        <f>IF('Boletins Nuppa Site'!A393&lt;&gt;0,'Boletins Nuppa Site'!A393,"NULL")</f>
        <v>46</v>
      </c>
      <c r="C393">
        <v>40</v>
      </c>
      <c r="D393" s="14">
        <f>IF('Boletins Nuppa Site'!G393&lt;&gt;0,'Boletins Nuppa Site'!G393,"NULL")</f>
        <v>90</v>
      </c>
      <c r="E393" s="14">
        <f>IF('Boletins Nuppa Site'!H393&lt;&gt;0,'Boletins Nuppa Site'!H393,"NULL")</f>
        <v>90</v>
      </c>
      <c r="F393" s="14">
        <f>IF('Boletins Nuppa Site'!I393&lt;&gt;0,'Boletins Nuppa Site'!I393,"NULL")</f>
        <v>90</v>
      </c>
      <c r="G393" s="14">
        <f>IF('Boletins Nuppa Site'!J393&lt;&gt;0,'Boletins Nuppa Site'!J393,"NULL")</f>
        <v>90</v>
      </c>
      <c r="H393" s="14">
        <f>IF('Boletins Nuppa Site'!K393&lt;&gt;0,'Boletins Nuppa Site'!K393,"NULL")</f>
        <v>90</v>
      </c>
      <c r="I393" t="str">
        <f t="shared" si="12"/>
        <v>INSERT INTO COTACAO (cot_id, cot_blt_id, cot_pap_id, cot_prc_comum, cot_prc_min, cot_prc_max, cot_prc_med, cot_prc_mediana) VALUES (392, 46, 40, 90, 90, 90, 90, 90);</v>
      </c>
      <c r="J393" t="str">
        <f t="shared" si="13"/>
        <v>UPDATE COTACAO SET cot_id = 392, cot_blt_id = 46, cot_pap_id = 40, cot_prc_comum = 90, cot_prc_min = 90, cot_prc_max = 90, cot_prc_med = 90, cot_prc_mediana = 90 WHERE cot_id = 392;</v>
      </c>
    </row>
    <row r="394" spans="1:10" x14ac:dyDescent="0.3">
      <c r="A394">
        <v>393</v>
      </c>
      <c r="B394">
        <f>IF('Boletins Nuppa Site'!A394&lt;&gt;0,'Boletins Nuppa Site'!A394,"NULL")</f>
        <v>47</v>
      </c>
      <c r="C394">
        <v>1</v>
      </c>
      <c r="D394" t="str">
        <f>IF('Boletins Nuppa Site'!G394&lt;&gt;0,'Boletins Nuppa Site'!G394,"NULL")</f>
        <v>NULL</v>
      </c>
      <c r="E394" s="14">
        <f>IF('Boletins Nuppa Site'!H394&lt;&gt;0,'Boletins Nuppa Site'!H394,"NULL")</f>
        <v>48</v>
      </c>
      <c r="F394" s="14">
        <f>IF('Boletins Nuppa Site'!I394&lt;&gt;0,'Boletins Nuppa Site'!I394,"NULL")</f>
        <v>60</v>
      </c>
      <c r="G394" s="14">
        <f>IF('Boletins Nuppa Site'!J394&lt;&gt;0,'Boletins Nuppa Site'!J394,"NULL")</f>
        <v>54</v>
      </c>
      <c r="H394" s="14">
        <f>IF('Boletins Nuppa Site'!K394&lt;&gt;0,'Boletins Nuppa Site'!K394,"NULL")</f>
        <v>54</v>
      </c>
      <c r="I394" t="str">
        <f t="shared" si="12"/>
        <v>INSERT INTO COTACAO (cot_id, cot_blt_id, cot_pap_id, cot_prc_comum, cot_prc_min, cot_prc_max, cot_prc_med, cot_prc_mediana) VALUES (393, 47, 1, NULL, 48, 60, 54, 54);</v>
      </c>
      <c r="J394" t="str">
        <f t="shared" si="13"/>
        <v>UPDATE COTACAO SET cot_id = 393, cot_blt_id = 47, cot_pap_id = 1, cot_prc_comum = NULL, cot_prc_min = 48, cot_prc_max = 60, cot_prc_med = 54, cot_prc_mediana = 54 WHERE cot_id = 393;</v>
      </c>
    </row>
    <row r="395" spans="1:10" x14ac:dyDescent="0.3">
      <c r="A395">
        <v>394</v>
      </c>
      <c r="B395">
        <f>IF('Boletins Nuppa Site'!A395&lt;&gt;0,'Boletins Nuppa Site'!A395,"NULL")</f>
        <v>47</v>
      </c>
      <c r="C395">
        <v>2</v>
      </c>
      <c r="D395" s="14">
        <f>IF('Boletins Nuppa Site'!G395&lt;&gt;0,'Boletins Nuppa Site'!G395,"NULL")</f>
        <v>72</v>
      </c>
      <c r="E395" s="14">
        <f>IF('Boletins Nuppa Site'!H395&lt;&gt;0,'Boletins Nuppa Site'!H395,"NULL")</f>
        <v>72</v>
      </c>
      <c r="F395" s="14">
        <f>IF('Boletins Nuppa Site'!I395&lt;&gt;0,'Boletins Nuppa Site'!I395,"NULL")</f>
        <v>84</v>
      </c>
      <c r="G395" s="14">
        <f>IF('Boletins Nuppa Site'!J395&lt;&gt;0,'Boletins Nuppa Site'!J395,"NULL")</f>
        <v>76</v>
      </c>
      <c r="H395" s="14">
        <f>IF('Boletins Nuppa Site'!K395&lt;&gt;0,'Boletins Nuppa Site'!K395,"NULL")</f>
        <v>72</v>
      </c>
      <c r="I395" t="str">
        <f t="shared" si="12"/>
        <v>INSERT INTO COTACAO (cot_id, cot_blt_id, cot_pap_id, cot_prc_comum, cot_prc_min, cot_prc_max, cot_prc_med, cot_prc_mediana) VALUES (394, 47, 2, 72, 72, 84, 76, 72);</v>
      </c>
      <c r="J395" t="str">
        <f t="shared" si="13"/>
        <v>UPDATE COTACAO SET cot_id = 394, cot_blt_id = 47, cot_pap_id = 2, cot_prc_comum = 72, cot_prc_min = 72, cot_prc_max = 84, cot_prc_med = 76, cot_prc_mediana = 72 WHERE cot_id = 394;</v>
      </c>
    </row>
    <row r="396" spans="1:10" x14ac:dyDescent="0.3">
      <c r="A396">
        <v>395</v>
      </c>
      <c r="B396">
        <f>IF('Boletins Nuppa Site'!A396&lt;&gt;0,'Boletins Nuppa Site'!A396,"NULL")</f>
        <v>47</v>
      </c>
      <c r="C396">
        <v>3</v>
      </c>
      <c r="D396" s="14">
        <f>IF('Boletins Nuppa Site'!G396&lt;&gt;0,'Boletins Nuppa Site'!G396,"NULL")</f>
        <v>48</v>
      </c>
      <c r="E396" s="14">
        <f>IF('Boletins Nuppa Site'!H396&lt;&gt;0,'Boletins Nuppa Site'!H396,"NULL")</f>
        <v>48</v>
      </c>
      <c r="F396" s="14">
        <f>IF('Boletins Nuppa Site'!I396&lt;&gt;0,'Boletins Nuppa Site'!I396,"NULL")</f>
        <v>60</v>
      </c>
      <c r="G396" s="14">
        <f>IF('Boletins Nuppa Site'!J396&lt;&gt;0,'Boletins Nuppa Site'!J396,"NULL")</f>
        <v>52</v>
      </c>
      <c r="H396" s="14">
        <f>IF('Boletins Nuppa Site'!K396&lt;&gt;0,'Boletins Nuppa Site'!K396,"NULL")</f>
        <v>48</v>
      </c>
      <c r="I396" t="str">
        <f t="shared" si="12"/>
        <v>INSERT INTO COTACAO (cot_id, cot_blt_id, cot_pap_id, cot_prc_comum, cot_prc_min, cot_prc_max, cot_prc_med, cot_prc_mediana) VALUES (395, 47, 3, 48, 48, 60, 52, 48);</v>
      </c>
      <c r="J396" t="str">
        <f t="shared" si="13"/>
        <v>UPDATE COTACAO SET cot_id = 395, cot_blt_id = 47, cot_pap_id = 3, cot_prc_comum = 48, cot_prc_min = 48, cot_prc_max = 60, cot_prc_med = 52, cot_prc_mediana = 48 WHERE cot_id = 395;</v>
      </c>
    </row>
    <row r="397" spans="1:10" x14ac:dyDescent="0.3">
      <c r="A397">
        <v>396</v>
      </c>
      <c r="B397">
        <f>IF('Boletins Nuppa Site'!A397&lt;&gt;0,'Boletins Nuppa Site'!A397,"NULL")</f>
        <v>47</v>
      </c>
      <c r="C397">
        <v>4</v>
      </c>
      <c r="D397" t="str">
        <f>IF('Boletins Nuppa Site'!G397&lt;&gt;0,'Boletins Nuppa Site'!G397,"NULL")</f>
        <v>NULL</v>
      </c>
      <c r="E397" s="14">
        <f>IF('Boletins Nuppa Site'!H397&lt;&gt;0,'Boletins Nuppa Site'!H397,"NULL")</f>
        <v>35</v>
      </c>
      <c r="F397" s="14">
        <f>IF('Boletins Nuppa Site'!I397&lt;&gt;0,'Boletins Nuppa Site'!I397,"NULL")</f>
        <v>50</v>
      </c>
      <c r="G397" t="str">
        <f>IF('Boletins Nuppa Site'!J397&lt;&gt;0,'Boletins Nuppa Site'!J397,"NULL")</f>
        <v>42.33</v>
      </c>
      <c r="H397" s="14">
        <f>IF('Boletins Nuppa Site'!K397&lt;&gt;0,'Boletins Nuppa Site'!K397,"NULL")</f>
        <v>42</v>
      </c>
      <c r="I397" t="str">
        <f t="shared" si="12"/>
        <v>INSERT INTO COTACAO (cot_id, cot_blt_id, cot_pap_id, cot_prc_comum, cot_prc_min, cot_prc_max, cot_prc_med, cot_prc_mediana) VALUES (396, 47, 4, NULL, 35, 50, 42.33, 42);</v>
      </c>
      <c r="J397" t="str">
        <f t="shared" si="13"/>
        <v>UPDATE COTACAO SET cot_id = 396, cot_blt_id = 47, cot_pap_id = 4, cot_prc_comum = NULL, cot_prc_min = 35, cot_prc_max = 50, cot_prc_med = 42.33, cot_prc_mediana = 42 WHERE cot_id = 396;</v>
      </c>
    </row>
    <row r="398" spans="1:10" x14ac:dyDescent="0.3">
      <c r="A398">
        <v>397</v>
      </c>
      <c r="B398">
        <f>IF('Boletins Nuppa Site'!A398&lt;&gt;0,'Boletins Nuppa Site'!A398,"NULL")</f>
        <v>47</v>
      </c>
      <c r="C398">
        <v>5</v>
      </c>
      <c r="D398" t="str">
        <f>IF('Boletins Nuppa Site'!G398&lt;&gt;0,'Boletins Nuppa Site'!G398,"NULL")</f>
        <v>NULL</v>
      </c>
      <c r="E398" s="14">
        <f>IF('Boletins Nuppa Site'!H398&lt;&gt;0,'Boletins Nuppa Site'!H398,"NULL")</f>
        <v>35</v>
      </c>
      <c r="F398" s="14">
        <f>IF('Boletins Nuppa Site'!I398&lt;&gt;0,'Boletins Nuppa Site'!I398,"NULL")</f>
        <v>50</v>
      </c>
      <c r="G398" t="str">
        <f>IF('Boletins Nuppa Site'!J398&lt;&gt;0,'Boletins Nuppa Site'!J398,"NULL")</f>
        <v>42.33</v>
      </c>
      <c r="H398" s="14">
        <f>IF('Boletins Nuppa Site'!K398&lt;&gt;0,'Boletins Nuppa Site'!K398,"NULL")</f>
        <v>42</v>
      </c>
      <c r="I398" t="str">
        <f t="shared" si="12"/>
        <v>INSERT INTO COTACAO (cot_id, cot_blt_id, cot_pap_id, cot_prc_comum, cot_prc_min, cot_prc_max, cot_prc_med, cot_prc_mediana) VALUES (397, 47, 5, NULL, 35, 50, 42.33, 42);</v>
      </c>
      <c r="J398" t="str">
        <f t="shared" si="13"/>
        <v>UPDATE COTACAO SET cot_id = 397, cot_blt_id = 47, cot_pap_id = 5, cot_prc_comum = NULL, cot_prc_min = 35, cot_prc_max = 50, cot_prc_med = 42.33, cot_prc_mediana = 42 WHERE cot_id = 397;</v>
      </c>
    </row>
    <row r="399" spans="1:10" x14ac:dyDescent="0.3">
      <c r="A399">
        <v>398</v>
      </c>
      <c r="B399">
        <f>IF('Boletins Nuppa Site'!A399&lt;&gt;0,'Boletins Nuppa Site'!A399,"NULL")</f>
        <v>47</v>
      </c>
      <c r="C399">
        <v>6</v>
      </c>
      <c r="D399" s="14">
        <f>IF('Boletins Nuppa Site'!G399&lt;&gt;0,'Boletins Nuppa Site'!G399,"NULL")</f>
        <v>72</v>
      </c>
      <c r="E399" s="14">
        <f>IF('Boletins Nuppa Site'!H399&lt;&gt;0,'Boletins Nuppa Site'!H399,"NULL")</f>
        <v>60</v>
      </c>
      <c r="F399" s="14">
        <f>IF('Boletins Nuppa Site'!I399&lt;&gt;0,'Boletins Nuppa Site'!I399,"NULL")</f>
        <v>72</v>
      </c>
      <c r="G399" s="14">
        <f>IF('Boletins Nuppa Site'!J399&lt;&gt;0,'Boletins Nuppa Site'!J399,"NULL")</f>
        <v>68</v>
      </c>
      <c r="H399" s="14">
        <f>IF('Boletins Nuppa Site'!K399&lt;&gt;0,'Boletins Nuppa Site'!K399,"NULL")</f>
        <v>72</v>
      </c>
      <c r="I399" t="str">
        <f t="shared" si="12"/>
        <v>INSERT INTO COTACAO (cot_id, cot_blt_id, cot_pap_id, cot_prc_comum, cot_prc_min, cot_prc_max, cot_prc_med, cot_prc_mediana) VALUES (398, 47, 6, 72, 60, 72, 68, 72);</v>
      </c>
      <c r="J399" t="str">
        <f t="shared" si="13"/>
        <v>UPDATE COTACAO SET cot_id = 398, cot_blt_id = 47, cot_pap_id = 6, cot_prc_comum = 72, cot_prc_min = 60, cot_prc_max = 72, cot_prc_med = 68, cot_prc_mediana = 72 WHERE cot_id = 398;</v>
      </c>
    </row>
    <row r="400" spans="1:10" x14ac:dyDescent="0.3">
      <c r="A400">
        <v>399</v>
      </c>
      <c r="B400">
        <f>IF('Boletins Nuppa Site'!A400&lt;&gt;0,'Boletins Nuppa Site'!A400,"NULL")</f>
        <v>47</v>
      </c>
      <c r="C400">
        <v>7</v>
      </c>
      <c r="D400" t="str">
        <f>IF('Boletins Nuppa Site'!G400&lt;&gt;0,'Boletins Nuppa Site'!G400,"NULL")</f>
        <v>NULL</v>
      </c>
      <c r="E400" s="14">
        <f>IF('Boletins Nuppa Site'!H400&lt;&gt;0,'Boletins Nuppa Site'!H400,"NULL")</f>
        <v>72</v>
      </c>
      <c r="F400" s="14">
        <f>IF('Boletins Nuppa Site'!I400&lt;&gt;0,'Boletins Nuppa Site'!I400,"NULL")</f>
        <v>96</v>
      </c>
      <c r="G400" s="14">
        <f>IF('Boletins Nuppa Site'!J400&lt;&gt;0,'Boletins Nuppa Site'!J400,"NULL")</f>
        <v>86</v>
      </c>
      <c r="H400" s="14">
        <f>IF('Boletins Nuppa Site'!K400&lt;&gt;0,'Boletins Nuppa Site'!K400,"NULL")</f>
        <v>90</v>
      </c>
      <c r="I400" t="str">
        <f t="shared" si="12"/>
        <v>INSERT INTO COTACAO (cot_id, cot_blt_id, cot_pap_id, cot_prc_comum, cot_prc_min, cot_prc_max, cot_prc_med, cot_prc_mediana) VALUES (399, 47, 7, NULL, 72, 96, 86, 90);</v>
      </c>
      <c r="J400" t="str">
        <f t="shared" si="13"/>
        <v>UPDATE COTACAO SET cot_id = 399, cot_blt_id = 47, cot_pap_id = 7, cot_prc_comum = NULL, cot_prc_min = 72, cot_prc_max = 96, cot_prc_med = 86, cot_prc_mediana = 90 WHERE cot_id = 399;</v>
      </c>
    </row>
    <row r="401" spans="1:10" x14ac:dyDescent="0.3">
      <c r="A401">
        <v>400</v>
      </c>
      <c r="B401">
        <f>IF('Boletins Nuppa Site'!A401&lt;&gt;0,'Boletins Nuppa Site'!A401,"NULL")</f>
        <v>47</v>
      </c>
      <c r="C401">
        <v>8</v>
      </c>
      <c r="D401" t="str">
        <f>IF('Boletins Nuppa Site'!G401&lt;&gt;0,'Boletins Nuppa Site'!G401,"NULL")</f>
        <v>NULL</v>
      </c>
      <c r="E401" s="14">
        <f>IF('Boletins Nuppa Site'!H401&lt;&gt;0,'Boletins Nuppa Site'!H401,"NULL")</f>
        <v>120</v>
      </c>
      <c r="F401" s="14">
        <f>IF('Boletins Nuppa Site'!I401&lt;&gt;0,'Boletins Nuppa Site'!I401,"NULL")</f>
        <v>120</v>
      </c>
      <c r="G401" s="14">
        <f>IF('Boletins Nuppa Site'!J401&lt;&gt;0,'Boletins Nuppa Site'!J401,"NULL")</f>
        <v>120</v>
      </c>
      <c r="H401" s="14">
        <f>IF('Boletins Nuppa Site'!K401&lt;&gt;0,'Boletins Nuppa Site'!K401,"NULL")</f>
        <v>120</v>
      </c>
      <c r="I401" t="str">
        <f t="shared" si="12"/>
        <v>INSERT INTO COTACAO (cot_id, cot_blt_id, cot_pap_id, cot_prc_comum, cot_prc_min, cot_prc_max, cot_prc_med, cot_prc_mediana) VALUES (400, 47, 8, NULL, 120, 120, 120, 120);</v>
      </c>
      <c r="J401" t="str">
        <f t="shared" si="13"/>
        <v>UPDATE COTACAO SET cot_id = 400, cot_blt_id = 47, cot_pap_id = 8, cot_prc_comum = NULL, cot_prc_min = 120, cot_prc_max = 120, cot_prc_med = 120, cot_prc_mediana = 120 WHERE cot_id = 400;</v>
      </c>
    </row>
    <row r="402" spans="1:10" x14ac:dyDescent="0.3">
      <c r="A402">
        <v>401</v>
      </c>
      <c r="B402">
        <f>IF('Boletins Nuppa Site'!A402&lt;&gt;0,'Boletins Nuppa Site'!A402,"NULL")</f>
        <v>47</v>
      </c>
      <c r="C402">
        <v>9</v>
      </c>
      <c r="D402" s="14">
        <f>IF('Boletins Nuppa Site'!G402&lt;&gt;0,'Boletins Nuppa Site'!G402,"NULL")</f>
        <v>30</v>
      </c>
      <c r="E402" s="14">
        <f>IF('Boletins Nuppa Site'!H402&lt;&gt;0,'Boletins Nuppa Site'!H402,"NULL")</f>
        <v>30</v>
      </c>
      <c r="F402" s="14">
        <f>IF('Boletins Nuppa Site'!I402&lt;&gt;0,'Boletins Nuppa Site'!I402,"NULL")</f>
        <v>36</v>
      </c>
      <c r="G402" s="14">
        <f>IF('Boletins Nuppa Site'!J402&lt;&gt;0,'Boletins Nuppa Site'!J402,"NULL")</f>
        <v>32</v>
      </c>
      <c r="H402" s="14">
        <f>IF('Boletins Nuppa Site'!K402&lt;&gt;0,'Boletins Nuppa Site'!K402,"NULL")</f>
        <v>30</v>
      </c>
      <c r="I402" t="str">
        <f t="shared" si="12"/>
        <v>INSERT INTO COTACAO (cot_id, cot_blt_id, cot_pap_id, cot_prc_comum, cot_prc_min, cot_prc_max, cot_prc_med, cot_prc_mediana) VALUES (401, 47, 9, 30, 30, 36, 32, 30);</v>
      </c>
      <c r="J402" t="str">
        <f t="shared" si="13"/>
        <v>UPDATE COTACAO SET cot_id = 401, cot_blt_id = 47, cot_pap_id = 9, cot_prc_comum = 30, cot_prc_min = 30, cot_prc_max = 36, cot_prc_med = 32, cot_prc_mediana = 30 WHERE cot_id = 401;</v>
      </c>
    </row>
    <row r="403" spans="1:10" x14ac:dyDescent="0.3">
      <c r="A403">
        <v>402</v>
      </c>
      <c r="B403">
        <f>IF('Boletins Nuppa Site'!A403&lt;&gt;0,'Boletins Nuppa Site'!A403,"NULL")</f>
        <v>47</v>
      </c>
      <c r="C403">
        <v>10</v>
      </c>
      <c r="D403" s="14">
        <f>IF('Boletins Nuppa Site'!G403&lt;&gt;0,'Boletins Nuppa Site'!G403,"NULL")</f>
        <v>120</v>
      </c>
      <c r="E403" s="14">
        <f>IF('Boletins Nuppa Site'!H403&lt;&gt;0,'Boletins Nuppa Site'!H403,"NULL")</f>
        <v>120</v>
      </c>
      <c r="F403" s="14">
        <f>IF('Boletins Nuppa Site'!I403&lt;&gt;0,'Boletins Nuppa Site'!I403,"NULL")</f>
        <v>120</v>
      </c>
      <c r="G403" s="14">
        <f>IF('Boletins Nuppa Site'!J403&lt;&gt;0,'Boletins Nuppa Site'!J403,"NULL")</f>
        <v>120</v>
      </c>
      <c r="H403" s="14">
        <f>IF('Boletins Nuppa Site'!K403&lt;&gt;0,'Boletins Nuppa Site'!K403,"NULL")</f>
        <v>120</v>
      </c>
      <c r="I403" t="str">
        <f t="shared" si="12"/>
        <v>INSERT INTO COTACAO (cot_id, cot_blt_id, cot_pap_id, cot_prc_comum, cot_prc_min, cot_prc_max, cot_prc_med, cot_prc_mediana) VALUES (402, 47, 10, 120, 120, 120, 120, 120);</v>
      </c>
      <c r="J403" t="str">
        <f t="shared" si="13"/>
        <v>UPDATE COTACAO SET cot_id = 402, cot_blt_id = 47, cot_pap_id = 10, cot_prc_comum = 120, cot_prc_min = 120, cot_prc_max = 120, cot_prc_med = 120, cot_prc_mediana = 120 WHERE cot_id = 402;</v>
      </c>
    </row>
    <row r="404" spans="1:10" x14ac:dyDescent="0.3">
      <c r="A404">
        <v>403</v>
      </c>
      <c r="B404">
        <f>IF('Boletins Nuppa Site'!A404&lt;&gt;0,'Boletins Nuppa Site'!A404,"NULL")</f>
        <v>47</v>
      </c>
      <c r="C404">
        <v>11</v>
      </c>
      <c r="D404" t="str">
        <f>IF('Boletins Nuppa Site'!G404&lt;&gt;0,'Boletins Nuppa Site'!G404,"NULL")</f>
        <v>NULL</v>
      </c>
      <c r="E404" s="14">
        <f>IF('Boletins Nuppa Site'!H404&lt;&gt;0,'Boletins Nuppa Site'!H404,"NULL")</f>
        <v>30</v>
      </c>
      <c r="F404" s="14">
        <f>IF('Boletins Nuppa Site'!I404&lt;&gt;0,'Boletins Nuppa Site'!I404,"NULL")</f>
        <v>42</v>
      </c>
      <c r="G404" s="14">
        <f>IF('Boletins Nuppa Site'!J404&lt;&gt;0,'Boletins Nuppa Site'!J404,"NULL")</f>
        <v>36</v>
      </c>
      <c r="H404" s="14">
        <f>IF('Boletins Nuppa Site'!K404&lt;&gt;0,'Boletins Nuppa Site'!K404,"NULL")</f>
        <v>36</v>
      </c>
      <c r="I404" t="str">
        <f t="shared" si="12"/>
        <v>INSERT INTO COTACAO (cot_id, cot_blt_id, cot_pap_id, cot_prc_comum, cot_prc_min, cot_prc_max, cot_prc_med, cot_prc_mediana) VALUES (403, 47, 11, NULL, 30, 42, 36, 36);</v>
      </c>
      <c r="J404" t="str">
        <f t="shared" si="13"/>
        <v>UPDATE COTACAO SET cot_id = 403, cot_blt_id = 47, cot_pap_id = 11, cot_prc_comum = NULL, cot_prc_min = 30, cot_prc_max = 42, cot_prc_med = 36, cot_prc_mediana = 36 WHERE cot_id = 403;</v>
      </c>
    </row>
    <row r="405" spans="1:10" x14ac:dyDescent="0.3">
      <c r="A405">
        <v>404</v>
      </c>
      <c r="B405">
        <f>IF('Boletins Nuppa Site'!A405&lt;&gt;0,'Boletins Nuppa Site'!A405,"NULL")</f>
        <v>47</v>
      </c>
      <c r="C405">
        <v>12</v>
      </c>
      <c r="D405" t="str">
        <f>IF('Boletins Nuppa Site'!G405&lt;&gt;0,'Boletins Nuppa Site'!G405,"NULL")</f>
        <v>NULL</v>
      </c>
      <c r="E405" s="14">
        <f>IF('Boletins Nuppa Site'!H405&lt;&gt;0,'Boletins Nuppa Site'!H405,"NULL")</f>
        <v>78</v>
      </c>
      <c r="F405" s="14">
        <f>IF('Boletins Nuppa Site'!I405&lt;&gt;0,'Boletins Nuppa Site'!I405,"NULL")</f>
        <v>96</v>
      </c>
      <c r="G405" s="14">
        <f>IF('Boletins Nuppa Site'!J405&lt;&gt;0,'Boletins Nuppa Site'!J405,"NULL")</f>
        <v>86</v>
      </c>
      <c r="H405" s="14">
        <f>IF('Boletins Nuppa Site'!K405&lt;&gt;0,'Boletins Nuppa Site'!K405,"NULL")</f>
        <v>84</v>
      </c>
      <c r="I405" t="str">
        <f t="shared" si="12"/>
        <v>INSERT INTO COTACAO (cot_id, cot_blt_id, cot_pap_id, cot_prc_comum, cot_prc_min, cot_prc_max, cot_prc_med, cot_prc_mediana) VALUES (404, 47, 12, NULL, 78, 96, 86, 84);</v>
      </c>
      <c r="J405" t="str">
        <f t="shared" si="13"/>
        <v>UPDATE COTACAO SET cot_id = 404, cot_blt_id = 47, cot_pap_id = 12, cot_prc_comum = NULL, cot_prc_min = 78, cot_prc_max = 96, cot_prc_med = 86, cot_prc_mediana = 84 WHERE cot_id = 404;</v>
      </c>
    </row>
    <row r="406" spans="1:10" x14ac:dyDescent="0.3">
      <c r="A406">
        <v>405</v>
      </c>
      <c r="B406">
        <f>IF('Boletins Nuppa Site'!A406&lt;&gt;0,'Boletins Nuppa Site'!A406,"NULL")</f>
        <v>47</v>
      </c>
      <c r="C406">
        <v>13</v>
      </c>
      <c r="D406" t="str">
        <f>IF('Boletins Nuppa Site'!G406&lt;&gt;0,'Boletins Nuppa Site'!G406,"NULL")</f>
        <v>NULL</v>
      </c>
      <c r="E406" s="14">
        <f>IF('Boletins Nuppa Site'!H406&lt;&gt;0,'Boletins Nuppa Site'!H406,"NULL")</f>
        <v>60</v>
      </c>
      <c r="F406" s="14">
        <f>IF('Boletins Nuppa Site'!I406&lt;&gt;0,'Boletins Nuppa Site'!I406,"NULL")</f>
        <v>78</v>
      </c>
      <c r="G406" s="14">
        <f>IF('Boletins Nuppa Site'!J406&lt;&gt;0,'Boletins Nuppa Site'!J406,"NULL")</f>
        <v>70</v>
      </c>
      <c r="H406" s="14">
        <f>IF('Boletins Nuppa Site'!K406&lt;&gt;0,'Boletins Nuppa Site'!K406,"NULL")</f>
        <v>72</v>
      </c>
      <c r="I406" t="str">
        <f t="shared" si="12"/>
        <v>INSERT INTO COTACAO (cot_id, cot_blt_id, cot_pap_id, cot_prc_comum, cot_prc_min, cot_prc_max, cot_prc_med, cot_prc_mediana) VALUES (405, 47, 13, NULL, 60, 78, 70, 72);</v>
      </c>
      <c r="J406" t="str">
        <f t="shared" si="13"/>
        <v>UPDATE COTACAO SET cot_id = 405, cot_blt_id = 47, cot_pap_id = 13, cot_prc_comum = NULL, cot_prc_min = 60, cot_prc_max = 78, cot_prc_med = 70, cot_prc_mediana = 72 WHERE cot_id = 405;</v>
      </c>
    </row>
    <row r="407" spans="1:10" x14ac:dyDescent="0.3">
      <c r="A407">
        <v>406</v>
      </c>
      <c r="B407">
        <f>IF('Boletins Nuppa Site'!A407&lt;&gt;0,'Boletins Nuppa Site'!A407,"NULL")</f>
        <v>47</v>
      </c>
      <c r="C407">
        <v>14</v>
      </c>
      <c r="D407" t="str">
        <f>IF('Boletins Nuppa Site'!G407&lt;&gt;0,'Boletins Nuppa Site'!G407,"NULL")</f>
        <v>NULL</v>
      </c>
      <c r="E407" s="14">
        <f>IF('Boletins Nuppa Site'!H407&lt;&gt;0,'Boletins Nuppa Site'!H407,"NULL")</f>
        <v>60</v>
      </c>
      <c r="F407" s="14">
        <f>IF('Boletins Nuppa Site'!I407&lt;&gt;0,'Boletins Nuppa Site'!I407,"NULL")</f>
        <v>120</v>
      </c>
      <c r="G407" t="str">
        <f>IF('Boletins Nuppa Site'!J407&lt;&gt;0,'Boletins Nuppa Site'!J407,"NULL")</f>
        <v>81.8</v>
      </c>
      <c r="H407" s="14">
        <f>IF('Boletins Nuppa Site'!K407&lt;&gt;0,'Boletins Nuppa Site'!K407,"NULL")</f>
        <v>75</v>
      </c>
      <c r="I407" t="str">
        <f t="shared" si="12"/>
        <v>INSERT INTO COTACAO (cot_id, cot_blt_id, cot_pap_id, cot_prc_comum, cot_prc_min, cot_prc_max, cot_prc_med, cot_prc_mediana) VALUES (406, 47, 14, NULL, 60, 120, 81.8, 75);</v>
      </c>
      <c r="J407" t="str">
        <f t="shared" si="13"/>
        <v>UPDATE COTACAO SET cot_id = 406, cot_blt_id = 47, cot_pap_id = 14, cot_prc_comum = NULL, cot_prc_min = 60, cot_prc_max = 120, cot_prc_med = 81.8, cot_prc_mediana = 75 WHERE cot_id = 406;</v>
      </c>
    </row>
    <row r="408" spans="1:10" x14ac:dyDescent="0.3">
      <c r="A408">
        <v>407</v>
      </c>
      <c r="B408">
        <f>IF('Boletins Nuppa Site'!A408&lt;&gt;0,'Boletins Nuppa Site'!A408,"NULL")</f>
        <v>47</v>
      </c>
      <c r="C408">
        <v>15</v>
      </c>
      <c r="D408" s="14">
        <f>IF('Boletins Nuppa Site'!G408&lt;&gt;0,'Boletins Nuppa Site'!G408,"NULL")</f>
        <v>60</v>
      </c>
      <c r="E408" s="14">
        <f>IF('Boletins Nuppa Site'!H408&lt;&gt;0,'Boletins Nuppa Site'!H408,"NULL")</f>
        <v>50</v>
      </c>
      <c r="F408" s="14">
        <f>IF('Boletins Nuppa Site'!I408&lt;&gt;0,'Boletins Nuppa Site'!I408,"NULL")</f>
        <v>84</v>
      </c>
      <c r="G408" t="str">
        <f>IF('Boletins Nuppa Site'!J408&lt;&gt;0,'Boletins Nuppa Site'!J408,"NULL")</f>
        <v>62.33</v>
      </c>
      <c r="H408" s="14">
        <f>IF('Boletins Nuppa Site'!K408&lt;&gt;0,'Boletins Nuppa Site'!K408,"NULL")</f>
        <v>60</v>
      </c>
      <c r="I408" t="str">
        <f t="shared" si="12"/>
        <v>INSERT INTO COTACAO (cot_id, cot_blt_id, cot_pap_id, cot_prc_comum, cot_prc_min, cot_prc_max, cot_prc_med, cot_prc_mediana) VALUES (407, 47, 15, 60, 50, 84, 62.33, 60);</v>
      </c>
      <c r="J408" t="str">
        <f t="shared" si="13"/>
        <v>UPDATE COTACAO SET cot_id = 407, cot_blt_id = 47, cot_pap_id = 15, cot_prc_comum = 60, cot_prc_min = 50, cot_prc_max = 84, cot_prc_med = 62.33, cot_prc_mediana = 60 WHERE cot_id = 407;</v>
      </c>
    </row>
    <row r="409" spans="1:10" x14ac:dyDescent="0.3">
      <c r="A409">
        <v>408</v>
      </c>
      <c r="B409">
        <f>IF('Boletins Nuppa Site'!A409&lt;&gt;0,'Boletins Nuppa Site'!A409,"NULL")</f>
        <v>47</v>
      </c>
      <c r="C409">
        <v>16</v>
      </c>
      <c r="D409" s="14">
        <f>IF('Boletins Nuppa Site'!G409&lt;&gt;0,'Boletins Nuppa Site'!G409,"NULL")</f>
        <v>54</v>
      </c>
      <c r="E409" s="14">
        <f>IF('Boletins Nuppa Site'!H409&lt;&gt;0,'Boletins Nuppa Site'!H409,"NULL")</f>
        <v>48</v>
      </c>
      <c r="F409" s="14">
        <f>IF('Boletins Nuppa Site'!I409&lt;&gt;0,'Boletins Nuppa Site'!I409,"NULL")</f>
        <v>54</v>
      </c>
      <c r="G409" s="14">
        <f>IF('Boletins Nuppa Site'!J409&lt;&gt;0,'Boletins Nuppa Site'!J409,"NULL")</f>
        <v>52</v>
      </c>
      <c r="H409" s="14">
        <f>IF('Boletins Nuppa Site'!K409&lt;&gt;0,'Boletins Nuppa Site'!K409,"NULL")</f>
        <v>54</v>
      </c>
      <c r="I409" t="str">
        <f t="shared" si="12"/>
        <v>INSERT INTO COTACAO (cot_id, cot_blt_id, cot_pap_id, cot_prc_comum, cot_prc_min, cot_prc_max, cot_prc_med, cot_prc_mediana) VALUES (408, 47, 16, 54, 48, 54, 52, 54);</v>
      </c>
      <c r="J409" t="str">
        <f t="shared" si="13"/>
        <v>UPDATE COTACAO SET cot_id = 408, cot_blt_id = 47, cot_pap_id = 16, cot_prc_comum = 54, cot_prc_min = 48, cot_prc_max = 54, cot_prc_med = 52, cot_prc_mediana = 54 WHERE cot_id = 408;</v>
      </c>
    </row>
    <row r="410" spans="1:10" x14ac:dyDescent="0.3">
      <c r="A410">
        <v>409</v>
      </c>
      <c r="B410">
        <f>IF('Boletins Nuppa Site'!A410&lt;&gt;0,'Boletins Nuppa Site'!A410,"NULL")</f>
        <v>47</v>
      </c>
      <c r="C410">
        <v>17</v>
      </c>
      <c r="D410" t="str">
        <f>IF('Boletins Nuppa Site'!G410&lt;&gt;0,'Boletins Nuppa Site'!G410,"NULL")</f>
        <v>NULL</v>
      </c>
      <c r="E410" t="str">
        <f>IF('Boletins Nuppa Site'!H410&lt;&gt;0,'Boletins Nuppa Site'!H410,"NULL")</f>
        <v>4.5</v>
      </c>
      <c r="F410" s="14">
        <f>IF('Boletins Nuppa Site'!I410&lt;&gt;0,'Boletins Nuppa Site'!I410,"NULL")</f>
        <v>5</v>
      </c>
      <c r="G410" t="str">
        <f>IF('Boletins Nuppa Site'!J410&lt;&gt;0,'Boletins Nuppa Site'!J410,"NULL")</f>
        <v>4.75</v>
      </c>
      <c r="H410" t="str">
        <f>IF('Boletins Nuppa Site'!K410&lt;&gt;0,'Boletins Nuppa Site'!K410,"NULL")</f>
        <v>4.75</v>
      </c>
      <c r="I410" t="str">
        <f t="shared" si="12"/>
        <v>INSERT INTO COTACAO (cot_id, cot_blt_id, cot_pap_id, cot_prc_comum, cot_prc_min, cot_prc_max, cot_prc_med, cot_prc_mediana) VALUES (409, 47, 17, NULL, 4.5, 5, 4.75, 4.75);</v>
      </c>
      <c r="J410" t="str">
        <f t="shared" si="13"/>
        <v>UPDATE COTACAO SET cot_id = 409, cot_blt_id = 47, cot_pap_id = 17, cot_prc_comum = NULL, cot_prc_min = 4.5, cot_prc_max = 5, cot_prc_med = 4.75, cot_prc_mediana = 4.75 WHERE cot_id = 409;</v>
      </c>
    </row>
    <row r="411" spans="1:10" x14ac:dyDescent="0.3">
      <c r="A411">
        <v>410</v>
      </c>
      <c r="B411">
        <f>IF('Boletins Nuppa Site'!A411&lt;&gt;0,'Boletins Nuppa Site'!A411,"NULL")</f>
        <v>47</v>
      </c>
      <c r="C411">
        <v>18</v>
      </c>
      <c r="D411" t="str">
        <f>IF('Boletins Nuppa Site'!G411&lt;&gt;0,'Boletins Nuppa Site'!G411,"NULL")</f>
        <v>NULL</v>
      </c>
      <c r="E411" s="14">
        <f>IF('Boletins Nuppa Site'!H411&lt;&gt;0,'Boletins Nuppa Site'!H411,"NULL")</f>
        <v>25</v>
      </c>
      <c r="F411" s="14">
        <f>IF('Boletins Nuppa Site'!I411&lt;&gt;0,'Boletins Nuppa Site'!I411,"NULL")</f>
        <v>40</v>
      </c>
      <c r="G411" t="str">
        <f>IF('Boletins Nuppa Site'!J411&lt;&gt;0,'Boletins Nuppa Site'!J411,"NULL")</f>
        <v>32.5</v>
      </c>
      <c r="H411" t="str">
        <f>IF('Boletins Nuppa Site'!K411&lt;&gt;0,'Boletins Nuppa Site'!K411,"NULL")</f>
        <v>32.5</v>
      </c>
      <c r="I411" t="str">
        <f t="shared" si="12"/>
        <v>INSERT INTO COTACAO (cot_id, cot_blt_id, cot_pap_id, cot_prc_comum, cot_prc_min, cot_prc_max, cot_prc_med, cot_prc_mediana) VALUES (410, 47, 18, NULL, 25, 40, 32.5, 32.5);</v>
      </c>
      <c r="J411" t="str">
        <f t="shared" si="13"/>
        <v>UPDATE COTACAO SET cot_id = 410, cot_blt_id = 47, cot_pap_id = 18, cot_prc_comum = NULL, cot_prc_min = 25, cot_prc_max = 40, cot_prc_med = 32.5, cot_prc_mediana = 32.5 WHERE cot_id = 410;</v>
      </c>
    </row>
    <row r="412" spans="1:10" x14ac:dyDescent="0.3">
      <c r="A412">
        <v>411</v>
      </c>
      <c r="B412">
        <f>IF('Boletins Nuppa Site'!A412&lt;&gt;0,'Boletins Nuppa Site'!A412,"NULL")</f>
        <v>47</v>
      </c>
      <c r="C412">
        <v>19</v>
      </c>
      <c r="D412" t="str">
        <f>IF('Boletins Nuppa Site'!G412&lt;&gt;0,'Boletins Nuppa Site'!G412,"NULL")</f>
        <v>NULL</v>
      </c>
      <c r="E412" s="14">
        <f>IF('Boletins Nuppa Site'!H412&lt;&gt;0,'Boletins Nuppa Site'!H412,"NULL")</f>
        <v>40</v>
      </c>
      <c r="F412" s="14">
        <f>IF('Boletins Nuppa Site'!I412&lt;&gt;0,'Boletins Nuppa Site'!I412,"NULL")</f>
        <v>45</v>
      </c>
      <c r="G412" t="str">
        <f>IF('Boletins Nuppa Site'!J412&lt;&gt;0,'Boletins Nuppa Site'!J412,"NULL")</f>
        <v>42.5</v>
      </c>
      <c r="H412" t="str">
        <f>IF('Boletins Nuppa Site'!K412&lt;&gt;0,'Boletins Nuppa Site'!K412,"NULL")</f>
        <v>42.5</v>
      </c>
      <c r="I412" t="str">
        <f t="shared" si="12"/>
        <v>INSERT INTO COTACAO (cot_id, cot_blt_id, cot_pap_id, cot_prc_comum, cot_prc_min, cot_prc_max, cot_prc_med, cot_prc_mediana) VALUES (411, 47, 19, NULL, 40, 45, 42.5, 42.5);</v>
      </c>
      <c r="J412" t="str">
        <f t="shared" si="13"/>
        <v>UPDATE COTACAO SET cot_id = 411, cot_blt_id = 47, cot_pap_id = 19, cot_prc_comum = NULL, cot_prc_min = 40, cot_prc_max = 45, cot_prc_med = 42.5, cot_prc_mediana = 42.5 WHERE cot_id = 411;</v>
      </c>
    </row>
    <row r="413" spans="1:10" x14ac:dyDescent="0.3">
      <c r="A413">
        <v>412</v>
      </c>
      <c r="B413">
        <f>IF('Boletins Nuppa Site'!A413&lt;&gt;0,'Boletins Nuppa Site'!A413,"NULL")</f>
        <v>47</v>
      </c>
      <c r="C413">
        <v>20</v>
      </c>
      <c r="D413" s="14">
        <f>IF('Boletins Nuppa Site'!G413&lt;&gt;0,'Boletins Nuppa Site'!G413,"NULL")</f>
        <v>120</v>
      </c>
      <c r="E413" s="14">
        <f>IF('Boletins Nuppa Site'!H413&lt;&gt;0,'Boletins Nuppa Site'!H413,"NULL")</f>
        <v>110</v>
      </c>
      <c r="F413" s="14">
        <f>IF('Boletins Nuppa Site'!I413&lt;&gt;0,'Boletins Nuppa Site'!I413,"NULL")</f>
        <v>120</v>
      </c>
      <c r="G413" t="str">
        <f>IF('Boletins Nuppa Site'!J413&lt;&gt;0,'Boletins Nuppa Site'!J413,"NULL")</f>
        <v>115.83</v>
      </c>
      <c r="H413" t="str">
        <f>IF('Boletins Nuppa Site'!K413&lt;&gt;0,'Boletins Nuppa Site'!K413,"NULL")</f>
        <v>117.5</v>
      </c>
      <c r="I413" t="str">
        <f t="shared" si="12"/>
        <v>INSERT INTO COTACAO (cot_id, cot_blt_id, cot_pap_id, cot_prc_comum, cot_prc_min, cot_prc_max, cot_prc_med, cot_prc_mediana) VALUES (412, 47, 20, 120, 110, 120, 115.83, 117.5);</v>
      </c>
      <c r="J413" t="str">
        <f t="shared" si="13"/>
        <v>UPDATE COTACAO SET cot_id = 412, cot_blt_id = 47, cot_pap_id = 20, cot_prc_comum = 120, cot_prc_min = 110, cot_prc_max = 120, cot_prc_med = 115.83, cot_prc_mediana = 117.5 WHERE cot_id = 412;</v>
      </c>
    </row>
    <row r="414" spans="1:10" x14ac:dyDescent="0.3">
      <c r="A414">
        <v>413</v>
      </c>
      <c r="B414">
        <f>IF('Boletins Nuppa Site'!A414&lt;&gt;0,'Boletins Nuppa Site'!A414,"NULL")</f>
        <v>47</v>
      </c>
      <c r="C414">
        <v>21</v>
      </c>
      <c r="D414" s="14">
        <f>IF('Boletins Nuppa Site'!G414&lt;&gt;0,'Boletins Nuppa Site'!G414,"NULL")</f>
        <v>90</v>
      </c>
      <c r="E414" s="14">
        <f>IF('Boletins Nuppa Site'!H414&lt;&gt;0,'Boletins Nuppa Site'!H414,"NULL")</f>
        <v>70</v>
      </c>
      <c r="F414" s="14">
        <f>IF('Boletins Nuppa Site'!I414&lt;&gt;0,'Boletins Nuppa Site'!I414,"NULL")</f>
        <v>100</v>
      </c>
      <c r="G414" t="str">
        <f>IF('Boletins Nuppa Site'!J414&lt;&gt;0,'Boletins Nuppa Site'!J414,"NULL")</f>
        <v>86.88</v>
      </c>
      <c r="H414" s="14">
        <f>IF('Boletins Nuppa Site'!K414&lt;&gt;0,'Boletins Nuppa Site'!K414,"NULL")</f>
        <v>90</v>
      </c>
      <c r="I414" t="str">
        <f t="shared" si="12"/>
        <v>INSERT INTO COTACAO (cot_id, cot_blt_id, cot_pap_id, cot_prc_comum, cot_prc_min, cot_prc_max, cot_prc_med, cot_prc_mediana) VALUES (413, 47, 21, 90, 70, 100, 86.88, 90);</v>
      </c>
      <c r="J414" t="str">
        <f t="shared" si="13"/>
        <v>UPDATE COTACAO SET cot_id = 413, cot_blt_id = 47, cot_pap_id = 21, cot_prc_comum = 90, cot_prc_min = 70, cot_prc_max = 100, cot_prc_med = 86.88, cot_prc_mediana = 90 WHERE cot_id = 413;</v>
      </c>
    </row>
    <row r="415" spans="1:10" x14ac:dyDescent="0.3">
      <c r="A415">
        <v>414</v>
      </c>
      <c r="B415">
        <f>IF('Boletins Nuppa Site'!A415&lt;&gt;0,'Boletins Nuppa Site'!A415,"NULL")</f>
        <v>47</v>
      </c>
      <c r="C415">
        <v>22</v>
      </c>
      <c r="D415" s="14">
        <f>IF('Boletins Nuppa Site'!G415&lt;&gt;0,'Boletins Nuppa Site'!G415,"NULL")</f>
        <v>50</v>
      </c>
      <c r="E415" s="14">
        <f>IF('Boletins Nuppa Site'!H415&lt;&gt;0,'Boletins Nuppa Site'!H415,"NULL")</f>
        <v>50</v>
      </c>
      <c r="F415" s="14">
        <f>IF('Boletins Nuppa Site'!I415&lt;&gt;0,'Boletins Nuppa Site'!I415,"NULL")</f>
        <v>80</v>
      </c>
      <c r="G415" t="str">
        <f>IF('Boletins Nuppa Site'!J415&lt;&gt;0,'Boletins Nuppa Site'!J415,"NULL")</f>
        <v>68.57</v>
      </c>
      <c r="H415" s="14">
        <f>IF('Boletins Nuppa Site'!K415&lt;&gt;0,'Boletins Nuppa Site'!K415,"NULL")</f>
        <v>75</v>
      </c>
      <c r="I415" t="str">
        <f t="shared" si="12"/>
        <v>INSERT INTO COTACAO (cot_id, cot_blt_id, cot_pap_id, cot_prc_comum, cot_prc_min, cot_prc_max, cot_prc_med, cot_prc_mediana) VALUES (414, 47, 22, 50, 50, 80, 68.57, 75);</v>
      </c>
      <c r="J415" t="str">
        <f t="shared" si="13"/>
        <v>UPDATE COTACAO SET cot_id = 414, cot_blt_id = 47, cot_pap_id = 22, cot_prc_comum = 50, cot_prc_min = 50, cot_prc_max = 80, cot_prc_med = 68.57, cot_prc_mediana = 75 WHERE cot_id = 414;</v>
      </c>
    </row>
    <row r="416" spans="1:10" x14ac:dyDescent="0.3">
      <c r="A416">
        <v>415</v>
      </c>
      <c r="B416">
        <f>IF('Boletins Nuppa Site'!A416&lt;&gt;0,'Boletins Nuppa Site'!A416,"NULL")</f>
        <v>47</v>
      </c>
      <c r="C416">
        <v>23</v>
      </c>
      <c r="D416" s="14">
        <f>IF('Boletins Nuppa Site'!G416&lt;&gt;0,'Boletins Nuppa Site'!G416,"NULL")</f>
        <v>50</v>
      </c>
      <c r="E416" s="14">
        <f>IF('Boletins Nuppa Site'!H416&lt;&gt;0,'Boletins Nuppa Site'!H416,"NULL")</f>
        <v>35</v>
      </c>
      <c r="F416" s="14">
        <f>IF('Boletins Nuppa Site'!I416&lt;&gt;0,'Boletins Nuppa Site'!I416,"NULL")</f>
        <v>60</v>
      </c>
      <c r="G416" s="14">
        <f>IF('Boletins Nuppa Site'!J416&lt;&gt;0,'Boletins Nuppa Site'!J416,"NULL")</f>
        <v>45</v>
      </c>
      <c r="H416" s="14">
        <f>IF('Boletins Nuppa Site'!K416&lt;&gt;0,'Boletins Nuppa Site'!K416,"NULL")</f>
        <v>45</v>
      </c>
      <c r="I416" t="str">
        <f t="shared" si="12"/>
        <v>INSERT INTO COTACAO (cot_id, cot_blt_id, cot_pap_id, cot_prc_comum, cot_prc_min, cot_prc_max, cot_prc_med, cot_prc_mediana) VALUES (415, 47, 23, 50, 35, 60, 45, 45);</v>
      </c>
      <c r="J416" t="str">
        <f t="shared" si="13"/>
        <v>UPDATE COTACAO SET cot_id = 415, cot_blt_id = 47, cot_pap_id = 23, cot_prc_comum = 50, cot_prc_min = 35, cot_prc_max = 60, cot_prc_med = 45, cot_prc_mediana = 45 WHERE cot_id = 415;</v>
      </c>
    </row>
    <row r="417" spans="1:10" x14ac:dyDescent="0.3">
      <c r="A417">
        <v>416</v>
      </c>
      <c r="B417">
        <f>IF('Boletins Nuppa Site'!A417&lt;&gt;0,'Boletins Nuppa Site'!A417,"NULL")</f>
        <v>47</v>
      </c>
      <c r="C417">
        <v>24</v>
      </c>
      <c r="D417" t="str">
        <f>IF('Boletins Nuppa Site'!G417&lt;&gt;0,'Boletins Nuppa Site'!G417,"NULL")</f>
        <v>NULL</v>
      </c>
      <c r="E417" s="14">
        <f>IF('Boletins Nuppa Site'!H417&lt;&gt;0,'Boletins Nuppa Site'!H417,"NULL")</f>
        <v>65</v>
      </c>
      <c r="F417" s="14">
        <f>IF('Boletins Nuppa Site'!I417&lt;&gt;0,'Boletins Nuppa Site'!I417,"NULL")</f>
        <v>120</v>
      </c>
      <c r="G417" s="14">
        <f>IF('Boletins Nuppa Site'!J417&lt;&gt;0,'Boletins Nuppa Site'!J417,"NULL")</f>
        <v>95</v>
      </c>
      <c r="H417" s="14">
        <f>IF('Boletins Nuppa Site'!K417&lt;&gt;0,'Boletins Nuppa Site'!K417,"NULL")</f>
        <v>100</v>
      </c>
      <c r="I417" t="str">
        <f t="shared" si="12"/>
        <v>INSERT INTO COTACAO (cot_id, cot_blt_id, cot_pap_id, cot_prc_comum, cot_prc_min, cot_prc_max, cot_prc_med, cot_prc_mediana) VALUES (416, 47, 24, NULL, 65, 120, 95, 100);</v>
      </c>
      <c r="J417" t="str">
        <f t="shared" si="13"/>
        <v>UPDATE COTACAO SET cot_id = 416, cot_blt_id = 47, cot_pap_id = 24, cot_prc_comum = NULL, cot_prc_min = 65, cot_prc_max = 120, cot_prc_med = 95, cot_prc_mediana = 100 WHERE cot_id = 416;</v>
      </c>
    </row>
    <row r="418" spans="1:10" x14ac:dyDescent="0.3">
      <c r="A418">
        <v>417</v>
      </c>
      <c r="B418">
        <f>IF('Boletins Nuppa Site'!A418&lt;&gt;0,'Boletins Nuppa Site'!A418,"NULL")</f>
        <v>47</v>
      </c>
      <c r="C418">
        <v>25</v>
      </c>
      <c r="D418" s="14">
        <f>IF('Boletins Nuppa Site'!G418&lt;&gt;0,'Boletins Nuppa Site'!G418,"NULL")</f>
        <v>100</v>
      </c>
      <c r="E418" s="14">
        <f>IF('Boletins Nuppa Site'!H418&lt;&gt;0,'Boletins Nuppa Site'!H418,"NULL")</f>
        <v>80</v>
      </c>
      <c r="F418" s="14">
        <f>IF('Boletins Nuppa Site'!I418&lt;&gt;0,'Boletins Nuppa Site'!I418,"NULL")</f>
        <v>130</v>
      </c>
      <c r="G418" s="14">
        <f>IF('Boletins Nuppa Site'!J418&lt;&gt;0,'Boletins Nuppa Site'!J418,"NULL")</f>
        <v>110</v>
      </c>
      <c r="H418" s="14">
        <f>IF('Boletins Nuppa Site'!K418&lt;&gt;0,'Boletins Nuppa Site'!K418,"NULL")</f>
        <v>110</v>
      </c>
      <c r="I418" t="str">
        <f t="shared" si="12"/>
        <v>INSERT INTO COTACAO (cot_id, cot_blt_id, cot_pap_id, cot_prc_comum, cot_prc_min, cot_prc_max, cot_prc_med, cot_prc_mediana) VALUES (417, 47, 25, 100, 80, 130, 110, 110);</v>
      </c>
      <c r="J418" t="str">
        <f t="shared" si="13"/>
        <v>UPDATE COTACAO SET cot_id = 417, cot_blt_id = 47, cot_pap_id = 25, cot_prc_comum = 100, cot_prc_min = 80, cot_prc_max = 130, cot_prc_med = 110, cot_prc_mediana = 110 WHERE cot_id = 417;</v>
      </c>
    </row>
    <row r="419" spans="1:10" x14ac:dyDescent="0.3">
      <c r="A419">
        <v>418</v>
      </c>
      <c r="B419">
        <f>IF('Boletins Nuppa Site'!A419&lt;&gt;0,'Boletins Nuppa Site'!A419,"NULL")</f>
        <v>47</v>
      </c>
      <c r="C419">
        <v>26</v>
      </c>
      <c r="D419" s="14">
        <f>IF('Boletins Nuppa Site'!G419&lt;&gt;0,'Boletins Nuppa Site'!G419,"NULL")</f>
        <v>80</v>
      </c>
      <c r="E419" s="14">
        <f>IF('Boletins Nuppa Site'!H419&lt;&gt;0,'Boletins Nuppa Site'!H419,"NULL")</f>
        <v>80</v>
      </c>
      <c r="F419" s="14">
        <f>IF('Boletins Nuppa Site'!I419&lt;&gt;0,'Boletins Nuppa Site'!I419,"NULL")</f>
        <v>150</v>
      </c>
      <c r="G419" t="str">
        <f>IF('Boletins Nuppa Site'!J419&lt;&gt;0,'Boletins Nuppa Site'!J419,"NULL")</f>
        <v>117.86</v>
      </c>
      <c r="H419" s="14">
        <f>IF('Boletins Nuppa Site'!K419&lt;&gt;0,'Boletins Nuppa Site'!K419,"NULL")</f>
        <v>120</v>
      </c>
      <c r="I419" t="str">
        <f t="shared" si="12"/>
        <v>INSERT INTO COTACAO (cot_id, cot_blt_id, cot_pap_id, cot_prc_comum, cot_prc_min, cot_prc_max, cot_prc_med, cot_prc_mediana) VALUES (418, 47, 26, 80, 80, 150, 117.86, 120);</v>
      </c>
      <c r="J419" t="str">
        <f t="shared" si="13"/>
        <v>UPDATE COTACAO SET cot_id = 418, cot_blt_id = 47, cot_pap_id = 26, cot_prc_comum = 80, cot_prc_min = 80, cot_prc_max = 150, cot_prc_med = 117.86, cot_prc_mediana = 120 WHERE cot_id = 418;</v>
      </c>
    </row>
    <row r="420" spans="1:10" x14ac:dyDescent="0.3">
      <c r="A420">
        <v>419</v>
      </c>
      <c r="B420">
        <f>IF('Boletins Nuppa Site'!A420&lt;&gt;0,'Boletins Nuppa Site'!A420,"NULL")</f>
        <v>47</v>
      </c>
      <c r="C420">
        <v>27</v>
      </c>
      <c r="D420" s="14">
        <f>IF('Boletins Nuppa Site'!G420&lt;&gt;0,'Boletins Nuppa Site'!G420,"NULL")</f>
        <v>60</v>
      </c>
      <c r="E420" s="14">
        <f>IF('Boletins Nuppa Site'!H420&lt;&gt;0,'Boletins Nuppa Site'!H420,"NULL")</f>
        <v>50</v>
      </c>
      <c r="F420" s="14">
        <f>IF('Boletins Nuppa Site'!I420&lt;&gt;0,'Boletins Nuppa Site'!I420,"NULL")</f>
        <v>70</v>
      </c>
      <c r="G420" s="14">
        <f>IF('Boletins Nuppa Site'!J420&lt;&gt;0,'Boletins Nuppa Site'!J420,"NULL")</f>
        <v>60</v>
      </c>
      <c r="H420" s="14">
        <f>IF('Boletins Nuppa Site'!K420&lt;&gt;0,'Boletins Nuppa Site'!K420,"NULL")</f>
        <v>60</v>
      </c>
      <c r="I420" t="str">
        <f t="shared" si="12"/>
        <v>INSERT INTO COTACAO (cot_id, cot_blt_id, cot_pap_id, cot_prc_comum, cot_prc_min, cot_prc_max, cot_prc_med, cot_prc_mediana) VALUES (419, 47, 27, 60, 50, 70, 60, 60);</v>
      </c>
      <c r="J420" t="str">
        <f t="shared" si="13"/>
        <v>UPDATE COTACAO SET cot_id = 419, cot_blt_id = 47, cot_pap_id = 27, cot_prc_comum = 60, cot_prc_min = 50, cot_prc_max = 70, cot_prc_med = 60, cot_prc_mediana = 60 WHERE cot_id = 419;</v>
      </c>
    </row>
    <row r="421" spans="1:10" x14ac:dyDescent="0.3">
      <c r="A421">
        <v>420</v>
      </c>
      <c r="B421">
        <f>IF('Boletins Nuppa Site'!A421&lt;&gt;0,'Boletins Nuppa Site'!A421,"NULL")</f>
        <v>47</v>
      </c>
      <c r="C421">
        <v>28</v>
      </c>
      <c r="D421" s="14">
        <f>IF('Boletins Nuppa Site'!G421&lt;&gt;0,'Boletins Nuppa Site'!G421,"NULL")</f>
        <v>100</v>
      </c>
      <c r="E421" s="14">
        <f>IF('Boletins Nuppa Site'!H421&lt;&gt;0,'Boletins Nuppa Site'!H421,"NULL")</f>
        <v>80</v>
      </c>
      <c r="F421" s="14">
        <f>IF('Boletins Nuppa Site'!I421&lt;&gt;0,'Boletins Nuppa Site'!I421,"NULL")</f>
        <v>100</v>
      </c>
      <c r="G421" s="14">
        <f>IF('Boletins Nuppa Site'!J421&lt;&gt;0,'Boletins Nuppa Site'!J421,"NULL")</f>
        <v>94</v>
      </c>
      <c r="H421" s="14">
        <f>IF('Boletins Nuppa Site'!K421&lt;&gt;0,'Boletins Nuppa Site'!K421,"NULL")</f>
        <v>100</v>
      </c>
      <c r="I421" t="str">
        <f t="shared" si="12"/>
        <v>INSERT INTO COTACAO (cot_id, cot_blt_id, cot_pap_id, cot_prc_comum, cot_prc_min, cot_prc_max, cot_prc_med, cot_prc_mediana) VALUES (420, 47, 28, 100, 80, 100, 94, 100);</v>
      </c>
      <c r="J421" t="str">
        <f t="shared" si="13"/>
        <v>UPDATE COTACAO SET cot_id = 420, cot_blt_id = 47, cot_pap_id = 28, cot_prc_comum = 100, cot_prc_min = 80, cot_prc_max = 100, cot_prc_med = 94, cot_prc_mediana = 100 WHERE cot_id = 420;</v>
      </c>
    </row>
    <row r="422" spans="1:10" x14ac:dyDescent="0.3">
      <c r="A422">
        <v>421</v>
      </c>
      <c r="B422">
        <f>IF('Boletins Nuppa Site'!A422&lt;&gt;0,'Boletins Nuppa Site'!A422,"NULL")</f>
        <v>47</v>
      </c>
      <c r="C422">
        <v>29</v>
      </c>
      <c r="D422" t="str">
        <f>IF('Boletins Nuppa Site'!G422&lt;&gt;0,'Boletins Nuppa Site'!G422,"NULL")</f>
        <v>NULL</v>
      </c>
      <c r="E422" s="14">
        <f>IF('Boletins Nuppa Site'!H422&lt;&gt;0,'Boletins Nuppa Site'!H422,"NULL")</f>
        <v>60</v>
      </c>
      <c r="F422" s="14">
        <f>IF('Boletins Nuppa Site'!I422&lt;&gt;0,'Boletins Nuppa Site'!I422,"NULL")</f>
        <v>75</v>
      </c>
      <c r="G422" t="str">
        <f>IF('Boletins Nuppa Site'!J422&lt;&gt;0,'Boletins Nuppa Site'!J422,"NULL")</f>
        <v>67.5</v>
      </c>
      <c r="H422" t="str">
        <f>IF('Boletins Nuppa Site'!K422&lt;&gt;0,'Boletins Nuppa Site'!K422,"NULL")</f>
        <v>67.5</v>
      </c>
      <c r="I422" t="str">
        <f t="shared" si="12"/>
        <v>INSERT INTO COTACAO (cot_id, cot_blt_id, cot_pap_id, cot_prc_comum, cot_prc_min, cot_prc_max, cot_prc_med, cot_prc_mediana) VALUES (421, 47, 29, NULL, 60, 75, 67.5, 67.5);</v>
      </c>
      <c r="J422" t="str">
        <f t="shared" si="13"/>
        <v>UPDATE COTACAO SET cot_id = 421, cot_blt_id = 47, cot_pap_id = 29, cot_prc_comum = NULL, cot_prc_min = 60, cot_prc_max = 75, cot_prc_med = 67.5, cot_prc_mediana = 67.5 WHERE cot_id = 421;</v>
      </c>
    </row>
    <row r="423" spans="1:10" x14ac:dyDescent="0.3">
      <c r="A423">
        <v>422</v>
      </c>
      <c r="B423">
        <f>IF('Boletins Nuppa Site'!A423&lt;&gt;0,'Boletins Nuppa Site'!A423,"NULL")</f>
        <v>47</v>
      </c>
      <c r="C423">
        <v>30</v>
      </c>
      <c r="D423" s="14">
        <f>IF('Boletins Nuppa Site'!G423&lt;&gt;0,'Boletins Nuppa Site'!G423,"NULL")</f>
        <v>80</v>
      </c>
      <c r="E423" s="14">
        <f>IF('Boletins Nuppa Site'!H423&lt;&gt;0,'Boletins Nuppa Site'!H423,"NULL")</f>
        <v>60</v>
      </c>
      <c r="F423" s="14">
        <f>IF('Boletins Nuppa Site'!I423&lt;&gt;0,'Boletins Nuppa Site'!I423,"NULL")</f>
        <v>100</v>
      </c>
      <c r="G423" t="str">
        <f>IF('Boletins Nuppa Site'!J423&lt;&gt;0,'Boletins Nuppa Site'!J423,"NULL")</f>
        <v>81.25</v>
      </c>
      <c r="H423" s="14">
        <f>IF('Boletins Nuppa Site'!K423&lt;&gt;0,'Boletins Nuppa Site'!K423,"NULL")</f>
        <v>80</v>
      </c>
      <c r="I423" t="str">
        <f t="shared" si="12"/>
        <v>INSERT INTO COTACAO (cot_id, cot_blt_id, cot_pap_id, cot_prc_comum, cot_prc_min, cot_prc_max, cot_prc_med, cot_prc_mediana) VALUES (422, 47, 30, 80, 60, 100, 81.25, 80);</v>
      </c>
      <c r="J423" t="str">
        <f t="shared" si="13"/>
        <v>UPDATE COTACAO SET cot_id = 422, cot_blt_id = 47, cot_pap_id = 30, cot_prc_comum = 80, cot_prc_min = 60, cot_prc_max = 100, cot_prc_med = 81.25, cot_prc_mediana = 80 WHERE cot_id = 422;</v>
      </c>
    </row>
    <row r="424" spans="1:10" x14ac:dyDescent="0.3">
      <c r="A424">
        <v>423</v>
      </c>
      <c r="B424">
        <f>IF('Boletins Nuppa Site'!A424&lt;&gt;0,'Boletins Nuppa Site'!A424,"NULL")</f>
        <v>47</v>
      </c>
      <c r="C424">
        <v>31</v>
      </c>
      <c r="D424" s="14">
        <f>IF('Boletins Nuppa Site'!G424&lt;&gt;0,'Boletins Nuppa Site'!G424,"NULL")</f>
        <v>120</v>
      </c>
      <c r="E424" s="14">
        <f>IF('Boletins Nuppa Site'!H424&lt;&gt;0,'Boletins Nuppa Site'!H424,"NULL")</f>
        <v>80</v>
      </c>
      <c r="F424" s="14">
        <f>IF('Boletins Nuppa Site'!I424&lt;&gt;0,'Boletins Nuppa Site'!I424,"NULL")</f>
        <v>140</v>
      </c>
      <c r="G424" s="14">
        <f>IF('Boletins Nuppa Site'!J424&lt;&gt;0,'Boletins Nuppa Site'!J424,"NULL")</f>
        <v>115</v>
      </c>
      <c r="H424" s="14">
        <f>IF('Boletins Nuppa Site'!K424&lt;&gt;0,'Boletins Nuppa Site'!K424,"NULL")</f>
        <v>120</v>
      </c>
      <c r="I424" t="str">
        <f t="shared" si="12"/>
        <v>INSERT INTO COTACAO (cot_id, cot_blt_id, cot_pap_id, cot_prc_comum, cot_prc_min, cot_prc_max, cot_prc_med, cot_prc_mediana) VALUES (423, 47, 31, 120, 80, 140, 115, 120);</v>
      </c>
      <c r="J424" t="str">
        <f t="shared" si="13"/>
        <v>UPDATE COTACAO SET cot_id = 423, cot_blt_id = 47, cot_pap_id = 31, cot_prc_comum = 120, cot_prc_min = 80, cot_prc_max = 140, cot_prc_med = 115, cot_prc_mediana = 120 WHERE cot_id = 423;</v>
      </c>
    </row>
    <row r="425" spans="1:10" x14ac:dyDescent="0.3">
      <c r="A425">
        <v>424</v>
      </c>
      <c r="B425">
        <f>IF('Boletins Nuppa Site'!A425&lt;&gt;0,'Boletins Nuppa Site'!A425,"NULL")</f>
        <v>47</v>
      </c>
      <c r="C425">
        <v>32</v>
      </c>
      <c r="D425" s="14">
        <f>IF('Boletins Nuppa Site'!G425&lt;&gt;0,'Boletins Nuppa Site'!G425,"NULL")</f>
        <v>80</v>
      </c>
      <c r="E425" s="14">
        <f>IF('Boletins Nuppa Site'!H425&lt;&gt;0,'Boletins Nuppa Site'!H425,"NULL")</f>
        <v>60</v>
      </c>
      <c r="F425" s="14">
        <f>IF('Boletins Nuppa Site'!I425&lt;&gt;0,'Boletins Nuppa Site'!I425,"NULL")</f>
        <v>100</v>
      </c>
      <c r="G425" t="str">
        <f>IF('Boletins Nuppa Site'!J425&lt;&gt;0,'Boletins Nuppa Site'!J425,"NULL")</f>
        <v>82.14</v>
      </c>
      <c r="H425" s="14">
        <f>IF('Boletins Nuppa Site'!K425&lt;&gt;0,'Boletins Nuppa Site'!K425,"NULL")</f>
        <v>80</v>
      </c>
      <c r="I425" t="str">
        <f t="shared" si="12"/>
        <v>INSERT INTO COTACAO (cot_id, cot_blt_id, cot_pap_id, cot_prc_comum, cot_prc_min, cot_prc_max, cot_prc_med, cot_prc_mediana) VALUES (424, 47, 32, 80, 60, 100, 82.14, 80);</v>
      </c>
      <c r="J425" t="str">
        <f t="shared" si="13"/>
        <v>UPDATE COTACAO SET cot_id = 424, cot_blt_id = 47, cot_pap_id = 32, cot_prc_comum = 80, cot_prc_min = 60, cot_prc_max = 100, cot_prc_med = 82.14, cot_prc_mediana = 80 WHERE cot_id = 424;</v>
      </c>
    </row>
    <row r="426" spans="1:10" x14ac:dyDescent="0.3">
      <c r="A426">
        <v>425</v>
      </c>
      <c r="B426">
        <f>IF('Boletins Nuppa Site'!A426&lt;&gt;0,'Boletins Nuppa Site'!A426,"NULL")</f>
        <v>47</v>
      </c>
      <c r="C426">
        <v>33</v>
      </c>
      <c r="D426" s="14">
        <f>IF('Boletins Nuppa Site'!G426&lt;&gt;0,'Boletins Nuppa Site'!G426,"NULL")</f>
        <v>150</v>
      </c>
      <c r="E426" s="14">
        <f>IF('Boletins Nuppa Site'!H426&lt;&gt;0,'Boletins Nuppa Site'!H426,"NULL")</f>
        <v>100</v>
      </c>
      <c r="F426" s="14">
        <f>IF('Boletins Nuppa Site'!I426&lt;&gt;0,'Boletins Nuppa Site'!I426,"NULL")</f>
        <v>150</v>
      </c>
      <c r="G426" s="14">
        <f>IF('Boletins Nuppa Site'!J426&lt;&gt;0,'Boletins Nuppa Site'!J426,"NULL")</f>
        <v>130</v>
      </c>
      <c r="H426" s="14">
        <f>IF('Boletins Nuppa Site'!K426&lt;&gt;0,'Boletins Nuppa Site'!K426,"NULL")</f>
        <v>130</v>
      </c>
      <c r="I426" t="str">
        <f t="shared" si="12"/>
        <v>INSERT INTO COTACAO (cot_id, cot_blt_id, cot_pap_id, cot_prc_comum, cot_prc_min, cot_prc_max, cot_prc_med, cot_prc_mediana) VALUES (425, 47, 33, 150, 100, 150, 130, 130);</v>
      </c>
      <c r="J426" t="str">
        <f t="shared" si="13"/>
        <v>UPDATE COTACAO SET cot_id = 425, cot_blt_id = 47, cot_pap_id = 33, cot_prc_comum = 150, cot_prc_min = 100, cot_prc_max = 150, cot_prc_med = 130, cot_prc_mediana = 130 WHERE cot_id = 425;</v>
      </c>
    </row>
    <row r="427" spans="1:10" x14ac:dyDescent="0.3">
      <c r="A427">
        <v>426</v>
      </c>
      <c r="B427">
        <f>IF('Boletins Nuppa Site'!A427&lt;&gt;0,'Boletins Nuppa Site'!A427,"NULL")</f>
        <v>47</v>
      </c>
      <c r="C427">
        <v>34</v>
      </c>
      <c r="D427" s="14">
        <f>IF('Boletins Nuppa Site'!G427&lt;&gt;0,'Boletins Nuppa Site'!G427,"NULL")</f>
        <v>220</v>
      </c>
      <c r="E427" s="14">
        <f>IF('Boletins Nuppa Site'!H427&lt;&gt;0,'Boletins Nuppa Site'!H427,"NULL")</f>
        <v>150</v>
      </c>
      <c r="F427" s="14">
        <f>IF('Boletins Nuppa Site'!I427&lt;&gt;0,'Boletins Nuppa Site'!I427,"NULL")</f>
        <v>250</v>
      </c>
      <c r="G427" t="str">
        <f>IF('Boletins Nuppa Site'!J427&lt;&gt;0,'Boletins Nuppa Site'!J427,"NULL")</f>
        <v>221.67</v>
      </c>
      <c r="H427" s="14">
        <f>IF('Boletins Nuppa Site'!K427&lt;&gt;0,'Boletins Nuppa Site'!K427,"NULL")</f>
        <v>230</v>
      </c>
      <c r="I427" t="str">
        <f t="shared" si="12"/>
        <v>INSERT INTO COTACAO (cot_id, cot_blt_id, cot_pap_id, cot_prc_comum, cot_prc_min, cot_prc_max, cot_prc_med, cot_prc_mediana) VALUES (426, 47, 34, 220, 150, 250, 221.67, 230);</v>
      </c>
      <c r="J427" t="str">
        <f t="shared" si="13"/>
        <v>UPDATE COTACAO SET cot_id = 426, cot_blt_id = 47, cot_pap_id = 34, cot_prc_comum = 220, cot_prc_min = 150, cot_prc_max = 250, cot_prc_med = 221.67, cot_prc_mediana = 230 WHERE cot_id = 426;</v>
      </c>
    </row>
    <row r="428" spans="1:10" x14ac:dyDescent="0.3">
      <c r="A428">
        <v>427</v>
      </c>
      <c r="B428">
        <f>IF('Boletins Nuppa Site'!A428&lt;&gt;0,'Boletins Nuppa Site'!A428,"NULL")</f>
        <v>47</v>
      </c>
      <c r="C428">
        <v>35</v>
      </c>
      <c r="D428" s="14">
        <f>IF('Boletins Nuppa Site'!G428&lt;&gt;0,'Boletins Nuppa Site'!G428,"NULL")</f>
        <v>140</v>
      </c>
      <c r="E428" s="14">
        <f>IF('Boletins Nuppa Site'!H428&lt;&gt;0,'Boletins Nuppa Site'!H428,"NULL")</f>
        <v>120</v>
      </c>
      <c r="F428" s="14">
        <f>IF('Boletins Nuppa Site'!I428&lt;&gt;0,'Boletins Nuppa Site'!I428,"NULL")</f>
        <v>200</v>
      </c>
      <c r="G428" t="str">
        <f>IF('Boletins Nuppa Site'!J428&lt;&gt;0,'Boletins Nuppa Site'!J428,"NULL")</f>
        <v>144.29</v>
      </c>
      <c r="H428" s="14">
        <f>IF('Boletins Nuppa Site'!K428&lt;&gt;0,'Boletins Nuppa Site'!K428,"NULL")</f>
        <v>140</v>
      </c>
      <c r="I428" t="str">
        <f t="shared" si="12"/>
        <v>INSERT INTO COTACAO (cot_id, cot_blt_id, cot_pap_id, cot_prc_comum, cot_prc_min, cot_prc_max, cot_prc_med, cot_prc_mediana) VALUES (427, 47, 35, 140, 120, 200, 144.29, 140);</v>
      </c>
      <c r="J428" t="str">
        <f t="shared" si="13"/>
        <v>UPDATE COTACAO SET cot_id = 427, cot_blt_id = 47, cot_pap_id = 35, cot_prc_comum = 140, cot_prc_min = 120, cot_prc_max = 200, cot_prc_med = 144.29, cot_prc_mediana = 140 WHERE cot_id = 427;</v>
      </c>
    </row>
    <row r="429" spans="1:10" x14ac:dyDescent="0.3">
      <c r="A429">
        <v>428</v>
      </c>
      <c r="B429">
        <f>IF('Boletins Nuppa Site'!A429&lt;&gt;0,'Boletins Nuppa Site'!A429,"NULL")</f>
        <v>47</v>
      </c>
      <c r="C429">
        <v>36</v>
      </c>
      <c r="D429" s="14">
        <f>IF('Boletins Nuppa Site'!G429&lt;&gt;0,'Boletins Nuppa Site'!G429,"NULL")</f>
        <v>100</v>
      </c>
      <c r="E429" s="14">
        <f>IF('Boletins Nuppa Site'!H429&lt;&gt;0,'Boletins Nuppa Site'!H429,"NULL")</f>
        <v>100</v>
      </c>
      <c r="F429" s="14">
        <f>IF('Boletins Nuppa Site'!I429&lt;&gt;0,'Boletins Nuppa Site'!I429,"NULL")</f>
        <v>100</v>
      </c>
      <c r="G429" s="14">
        <f>IF('Boletins Nuppa Site'!J429&lt;&gt;0,'Boletins Nuppa Site'!J429,"NULL")</f>
        <v>100</v>
      </c>
      <c r="H429" s="14">
        <f>IF('Boletins Nuppa Site'!K429&lt;&gt;0,'Boletins Nuppa Site'!K429,"NULL")</f>
        <v>100</v>
      </c>
      <c r="I429" t="str">
        <f t="shared" si="12"/>
        <v>INSERT INTO COTACAO (cot_id, cot_blt_id, cot_pap_id, cot_prc_comum, cot_prc_min, cot_prc_max, cot_prc_med, cot_prc_mediana) VALUES (428, 47, 36, 100, 100, 100, 100, 100);</v>
      </c>
      <c r="J429" t="str">
        <f t="shared" si="13"/>
        <v>UPDATE COTACAO SET cot_id = 428, cot_blt_id = 47, cot_pap_id = 36, cot_prc_comum = 100, cot_prc_min = 100, cot_prc_max = 100, cot_prc_med = 100, cot_prc_mediana = 100 WHERE cot_id = 428;</v>
      </c>
    </row>
    <row r="430" spans="1:10" x14ac:dyDescent="0.3">
      <c r="A430">
        <v>429</v>
      </c>
      <c r="B430">
        <f>IF('Boletins Nuppa Site'!A430&lt;&gt;0,'Boletins Nuppa Site'!A430,"NULL")</f>
        <v>47</v>
      </c>
      <c r="C430">
        <v>37</v>
      </c>
      <c r="D430" s="14">
        <f>IF('Boletins Nuppa Site'!G430&lt;&gt;0,'Boletins Nuppa Site'!G430,"NULL")</f>
        <v>80</v>
      </c>
      <c r="E430" s="14">
        <f>IF('Boletins Nuppa Site'!H430&lt;&gt;0,'Boletins Nuppa Site'!H430,"NULL")</f>
        <v>80</v>
      </c>
      <c r="F430" s="14">
        <f>IF('Boletins Nuppa Site'!I430&lt;&gt;0,'Boletins Nuppa Site'!I430,"NULL")</f>
        <v>80</v>
      </c>
      <c r="G430" s="14">
        <f>IF('Boletins Nuppa Site'!J430&lt;&gt;0,'Boletins Nuppa Site'!J430,"NULL")</f>
        <v>80</v>
      </c>
      <c r="H430" s="14">
        <f>IF('Boletins Nuppa Site'!K430&lt;&gt;0,'Boletins Nuppa Site'!K430,"NULL")</f>
        <v>80</v>
      </c>
      <c r="I430" t="str">
        <f t="shared" si="12"/>
        <v>INSERT INTO COTACAO (cot_id, cot_blt_id, cot_pap_id, cot_prc_comum, cot_prc_min, cot_prc_max, cot_prc_med, cot_prc_mediana) VALUES (429, 47, 37, 80, 80, 80, 80, 80);</v>
      </c>
      <c r="J430" t="str">
        <f t="shared" si="13"/>
        <v>UPDATE COTACAO SET cot_id = 429, cot_blt_id = 47, cot_pap_id = 37, cot_prc_comum = 80, cot_prc_min = 80, cot_prc_max = 80, cot_prc_med = 80, cot_prc_mediana = 80 WHERE cot_id = 429;</v>
      </c>
    </row>
    <row r="431" spans="1:10" x14ac:dyDescent="0.3">
      <c r="A431">
        <v>430</v>
      </c>
      <c r="B431">
        <f>IF('Boletins Nuppa Site'!A431&lt;&gt;0,'Boletins Nuppa Site'!A431,"NULL")</f>
        <v>47</v>
      </c>
      <c r="C431">
        <v>38</v>
      </c>
      <c r="D431" s="14">
        <f>IF('Boletins Nuppa Site'!G431&lt;&gt;0,'Boletins Nuppa Site'!G431,"NULL")</f>
        <v>45</v>
      </c>
      <c r="E431" s="14">
        <f>IF('Boletins Nuppa Site'!H431&lt;&gt;0,'Boletins Nuppa Site'!H431,"NULL")</f>
        <v>45</v>
      </c>
      <c r="F431" s="14">
        <f>IF('Boletins Nuppa Site'!I431&lt;&gt;0,'Boletins Nuppa Site'!I431,"NULL")</f>
        <v>45</v>
      </c>
      <c r="G431" s="14">
        <f>IF('Boletins Nuppa Site'!J431&lt;&gt;0,'Boletins Nuppa Site'!J431,"NULL")</f>
        <v>45</v>
      </c>
      <c r="H431" s="14">
        <f>IF('Boletins Nuppa Site'!K431&lt;&gt;0,'Boletins Nuppa Site'!K431,"NULL")</f>
        <v>45</v>
      </c>
      <c r="I431" t="str">
        <f t="shared" si="12"/>
        <v>INSERT INTO COTACAO (cot_id, cot_blt_id, cot_pap_id, cot_prc_comum, cot_prc_min, cot_prc_max, cot_prc_med, cot_prc_mediana) VALUES (430, 47, 38, 45, 45, 45, 45, 45);</v>
      </c>
      <c r="J431" t="str">
        <f t="shared" si="13"/>
        <v>UPDATE COTACAO SET cot_id = 430, cot_blt_id = 47, cot_pap_id = 38, cot_prc_comum = 45, cot_prc_min = 45, cot_prc_max = 45, cot_prc_med = 45, cot_prc_mediana = 45 WHERE cot_id = 430;</v>
      </c>
    </row>
    <row r="432" spans="1:10" x14ac:dyDescent="0.3">
      <c r="A432">
        <v>431</v>
      </c>
      <c r="B432">
        <f>IF('Boletins Nuppa Site'!A432&lt;&gt;0,'Boletins Nuppa Site'!A432,"NULL")</f>
        <v>47</v>
      </c>
      <c r="C432">
        <v>39</v>
      </c>
      <c r="D432" s="14">
        <f>IF('Boletins Nuppa Site'!G432&lt;&gt;0,'Boletins Nuppa Site'!G432,"NULL")</f>
        <v>45</v>
      </c>
      <c r="E432" s="14">
        <f>IF('Boletins Nuppa Site'!H432&lt;&gt;0,'Boletins Nuppa Site'!H432,"NULL")</f>
        <v>45</v>
      </c>
      <c r="F432" s="14">
        <f>IF('Boletins Nuppa Site'!I432&lt;&gt;0,'Boletins Nuppa Site'!I432,"NULL")</f>
        <v>45</v>
      </c>
      <c r="G432" s="14">
        <f>IF('Boletins Nuppa Site'!J432&lt;&gt;0,'Boletins Nuppa Site'!J432,"NULL")</f>
        <v>45</v>
      </c>
      <c r="H432" s="14">
        <f>IF('Boletins Nuppa Site'!K432&lt;&gt;0,'Boletins Nuppa Site'!K432,"NULL")</f>
        <v>45</v>
      </c>
      <c r="I432" t="str">
        <f t="shared" si="12"/>
        <v>INSERT INTO COTACAO (cot_id, cot_blt_id, cot_pap_id, cot_prc_comum, cot_prc_min, cot_prc_max, cot_prc_med, cot_prc_mediana) VALUES (431, 47, 39, 45, 45, 45, 45, 45);</v>
      </c>
      <c r="J432" t="str">
        <f t="shared" si="13"/>
        <v>UPDATE COTACAO SET cot_id = 431, cot_blt_id = 47, cot_pap_id = 39, cot_prc_comum = 45, cot_prc_min = 45, cot_prc_max = 45, cot_prc_med = 45, cot_prc_mediana = 45 WHERE cot_id = 431;</v>
      </c>
    </row>
    <row r="433" spans="1:10" x14ac:dyDescent="0.3">
      <c r="A433">
        <v>432</v>
      </c>
      <c r="B433">
        <f>IF('Boletins Nuppa Site'!A433&lt;&gt;0,'Boletins Nuppa Site'!A433,"NULL")</f>
        <v>47</v>
      </c>
      <c r="C433">
        <v>40</v>
      </c>
      <c r="D433" s="14">
        <f>IF('Boletins Nuppa Site'!G433&lt;&gt;0,'Boletins Nuppa Site'!G433,"NULL")</f>
        <v>85</v>
      </c>
      <c r="E433" s="14">
        <f>IF('Boletins Nuppa Site'!H433&lt;&gt;0,'Boletins Nuppa Site'!H433,"NULL")</f>
        <v>85</v>
      </c>
      <c r="F433" s="14">
        <f>IF('Boletins Nuppa Site'!I433&lt;&gt;0,'Boletins Nuppa Site'!I433,"NULL")</f>
        <v>85</v>
      </c>
      <c r="G433" s="14">
        <f>IF('Boletins Nuppa Site'!J433&lt;&gt;0,'Boletins Nuppa Site'!J433,"NULL")</f>
        <v>85</v>
      </c>
      <c r="H433" s="14">
        <f>IF('Boletins Nuppa Site'!K433&lt;&gt;0,'Boletins Nuppa Site'!K433,"NULL")</f>
        <v>85</v>
      </c>
      <c r="I433" t="str">
        <f t="shared" si="12"/>
        <v>INSERT INTO COTACAO (cot_id, cot_blt_id, cot_pap_id, cot_prc_comum, cot_prc_min, cot_prc_max, cot_prc_med, cot_prc_mediana) VALUES (432, 47, 40, 85, 85, 85, 85, 85);</v>
      </c>
      <c r="J433" t="str">
        <f t="shared" si="13"/>
        <v>UPDATE COTACAO SET cot_id = 432, cot_blt_id = 47, cot_pap_id = 40, cot_prc_comum = 85, cot_prc_min = 85, cot_prc_max = 85, cot_prc_med = 85, cot_prc_mediana = 85 WHERE cot_id = 432;</v>
      </c>
    </row>
    <row r="434" spans="1:10" x14ac:dyDescent="0.3">
      <c r="A434">
        <v>433</v>
      </c>
      <c r="B434">
        <f>IF('Boletins Nuppa Site'!A434&lt;&gt;0,'Boletins Nuppa Site'!A434,"NULL")</f>
        <v>48</v>
      </c>
      <c r="C434">
        <v>1</v>
      </c>
      <c r="D434" s="14">
        <f>IF('Boletins Nuppa Site'!G434&lt;&gt;0,'Boletins Nuppa Site'!G434,"NULL")</f>
        <v>60</v>
      </c>
      <c r="E434" s="14">
        <f>IF('Boletins Nuppa Site'!H434&lt;&gt;0,'Boletins Nuppa Site'!H434,"NULL")</f>
        <v>60</v>
      </c>
      <c r="F434" s="14">
        <f>IF('Boletins Nuppa Site'!I434&lt;&gt;0,'Boletins Nuppa Site'!I434,"NULL")</f>
        <v>78</v>
      </c>
      <c r="G434" s="14">
        <f>IF('Boletins Nuppa Site'!J434&lt;&gt;0,'Boletins Nuppa Site'!J434,"NULL")</f>
        <v>66</v>
      </c>
      <c r="H434" s="14">
        <f>IF('Boletins Nuppa Site'!K434&lt;&gt;0,'Boletins Nuppa Site'!K434,"NULL")</f>
        <v>60</v>
      </c>
      <c r="I434" t="str">
        <f t="shared" si="12"/>
        <v>INSERT INTO COTACAO (cot_id, cot_blt_id, cot_pap_id, cot_prc_comum, cot_prc_min, cot_prc_max, cot_prc_med, cot_prc_mediana) VALUES (433, 48, 1, 60, 60, 78, 66, 60);</v>
      </c>
      <c r="J434" t="str">
        <f t="shared" si="13"/>
        <v>UPDATE COTACAO SET cot_id = 433, cot_blt_id = 48, cot_pap_id = 1, cot_prc_comum = 60, cot_prc_min = 60, cot_prc_max = 78, cot_prc_med = 66, cot_prc_mediana = 60 WHERE cot_id = 433;</v>
      </c>
    </row>
    <row r="435" spans="1:10" x14ac:dyDescent="0.3">
      <c r="A435">
        <v>434</v>
      </c>
      <c r="B435">
        <f>IF('Boletins Nuppa Site'!A435&lt;&gt;0,'Boletins Nuppa Site'!A435,"NULL")</f>
        <v>48</v>
      </c>
      <c r="C435">
        <v>2</v>
      </c>
      <c r="D435" t="str">
        <f>IF('Boletins Nuppa Site'!G435&lt;&gt;0,'Boletins Nuppa Site'!G435,"NULL")</f>
        <v>NULL</v>
      </c>
      <c r="E435" s="14">
        <f>IF('Boletins Nuppa Site'!H435&lt;&gt;0,'Boletins Nuppa Site'!H435,"NULL")</f>
        <v>44</v>
      </c>
      <c r="F435" s="14">
        <f>IF('Boletins Nuppa Site'!I435&lt;&gt;0,'Boletins Nuppa Site'!I435,"NULL")</f>
        <v>78</v>
      </c>
      <c r="G435" t="str">
        <f>IF('Boletins Nuppa Site'!J435&lt;&gt;0,'Boletins Nuppa Site'!J435,"NULL")</f>
        <v>64.67</v>
      </c>
      <c r="H435" s="14">
        <f>IF('Boletins Nuppa Site'!K435&lt;&gt;0,'Boletins Nuppa Site'!K435,"NULL")</f>
        <v>72</v>
      </c>
      <c r="I435" t="str">
        <f t="shared" si="12"/>
        <v>INSERT INTO COTACAO (cot_id, cot_blt_id, cot_pap_id, cot_prc_comum, cot_prc_min, cot_prc_max, cot_prc_med, cot_prc_mediana) VALUES (434, 48, 2, NULL, 44, 78, 64.67, 72);</v>
      </c>
      <c r="J435" t="str">
        <f t="shared" si="13"/>
        <v>UPDATE COTACAO SET cot_id = 434, cot_blt_id = 48, cot_pap_id = 2, cot_prc_comum = NULL, cot_prc_min = 44, cot_prc_max = 78, cot_prc_med = 64.67, cot_prc_mediana = 72 WHERE cot_id = 434;</v>
      </c>
    </row>
    <row r="436" spans="1:10" x14ac:dyDescent="0.3">
      <c r="A436">
        <v>435</v>
      </c>
      <c r="B436">
        <f>IF('Boletins Nuppa Site'!A436&lt;&gt;0,'Boletins Nuppa Site'!A436,"NULL")</f>
        <v>48</v>
      </c>
      <c r="C436">
        <v>3</v>
      </c>
      <c r="D436" t="str">
        <f>IF('Boletins Nuppa Site'!G436&lt;&gt;0,'Boletins Nuppa Site'!G436,"NULL")</f>
        <v>NULL</v>
      </c>
      <c r="E436" s="14">
        <f>IF('Boletins Nuppa Site'!H436&lt;&gt;0,'Boletins Nuppa Site'!H436,"NULL")</f>
        <v>42</v>
      </c>
      <c r="F436" s="14">
        <f>IF('Boletins Nuppa Site'!I436&lt;&gt;0,'Boletins Nuppa Site'!I436,"NULL")</f>
        <v>60</v>
      </c>
      <c r="G436" s="14">
        <f>IF('Boletins Nuppa Site'!J436&lt;&gt;0,'Boletins Nuppa Site'!J436,"NULL")</f>
        <v>50</v>
      </c>
      <c r="H436" s="14">
        <f>IF('Boletins Nuppa Site'!K436&lt;&gt;0,'Boletins Nuppa Site'!K436,"NULL")</f>
        <v>48</v>
      </c>
      <c r="I436" t="str">
        <f t="shared" si="12"/>
        <v>INSERT INTO COTACAO (cot_id, cot_blt_id, cot_pap_id, cot_prc_comum, cot_prc_min, cot_prc_max, cot_prc_med, cot_prc_mediana) VALUES (435, 48, 3, NULL, 42, 60, 50, 48);</v>
      </c>
      <c r="J436" t="str">
        <f t="shared" si="13"/>
        <v>UPDATE COTACAO SET cot_id = 435, cot_blt_id = 48, cot_pap_id = 3, cot_prc_comum = NULL, cot_prc_min = 42, cot_prc_max = 60, cot_prc_med = 50, cot_prc_mediana = 48 WHERE cot_id = 435;</v>
      </c>
    </row>
    <row r="437" spans="1:10" x14ac:dyDescent="0.3">
      <c r="A437">
        <v>436</v>
      </c>
      <c r="B437">
        <f>IF('Boletins Nuppa Site'!A437&lt;&gt;0,'Boletins Nuppa Site'!A437,"NULL")</f>
        <v>48</v>
      </c>
      <c r="C437">
        <v>4</v>
      </c>
      <c r="D437" t="str">
        <f>IF('Boletins Nuppa Site'!G437&lt;&gt;0,'Boletins Nuppa Site'!G437,"NULL")</f>
        <v>NULL</v>
      </c>
      <c r="E437" s="14">
        <f>IF('Boletins Nuppa Site'!H437&lt;&gt;0,'Boletins Nuppa Site'!H437,"NULL")</f>
        <v>30</v>
      </c>
      <c r="F437" s="14">
        <f>IF('Boletins Nuppa Site'!I437&lt;&gt;0,'Boletins Nuppa Site'!I437,"NULL")</f>
        <v>42</v>
      </c>
      <c r="G437" t="str">
        <f>IF('Boletins Nuppa Site'!J437&lt;&gt;0,'Boletins Nuppa Site'!J437,"NULL")</f>
        <v>35.67</v>
      </c>
      <c r="H437" s="14">
        <f>IF('Boletins Nuppa Site'!K437&lt;&gt;0,'Boletins Nuppa Site'!K437,"NULL")</f>
        <v>35</v>
      </c>
      <c r="I437" t="str">
        <f t="shared" si="12"/>
        <v>INSERT INTO COTACAO (cot_id, cot_blt_id, cot_pap_id, cot_prc_comum, cot_prc_min, cot_prc_max, cot_prc_med, cot_prc_mediana) VALUES (436, 48, 4, NULL, 30, 42, 35.67, 35);</v>
      </c>
      <c r="J437" t="str">
        <f t="shared" si="13"/>
        <v>UPDATE COTACAO SET cot_id = 436, cot_blt_id = 48, cot_pap_id = 4, cot_prc_comum = NULL, cot_prc_min = 30, cot_prc_max = 42, cot_prc_med = 35.67, cot_prc_mediana = 35 WHERE cot_id = 436;</v>
      </c>
    </row>
    <row r="438" spans="1:10" x14ac:dyDescent="0.3">
      <c r="A438">
        <v>437</v>
      </c>
      <c r="B438">
        <f>IF('Boletins Nuppa Site'!A438&lt;&gt;0,'Boletins Nuppa Site'!A438,"NULL")</f>
        <v>48</v>
      </c>
      <c r="C438">
        <v>5</v>
      </c>
      <c r="D438" t="str">
        <f>IF('Boletins Nuppa Site'!G438&lt;&gt;0,'Boletins Nuppa Site'!G438,"NULL")</f>
        <v>NULL</v>
      </c>
      <c r="E438" s="14">
        <f>IF('Boletins Nuppa Site'!H438&lt;&gt;0,'Boletins Nuppa Site'!H438,"NULL")</f>
        <v>30</v>
      </c>
      <c r="F438" s="14">
        <f>IF('Boletins Nuppa Site'!I438&lt;&gt;0,'Boletins Nuppa Site'!I438,"NULL")</f>
        <v>42</v>
      </c>
      <c r="G438" t="str">
        <f>IF('Boletins Nuppa Site'!J438&lt;&gt;0,'Boletins Nuppa Site'!J438,"NULL")</f>
        <v>35.67</v>
      </c>
      <c r="H438" s="14">
        <f>IF('Boletins Nuppa Site'!K438&lt;&gt;0,'Boletins Nuppa Site'!K438,"NULL")</f>
        <v>35</v>
      </c>
      <c r="I438" t="str">
        <f t="shared" si="12"/>
        <v>INSERT INTO COTACAO (cot_id, cot_blt_id, cot_pap_id, cot_prc_comum, cot_prc_min, cot_prc_max, cot_prc_med, cot_prc_mediana) VALUES (437, 48, 5, NULL, 30, 42, 35.67, 35);</v>
      </c>
      <c r="J438" t="str">
        <f t="shared" si="13"/>
        <v>UPDATE COTACAO SET cot_id = 437, cot_blt_id = 48, cot_pap_id = 5, cot_prc_comum = NULL, cot_prc_min = 30, cot_prc_max = 42, cot_prc_med = 35.67, cot_prc_mediana = 35 WHERE cot_id = 437;</v>
      </c>
    </row>
    <row r="439" spans="1:10" x14ac:dyDescent="0.3">
      <c r="A439">
        <v>438</v>
      </c>
      <c r="B439">
        <f>IF('Boletins Nuppa Site'!A439&lt;&gt;0,'Boletins Nuppa Site'!A439,"NULL")</f>
        <v>48</v>
      </c>
      <c r="C439">
        <v>6</v>
      </c>
      <c r="D439" t="str">
        <f>IF('Boletins Nuppa Site'!G439&lt;&gt;0,'Boletins Nuppa Site'!G439,"NULL")</f>
        <v>NULL</v>
      </c>
      <c r="E439" s="14">
        <f>IF('Boletins Nuppa Site'!H439&lt;&gt;0,'Boletins Nuppa Site'!H439,"NULL")</f>
        <v>48</v>
      </c>
      <c r="F439" s="14">
        <f>IF('Boletins Nuppa Site'!I439&lt;&gt;0,'Boletins Nuppa Site'!I439,"NULL")</f>
        <v>96</v>
      </c>
      <c r="G439" s="14">
        <f>IF('Boletins Nuppa Site'!J439&lt;&gt;0,'Boletins Nuppa Site'!J439,"NULL")</f>
        <v>69</v>
      </c>
      <c r="H439" s="14">
        <f>IF('Boletins Nuppa Site'!K439&lt;&gt;0,'Boletins Nuppa Site'!K439,"NULL")</f>
        <v>66</v>
      </c>
      <c r="I439" t="str">
        <f t="shared" si="12"/>
        <v>INSERT INTO COTACAO (cot_id, cot_blt_id, cot_pap_id, cot_prc_comum, cot_prc_min, cot_prc_max, cot_prc_med, cot_prc_mediana) VALUES (438, 48, 6, NULL, 48, 96, 69, 66);</v>
      </c>
      <c r="J439" t="str">
        <f t="shared" si="13"/>
        <v>UPDATE COTACAO SET cot_id = 438, cot_blt_id = 48, cot_pap_id = 6, cot_prc_comum = NULL, cot_prc_min = 48, cot_prc_max = 96, cot_prc_med = 69, cot_prc_mediana = 66 WHERE cot_id = 438;</v>
      </c>
    </row>
    <row r="440" spans="1:10" x14ac:dyDescent="0.3">
      <c r="A440">
        <v>439</v>
      </c>
      <c r="B440">
        <f>IF('Boletins Nuppa Site'!A440&lt;&gt;0,'Boletins Nuppa Site'!A440,"NULL")</f>
        <v>48</v>
      </c>
      <c r="C440">
        <v>7</v>
      </c>
      <c r="D440" t="str">
        <f>IF('Boletins Nuppa Site'!G440&lt;&gt;0,'Boletins Nuppa Site'!G440,"NULL")</f>
        <v>NULL</v>
      </c>
      <c r="E440" s="14">
        <f>IF('Boletins Nuppa Site'!H440&lt;&gt;0,'Boletins Nuppa Site'!H440,"NULL")</f>
        <v>96</v>
      </c>
      <c r="F440" s="14">
        <f>IF('Boletins Nuppa Site'!I440&lt;&gt;0,'Boletins Nuppa Site'!I440,"NULL")</f>
        <v>108</v>
      </c>
      <c r="G440" t="str">
        <f>IF('Boletins Nuppa Site'!J440&lt;&gt;0,'Boletins Nuppa Site'!J440,"NULL")</f>
        <v>101.33</v>
      </c>
      <c r="H440" s="14">
        <f>IF('Boletins Nuppa Site'!K440&lt;&gt;0,'Boletins Nuppa Site'!K440,"NULL")</f>
        <v>100</v>
      </c>
      <c r="I440" t="str">
        <f t="shared" si="12"/>
        <v>INSERT INTO COTACAO (cot_id, cot_blt_id, cot_pap_id, cot_prc_comum, cot_prc_min, cot_prc_max, cot_prc_med, cot_prc_mediana) VALUES (439, 48, 7, NULL, 96, 108, 101.33, 100);</v>
      </c>
      <c r="J440" t="str">
        <f t="shared" si="13"/>
        <v>UPDATE COTACAO SET cot_id = 439, cot_blt_id = 48, cot_pap_id = 7, cot_prc_comum = NULL, cot_prc_min = 96, cot_prc_max = 108, cot_prc_med = 101.33, cot_prc_mediana = 100 WHERE cot_id = 439;</v>
      </c>
    </row>
    <row r="441" spans="1:10" x14ac:dyDescent="0.3">
      <c r="A441">
        <v>440</v>
      </c>
      <c r="B441">
        <f>IF('Boletins Nuppa Site'!A441&lt;&gt;0,'Boletins Nuppa Site'!A441,"NULL")</f>
        <v>48</v>
      </c>
      <c r="C441">
        <v>8</v>
      </c>
      <c r="D441" t="str">
        <f>IF('Boletins Nuppa Site'!G441&lt;&gt;0,'Boletins Nuppa Site'!G441,"NULL")</f>
        <v>NULL</v>
      </c>
      <c r="E441" s="14">
        <f>IF('Boletins Nuppa Site'!H441&lt;&gt;0,'Boletins Nuppa Site'!H441,"NULL")</f>
        <v>84</v>
      </c>
      <c r="F441" s="14">
        <f>IF('Boletins Nuppa Site'!I441&lt;&gt;0,'Boletins Nuppa Site'!I441,"NULL")</f>
        <v>100</v>
      </c>
      <c r="G441" t="str">
        <f>IF('Boletins Nuppa Site'!J441&lt;&gt;0,'Boletins Nuppa Site'!J441,"NULL")</f>
        <v>93.33</v>
      </c>
      <c r="H441" s="14">
        <f>IF('Boletins Nuppa Site'!K441&lt;&gt;0,'Boletins Nuppa Site'!K441,"NULL")</f>
        <v>96</v>
      </c>
      <c r="I441" t="str">
        <f t="shared" si="12"/>
        <v>INSERT INTO COTACAO (cot_id, cot_blt_id, cot_pap_id, cot_prc_comum, cot_prc_min, cot_prc_max, cot_prc_med, cot_prc_mediana) VALUES (440, 48, 8, NULL, 84, 100, 93.33, 96);</v>
      </c>
      <c r="J441" t="str">
        <f t="shared" si="13"/>
        <v>UPDATE COTACAO SET cot_id = 440, cot_blt_id = 48, cot_pap_id = 8, cot_prc_comum = NULL, cot_prc_min = 84, cot_prc_max = 100, cot_prc_med = 93.33, cot_prc_mediana = 96 WHERE cot_id = 440;</v>
      </c>
    </row>
    <row r="442" spans="1:10" x14ac:dyDescent="0.3">
      <c r="A442">
        <v>441</v>
      </c>
      <c r="B442">
        <f>IF('Boletins Nuppa Site'!A442&lt;&gt;0,'Boletins Nuppa Site'!A442,"NULL")</f>
        <v>48</v>
      </c>
      <c r="C442">
        <v>9</v>
      </c>
      <c r="D442" s="14">
        <f>IF('Boletins Nuppa Site'!G442&lt;&gt;0,'Boletins Nuppa Site'!G442,"NULL")</f>
        <v>30</v>
      </c>
      <c r="E442" s="14">
        <f>IF('Boletins Nuppa Site'!H442&lt;&gt;0,'Boletins Nuppa Site'!H442,"NULL")</f>
        <v>30</v>
      </c>
      <c r="F442" s="14">
        <f>IF('Boletins Nuppa Site'!I442&lt;&gt;0,'Boletins Nuppa Site'!I442,"NULL")</f>
        <v>96</v>
      </c>
      <c r="G442" s="14">
        <f>IF('Boletins Nuppa Site'!J442&lt;&gt;0,'Boletins Nuppa Site'!J442,"NULL")</f>
        <v>48</v>
      </c>
      <c r="H442" s="14">
        <f>IF('Boletins Nuppa Site'!K442&lt;&gt;0,'Boletins Nuppa Site'!K442,"NULL")</f>
        <v>33</v>
      </c>
      <c r="I442" t="str">
        <f t="shared" si="12"/>
        <v>INSERT INTO COTACAO (cot_id, cot_blt_id, cot_pap_id, cot_prc_comum, cot_prc_min, cot_prc_max, cot_prc_med, cot_prc_mediana) VALUES (441, 48, 9, 30, 30, 96, 48, 33);</v>
      </c>
      <c r="J442" t="str">
        <f t="shared" si="13"/>
        <v>UPDATE COTACAO SET cot_id = 441, cot_blt_id = 48, cot_pap_id = 9, cot_prc_comum = 30, cot_prc_min = 30, cot_prc_max = 96, cot_prc_med = 48, cot_prc_mediana = 33 WHERE cot_id = 441;</v>
      </c>
    </row>
    <row r="443" spans="1:10" x14ac:dyDescent="0.3">
      <c r="A443">
        <v>442</v>
      </c>
      <c r="B443">
        <f>IF('Boletins Nuppa Site'!A443&lt;&gt;0,'Boletins Nuppa Site'!A443,"NULL")</f>
        <v>48</v>
      </c>
      <c r="C443">
        <v>10</v>
      </c>
      <c r="D443" t="str">
        <f>IF('Boletins Nuppa Site'!G443&lt;&gt;0,'Boletins Nuppa Site'!G443,"NULL")</f>
        <v>NULL</v>
      </c>
      <c r="E443" s="14">
        <f>IF('Boletins Nuppa Site'!H443&lt;&gt;0,'Boletins Nuppa Site'!H443,"NULL")</f>
        <v>108</v>
      </c>
      <c r="F443" s="14">
        <f>IF('Boletins Nuppa Site'!I443&lt;&gt;0,'Boletins Nuppa Site'!I443,"NULL")</f>
        <v>120</v>
      </c>
      <c r="G443" s="14">
        <f>IF('Boletins Nuppa Site'!J443&lt;&gt;0,'Boletins Nuppa Site'!J443,"NULL")</f>
        <v>114</v>
      </c>
      <c r="H443" s="14">
        <f>IF('Boletins Nuppa Site'!K443&lt;&gt;0,'Boletins Nuppa Site'!K443,"NULL")</f>
        <v>114</v>
      </c>
      <c r="I443" t="str">
        <f t="shared" si="12"/>
        <v>INSERT INTO COTACAO (cot_id, cot_blt_id, cot_pap_id, cot_prc_comum, cot_prc_min, cot_prc_max, cot_prc_med, cot_prc_mediana) VALUES (442, 48, 10, NULL, 108, 120, 114, 114);</v>
      </c>
      <c r="J443" t="str">
        <f t="shared" si="13"/>
        <v>UPDATE COTACAO SET cot_id = 442, cot_blt_id = 48, cot_pap_id = 10, cot_prc_comum = NULL, cot_prc_min = 108, cot_prc_max = 120, cot_prc_med = 114, cot_prc_mediana = 114 WHERE cot_id = 442;</v>
      </c>
    </row>
    <row r="444" spans="1:10" x14ac:dyDescent="0.3">
      <c r="A444">
        <v>443</v>
      </c>
      <c r="B444">
        <f>IF('Boletins Nuppa Site'!A444&lt;&gt;0,'Boletins Nuppa Site'!A444,"NULL")</f>
        <v>48</v>
      </c>
      <c r="C444">
        <v>11</v>
      </c>
      <c r="D444" t="str">
        <f>IF('Boletins Nuppa Site'!G444&lt;&gt;0,'Boletins Nuppa Site'!G444,"NULL")</f>
        <v>NULL</v>
      </c>
      <c r="E444" s="14">
        <f>IF('Boletins Nuppa Site'!H444&lt;&gt;0,'Boletins Nuppa Site'!H444,"NULL")</f>
        <v>30</v>
      </c>
      <c r="F444" s="14">
        <f>IF('Boletins Nuppa Site'!I444&lt;&gt;0,'Boletins Nuppa Site'!I444,"NULL")</f>
        <v>42</v>
      </c>
      <c r="G444" s="14">
        <f>IF('Boletins Nuppa Site'!J444&lt;&gt;0,'Boletins Nuppa Site'!J444,"NULL")</f>
        <v>36</v>
      </c>
      <c r="H444" s="14">
        <f>IF('Boletins Nuppa Site'!K444&lt;&gt;0,'Boletins Nuppa Site'!K444,"NULL")</f>
        <v>36</v>
      </c>
      <c r="I444" t="str">
        <f t="shared" si="12"/>
        <v>INSERT INTO COTACAO (cot_id, cot_blt_id, cot_pap_id, cot_prc_comum, cot_prc_min, cot_prc_max, cot_prc_med, cot_prc_mediana) VALUES (443, 48, 11, NULL, 30, 42, 36, 36);</v>
      </c>
      <c r="J444" t="str">
        <f t="shared" si="13"/>
        <v>UPDATE COTACAO SET cot_id = 443, cot_blt_id = 48, cot_pap_id = 11, cot_prc_comum = NULL, cot_prc_min = 30, cot_prc_max = 42, cot_prc_med = 36, cot_prc_mediana = 36 WHERE cot_id = 443;</v>
      </c>
    </row>
    <row r="445" spans="1:10" x14ac:dyDescent="0.3">
      <c r="A445">
        <v>444</v>
      </c>
      <c r="B445">
        <f>IF('Boletins Nuppa Site'!A445&lt;&gt;0,'Boletins Nuppa Site'!A445,"NULL")</f>
        <v>48</v>
      </c>
      <c r="C445">
        <v>12</v>
      </c>
      <c r="D445" t="str">
        <f>IF('Boletins Nuppa Site'!G445&lt;&gt;0,'Boletins Nuppa Site'!G445,"NULL")</f>
        <v>NULL</v>
      </c>
      <c r="E445" s="14">
        <f>IF('Boletins Nuppa Site'!H445&lt;&gt;0,'Boletins Nuppa Site'!H445,"NULL")</f>
        <v>72</v>
      </c>
      <c r="F445" s="14">
        <f>IF('Boletins Nuppa Site'!I445&lt;&gt;0,'Boletins Nuppa Site'!I445,"NULL")</f>
        <v>84</v>
      </c>
      <c r="G445" s="14">
        <f>IF('Boletins Nuppa Site'!J445&lt;&gt;0,'Boletins Nuppa Site'!J445,"NULL")</f>
        <v>78</v>
      </c>
      <c r="H445" s="14">
        <f>IF('Boletins Nuppa Site'!K445&lt;&gt;0,'Boletins Nuppa Site'!K445,"NULL")</f>
        <v>78</v>
      </c>
      <c r="I445" t="str">
        <f t="shared" si="12"/>
        <v>INSERT INTO COTACAO (cot_id, cot_blt_id, cot_pap_id, cot_prc_comum, cot_prc_min, cot_prc_max, cot_prc_med, cot_prc_mediana) VALUES (444, 48, 12, NULL, 72, 84, 78, 78);</v>
      </c>
      <c r="J445" t="str">
        <f t="shared" si="13"/>
        <v>UPDATE COTACAO SET cot_id = 444, cot_blt_id = 48, cot_pap_id = 12, cot_prc_comum = NULL, cot_prc_min = 72, cot_prc_max = 84, cot_prc_med = 78, cot_prc_mediana = 78 WHERE cot_id = 444;</v>
      </c>
    </row>
    <row r="446" spans="1:10" x14ac:dyDescent="0.3">
      <c r="A446">
        <v>445</v>
      </c>
      <c r="B446">
        <f>IF('Boletins Nuppa Site'!A446&lt;&gt;0,'Boletins Nuppa Site'!A446,"NULL")</f>
        <v>48</v>
      </c>
      <c r="C446">
        <v>13</v>
      </c>
      <c r="D446" t="str">
        <f>IF('Boletins Nuppa Site'!G446&lt;&gt;0,'Boletins Nuppa Site'!G446,"NULL")</f>
        <v>NULL</v>
      </c>
      <c r="E446" s="14">
        <f>IF('Boletins Nuppa Site'!H446&lt;&gt;0,'Boletins Nuppa Site'!H446,"NULL")</f>
        <v>32</v>
      </c>
      <c r="F446" s="14">
        <f>IF('Boletins Nuppa Site'!I446&lt;&gt;0,'Boletins Nuppa Site'!I446,"NULL")</f>
        <v>84</v>
      </c>
      <c r="G446" t="str">
        <f>IF('Boletins Nuppa Site'!J446&lt;&gt;0,'Boletins Nuppa Site'!J446,"NULL")</f>
        <v>62.67</v>
      </c>
      <c r="H446" s="14">
        <f>IF('Boletins Nuppa Site'!K446&lt;&gt;0,'Boletins Nuppa Site'!K446,"NULL")</f>
        <v>72</v>
      </c>
      <c r="I446" t="str">
        <f t="shared" si="12"/>
        <v>INSERT INTO COTACAO (cot_id, cot_blt_id, cot_pap_id, cot_prc_comum, cot_prc_min, cot_prc_max, cot_prc_med, cot_prc_mediana) VALUES (445, 48, 13, NULL, 32, 84, 62.67, 72);</v>
      </c>
      <c r="J446" t="str">
        <f t="shared" si="13"/>
        <v>UPDATE COTACAO SET cot_id = 445, cot_blt_id = 48, cot_pap_id = 13, cot_prc_comum = NULL, cot_prc_min = 32, cot_prc_max = 84, cot_prc_med = 62.67, cot_prc_mediana = 72 WHERE cot_id = 445;</v>
      </c>
    </row>
    <row r="447" spans="1:10" x14ac:dyDescent="0.3">
      <c r="A447">
        <v>446</v>
      </c>
      <c r="B447">
        <f>IF('Boletins Nuppa Site'!A447&lt;&gt;0,'Boletins Nuppa Site'!A447,"NULL")</f>
        <v>48</v>
      </c>
      <c r="C447">
        <v>14</v>
      </c>
      <c r="D447" s="14">
        <f>IF('Boletins Nuppa Site'!G447&lt;&gt;0,'Boletins Nuppa Site'!G447,"NULL")</f>
        <v>60</v>
      </c>
      <c r="E447" s="14">
        <f>IF('Boletins Nuppa Site'!H447&lt;&gt;0,'Boletins Nuppa Site'!H447,"NULL")</f>
        <v>60</v>
      </c>
      <c r="F447" s="14">
        <f>IF('Boletins Nuppa Site'!I447&lt;&gt;0,'Boletins Nuppa Site'!I447,"NULL")</f>
        <v>80</v>
      </c>
      <c r="G447" t="str">
        <f>IF('Boletins Nuppa Site'!J447&lt;&gt;0,'Boletins Nuppa Site'!J447,"NULL")</f>
        <v>66.67</v>
      </c>
      <c r="H447" s="14">
        <f>IF('Boletins Nuppa Site'!K447&lt;&gt;0,'Boletins Nuppa Site'!K447,"NULL")</f>
        <v>60</v>
      </c>
      <c r="I447" t="str">
        <f t="shared" si="12"/>
        <v>INSERT INTO COTACAO (cot_id, cot_blt_id, cot_pap_id, cot_prc_comum, cot_prc_min, cot_prc_max, cot_prc_med, cot_prc_mediana) VALUES (446, 48, 14, 60, 60, 80, 66.67, 60);</v>
      </c>
      <c r="J447" t="str">
        <f t="shared" si="13"/>
        <v>UPDATE COTACAO SET cot_id = 446, cot_blt_id = 48, cot_pap_id = 14, cot_prc_comum = 60, cot_prc_min = 60, cot_prc_max = 80, cot_prc_med = 66.67, cot_prc_mediana = 60 WHERE cot_id = 446;</v>
      </c>
    </row>
    <row r="448" spans="1:10" x14ac:dyDescent="0.3">
      <c r="A448">
        <v>447</v>
      </c>
      <c r="B448">
        <f>IF('Boletins Nuppa Site'!A448&lt;&gt;0,'Boletins Nuppa Site'!A448,"NULL")</f>
        <v>48</v>
      </c>
      <c r="C448">
        <v>15</v>
      </c>
      <c r="D448" t="str">
        <f>IF('Boletins Nuppa Site'!G448&lt;&gt;0,'Boletins Nuppa Site'!G448,"NULL")</f>
        <v>NULL</v>
      </c>
      <c r="E448" s="14">
        <f>IF('Boletins Nuppa Site'!H448&lt;&gt;0,'Boletins Nuppa Site'!H448,"NULL")</f>
        <v>50</v>
      </c>
      <c r="F448" s="14">
        <f>IF('Boletins Nuppa Site'!I448&lt;&gt;0,'Boletins Nuppa Site'!I448,"NULL")</f>
        <v>75</v>
      </c>
      <c r="G448" t="str">
        <f>IF('Boletins Nuppa Site'!J448&lt;&gt;0,'Boletins Nuppa Site'!J448,"NULL")</f>
        <v>59.67</v>
      </c>
      <c r="H448" s="14">
        <f>IF('Boletins Nuppa Site'!K448&lt;&gt;0,'Boletins Nuppa Site'!K448,"NULL")</f>
        <v>54</v>
      </c>
      <c r="I448" t="str">
        <f t="shared" si="12"/>
        <v>INSERT INTO COTACAO (cot_id, cot_blt_id, cot_pap_id, cot_prc_comum, cot_prc_min, cot_prc_max, cot_prc_med, cot_prc_mediana) VALUES (447, 48, 15, NULL, 50, 75, 59.67, 54);</v>
      </c>
      <c r="J448" t="str">
        <f t="shared" si="13"/>
        <v>UPDATE COTACAO SET cot_id = 447, cot_blt_id = 48, cot_pap_id = 15, cot_prc_comum = NULL, cot_prc_min = 50, cot_prc_max = 75, cot_prc_med = 59.67, cot_prc_mediana = 54 WHERE cot_id = 447;</v>
      </c>
    </row>
    <row r="449" spans="1:10" x14ac:dyDescent="0.3">
      <c r="A449">
        <v>448</v>
      </c>
      <c r="B449">
        <f>IF('Boletins Nuppa Site'!A449&lt;&gt;0,'Boletins Nuppa Site'!A449,"NULL")</f>
        <v>48</v>
      </c>
      <c r="C449">
        <v>16</v>
      </c>
      <c r="D449" t="str">
        <f>IF('Boletins Nuppa Site'!G449&lt;&gt;0,'Boletins Nuppa Site'!G449,"NULL")</f>
        <v>NULL</v>
      </c>
      <c r="E449" s="14">
        <f>IF('Boletins Nuppa Site'!H449&lt;&gt;0,'Boletins Nuppa Site'!H449,"NULL")</f>
        <v>42</v>
      </c>
      <c r="F449" s="14">
        <f>IF('Boletins Nuppa Site'!I449&lt;&gt;0,'Boletins Nuppa Site'!I449,"NULL")</f>
        <v>54</v>
      </c>
      <c r="G449" s="14">
        <f>IF('Boletins Nuppa Site'!J449&lt;&gt;0,'Boletins Nuppa Site'!J449,"NULL")</f>
        <v>48</v>
      </c>
      <c r="H449" s="14">
        <f>IF('Boletins Nuppa Site'!K449&lt;&gt;0,'Boletins Nuppa Site'!K449,"NULL")</f>
        <v>48</v>
      </c>
      <c r="I449" t="str">
        <f t="shared" si="12"/>
        <v>INSERT INTO COTACAO (cot_id, cot_blt_id, cot_pap_id, cot_prc_comum, cot_prc_min, cot_prc_max, cot_prc_med, cot_prc_mediana) VALUES (448, 48, 16, NULL, 42, 54, 48, 48);</v>
      </c>
      <c r="J449" t="str">
        <f t="shared" si="13"/>
        <v>UPDATE COTACAO SET cot_id = 448, cot_blt_id = 48, cot_pap_id = 16, cot_prc_comum = NULL, cot_prc_min = 42, cot_prc_max = 54, cot_prc_med = 48, cot_prc_mediana = 48 WHERE cot_id = 448;</v>
      </c>
    </row>
    <row r="450" spans="1:10" x14ac:dyDescent="0.3">
      <c r="A450">
        <v>449</v>
      </c>
      <c r="B450">
        <f>IF('Boletins Nuppa Site'!A450&lt;&gt;0,'Boletins Nuppa Site'!A450,"NULL")</f>
        <v>48</v>
      </c>
      <c r="C450">
        <v>17</v>
      </c>
      <c r="D450" s="14">
        <f>IF('Boletins Nuppa Site'!G450&lt;&gt;0,'Boletins Nuppa Site'!G450,"NULL")</f>
        <v>5</v>
      </c>
      <c r="E450" t="str">
        <f>IF('Boletins Nuppa Site'!H450&lt;&gt;0,'Boletins Nuppa Site'!H450,"NULL")</f>
        <v>4.5</v>
      </c>
      <c r="F450" s="14">
        <f>IF('Boletins Nuppa Site'!I450&lt;&gt;0,'Boletins Nuppa Site'!I450,"NULL")</f>
        <v>5</v>
      </c>
      <c r="G450" t="str">
        <f>IF('Boletins Nuppa Site'!J450&lt;&gt;0,'Boletins Nuppa Site'!J450,"NULL")</f>
        <v>4.83</v>
      </c>
      <c r="H450" s="14">
        <f>IF('Boletins Nuppa Site'!K450&lt;&gt;0,'Boletins Nuppa Site'!K450,"NULL")</f>
        <v>5</v>
      </c>
      <c r="I450" t="str">
        <f t="shared" si="12"/>
        <v>INSERT INTO COTACAO (cot_id, cot_blt_id, cot_pap_id, cot_prc_comum, cot_prc_min, cot_prc_max, cot_prc_med, cot_prc_mediana) VALUES (449, 48, 17, 5, 4.5, 5, 4.83, 5);</v>
      </c>
      <c r="J450" t="str">
        <f t="shared" si="13"/>
        <v>UPDATE COTACAO SET cot_id = 449, cot_blt_id = 48, cot_pap_id = 17, cot_prc_comum = 5, cot_prc_min = 4.5, cot_prc_max = 5, cot_prc_med = 4.83, cot_prc_mediana = 5 WHERE cot_id = 449;</v>
      </c>
    </row>
    <row r="451" spans="1:10" x14ac:dyDescent="0.3">
      <c r="A451">
        <v>450</v>
      </c>
      <c r="B451">
        <f>IF('Boletins Nuppa Site'!A451&lt;&gt;0,'Boletins Nuppa Site'!A451,"NULL")</f>
        <v>48</v>
      </c>
      <c r="C451">
        <v>18</v>
      </c>
      <c r="D451" t="str">
        <f>IF('Boletins Nuppa Site'!G451&lt;&gt;0,'Boletins Nuppa Site'!G451,"NULL")</f>
        <v>NULL</v>
      </c>
      <c r="E451" s="14">
        <f>IF('Boletins Nuppa Site'!H451&lt;&gt;0,'Boletins Nuppa Site'!H451,"NULL")</f>
        <v>20</v>
      </c>
      <c r="F451" s="14">
        <f>IF('Boletins Nuppa Site'!I451&lt;&gt;0,'Boletins Nuppa Site'!I451,"NULL")</f>
        <v>30</v>
      </c>
      <c r="G451" s="14">
        <f>IF('Boletins Nuppa Site'!J451&lt;&gt;0,'Boletins Nuppa Site'!J451,"NULL")</f>
        <v>25</v>
      </c>
      <c r="H451" s="14">
        <f>IF('Boletins Nuppa Site'!K451&lt;&gt;0,'Boletins Nuppa Site'!K451,"NULL")</f>
        <v>25</v>
      </c>
      <c r="I451" t="str">
        <f t="shared" ref="I451:I514" si="14">"INSERT INTO COTACAO (cot_id, cot_blt_id, cot_pap_id, cot_prc_comum, cot_prc_min, cot_prc_max, cot_prc_med, cot_prc_mediana) VALUES ("&amp;A451&amp;", "&amp;B451&amp;", "&amp;C451&amp;", "&amp;D451&amp;", "&amp;E451&amp;", "&amp;F451&amp;", "&amp;G451&amp;", "&amp;H451&amp;");"</f>
        <v>INSERT INTO COTACAO (cot_id, cot_blt_id, cot_pap_id, cot_prc_comum, cot_prc_min, cot_prc_max, cot_prc_med, cot_prc_mediana) VALUES (450, 48, 18, NULL, 20, 30, 25, 25);</v>
      </c>
      <c r="J451" t="str">
        <f t="shared" ref="J451:J514" si="15">"UPDATE COTACAO SET cot_id = "&amp;A451&amp;", cot_blt_id = "&amp;B451&amp;", cot_pap_id = "&amp;C451&amp;", cot_prc_comum = "&amp;D451&amp;", cot_prc_min = "&amp;E451&amp;", cot_prc_max = "&amp;F451&amp;", cot_prc_med = "&amp;G451&amp;", cot_prc_mediana = "&amp;H451&amp;" WHERE cot_id = "&amp;A451&amp;";"</f>
        <v>UPDATE COTACAO SET cot_id = 450, cot_blt_id = 48, cot_pap_id = 18, cot_prc_comum = NULL, cot_prc_min = 20, cot_prc_max = 30, cot_prc_med = 25, cot_prc_mediana = 25 WHERE cot_id = 450;</v>
      </c>
    </row>
    <row r="452" spans="1:10" x14ac:dyDescent="0.3">
      <c r="A452">
        <v>451</v>
      </c>
      <c r="B452">
        <f>IF('Boletins Nuppa Site'!A452&lt;&gt;0,'Boletins Nuppa Site'!A452,"NULL")</f>
        <v>48</v>
      </c>
      <c r="C452">
        <v>19</v>
      </c>
      <c r="D452" t="str">
        <f>IF('Boletins Nuppa Site'!G452&lt;&gt;0,'Boletins Nuppa Site'!G452,"NULL")</f>
        <v>NULL</v>
      </c>
      <c r="E452" s="14">
        <f>IF('Boletins Nuppa Site'!H452&lt;&gt;0,'Boletins Nuppa Site'!H452,"NULL")</f>
        <v>30</v>
      </c>
      <c r="F452" s="14">
        <f>IF('Boletins Nuppa Site'!I452&lt;&gt;0,'Boletins Nuppa Site'!I452,"NULL")</f>
        <v>40</v>
      </c>
      <c r="G452" s="14">
        <f>IF('Boletins Nuppa Site'!J452&lt;&gt;0,'Boletins Nuppa Site'!J452,"NULL")</f>
        <v>35</v>
      </c>
      <c r="H452" s="14">
        <f>IF('Boletins Nuppa Site'!K452&lt;&gt;0,'Boletins Nuppa Site'!K452,"NULL")</f>
        <v>35</v>
      </c>
      <c r="I452" t="str">
        <f t="shared" si="14"/>
        <v>INSERT INTO COTACAO (cot_id, cot_blt_id, cot_pap_id, cot_prc_comum, cot_prc_min, cot_prc_max, cot_prc_med, cot_prc_mediana) VALUES (451, 48, 19, NULL, 30, 40, 35, 35);</v>
      </c>
      <c r="J452" t="str">
        <f t="shared" si="15"/>
        <v>UPDATE COTACAO SET cot_id = 451, cot_blt_id = 48, cot_pap_id = 19, cot_prc_comum = NULL, cot_prc_min = 30, cot_prc_max = 40, cot_prc_med = 35, cot_prc_mediana = 35 WHERE cot_id = 451;</v>
      </c>
    </row>
    <row r="453" spans="1:10" x14ac:dyDescent="0.3">
      <c r="A453">
        <v>452</v>
      </c>
      <c r="B453">
        <f>IF('Boletins Nuppa Site'!A453&lt;&gt;0,'Boletins Nuppa Site'!A453,"NULL")</f>
        <v>48</v>
      </c>
      <c r="C453">
        <v>20</v>
      </c>
      <c r="D453" s="14">
        <f>IF('Boletins Nuppa Site'!G453&lt;&gt;0,'Boletins Nuppa Site'!G453,"NULL")</f>
        <v>120</v>
      </c>
      <c r="E453" s="14">
        <f>IF('Boletins Nuppa Site'!H453&lt;&gt;0,'Boletins Nuppa Site'!H453,"NULL")</f>
        <v>115</v>
      </c>
      <c r="F453" s="14">
        <f>IF('Boletins Nuppa Site'!I453&lt;&gt;0,'Boletins Nuppa Site'!I453,"NULL")</f>
        <v>120</v>
      </c>
      <c r="G453" t="str">
        <f>IF('Boletins Nuppa Site'!J453&lt;&gt;0,'Boletins Nuppa Site'!J453,"NULL")</f>
        <v>118.33</v>
      </c>
      <c r="H453" s="14">
        <f>IF('Boletins Nuppa Site'!K453&lt;&gt;0,'Boletins Nuppa Site'!K453,"NULL")</f>
        <v>120</v>
      </c>
      <c r="I453" t="str">
        <f t="shared" si="14"/>
        <v>INSERT INTO COTACAO (cot_id, cot_blt_id, cot_pap_id, cot_prc_comum, cot_prc_min, cot_prc_max, cot_prc_med, cot_prc_mediana) VALUES (452, 48, 20, 120, 115, 120, 118.33, 120);</v>
      </c>
      <c r="J453" t="str">
        <f t="shared" si="15"/>
        <v>UPDATE COTACAO SET cot_id = 452, cot_blt_id = 48, cot_pap_id = 20, cot_prc_comum = 120, cot_prc_min = 115, cot_prc_max = 120, cot_prc_med = 118.33, cot_prc_mediana = 120 WHERE cot_id = 452;</v>
      </c>
    </row>
    <row r="454" spans="1:10" x14ac:dyDescent="0.3">
      <c r="A454">
        <v>453</v>
      </c>
      <c r="B454">
        <f>IF('Boletins Nuppa Site'!A454&lt;&gt;0,'Boletins Nuppa Site'!A454,"NULL")</f>
        <v>48</v>
      </c>
      <c r="C454">
        <v>21</v>
      </c>
      <c r="D454" t="str">
        <f>IF('Boletins Nuppa Site'!G454&lt;&gt;0,'Boletins Nuppa Site'!G454,"NULL")</f>
        <v>NULL</v>
      </c>
      <c r="E454" s="14">
        <f>IF('Boletins Nuppa Site'!H454&lt;&gt;0,'Boletins Nuppa Site'!H454,"NULL")</f>
        <v>80</v>
      </c>
      <c r="F454" s="14">
        <f>IF('Boletins Nuppa Site'!I454&lt;&gt;0,'Boletins Nuppa Site'!I454,"NULL")</f>
        <v>100</v>
      </c>
      <c r="G454" s="14">
        <f>IF('Boletins Nuppa Site'!J454&lt;&gt;0,'Boletins Nuppa Site'!J454,"NULL")</f>
        <v>90</v>
      </c>
      <c r="H454" s="14">
        <f>IF('Boletins Nuppa Site'!K454&lt;&gt;0,'Boletins Nuppa Site'!K454,"NULL")</f>
        <v>90</v>
      </c>
      <c r="I454" t="str">
        <f t="shared" si="14"/>
        <v>INSERT INTO COTACAO (cot_id, cot_blt_id, cot_pap_id, cot_prc_comum, cot_prc_min, cot_prc_max, cot_prc_med, cot_prc_mediana) VALUES (453, 48, 21, NULL, 80, 100, 90, 90);</v>
      </c>
      <c r="J454" t="str">
        <f t="shared" si="15"/>
        <v>UPDATE COTACAO SET cot_id = 453, cot_blt_id = 48, cot_pap_id = 21, cot_prc_comum = NULL, cot_prc_min = 80, cot_prc_max = 100, cot_prc_med = 90, cot_prc_mediana = 90 WHERE cot_id = 453;</v>
      </c>
    </row>
    <row r="455" spans="1:10" x14ac:dyDescent="0.3">
      <c r="A455">
        <v>454</v>
      </c>
      <c r="B455">
        <f>IF('Boletins Nuppa Site'!A455&lt;&gt;0,'Boletins Nuppa Site'!A455,"NULL")</f>
        <v>48</v>
      </c>
      <c r="C455">
        <v>22</v>
      </c>
      <c r="D455" s="14">
        <f>IF('Boletins Nuppa Site'!G455&lt;&gt;0,'Boletins Nuppa Site'!G455,"NULL")</f>
        <v>75</v>
      </c>
      <c r="E455" s="14">
        <f>IF('Boletins Nuppa Site'!H455&lt;&gt;0,'Boletins Nuppa Site'!H455,"NULL")</f>
        <v>45</v>
      </c>
      <c r="F455" s="14">
        <f>IF('Boletins Nuppa Site'!I455&lt;&gt;0,'Boletins Nuppa Site'!I455,"NULL")</f>
        <v>80</v>
      </c>
      <c r="G455" t="str">
        <f>IF('Boletins Nuppa Site'!J455&lt;&gt;0,'Boletins Nuppa Site'!J455,"NULL")</f>
        <v>69.17</v>
      </c>
      <c r="H455" t="str">
        <f>IF('Boletins Nuppa Site'!K455&lt;&gt;0,'Boletins Nuppa Site'!K455,"NULL")</f>
        <v>72.5</v>
      </c>
      <c r="I455" t="str">
        <f t="shared" si="14"/>
        <v>INSERT INTO COTACAO (cot_id, cot_blt_id, cot_pap_id, cot_prc_comum, cot_prc_min, cot_prc_max, cot_prc_med, cot_prc_mediana) VALUES (454, 48, 22, 75, 45, 80, 69.17, 72.5);</v>
      </c>
      <c r="J455" t="str">
        <f t="shared" si="15"/>
        <v>UPDATE COTACAO SET cot_id = 454, cot_blt_id = 48, cot_pap_id = 22, cot_prc_comum = 75, cot_prc_min = 45, cot_prc_max = 80, cot_prc_med = 69.17, cot_prc_mediana = 72.5 WHERE cot_id = 454;</v>
      </c>
    </row>
    <row r="456" spans="1:10" x14ac:dyDescent="0.3">
      <c r="A456">
        <v>455</v>
      </c>
      <c r="B456">
        <f>IF('Boletins Nuppa Site'!A456&lt;&gt;0,'Boletins Nuppa Site'!A456,"NULL")</f>
        <v>48</v>
      </c>
      <c r="C456">
        <v>23</v>
      </c>
      <c r="D456" s="14">
        <f>IF('Boletins Nuppa Site'!G456&lt;&gt;0,'Boletins Nuppa Site'!G456,"NULL")</f>
        <v>50</v>
      </c>
      <c r="E456" s="14">
        <f>IF('Boletins Nuppa Site'!H456&lt;&gt;0,'Boletins Nuppa Site'!H456,"NULL")</f>
        <v>35</v>
      </c>
      <c r="F456" s="14">
        <f>IF('Boletins Nuppa Site'!I456&lt;&gt;0,'Boletins Nuppa Site'!I456,"NULL")</f>
        <v>50</v>
      </c>
      <c r="G456" t="str">
        <f>IF('Boletins Nuppa Site'!J456&lt;&gt;0,'Boletins Nuppa Site'!J456,"NULL")</f>
        <v>43.33</v>
      </c>
      <c r="H456" t="str">
        <f>IF('Boletins Nuppa Site'!K456&lt;&gt;0,'Boletins Nuppa Site'!K456,"NULL")</f>
        <v>42.5</v>
      </c>
      <c r="I456" t="str">
        <f t="shared" si="14"/>
        <v>INSERT INTO COTACAO (cot_id, cot_blt_id, cot_pap_id, cot_prc_comum, cot_prc_min, cot_prc_max, cot_prc_med, cot_prc_mediana) VALUES (455, 48, 23, 50, 35, 50, 43.33, 42.5);</v>
      </c>
      <c r="J456" t="str">
        <f t="shared" si="15"/>
        <v>UPDATE COTACAO SET cot_id = 455, cot_blt_id = 48, cot_pap_id = 23, cot_prc_comum = 50, cot_prc_min = 35, cot_prc_max = 50, cot_prc_med = 43.33, cot_prc_mediana = 42.5 WHERE cot_id = 455;</v>
      </c>
    </row>
    <row r="457" spans="1:10" x14ac:dyDescent="0.3">
      <c r="A457">
        <v>456</v>
      </c>
      <c r="B457">
        <f>IF('Boletins Nuppa Site'!A457&lt;&gt;0,'Boletins Nuppa Site'!A457,"NULL")</f>
        <v>48</v>
      </c>
      <c r="C457">
        <v>24</v>
      </c>
      <c r="D457" t="str">
        <f>IF('Boletins Nuppa Site'!G457&lt;&gt;0,'Boletins Nuppa Site'!G457,"NULL")</f>
        <v>NULL</v>
      </c>
      <c r="E457" s="14">
        <f>IF('Boletins Nuppa Site'!H457&lt;&gt;0,'Boletins Nuppa Site'!H457,"NULL")</f>
        <v>65</v>
      </c>
      <c r="F457" s="14">
        <f>IF('Boletins Nuppa Site'!I457&lt;&gt;0,'Boletins Nuppa Site'!I457,"NULL")</f>
        <v>65</v>
      </c>
      <c r="G457" s="14">
        <f>IF('Boletins Nuppa Site'!J457&lt;&gt;0,'Boletins Nuppa Site'!J457,"NULL")</f>
        <v>65</v>
      </c>
      <c r="H457" s="14">
        <f>IF('Boletins Nuppa Site'!K457&lt;&gt;0,'Boletins Nuppa Site'!K457,"NULL")</f>
        <v>65</v>
      </c>
      <c r="I457" t="str">
        <f t="shared" si="14"/>
        <v>INSERT INTO COTACAO (cot_id, cot_blt_id, cot_pap_id, cot_prc_comum, cot_prc_min, cot_prc_max, cot_prc_med, cot_prc_mediana) VALUES (456, 48, 24, NULL, 65, 65, 65, 65);</v>
      </c>
      <c r="J457" t="str">
        <f t="shared" si="15"/>
        <v>UPDATE COTACAO SET cot_id = 456, cot_blt_id = 48, cot_pap_id = 24, cot_prc_comum = NULL, cot_prc_min = 65, cot_prc_max = 65, cot_prc_med = 65, cot_prc_mediana = 65 WHERE cot_id = 456;</v>
      </c>
    </row>
    <row r="458" spans="1:10" x14ac:dyDescent="0.3">
      <c r="A458">
        <v>457</v>
      </c>
      <c r="B458">
        <f>IF('Boletins Nuppa Site'!A458&lt;&gt;0,'Boletins Nuppa Site'!A458,"NULL")</f>
        <v>48</v>
      </c>
      <c r="C458">
        <v>25</v>
      </c>
      <c r="D458" s="14">
        <f>IF('Boletins Nuppa Site'!G458&lt;&gt;0,'Boletins Nuppa Site'!G458,"NULL")</f>
        <v>130</v>
      </c>
      <c r="E458" s="14">
        <f>IF('Boletins Nuppa Site'!H458&lt;&gt;0,'Boletins Nuppa Site'!H458,"NULL")</f>
        <v>100</v>
      </c>
      <c r="F458" s="14">
        <f>IF('Boletins Nuppa Site'!I458&lt;&gt;0,'Boletins Nuppa Site'!I458,"NULL")</f>
        <v>130</v>
      </c>
      <c r="G458" t="str">
        <f>IF('Boletins Nuppa Site'!J458&lt;&gt;0,'Boletins Nuppa Site'!J458,"NULL")</f>
        <v>116.67</v>
      </c>
      <c r="H458" s="14">
        <f>IF('Boletins Nuppa Site'!K458&lt;&gt;0,'Boletins Nuppa Site'!K458,"NULL")</f>
        <v>115</v>
      </c>
      <c r="I458" t="str">
        <f t="shared" si="14"/>
        <v>INSERT INTO COTACAO (cot_id, cot_blt_id, cot_pap_id, cot_prc_comum, cot_prc_min, cot_prc_max, cot_prc_med, cot_prc_mediana) VALUES (457, 48, 25, 130, 100, 130, 116.67, 115);</v>
      </c>
      <c r="J458" t="str">
        <f t="shared" si="15"/>
        <v>UPDATE COTACAO SET cot_id = 457, cot_blt_id = 48, cot_pap_id = 25, cot_prc_comum = 130, cot_prc_min = 100, cot_prc_max = 130, cot_prc_med = 116.67, cot_prc_mediana = 115 WHERE cot_id = 457;</v>
      </c>
    </row>
    <row r="459" spans="1:10" x14ac:dyDescent="0.3">
      <c r="A459">
        <v>458</v>
      </c>
      <c r="B459">
        <f>IF('Boletins Nuppa Site'!A459&lt;&gt;0,'Boletins Nuppa Site'!A459,"NULL")</f>
        <v>48</v>
      </c>
      <c r="C459">
        <v>26</v>
      </c>
      <c r="D459" s="14">
        <f>IF('Boletins Nuppa Site'!G459&lt;&gt;0,'Boletins Nuppa Site'!G459,"NULL")</f>
        <v>90</v>
      </c>
      <c r="E459" s="14">
        <f>IF('Boletins Nuppa Site'!H459&lt;&gt;0,'Boletins Nuppa Site'!H459,"NULL")</f>
        <v>90</v>
      </c>
      <c r="F459" s="14">
        <f>IF('Boletins Nuppa Site'!I459&lt;&gt;0,'Boletins Nuppa Site'!I459,"NULL")</f>
        <v>150</v>
      </c>
      <c r="G459" s="14">
        <f>IF('Boletins Nuppa Site'!J459&lt;&gt;0,'Boletins Nuppa Site'!J459,"NULL")</f>
        <v>122</v>
      </c>
      <c r="H459" s="14">
        <f>IF('Boletins Nuppa Site'!K459&lt;&gt;0,'Boletins Nuppa Site'!K459,"NULL")</f>
        <v>140</v>
      </c>
      <c r="I459" t="str">
        <f t="shared" si="14"/>
        <v>INSERT INTO COTACAO (cot_id, cot_blt_id, cot_pap_id, cot_prc_comum, cot_prc_min, cot_prc_max, cot_prc_med, cot_prc_mediana) VALUES (458, 48, 26, 90, 90, 150, 122, 140);</v>
      </c>
      <c r="J459" t="str">
        <f t="shared" si="15"/>
        <v>UPDATE COTACAO SET cot_id = 458, cot_blt_id = 48, cot_pap_id = 26, cot_prc_comum = 90, cot_prc_min = 90, cot_prc_max = 150, cot_prc_med = 122, cot_prc_mediana = 140 WHERE cot_id = 458;</v>
      </c>
    </row>
    <row r="460" spans="1:10" x14ac:dyDescent="0.3">
      <c r="A460">
        <v>459</v>
      </c>
      <c r="B460">
        <f>IF('Boletins Nuppa Site'!A460&lt;&gt;0,'Boletins Nuppa Site'!A460,"NULL")</f>
        <v>48</v>
      </c>
      <c r="C460">
        <v>27</v>
      </c>
      <c r="D460" s="14">
        <f>IF('Boletins Nuppa Site'!G460&lt;&gt;0,'Boletins Nuppa Site'!G460,"NULL")</f>
        <v>60</v>
      </c>
      <c r="E460" s="14">
        <f>IF('Boletins Nuppa Site'!H460&lt;&gt;0,'Boletins Nuppa Site'!H460,"NULL")</f>
        <v>50</v>
      </c>
      <c r="F460" s="14">
        <f>IF('Boletins Nuppa Site'!I460&lt;&gt;0,'Boletins Nuppa Site'!I460,"NULL")</f>
        <v>60</v>
      </c>
      <c r="G460" t="str">
        <f>IF('Boletins Nuppa Site'!J460&lt;&gt;0,'Boletins Nuppa Site'!J460,"NULL")</f>
        <v>56.33</v>
      </c>
      <c r="H460" s="14">
        <f>IF('Boletins Nuppa Site'!K460&lt;&gt;0,'Boletins Nuppa Site'!K460,"NULL")</f>
        <v>59</v>
      </c>
      <c r="I460" t="str">
        <f t="shared" si="14"/>
        <v>INSERT INTO COTACAO (cot_id, cot_blt_id, cot_pap_id, cot_prc_comum, cot_prc_min, cot_prc_max, cot_prc_med, cot_prc_mediana) VALUES (459, 48, 27, 60, 50, 60, 56.33, 59);</v>
      </c>
      <c r="J460" t="str">
        <f t="shared" si="15"/>
        <v>UPDATE COTACAO SET cot_id = 459, cot_blt_id = 48, cot_pap_id = 27, cot_prc_comum = 60, cot_prc_min = 50, cot_prc_max = 60, cot_prc_med = 56.33, cot_prc_mediana = 59 WHERE cot_id = 459;</v>
      </c>
    </row>
    <row r="461" spans="1:10" x14ac:dyDescent="0.3">
      <c r="A461">
        <v>460</v>
      </c>
      <c r="B461">
        <f>IF('Boletins Nuppa Site'!A461&lt;&gt;0,'Boletins Nuppa Site'!A461,"NULL")</f>
        <v>48</v>
      </c>
      <c r="C461">
        <v>28</v>
      </c>
      <c r="D461" s="14">
        <f>IF('Boletins Nuppa Site'!G461&lt;&gt;0,'Boletins Nuppa Site'!G461,"NULL")</f>
        <v>100</v>
      </c>
      <c r="E461" s="14">
        <f>IF('Boletins Nuppa Site'!H461&lt;&gt;0,'Boletins Nuppa Site'!H461,"NULL")</f>
        <v>100</v>
      </c>
      <c r="F461" s="14">
        <f>IF('Boletins Nuppa Site'!I461&lt;&gt;0,'Boletins Nuppa Site'!I461,"NULL")</f>
        <v>110</v>
      </c>
      <c r="G461" t="str">
        <f>IF('Boletins Nuppa Site'!J461&lt;&gt;0,'Boletins Nuppa Site'!J461,"NULL")</f>
        <v>103.33</v>
      </c>
      <c r="H461" s="14">
        <f>IF('Boletins Nuppa Site'!K461&lt;&gt;0,'Boletins Nuppa Site'!K461,"NULL")</f>
        <v>100</v>
      </c>
      <c r="I461" t="str">
        <f t="shared" si="14"/>
        <v>INSERT INTO COTACAO (cot_id, cot_blt_id, cot_pap_id, cot_prc_comum, cot_prc_min, cot_prc_max, cot_prc_med, cot_prc_mediana) VALUES (460, 48, 28, 100, 100, 110, 103.33, 100);</v>
      </c>
      <c r="J461" t="str">
        <f t="shared" si="15"/>
        <v>UPDATE COTACAO SET cot_id = 460, cot_blt_id = 48, cot_pap_id = 28, cot_prc_comum = 100, cot_prc_min = 100, cot_prc_max = 110, cot_prc_med = 103.33, cot_prc_mediana = 100 WHERE cot_id = 460;</v>
      </c>
    </row>
    <row r="462" spans="1:10" x14ac:dyDescent="0.3">
      <c r="A462">
        <v>461</v>
      </c>
      <c r="B462">
        <f>IF('Boletins Nuppa Site'!A462&lt;&gt;0,'Boletins Nuppa Site'!A462,"NULL")</f>
        <v>48</v>
      </c>
      <c r="C462">
        <v>29</v>
      </c>
      <c r="D462" t="str">
        <f>IF('Boletins Nuppa Site'!G462&lt;&gt;0,'Boletins Nuppa Site'!G462,"NULL")</f>
        <v>NULL</v>
      </c>
      <c r="E462" s="14">
        <f>IF('Boletins Nuppa Site'!H462&lt;&gt;0,'Boletins Nuppa Site'!H462,"NULL")</f>
        <v>50</v>
      </c>
      <c r="F462" s="14">
        <f>IF('Boletins Nuppa Site'!I462&lt;&gt;0,'Boletins Nuppa Site'!I462,"NULL")</f>
        <v>78</v>
      </c>
      <c r="G462" s="14">
        <f>IF('Boletins Nuppa Site'!J462&lt;&gt;0,'Boletins Nuppa Site'!J462,"NULL")</f>
        <v>64</v>
      </c>
      <c r="H462" s="14">
        <f>IF('Boletins Nuppa Site'!K462&lt;&gt;0,'Boletins Nuppa Site'!K462,"NULL")</f>
        <v>64</v>
      </c>
      <c r="I462" t="str">
        <f t="shared" si="14"/>
        <v>INSERT INTO COTACAO (cot_id, cot_blt_id, cot_pap_id, cot_prc_comum, cot_prc_min, cot_prc_max, cot_prc_med, cot_prc_mediana) VALUES (461, 48, 29, NULL, 50, 78, 64, 64);</v>
      </c>
      <c r="J462" t="str">
        <f t="shared" si="15"/>
        <v>UPDATE COTACAO SET cot_id = 461, cot_blt_id = 48, cot_pap_id = 29, cot_prc_comum = NULL, cot_prc_min = 50, cot_prc_max = 78, cot_prc_med = 64, cot_prc_mediana = 64 WHERE cot_id = 461;</v>
      </c>
    </row>
    <row r="463" spans="1:10" x14ac:dyDescent="0.3">
      <c r="A463">
        <v>462</v>
      </c>
      <c r="B463">
        <f>IF('Boletins Nuppa Site'!A463&lt;&gt;0,'Boletins Nuppa Site'!A463,"NULL")</f>
        <v>48</v>
      </c>
      <c r="C463">
        <v>30</v>
      </c>
      <c r="D463" s="14">
        <f>IF('Boletins Nuppa Site'!G463&lt;&gt;0,'Boletins Nuppa Site'!G463,"NULL")</f>
        <v>70</v>
      </c>
      <c r="E463" s="14">
        <f>IF('Boletins Nuppa Site'!H463&lt;&gt;0,'Boletins Nuppa Site'!H463,"NULL")</f>
        <v>70</v>
      </c>
      <c r="F463" s="14">
        <f>IF('Boletins Nuppa Site'!I463&lt;&gt;0,'Boletins Nuppa Site'!I463,"NULL")</f>
        <v>85</v>
      </c>
      <c r="G463" s="14">
        <f>IF('Boletins Nuppa Site'!J463&lt;&gt;0,'Boletins Nuppa Site'!J463,"NULL")</f>
        <v>75</v>
      </c>
      <c r="H463" t="str">
        <f>IF('Boletins Nuppa Site'!K463&lt;&gt;0,'Boletins Nuppa Site'!K463,"NULL")</f>
        <v>72.5</v>
      </c>
      <c r="I463" t="str">
        <f t="shared" si="14"/>
        <v>INSERT INTO COTACAO (cot_id, cot_blt_id, cot_pap_id, cot_prc_comum, cot_prc_min, cot_prc_max, cot_prc_med, cot_prc_mediana) VALUES (462, 48, 30, 70, 70, 85, 75, 72.5);</v>
      </c>
      <c r="J463" t="str">
        <f t="shared" si="15"/>
        <v>UPDATE COTACAO SET cot_id = 462, cot_blt_id = 48, cot_pap_id = 30, cot_prc_comum = 70, cot_prc_min = 70, cot_prc_max = 85, cot_prc_med = 75, cot_prc_mediana = 72.5 WHERE cot_id = 462;</v>
      </c>
    </row>
    <row r="464" spans="1:10" x14ac:dyDescent="0.3">
      <c r="A464">
        <v>463</v>
      </c>
      <c r="B464">
        <f>IF('Boletins Nuppa Site'!A464&lt;&gt;0,'Boletins Nuppa Site'!A464,"NULL")</f>
        <v>48</v>
      </c>
      <c r="C464">
        <v>31</v>
      </c>
      <c r="D464" s="14">
        <f>IF('Boletins Nuppa Site'!G464&lt;&gt;0,'Boletins Nuppa Site'!G464,"NULL")</f>
        <v>100</v>
      </c>
      <c r="E464" s="14">
        <f>IF('Boletins Nuppa Site'!H464&lt;&gt;0,'Boletins Nuppa Site'!H464,"NULL")</f>
        <v>90</v>
      </c>
      <c r="F464" s="14">
        <f>IF('Boletins Nuppa Site'!I464&lt;&gt;0,'Boletins Nuppa Site'!I464,"NULL")</f>
        <v>110</v>
      </c>
      <c r="G464" t="str">
        <f>IF('Boletins Nuppa Site'!J464&lt;&gt;0,'Boletins Nuppa Site'!J464,"NULL")</f>
        <v>101.67</v>
      </c>
      <c r="H464" s="14">
        <f>IF('Boletins Nuppa Site'!K464&lt;&gt;0,'Boletins Nuppa Site'!K464,"NULL")</f>
        <v>100</v>
      </c>
      <c r="I464" t="str">
        <f t="shared" si="14"/>
        <v>INSERT INTO COTACAO (cot_id, cot_blt_id, cot_pap_id, cot_prc_comum, cot_prc_min, cot_prc_max, cot_prc_med, cot_prc_mediana) VALUES (463, 48, 31, 100, 90, 110, 101.67, 100);</v>
      </c>
      <c r="J464" t="str">
        <f t="shared" si="15"/>
        <v>UPDATE COTACAO SET cot_id = 463, cot_blt_id = 48, cot_pap_id = 31, cot_prc_comum = 100, cot_prc_min = 90, cot_prc_max = 110, cot_prc_med = 101.67, cot_prc_mediana = 100 WHERE cot_id = 463;</v>
      </c>
    </row>
    <row r="465" spans="1:10" x14ac:dyDescent="0.3">
      <c r="A465">
        <v>464</v>
      </c>
      <c r="B465">
        <f>IF('Boletins Nuppa Site'!A465&lt;&gt;0,'Boletins Nuppa Site'!A465,"NULL")</f>
        <v>48</v>
      </c>
      <c r="C465">
        <v>32</v>
      </c>
      <c r="D465" s="14">
        <f>IF('Boletins Nuppa Site'!G465&lt;&gt;0,'Boletins Nuppa Site'!G465,"NULL")</f>
        <v>70</v>
      </c>
      <c r="E465" s="14">
        <f>IF('Boletins Nuppa Site'!H465&lt;&gt;0,'Boletins Nuppa Site'!H465,"NULL")</f>
        <v>60</v>
      </c>
      <c r="F465" s="14">
        <f>IF('Boletins Nuppa Site'!I465&lt;&gt;0,'Boletins Nuppa Site'!I465,"NULL")</f>
        <v>90</v>
      </c>
      <c r="G465" s="14">
        <f>IF('Boletins Nuppa Site'!J465&lt;&gt;0,'Boletins Nuppa Site'!J465,"NULL")</f>
        <v>74</v>
      </c>
      <c r="H465" s="14">
        <f>IF('Boletins Nuppa Site'!K465&lt;&gt;0,'Boletins Nuppa Site'!K465,"NULL")</f>
        <v>70</v>
      </c>
      <c r="I465" t="str">
        <f t="shared" si="14"/>
        <v>INSERT INTO COTACAO (cot_id, cot_blt_id, cot_pap_id, cot_prc_comum, cot_prc_min, cot_prc_max, cot_prc_med, cot_prc_mediana) VALUES (464, 48, 32, 70, 60, 90, 74, 70);</v>
      </c>
      <c r="J465" t="str">
        <f t="shared" si="15"/>
        <v>UPDATE COTACAO SET cot_id = 464, cot_blt_id = 48, cot_pap_id = 32, cot_prc_comum = 70, cot_prc_min = 60, cot_prc_max = 90, cot_prc_med = 74, cot_prc_mediana = 70 WHERE cot_id = 464;</v>
      </c>
    </row>
    <row r="466" spans="1:10" x14ac:dyDescent="0.3">
      <c r="A466">
        <v>465</v>
      </c>
      <c r="B466">
        <f>IF('Boletins Nuppa Site'!A466&lt;&gt;0,'Boletins Nuppa Site'!A466,"NULL")</f>
        <v>48</v>
      </c>
      <c r="C466">
        <v>33</v>
      </c>
      <c r="D466" s="14">
        <f>IF('Boletins Nuppa Site'!G466&lt;&gt;0,'Boletins Nuppa Site'!G466,"NULL")</f>
        <v>120</v>
      </c>
      <c r="E466" s="14">
        <f>IF('Boletins Nuppa Site'!H466&lt;&gt;0,'Boletins Nuppa Site'!H466,"NULL")</f>
        <v>100</v>
      </c>
      <c r="F466" s="14">
        <f>IF('Boletins Nuppa Site'!I466&lt;&gt;0,'Boletins Nuppa Site'!I466,"NULL")</f>
        <v>130</v>
      </c>
      <c r="G466" t="str">
        <f>IF('Boletins Nuppa Site'!J466&lt;&gt;0,'Boletins Nuppa Site'!J466,"NULL")</f>
        <v>117.5</v>
      </c>
      <c r="H466" s="14">
        <f>IF('Boletins Nuppa Site'!K466&lt;&gt;0,'Boletins Nuppa Site'!K466,"NULL")</f>
        <v>120</v>
      </c>
      <c r="I466" t="str">
        <f t="shared" si="14"/>
        <v>INSERT INTO COTACAO (cot_id, cot_blt_id, cot_pap_id, cot_prc_comum, cot_prc_min, cot_prc_max, cot_prc_med, cot_prc_mediana) VALUES (465, 48, 33, 120, 100, 130, 117.5, 120);</v>
      </c>
      <c r="J466" t="str">
        <f t="shared" si="15"/>
        <v>UPDATE COTACAO SET cot_id = 465, cot_blt_id = 48, cot_pap_id = 33, cot_prc_comum = 120, cot_prc_min = 100, cot_prc_max = 130, cot_prc_med = 117.5, cot_prc_mediana = 120 WHERE cot_id = 465;</v>
      </c>
    </row>
    <row r="467" spans="1:10" x14ac:dyDescent="0.3">
      <c r="A467">
        <v>466</v>
      </c>
      <c r="B467">
        <f>IF('Boletins Nuppa Site'!A467&lt;&gt;0,'Boletins Nuppa Site'!A467,"NULL")</f>
        <v>48</v>
      </c>
      <c r="C467">
        <v>34</v>
      </c>
      <c r="D467" s="14">
        <f>IF('Boletins Nuppa Site'!G467&lt;&gt;0,'Boletins Nuppa Site'!G467,"NULL")</f>
        <v>150</v>
      </c>
      <c r="E467" s="14">
        <f>IF('Boletins Nuppa Site'!H467&lt;&gt;0,'Boletins Nuppa Site'!H467,"NULL")</f>
        <v>100</v>
      </c>
      <c r="F467" s="14">
        <f>IF('Boletins Nuppa Site'!I467&lt;&gt;0,'Boletins Nuppa Site'!I467,"NULL")</f>
        <v>190</v>
      </c>
      <c r="G467" s="14">
        <f>IF('Boletins Nuppa Site'!J467&lt;&gt;0,'Boletins Nuppa Site'!J467,"NULL")</f>
        <v>150</v>
      </c>
      <c r="H467" s="14">
        <f>IF('Boletins Nuppa Site'!K467&lt;&gt;0,'Boletins Nuppa Site'!K467,"NULL")</f>
        <v>150</v>
      </c>
      <c r="I467" t="str">
        <f t="shared" si="14"/>
        <v>INSERT INTO COTACAO (cot_id, cot_blt_id, cot_pap_id, cot_prc_comum, cot_prc_min, cot_prc_max, cot_prc_med, cot_prc_mediana) VALUES (466, 48, 34, 150, 100, 190, 150, 150);</v>
      </c>
      <c r="J467" t="str">
        <f t="shared" si="15"/>
        <v>UPDATE COTACAO SET cot_id = 466, cot_blt_id = 48, cot_pap_id = 34, cot_prc_comum = 150, cot_prc_min = 100, cot_prc_max = 190, cot_prc_med = 150, cot_prc_mediana = 150 WHERE cot_id = 466;</v>
      </c>
    </row>
    <row r="468" spans="1:10" x14ac:dyDescent="0.3">
      <c r="A468">
        <v>467</v>
      </c>
      <c r="B468">
        <f>IF('Boletins Nuppa Site'!A468&lt;&gt;0,'Boletins Nuppa Site'!A468,"NULL")</f>
        <v>48</v>
      </c>
      <c r="C468">
        <v>35</v>
      </c>
      <c r="D468" s="14">
        <f>IF('Boletins Nuppa Site'!G468&lt;&gt;0,'Boletins Nuppa Site'!G468,"NULL")</f>
        <v>180</v>
      </c>
      <c r="E468" s="14">
        <f>IF('Boletins Nuppa Site'!H468&lt;&gt;0,'Boletins Nuppa Site'!H468,"NULL")</f>
        <v>160</v>
      </c>
      <c r="F468" s="14">
        <f>IF('Boletins Nuppa Site'!I468&lt;&gt;0,'Boletins Nuppa Site'!I468,"NULL")</f>
        <v>180</v>
      </c>
      <c r="G468" t="str">
        <f>IF('Boletins Nuppa Site'!J468&lt;&gt;0,'Boletins Nuppa Site'!J468,"NULL")</f>
        <v>172.5</v>
      </c>
      <c r="H468" s="14">
        <f>IF('Boletins Nuppa Site'!K468&lt;&gt;0,'Boletins Nuppa Site'!K468,"NULL")</f>
        <v>175</v>
      </c>
      <c r="I468" t="str">
        <f t="shared" si="14"/>
        <v>INSERT INTO COTACAO (cot_id, cot_blt_id, cot_pap_id, cot_prc_comum, cot_prc_min, cot_prc_max, cot_prc_med, cot_prc_mediana) VALUES (467, 48, 35, 180, 160, 180, 172.5, 175);</v>
      </c>
      <c r="J468" t="str">
        <f t="shared" si="15"/>
        <v>UPDATE COTACAO SET cot_id = 467, cot_blt_id = 48, cot_pap_id = 35, cot_prc_comum = 180, cot_prc_min = 160, cot_prc_max = 180, cot_prc_med = 172.5, cot_prc_mediana = 175 WHERE cot_id = 467;</v>
      </c>
    </row>
    <row r="469" spans="1:10" x14ac:dyDescent="0.3">
      <c r="A469">
        <v>468</v>
      </c>
      <c r="B469">
        <f>IF('Boletins Nuppa Site'!A469&lt;&gt;0,'Boletins Nuppa Site'!A469,"NULL")</f>
        <v>48</v>
      </c>
      <c r="C469">
        <v>36</v>
      </c>
      <c r="D469" t="str">
        <f>IF('Boletins Nuppa Site'!G469&lt;&gt;0,'Boletins Nuppa Site'!G469,"NULL")</f>
        <v>NULL</v>
      </c>
      <c r="E469" s="14">
        <f>IF('Boletins Nuppa Site'!H469&lt;&gt;0,'Boletins Nuppa Site'!H469,"NULL")</f>
        <v>130</v>
      </c>
      <c r="F469" s="14">
        <f>IF('Boletins Nuppa Site'!I469&lt;&gt;0,'Boletins Nuppa Site'!I469,"NULL")</f>
        <v>130</v>
      </c>
      <c r="G469" s="14">
        <f>IF('Boletins Nuppa Site'!J469&lt;&gt;0,'Boletins Nuppa Site'!J469,"NULL")</f>
        <v>130</v>
      </c>
      <c r="H469" s="14">
        <f>IF('Boletins Nuppa Site'!K469&lt;&gt;0,'Boletins Nuppa Site'!K469,"NULL")</f>
        <v>130</v>
      </c>
      <c r="I469" t="str">
        <f t="shared" si="14"/>
        <v>INSERT INTO COTACAO (cot_id, cot_blt_id, cot_pap_id, cot_prc_comum, cot_prc_min, cot_prc_max, cot_prc_med, cot_prc_mediana) VALUES (468, 48, 36, NULL, 130, 130, 130, 130);</v>
      </c>
      <c r="J469" t="str">
        <f t="shared" si="15"/>
        <v>UPDATE COTACAO SET cot_id = 468, cot_blt_id = 48, cot_pap_id = 36, cot_prc_comum = NULL, cot_prc_min = 130, cot_prc_max = 130, cot_prc_med = 130, cot_prc_mediana = 130 WHERE cot_id = 468;</v>
      </c>
    </row>
    <row r="470" spans="1:10" x14ac:dyDescent="0.3">
      <c r="A470">
        <v>469</v>
      </c>
      <c r="B470">
        <f>IF('Boletins Nuppa Site'!A470&lt;&gt;0,'Boletins Nuppa Site'!A470,"NULL")</f>
        <v>48</v>
      </c>
      <c r="C470">
        <v>37</v>
      </c>
      <c r="D470" t="str">
        <f>IF('Boletins Nuppa Site'!G470&lt;&gt;0,'Boletins Nuppa Site'!G470,"NULL")</f>
        <v>NULL</v>
      </c>
      <c r="E470" s="14">
        <f>IF('Boletins Nuppa Site'!H470&lt;&gt;0,'Boletins Nuppa Site'!H470,"NULL")</f>
        <v>60</v>
      </c>
      <c r="F470" s="14">
        <f>IF('Boletins Nuppa Site'!I470&lt;&gt;0,'Boletins Nuppa Site'!I470,"NULL")</f>
        <v>75</v>
      </c>
      <c r="G470" t="str">
        <f>IF('Boletins Nuppa Site'!J470&lt;&gt;0,'Boletins Nuppa Site'!J470,"NULL")</f>
        <v>67.5</v>
      </c>
      <c r="H470" t="str">
        <f>IF('Boletins Nuppa Site'!K470&lt;&gt;0,'Boletins Nuppa Site'!K470,"NULL")</f>
        <v>67.5</v>
      </c>
      <c r="I470" t="str">
        <f t="shared" si="14"/>
        <v>INSERT INTO COTACAO (cot_id, cot_blt_id, cot_pap_id, cot_prc_comum, cot_prc_min, cot_prc_max, cot_prc_med, cot_prc_mediana) VALUES (469, 48, 37, NULL, 60, 75, 67.5, 67.5);</v>
      </c>
      <c r="J470" t="str">
        <f t="shared" si="15"/>
        <v>UPDATE COTACAO SET cot_id = 469, cot_blt_id = 48, cot_pap_id = 37, cot_prc_comum = NULL, cot_prc_min = 60, cot_prc_max = 75, cot_prc_med = 67.5, cot_prc_mediana = 67.5 WHERE cot_id = 469;</v>
      </c>
    </row>
    <row r="471" spans="1:10" x14ac:dyDescent="0.3">
      <c r="A471">
        <v>470</v>
      </c>
      <c r="B471">
        <f>IF('Boletins Nuppa Site'!A471&lt;&gt;0,'Boletins Nuppa Site'!A471,"NULL")</f>
        <v>48</v>
      </c>
      <c r="C471">
        <v>38</v>
      </c>
      <c r="D471" t="str">
        <f>IF('Boletins Nuppa Site'!G471&lt;&gt;0,'Boletins Nuppa Site'!G471,"NULL")</f>
        <v>NULL</v>
      </c>
      <c r="E471" s="14">
        <f>IF('Boletins Nuppa Site'!H471&lt;&gt;0,'Boletins Nuppa Site'!H471,"NULL")</f>
        <v>40</v>
      </c>
      <c r="F471" s="14">
        <f>IF('Boletins Nuppa Site'!I471&lt;&gt;0,'Boletins Nuppa Site'!I471,"NULL")</f>
        <v>45</v>
      </c>
      <c r="G471" t="str">
        <f>IF('Boletins Nuppa Site'!J471&lt;&gt;0,'Boletins Nuppa Site'!J471,"NULL")</f>
        <v>42.5</v>
      </c>
      <c r="H471" t="str">
        <f>IF('Boletins Nuppa Site'!K471&lt;&gt;0,'Boletins Nuppa Site'!K471,"NULL")</f>
        <v>42.5</v>
      </c>
      <c r="I471" t="str">
        <f t="shared" si="14"/>
        <v>INSERT INTO COTACAO (cot_id, cot_blt_id, cot_pap_id, cot_prc_comum, cot_prc_min, cot_prc_max, cot_prc_med, cot_prc_mediana) VALUES (470, 48, 38, NULL, 40, 45, 42.5, 42.5);</v>
      </c>
      <c r="J471" t="str">
        <f t="shared" si="15"/>
        <v>UPDATE COTACAO SET cot_id = 470, cot_blt_id = 48, cot_pap_id = 38, cot_prc_comum = NULL, cot_prc_min = 40, cot_prc_max = 45, cot_prc_med = 42.5, cot_prc_mediana = 42.5 WHERE cot_id = 470;</v>
      </c>
    </row>
    <row r="472" spans="1:10" x14ac:dyDescent="0.3">
      <c r="A472">
        <v>471</v>
      </c>
      <c r="B472">
        <f>IF('Boletins Nuppa Site'!A472&lt;&gt;0,'Boletins Nuppa Site'!A472,"NULL")</f>
        <v>48</v>
      </c>
      <c r="C472">
        <v>39</v>
      </c>
      <c r="D472" t="str">
        <f>IF('Boletins Nuppa Site'!G472&lt;&gt;0,'Boletins Nuppa Site'!G472,"NULL")</f>
        <v>NULL</v>
      </c>
      <c r="E472" s="14">
        <f>IF('Boletins Nuppa Site'!H472&lt;&gt;0,'Boletins Nuppa Site'!H472,"NULL")</f>
        <v>48</v>
      </c>
      <c r="F472" s="14">
        <f>IF('Boletins Nuppa Site'!I472&lt;&gt;0,'Boletins Nuppa Site'!I472,"NULL")</f>
        <v>48</v>
      </c>
      <c r="G472" s="14">
        <f>IF('Boletins Nuppa Site'!J472&lt;&gt;0,'Boletins Nuppa Site'!J472,"NULL")</f>
        <v>48</v>
      </c>
      <c r="H472" s="14">
        <f>IF('Boletins Nuppa Site'!K472&lt;&gt;0,'Boletins Nuppa Site'!K472,"NULL")</f>
        <v>48</v>
      </c>
      <c r="I472" t="str">
        <f t="shared" si="14"/>
        <v>INSERT INTO COTACAO (cot_id, cot_blt_id, cot_pap_id, cot_prc_comum, cot_prc_min, cot_prc_max, cot_prc_med, cot_prc_mediana) VALUES (471, 48, 39, NULL, 48, 48, 48, 48);</v>
      </c>
      <c r="J472" t="str">
        <f t="shared" si="15"/>
        <v>UPDATE COTACAO SET cot_id = 471, cot_blt_id = 48, cot_pap_id = 39, cot_prc_comum = NULL, cot_prc_min = 48, cot_prc_max = 48, cot_prc_med = 48, cot_prc_mediana = 48 WHERE cot_id = 471;</v>
      </c>
    </row>
    <row r="473" spans="1:10" x14ac:dyDescent="0.3">
      <c r="A473">
        <v>472</v>
      </c>
      <c r="B473">
        <f>IF('Boletins Nuppa Site'!A473&lt;&gt;0,'Boletins Nuppa Site'!A473,"NULL")</f>
        <v>48</v>
      </c>
      <c r="C473">
        <v>40</v>
      </c>
      <c r="D473" t="str">
        <f>IF('Boletins Nuppa Site'!G473&lt;&gt;0,'Boletins Nuppa Site'!G473,"NULL")</f>
        <v>NULL</v>
      </c>
      <c r="E473" s="14">
        <f>IF('Boletins Nuppa Site'!H473&lt;&gt;0,'Boletins Nuppa Site'!H473,"NULL")</f>
        <v>75</v>
      </c>
      <c r="F473" s="14">
        <f>IF('Boletins Nuppa Site'!I473&lt;&gt;0,'Boletins Nuppa Site'!I473,"NULL")</f>
        <v>75</v>
      </c>
      <c r="G473" s="14">
        <f>IF('Boletins Nuppa Site'!J473&lt;&gt;0,'Boletins Nuppa Site'!J473,"NULL")</f>
        <v>75</v>
      </c>
      <c r="H473" s="14">
        <f>IF('Boletins Nuppa Site'!K473&lt;&gt;0,'Boletins Nuppa Site'!K473,"NULL")</f>
        <v>75</v>
      </c>
      <c r="I473" t="str">
        <f t="shared" si="14"/>
        <v>INSERT INTO COTACAO (cot_id, cot_blt_id, cot_pap_id, cot_prc_comum, cot_prc_min, cot_prc_max, cot_prc_med, cot_prc_mediana) VALUES (472, 48, 40, NULL, 75, 75, 75, 75);</v>
      </c>
      <c r="J473" t="str">
        <f t="shared" si="15"/>
        <v>UPDATE COTACAO SET cot_id = 472, cot_blt_id = 48, cot_pap_id = 40, cot_prc_comum = NULL, cot_prc_min = 75, cot_prc_max = 75, cot_prc_med = 75, cot_prc_mediana = 75 WHERE cot_id = 472;</v>
      </c>
    </row>
    <row r="474" spans="1:10" x14ac:dyDescent="0.3">
      <c r="A474">
        <v>473</v>
      </c>
      <c r="B474">
        <f>IF('Boletins Nuppa Site'!A474&lt;&gt;0,'Boletins Nuppa Site'!A474,"NULL")</f>
        <v>49</v>
      </c>
      <c r="C474">
        <v>1</v>
      </c>
      <c r="D474" s="14">
        <f>IF('Boletins Nuppa Site'!G474&lt;&gt;0,'Boletins Nuppa Site'!G474,"NULL")</f>
        <v>60</v>
      </c>
      <c r="E474" s="14">
        <f>IF('Boletins Nuppa Site'!H474&lt;&gt;0,'Boletins Nuppa Site'!H474,"NULL")</f>
        <v>28</v>
      </c>
      <c r="F474" s="14">
        <f>IF('Boletins Nuppa Site'!I474&lt;&gt;0,'Boletins Nuppa Site'!I474,"NULL")</f>
        <v>60</v>
      </c>
      <c r="G474" t="str">
        <f>IF('Boletins Nuppa Site'!J474&lt;&gt;0,'Boletins Nuppa Site'!J474,"NULL")</f>
        <v>49.33</v>
      </c>
      <c r="H474" s="14">
        <f>IF('Boletins Nuppa Site'!K474&lt;&gt;0,'Boletins Nuppa Site'!K474,"NULL")</f>
        <v>60</v>
      </c>
      <c r="I474" t="str">
        <f t="shared" si="14"/>
        <v>INSERT INTO COTACAO (cot_id, cot_blt_id, cot_pap_id, cot_prc_comum, cot_prc_min, cot_prc_max, cot_prc_med, cot_prc_mediana) VALUES (473, 49, 1, 60, 28, 60, 49.33, 60);</v>
      </c>
      <c r="J474" t="str">
        <f t="shared" si="15"/>
        <v>UPDATE COTACAO SET cot_id = 473, cot_blt_id = 49, cot_pap_id = 1, cot_prc_comum = 60, cot_prc_min = 28, cot_prc_max = 60, cot_prc_med = 49.33, cot_prc_mediana = 60 WHERE cot_id = 473;</v>
      </c>
    </row>
    <row r="475" spans="1:10" x14ac:dyDescent="0.3">
      <c r="A475">
        <v>474</v>
      </c>
      <c r="B475">
        <f>IF('Boletins Nuppa Site'!A475&lt;&gt;0,'Boletins Nuppa Site'!A475,"NULL")</f>
        <v>49</v>
      </c>
      <c r="C475">
        <v>2</v>
      </c>
      <c r="D475" t="str">
        <f>IF('Boletins Nuppa Site'!G475&lt;&gt;0,'Boletins Nuppa Site'!G475,"NULL")</f>
        <v>NULL</v>
      </c>
      <c r="E475" s="14">
        <f>IF('Boletins Nuppa Site'!H475&lt;&gt;0,'Boletins Nuppa Site'!H475,"NULL")</f>
        <v>72</v>
      </c>
      <c r="F475" s="14">
        <f>IF('Boletins Nuppa Site'!I475&lt;&gt;0,'Boletins Nuppa Site'!I475,"NULL")</f>
        <v>84</v>
      </c>
      <c r="G475" t="str">
        <f>IF('Boletins Nuppa Site'!J475&lt;&gt;0,'Boletins Nuppa Site'!J475,"NULL")</f>
        <v>78.67</v>
      </c>
      <c r="H475" s="14">
        <f>IF('Boletins Nuppa Site'!K475&lt;&gt;0,'Boletins Nuppa Site'!K475,"NULL")</f>
        <v>80</v>
      </c>
      <c r="I475" t="str">
        <f t="shared" si="14"/>
        <v>INSERT INTO COTACAO (cot_id, cot_blt_id, cot_pap_id, cot_prc_comum, cot_prc_min, cot_prc_max, cot_prc_med, cot_prc_mediana) VALUES (474, 49, 2, NULL, 72, 84, 78.67, 80);</v>
      </c>
      <c r="J475" t="str">
        <f t="shared" si="15"/>
        <v>UPDATE COTACAO SET cot_id = 474, cot_blt_id = 49, cot_pap_id = 2, cot_prc_comum = NULL, cot_prc_min = 72, cot_prc_max = 84, cot_prc_med = 78.67, cot_prc_mediana = 80 WHERE cot_id = 474;</v>
      </c>
    </row>
    <row r="476" spans="1:10" x14ac:dyDescent="0.3">
      <c r="A476">
        <v>475</v>
      </c>
      <c r="B476">
        <f>IF('Boletins Nuppa Site'!A476&lt;&gt;0,'Boletins Nuppa Site'!A476,"NULL")</f>
        <v>49</v>
      </c>
      <c r="C476">
        <v>3</v>
      </c>
      <c r="D476" t="str">
        <f>IF('Boletins Nuppa Site'!G476&lt;&gt;0,'Boletins Nuppa Site'!G476,"NULL")</f>
        <v>NULL</v>
      </c>
      <c r="E476" s="14">
        <f>IF('Boletins Nuppa Site'!H476&lt;&gt;0,'Boletins Nuppa Site'!H476,"NULL")</f>
        <v>42</v>
      </c>
      <c r="F476" s="14">
        <f>IF('Boletins Nuppa Site'!I476&lt;&gt;0,'Boletins Nuppa Site'!I476,"NULL")</f>
        <v>60</v>
      </c>
      <c r="G476" s="14">
        <f>IF('Boletins Nuppa Site'!J476&lt;&gt;0,'Boletins Nuppa Site'!J476,"NULL")</f>
        <v>50</v>
      </c>
      <c r="H476" s="14">
        <f>IF('Boletins Nuppa Site'!K476&lt;&gt;0,'Boletins Nuppa Site'!K476,"NULL")</f>
        <v>48</v>
      </c>
      <c r="I476" t="str">
        <f t="shared" si="14"/>
        <v>INSERT INTO COTACAO (cot_id, cot_blt_id, cot_pap_id, cot_prc_comum, cot_prc_min, cot_prc_max, cot_prc_med, cot_prc_mediana) VALUES (475, 49, 3, NULL, 42, 60, 50, 48);</v>
      </c>
      <c r="J476" t="str">
        <f t="shared" si="15"/>
        <v>UPDATE COTACAO SET cot_id = 475, cot_blt_id = 49, cot_pap_id = 3, cot_prc_comum = NULL, cot_prc_min = 42, cot_prc_max = 60, cot_prc_med = 50, cot_prc_mediana = 48 WHERE cot_id = 475;</v>
      </c>
    </row>
    <row r="477" spans="1:10" x14ac:dyDescent="0.3">
      <c r="A477">
        <v>476</v>
      </c>
      <c r="B477">
        <f>IF('Boletins Nuppa Site'!A477&lt;&gt;0,'Boletins Nuppa Site'!A477,"NULL")</f>
        <v>49</v>
      </c>
      <c r="C477">
        <v>4</v>
      </c>
      <c r="D477" s="14">
        <f>IF('Boletins Nuppa Site'!G477&lt;&gt;0,'Boletins Nuppa Site'!G477,"NULL")</f>
        <v>30</v>
      </c>
      <c r="E477" s="14">
        <f>IF('Boletins Nuppa Site'!H477&lt;&gt;0,'Boletins Nuppa Site'!H477,"NULL")</f>
        <v>30</v>
      </c>
      <c r="F477" s="14">
        <f>IF('Boletins Nuppa Site'!I477&lt;&gt;0,'Boletins Nuppa Site'!I477,"NULL")</f>
        <v>36</v>
      </c>
      <c r="G477" t="str">
        <f>IF('Boletins Nuppa Site'!J477&lt;&gt;0,'Boletins Nuppa Site'!J477,"NULL")</f>
        <v>32.75</v>
      </c>
      <c r="H477" t="str">
        <f>IF('Boletins Nuppa Site'!K477&lt;&gt;0,'Boletins Nuppa Site'!K477,"NULL")</f>
        <v>32.5</v>
      </c>
      <c r="I477" t="str">
        <f t="shared" si="14"/>
        <v>INSERT INTO COTACAO (cot_id, cot_blt_id, cot_pap_id, cot_prc_comum, cot_prc_min, cot_prc_max, cot_prc_med, cot_prc_mediana) VALUES (476, 49, 4, 30, 30, 36, 32.75, 32.5);</v>
      </c>
      <c r="J477" t="str">
        <f t="shared" si="15"/>
        <v>UPDATE COTACAO SET cot_id = 476, cot_blt_id = 49, cot_pap_id = 4, cot_prc_comum = 30, cot_prc_min = 30, cot_prc_max = 36, cot_prc_med = 32.75, cot_prc_mediana = 32.5 WHERE cot_id = 476;</v>
      </c>
    </row>
    <row r="478" spans="1:10" x14ac:dyDescent="0.3">
      <c r="A478">
        <v>477</v>
      </c>
      <c r="B478">
        <f>IF('Boletins Nuppa Site'!A478&lt;&gt;0,'Boletins Nuppa Site'!A478,"NULL")</f>
        <v>49</v>
      </c>
      <c r="C478">
        <v>5</v>
      </c>
      <c r="D478" t="str">
        <f>IF('Boletins Nuppa Site'!G478&lt;&gt;0,'Boletins Nuppa Site'!G478,"NULL")</f>
        <v>NULL</v>
      </c>
      <c r="E478" s="14">
        <f>IF('Boletins Nuppa Site'!H478&lt;&gt;0,'Boletins Nuppa Site'!H478,"NULL")</f>
        <v>30</v>
      </c>
      <c r="F478" s="14">
        <f>IF('Boletins Nuppa Site'!I478&lt;&gt;0,'Boletins Nuppa Site'!I478,"NULL")</f>
        <v>36</v>
      </c>
      <c r="G478" t="str">
        <f>IF('Boletins Nuppa Site'!J478&lt;&gt;0,'Boletins Nuppa Site'!J478,"NULL")</f>
        <v>33.67</v>
      </c>
      <c r="H478" s="14">
        <f>IF('Boletins Nuppa Site'!K478&lt;&gt;0,'Boletins Nuppa Site'!K478,"NULL")</f>
        <v>35</v>
      </c>
      <c r="I478" t="str">
        <f t="shared" si="14"/>
        <v>INSERT INTO COTACAO (cot_id, cot_blt_id, cot_pap_id, cot_prc_comum, cot_prc_min, cot_prc_max, cot_prc_med, cot_prc_mediana) VALUES (477, 49, 5, NULL, 30, 36, 33.67, 35);</v>
      </c>
      <c r="J478" t="str">
        <f t="shared" si="15"/>
        <v>UPDATE COTACAO SET cot_id = 477, cot_blt_id = 49, cot_pap_id = 5, cot_prc_comum = NULL, cot_prc_min = 30, cot_prc_max = 36, cot_prc_med = 33.67, cot_prc_mediana = 35 WHERE cot_id = 477;</v>
      </c>
    </row>
    <row r="479" spans="1:10" x14ac:dyDescent="0.3">
      <c r="A479">
        <v>478</v>
      </c>
      <c r="B479">
        <f>IF('Boletins Nuppa Site'!A479&lt;&gt;0,'Boletins Nuppa Site'!A479,"NULL")</f>
        <v>49</v>
      </c>
      <c r="C479">
        <v>6</v>
      </c>
      <c r="D479" s="14">
        <f>IF('Boletins Nuppa Site'!G479&lt;&gt;0,'Boletins Nuppa Site'!G479,"NULL")</f>
        <v>60</v>
      </c>
      <c r="E479" s="14">
        <f>IF('Boletins Nuppa Site'!H479&lt;&gt;0,'Boletins Nuppa Site'!H479,"NULL")</f>
        <v>60</v>
      </c>
      <c r="F479" s="14">
        <f>IF('Boletins Nuppa Site'!I479&lt;&gt;0,'Boletins Nuppa Site'!I479,"NULL")</f>
        <v>60</v>
      </c>
      <c r="G479" s="14">
        <f>IF('Boletins Nuppa Site'!J479&lt;&gt;0,'Boletins Nuppa Site'!J479,"NULL")</f>
        <v>60</v>
      </c>
      <c r="H479" s="14">
        <f>IF('Boletins Nuppa Site'!K479&lt;&gt;0,'Boletins Nuppa Site'!K479,"NULL")</f>
        <v>60</v>
      </c>
      <c r="I479" t="str">
        <f t="shared" si="14"/>
        <v>INSERT INTO COTACAO (cot_id, cot_blt_id, cot_pap_id, cot_prc_comum, cot_prc_min, cot_prc_max, cot_prc_med, cot_prc_mediana) VALUES (478, 49, 6, 60, 60, 60, 60, 60);</v>
      </c>
      <c r="J479" t="str">
        <f t="shared" si="15"/>
        <v>UPDATE COTACAO SET cot_id = 478, cot_blt_id = 49, cot_pap_id = 6, cot_prc_comum = 60, cot_prc_min = 60, cot_prc_max = 60, cot_prc_med = 60, cot_prc_mediana = 60 WHERE cot_id = 478;</v>
      </c>
    </row>
    <row r="480" spans="1:10" x14ac:dyDescent="0.3">
      <c r="A480">
        <v>479</v>
      </c>
      <c r="B480">
        <f>IF('Boletins Nuppa Site'!A480&lt;&gt;0,'Boletins Nuppa Site'!A480,"NULL")</f>
        <v>49</v>
      </c>
      <c r="C480">
        <v>7</v>
      </c>
      <c r="D480" s="14">
        <f>IF('Boletins Nuppa Site'!G480&lt;&gt;0,'Boletins Nuppa Site'!G480,"NULL")</f>
        <v>84</v>
      </c>
      <c r="E480" s="14">
        <f>IF('Boletins Nuppa Site'!H480&lt;&gt;0,'Boletins Nuppa Site'!H480,"NULL")</f>
        <v>84</v>
      </c>
      <c r="F480" s="14">
        <f>IF('Boletins Nuppa Site'!I480&lt;&gt;0,'Boletins Nuppa Site'!I480,"NULL")</f>
        <v>96</v>
      </c>
      <c r="G480" s="14">
        <f>IF('Boletins Nuppa Site'!J480&lt;&gt;0,'Boletins Nuppa Site'!J480,"NULL")</f>
        <v>88</v>
      </c>
      <c r="H480" s="14">
        <f>IF('Boletins Nuppa Site'!K480&lt;&gt;0,'Boletins Nuppa Site'!K480,"NULL")</f>
        <v>84</v>
      </c>
      <c r="I480" t="str">
        <f t="shared" si="14"/>
        <v>INSERT INTO COTACAO (cot_id, cot_blt_id, cot_pap_id, cot_prc_comum, cot_prc_min, cot_prc_max, cot_prc_med, cot_prc_mediana) VALUES (479, 49, 7, 84, 84, 96, 88, 84);</v>
      </c>
      <c r="J480" t="str">
        <f t="shared" si="15"/>
        <v>UPDATE COTACAO SET cot_id = 479, cot_blt_id = 49, cot_pap_id = 7, cot_prc_comum = 84, cot_prc_min = 84, cot_prc_max = 96, cot_prc_med = 88, cot_prc_mediana = 84 WHERE cot_id = 479;</v>
      </c>
    </row>
    <row r="481" spans="1:10" x14ac:dyDescent="0.3">
      <c r="A481">
        <v>480</v>
      </c>
      <c r="B481">
        <f>IF('Boletins Nuppa Site'!A481&lt;&gt;0,'Boletins Nuppa Site'!A481,"NULL")</f>
        <v>49</v>
      </c>
      <c r="C481">
        <v>8</v>
      </c>
      <c r="D481" s="14">
        <f>IF('Boletins Nuppa Site'!G481&lt;&gt;0,'Boletins Nuppa Site'!G481,"NULL")</f>
        <v>96</v>
      </c>
      <c r="E481" s="14">
        <f>IF('Boletins Nuppa Site'!H481&lt;&gt;0,'Boletins Nuppa Site'!H481,"NULL")</f>
        <v>96</v>
      </c>
      <c r="F481" s="14">
        <f>IF('Boletins Nuppa Site'!I481&lt;&gt;0,'Boletins Nuppa Site'!I481,"NULL")</f>
        <v>96</v>
      </c>
      <c r="G481" s="14">
        <f>IF('Boletins Nuppa Site'!J481&lt;&gt;0,'Boletins Nuppa Site'!J481,"NULL")</f>
        <v>96</v>
      </c>
      <c r="H481" s="14">
        <f>IF('Boletins Nuppa Site'!K481&lt;&gt;0,'Boletins Nuppa Site'!K481,"NULL")</f>
        <v>96</v>
      </c>
      <c r="I481" t="str">
        <f t="shared" si="14"/>
        <v>INSERT INTO COTACAO (cot_id, cot_blt_id, cot_pap_id, cot_prc_comum, cot_prc_min, cot_prc_max, cot_prc_med, cot_prc_mediana) VALUES (480, 49, 8, 96, 96, 96, 96, 96);</v>
      </c>
      <c r="J481" t="str">
        <f t="shared" si="15"/>
        <v>UPDATE COTACAO SET cot_id = 480, cot_blt_id = 49, cot_pap_id = 8, cot_prc_comum = 96, cot_prc_min = 96, cot_prc_max = 96, cot_prc_med = 96, cot_prc_mediana = 96 WHERE cot_id = 480;</v>
      </c>
    </row>
    <row r="482" spans="1:10" x14ac:dyDescent="0.3">
      <c r="A482">
        <v>481</v>
      </c>
      <c r="B482">
        <f>IF('Boletins Nuppa Site'!A482&lt;&gt;0,'Boletins Nuppa Site'!A482,"NULL")</f>
        <v>49</v>
      </c>
      <c r="C482">
        <v>9</v>
      </c>
      <c r="D482" s="14">
        <f>IF('Boletins Nuppa Site'!G482&lt;&gt;0,'Boletins Nuppa Site'!G482,"NULL")</f>
        <v>30</v>
      </c>
      <c r="E482" s="14">
        <f>IF('Boletins Nuppa Site'!H482&lt;&gt;0,'Boletins Nuppa Site'!H482,"NULL")</f>
        <v>30</v>
      </c>
      <c r="F482" s="14">
        <f>IF('Boletins Nuppa Site'!I482&lt;&gt;0,'Boletins Nuppa Site'!I482,"NULL")</f>
        <v>36</v>
      </c>
      <c r="G482" t="str">
        <f>IF('Boletins Nuppa Site'!J482&lt;&gt;0,'Boletins Nuppa Site'!J482,"NULL")</f>
        <v>31.5</v>
      </c>
      <c r="H482" s="14">
        <f>IF('Boletins Nuppa Site'!K482&lt;&gt;0,'Boletins Nuppa Site'!K482,"NULL")</f>
        <v>30</v>
      </c>
      <c r="I482" t="str">
        <f t="shared" si="14"/>
        <v>INSERT INTO COTACAO (cot_id, cot_blt_id, cot_pap_id, cot_prc_comum, cot_prc_min, cot_prc_max, cot_prc_med, cot_prc_mediana) VALUES (481, 49, 9, 30, 30, 36, 31.5, 30);</v>
      </c>
      <c r="J482" t="str">
        <f t="shared" si="15"/>
        <v>UPDATE COTACAO SET cot_id = 481, cot_blt_id = 49, cot_pap_id = 9, cot_prc_comum = 30, cot_prc_min = 30, cot_prc_max = 36, cot_prc_med = 31.5, cot_prc_mediana = 30 WHERE cot_id = 481;</v>
      </c>
    </row>
    <row r="483" spans="1:10" x14ac:dyDescent="0.3">
      <c r="A483">
        <v>482</v>
      </c>
      <c r="B483">
        <f>IF('Boletins Nuppa Site'!A483&lt;&gt;0,'Boletins Nuppa Site'!A483,"NULL")</f>
        <v>49</v>
      </c>
      <c r="C483">
        <v>10</v>
      </c>
      <c r="D483" t="str">
        <f>IF('Boletins Nuppa Site'!G483&lt;&gt;0,'Boletins Nuppa Site'!G483,"NULL")</f>
        <v>NULL</v>
      </c>
      <c r="E483" s="14">
        <f>IF('Boletins Nuppa Site'!H483&lt;&gt;0,'Boletins Nuppa Site'!H483,"NULL")</f>
        <v>90</v>
      </c>
      <c r="F483" s="14">
        <f>IF('Boletins Nuppa Site'!I483&lt;&gt;0,'Boletins Nuppa Site'!I483,"NULL")</f>
        <v>108</v>
      </c>
      <c r="G483" s="14">
        <f>IF('Boletins Nuppa Site'!J483&lt;&gt;0,'Boletins Nuppa Site'!J483,"NULL")</f>
        <v>98</v>
      </c>
      <c r="H483" s="14">
        <f>IF('Boletins Nuppa Site'!K483&lt;&gt;0,'Boletins Nuppa Site'!K483,"NULL")</f>
        <v>96</v>
      </c>
      <c r="I483" t="str">
        <f t="shared" si="14"/>
        <v>INSERT INTO COTACAO (cot_id, cot_blt_id, cot_pap_id, cot_prc_comum, cot_prc_min, cot_prc_max, cot_prc_med, cot_prc_mediana) VALUES (482, 49, 10, NULL, 90, 108, 98, 96);</v>
      </c>
      <c r="J483" t="str">
        <f t="shared" si="15"/>
        <v>UPDATE COTACAO SET cot_id = 482, cot_blt_id = 49, cot_pap_id = 10, cot_prc_comum = NULL, cot_prc_min = 90, cot_prc_max = 108, cot_prc_med = 98, cot_prc_mediana = 96 WHERE cot_id = 482;</v>
      </c>
    </row>
    <row r="484" spans="1:10" x14ac:dyDescent="0.3">
      <c r="A484">
        <v>483</v>
      </c>
      <c r="B484">
        <f>IF('Boletins Nuppa Site'!A484&lt;&gt;0,'Boletins Nuppa Site'!A484,"NULL")</f>
        <v>49</v>
      </c>
      <c r="C484">
        <v>11</v>
      </c>
      <c r="D484" t="str">
        <f>IF('Boletins Nuppa Site'!G484&lt;&gt;0,'Boletins Nuppa Site'!G484,"NULL")</f>
        <v>NULL</v>
      </c>
      <c r="E484" s="14">
        <f>IF('Boletins Nuppa Site'!H484&lt;&gt;0,'Boletins Nuppa Site'!H484,"NULL")</f>
        <v>30</v>
      </c>
      <c r="F484" s="14">
        <f>IF('Boletins Nuppa Site'!I484&lt;&gt;0,'Boletins Nuppa Site'!I484,"NULL")</f>
        <v>36</v>
      </c>
      <c r="G484" t="str">
        <f>IF('Boletins Nuppa Site'!J484&lt;&gt;0,'Boletins Nuppa Site'!J484,"NULL")</f>
        <v>33.67</v>
      </c>
      <c r="H484" s="14">
        <f>IF('Boletins Nuppa Site'!K484&lt;&gt;0,'Boletins Nuppa Site'!K484,"NULL")</f>
        <v>35</v>
      </c>
      <c r="I484" t="str">
        <f t="shared" si="14"/>
        <v>INSERT INTO COTACAO (cot_id, cot_blt_id, cot_pap_id, cot_prc_comum, cot_prc_min, cot_prc_max, cot_prc_med, cot_prc_mediana) VALUES (483, 49, 11, NULL, 30, 36, 33.67, 35);</v>
      </c>
      <c r="J484" t="str">
        <f t="shared" si="15"/>
        <v>UPDATE COTACAO SET cot_id = 483, cot_blt_id = 49, cot_pap_id = 11, cot_prc_comum = NULL, cot_prc_min = 30, cot_prc_max = 36, cot_prc_med = 33.67, cot_prc_mediana = 35 WHERE cot_id = 483;</v>
      </c>
    </row>
    <row r="485" spans="1:10" x14ac:dyDescent="0.3">
      <c r="A485">
        <v>484</v>
      </c>
      <c r="B485">
        <f>IF('Boletins Nuppa Site'!A485&lt;&gt;0,'Boletins Nuppa Site'!A485,"NULL")</f>
        <v>49</v>
      </c>
      <c r="C485">
        <v>12</v>
      </c>
      <c r="D485" s="14">
        <f>IF('Boletins Nuppa Site'!G485&lt;&gt;0,'Boletins Nuppa Site'!G485,"NULL")</f>
        <v>84</v>
      </c>
      <c r="E485" s="14">
        <f>IF('Boletins Nuppa Site'!H485&lt;&gt;0,'Boletins Nuppa Site'!H485,"NULL")</f>
        <v>84</v>
      </c>
      <c r="F485" s="14">
        <f>IF('Boletins Nuppa Site'!I485&lt;&gt;0,'Boletins Nuppa Site'!I485,"NULL")</f>
        <v>84</v>
      </c>
      <c r="G485" s="14">
        <f>IF('Boletins Nuppa Site'!J485&lt;&gt;0,'Boletins Nuppa Site'!J485,"NULL")</f>
        <v>84</v>
      </c>
      <c r="H485" s="14">
        <f>IF('Boletins Nuppa Site'!K485&lt;&gt;0,'Boletins Nuppa Site'!K485,"NULL")</f>
        <v>84</v>
      </c>
      <c r="I485" t="str">
        <f t="shared" si="14"/>
        <v>INSERT INTO COTACAO (cot_id, cot_blt_id, cot_pap_id, cot_prc_comum, cot_prc_min, cot_prc_max, cot_prc_med, cot_prc_mediana) VALUES (484, 49, 12, 84, 84, 84, 84, 84);</v>
      </c>
      <c r="J485" t="str">
        <f t="shared" si="15"/>
        <v>UPDATE COTACAO SET cot_id = 484, cot_blt_id = 49, cot_pap_id = 12, cot_prc_comum = 84, cot_prc_min = 84, cot_prc_max = 84, cot_prc_med = 84, cot_prc_mediana = 84 WHERE cot_id = 484;</v>
      </c>
    </row>
    <row r="486" spans="1:10" x14ac:dyDescent="0.3">
      <c r="A486">
        <v>485</v>
      </c>
      <c r="B486">
        <f>IF('Boletins Nuppa Site'!A486&lt;&gt;0,'Boletins Nuppa Site'!A486,"NULL")</f>
        <v>49</v>
      </c>
      <c r="C486">
        <v>13</v>
      </c>
      <c r="D486" t="str">
        <f>IF('Boletins Nuppa Site'!G486&lt;&gt;0,'Boletins Nuppa Site'!G486,"NULL")</f>
        <v>NULL</v>
      </c>
      <c r="E486" s="14">
        <f>IF('Boletins Nuppa Site'!H486&lt;&gt;0,'Boletins Nuppa Site'!H486,"NULL")</f>
        <v>60</v>
      </c>
      <c r="F486" s="14">
        <f>IF('Boletins Nuppa Site'!I486&lt;&gt;0,'Boletins Nuppa Site'!I486,"NULL")</f>
        <v>72</v>
      </c>
      <c r="G486" t="str">
        <f>IF('Boletins Nuppa Site'!J486&lt;&gt;0,'Boletins Nuppa Site'!J486,"NULL")</f>
        <v>64.67</v>
      </c>
      <c r="H486" s="14">
        <f>IF('Boletins Nuppa Site'!K486&lt;&gt;0,'Boletins Nuppa Site'!K486,"NULL")</f>
        <v>62</v>
      </c>
      <c r="I486" t="str">
        <f t="shared" si="14"/>
        <v>INSERT INTO COTACAO (cot_id, cot_blt_id, cot_pap_id, cot_prc_comum, cot_prc_min, cot_prc_max, cot_prc_med, cot_prc_mediana) VALUES (485, 49, 13, NULL, 60, 72, 64.67, 62);</v>
      </c>
      <c r="J486" t="str">
        <f t="shared" si="15"/>
        <v>UPDATE COTACAO SET cot_id = 485, cot_blt_id = 49, cot_pap_id = 13, cot_prc_comum = NULL, cot_prc_min = 60, cot_prc_max = 72, cot_prc_med = 64.67, cot_prc_mediana = 62 WHERE cot_id = 485;</v>
      </c>
    </row>
    <row r="487" spans="1:10" x14ac:dyDescent="0.3">
      <c r="A487">
        <v>486</v>
      </c>
      <c r="B487">
        <f>IF('Boletins Nuppa Site'!A487&lt;&gt;0,'Boletins Nuppa Site'!A487,"NULL")</f>
        <v>49</v>
      </c>
      <c r="C487">
        <v>14</v>
      </c>
      <c r="D487" t="str">
        <f>IF('Boletins Nuppa Site'!G487&lt;&gt;0,'Boletins Nuppa Site'!G487,"NULL")</f>
        <v>NULL</v>
      </c>
      <c r="E487" s="14">
        <f>IF('Boletins Nuppa Site'!H487&lt;&gt;0,'Boletins Nuppa Site'!H487,"NULL")</f>
        <v>60</v>
      </c>
      <c r="F487" s="14">
        <f>IF('Boletins Nuppa Site'!I487&lt;&gt;0,'Boletins Nuppa Site'!I487,"NULL")</f>
        <v>100</v>
      </c>
      <c r="G487" t="str">
        <f>IF('Boletins Nuppa Site'!J487&lt;&gt;0,'Boletins Nuppa Site'!J487,"NULL")</f>
        <v>76.67</v>
      </c>
      <c r="H487" s="14">
        <f>IF('Boletins Nuppa Site'!K487&lt;&gt;0,'Boletins Nuppa Site'!K487,"NULL")</f>
        <v>70</v>
      </c>
      <c r="I487" t="str">
        <f t="shared" si="14"/>
        <v>INSERT INTO COTACAO (cot_id, cot_blt_id, cot_pap_id, cot_prc_comum, cot_prc_min, cot_prc_max, cot_prc_med, cot_prc_mediana) VALUES (486, 49, 14, NULL, 60, 100, 76.67, 70);</v>
      </c>
      <c r="J487" t="str">
        <f t="shared" si="15"/>
        <v>UPDATE COTACAO SET cot_id = 486, cot_blt_id = 49, cot_pap_id = 14, cot_prc_comum = NULL, cot_prc_min = 60, cot_prc_max = 100, cot_prc_med = 76.67, cot_prc_mediana = 70 WHERE cot_id = 486;</v>
      </c>
    </row>
    <row r="488" spans="1:10" x14ac:dyDescent="0.3">
      <c r="A488">
        <v>487</v>
      </c>
      <c r="B488">
        <f>IF('Boletins Nuppa Site'!A488&lt;&gt;0,'Boletins Nuppa Site'!A488,"NULL")</f>
        <v>49</v>
      </c>
      <c r="C488">
        <v>15</v>
      </c>
      <c r="D488" t="str">
        <f>IF('Boletins Nuppa Site'!G488&lt;&gt;0,'Boletins Nuppa Site'!G488,"NULL")</f>
        <v>NULL</v>
      </c>
      <c r="E488" s="14">
        <f>IF('Boletins Nuppa Site'!H488&lt;&gt;0,'Boletins Nuppa Site'!H488,"NULL")</f>
        <v>48</v>
      </c>
      <c r="F488" s="14">
        <f>IF('Boletins Nuppa Site'!I488&lt;&gt;0,'Boletins Nuppa Site'!I488,"NULL")</f>
        <v>60</v>
      </c>
      <c r="G488" t="str">
        <f>IF('Boletins Nuppa Site'!J488&lt;&gt;0,'Boletins Nuppa Site'!J488,"NULL")</f>
        <v>54.33</v>
      </c>
      <c r="H488" s="14">
        <f>IF('Boletins Nuppa Site'!K488&lt;&gt;0,'Boletins Nuppa Site'!K488,"NULL")</f>
        <v>55</v>
      </c>
      <c r="I488" t="str">
        <f t="shared" si="14"/>
        <v>INSERT INTO COTACAO (cot_id, cot_blt_id, cot_pap_id, cot_prc_comum, cot_prc_min, cot_prc_max, cot_prc_med, cot_prc_mediana) VALUES (487, 49, 15, NULL, 48, 60, 54.33, 55);</v>
      </c>
      <c r="J488" t="str">
        <f t="shared" si="15"/>
        <v>UPDATE COTACAO SET cot_id = 487, cot_blt_id = 49, cot_pap_id = 15, cot_prc_comum = NULL, cot_prc_min = 48, cot_prc_max = 60, cot_prc_med = 54.33, cot_prc_mediana = 55 WHERE cot_id = 487;</v>
      </c>
    </row>
    <row r="489" spans="1:10" x14ac:dyDescent="0.3">
      <c r="A489">
        <v>488</v>
      </c>
      <c r="B489">
        <f>IF('Boletins Nuppa Site'!A489&lt;&gt;0,'Boletins Nuppa Site'!A489,"NULL")</f>
        <v>49</v>
      </c>
      <c r="C489">
        <v>16</v>
      </c>
      <c r="D489" t="str">
        <f>IF('Boletins Nuppa Site'!G489&lt;&gt;0,'Boletins Nuppa Site'!G489,"NULL")</f>
        <v>NULL</v>
      </c>
      <c r="E489" s="14">
        <f>IF('Boletins Nuppa Site'!H489&lt;&gt;0,'Boletins Nuppa Site'!H489,"NULL")</f>
        <v>42</v>
      </c>
      <c r="F489" s="14">
        <f>IF('Boletins Nuppa Site'!I489&lt;&gt;0,'Boletins Nuppa Site'!I489,"NULL")</f>
        <v>54</v>
      </c>
      <c r="G489" s="14">
        <f>IF('Boletins Nuppa Site'!J489&lt;&gt;0,'Boletins Nuppa Site'!J489,"NULL")</f>
        <v>48</v>
      </c>
      <c r="H489" s="14">
        <f>IF('Boletins Nuppa Site'!K489&lt;&gt;0,'Boletins Nuppa Site'!K489,"NULL")</f>
        <v>48</v>
      </c>
      <c r="I489" t="str">
        <f t="shared" si="14"/>
        <v>INSERT INTO COTACAO (cot_id, cot_blt_id, cot_pap_id, cot_prc_comum, cot_prc_min, cot_prc_max, cot_prc_med, cot_prc_mediana) VALUES (488, 49, 16, NULL, 42, 54, 48, 48);</v>
      </c>
      <c r="J489" t="str">
        <f t="shared" si="15"/>
        <v>UPDATE COTACAO SET cot_id = 488, cot_blt_id = 49, cot_pap_id = 16, cot_prc_comum = NULL, cot_prc_min = 42, cot_prc_max = 54, cot_prc_med = 48, cot_prc_mediana = 48 WHERE cot_id = 488;</v>
      </c>
    </row>
    <row r="490" spans="1:10" x14ac:dyDescent="0.3">
      <c r="A490">
        <v>489</v>
      </c>
      <c r="B490">
        <f>IF('Boletins Nuppa Site'!A490&lt;&gt;0,'Boletins Nuppa Site'!A490,"NULL")</f>
        <v>49</v>
      </c>
      <c r="C490">
        <v>17</v>
      </c>
      <c r="D490" s="14">
        <f>IF('Boletins Nuppa Site'!G490&lt;&gt;0,'Boletins Nuppa Site'!G490,"NULL")</f>
        <v>6</v>
      </c>
      <c r="E490" t="str">
        <f>IF('Boletins Nuppa Site'!H490&lt;&gt;0,'Boletins Nuppa Site'!H490,"NULL")</f>
        <v>4.5</v>
      </c>
      <c r="F490" s="14">
        <f>IF('Boletins Nuppa Site'!I490&lt;&gt;0,'Boletins Nuppa Site'!I490,"NULL")</f>
        <v>6</v>
      </c>
      <c r="G490" t="str">
        <f>IF('Boletins Nuppa Site'!J490&lt;&gt;0,'Boletins Nuppa Site'!J490,"NULL")</f>
        <v>5.38</v>
      </c>
      <c r="H490" t="str">
        <f>IF('Boletins Nuppa Site'!K490&lt;&gt;0,'Boletins Nuppa Site'!K490,"NULL")</f>
        <v>5.5</v>
      </c>
      <c r="I490" t="str">
        <f t="shared" si="14"/>
        <v>INSERT INTO COTACAO (cot_id, cot_blt_id, cot_pap_id, cot_prc_comum, cot_prc_min, cot_prc_max, cot_prc_med, cot_prc_mediana) VALUES (489, 49, 17, 6, 4.5, 6, 5.38, 5.5);</v>
      </c>
      <c r="J490" t="str">
        <f t="shared" si="15"/>
        <v>UPDATE COTACAO SET cot_id = 489, cot_blt_id = 49, cot_pap_id = 17, cot_prc_comum = 6, cot_prc_min = 4.5, cot_prc_max = 6, cot_prc_med = 5.38, cot_prc_mediana = 5.5 WHERE cot_id = 489;</v>
      </c>
    </row>
    <row r="491" spans="1:10" x14ac:dyDescent="0.3">
      <c r="A491">
        <v>490</v>
      </c>
      <c r="B491">
        <f>IF('Boletins Nuppa Site'!A491&lt;&gt;0,'Boletins Nuppa Site'!A491,"NULL")</f>
        <v>49</v>
      </c>
      <c r="C491">
        <v>18</v>
      </c>
      <c r="D491" s="14">
        <f>IF('Boletins Nuppa Site'!G491&lt;&gt;0,'Boletins Nuppa Site'!G491,"NULL")</f>
        <v>30</v>
      </c>
      <c r="E491" s="14">
        <f>IF('Boletins Nuppa Site'!H491&lt;&gt;0,'Boletins Nuppa Site'!H491,"NULL")</f>
        <v>20</v>
      </c>
      <c r="F491" s="14">
        <f>IF('Boletins Nuppa Site'!I491&lt;&gt;0,'Boletins Nuppa Site'!I491,"NULL")</f>
        <v>30</v>
      </c>
      <c r="G491" s="14">
        <f>IF('Boletins Nuppa Site'!J491&lt;&gt;0,'Boletins Nuppa Site'!J491,"NULL")</f>
        <v>27</v>
      </c>
      <c r="H491" s="14">
        <f>IF('Boletins Nuppa Site'!K491&lt;&gt;0,'Boletins Nuppa Site'!K491,"NULL")</f>
        <v>29</v>
      </c>
      <c r="I491" t="str">
        <f t="shared" si="14"/>
        <v>INSERT INTO COTACAO (cot_id, cot_blt_id, cot_pap_id, cot_prc_comum, cot_prc_min, cot_prc_max, cot_prc_med, cot_prc_mediana) VALUES (490, 49, 18, 30, 20, 30, 27, 29);</v>
      </c>
      <c r="J491" t="str">
        <f t="shared" si="15"/>
        <v>UPDATE COTACAO SET cot_id = 490, cot_blt_id = 49, cot_pap_id = 18, cot_prc_comum = 30, cot_prc_min = 20, cot_prc_max = 30, cot_prc_med = 27, cot_prc_mediana = 29 WHERE cot_id = 490;</v>
      </c>
    </row>
    <row r="492" spans="1:10" x14ac:dyDescent="0.3">
      <c r="A492">
        <v>491</v>
      </c>
      <c r="B492">
        <f>IF('Boletins Nuppa Site'!A492&lt;&gt;0,'Boletins Nuppa Site'!A492,"NULL")</f>
        <v>49</v>
      </c>
      <c r="C492">
        <v>19</v>
      </c>
      <c r="D492" s="14">
        <f>IF('Boletins Nuppa Site'!G492&lt;&gt;0,'Boletins Nuppa Site'!G492,"NULL")</f>
        <v>30</v>
      </c>
      <c r="E492" s="14">
        <f>IF('Boletins Nuppa Site'!H492&lt;&gt;0,'Boletins Nuppa Site'!H492,"NULL")</f>
        <v>30</v>
      </c>
      <c r="F492" s="14">
        <f>IF('Boletins Nuppa Site'!I492&lt;&gt;0,'Boletins Nuppa Site'!I492,"NULL")</f>
        <v>40</v>
      </c>
      <c r="G492" t="str">
        <f>IF('Boletins Nuppa Site'!J492&lt;&gt;0,'Boletins Nuppa Site'!J492,"NULL")</f>
        <v>33.75</v>
      </c>
      <c r="H492" t="str">
        <f>IF('Boletins Nuppa Site'!K492&lt;&gt;0,'Boletins Nuppa Site'!K492,"NULL")</f>
        <v>32.5</v>
      </c>
      <c r="I492" t="str">
        <f t="shared" si="14"/>
        <v>INSERT INTO COTACAO (cot_id, cot_blt_id, cot_pap_id, cot_prc_comum, cot_prc_min, cot_prc_max, cot_prc_med, cot_prc_mediana) VALUES (491, 49, 19, 30, 30, 40, 33.75, 32.5);</v>
      </c>
      <c r="J492" t="str">
        <f t="shared" si="15"/>
        <v>UPDATE COTACAO SET cot_id = 491, cot_blt_id = 49, cot_pap_id = 19, cot_prc_comum = 30, cot_prc_min = 30, cot_prc_max = 40, cot_prc_med = 33.75, cot_prc_mediana = 32.5 WHERE cot_id = 491;</v>
      </c>
    </row>
    <row r="493" spans="1:10" x14ac:dyDescent="0.3">
      <c r="A493">
        <v>492</v>
      </c>
      <c r="B493">
        <f>IF('Boletins Nuppa Site'!A493&lt;&gt;0,'Boletins Nuppa Site'!A493,"NULL")</f>
        <v>49</v>
      </c>
      <c r="C493">
        <v>20</v>
      </c>
      <c r="D493" s="14">
        <f>IF('Boletins Nuppa Site'!G493&lt;&gt;0,'Boletins Nuppa Site'!G493,"NULL")</f>
        <v>110</v>
      </c>
      <c r="E493" s="14">
        <f>IF('Boletins Nuppa Site'!H493&lt;&gt;0,'Boletins Nuppa Site'!H493,"NULL")</f>
        <v>110</v>
      </c>
      <c r="F493" s="14">
        <f>IF('Boletins Nuppa Site'!I493&lt;&gt;0,'Boletins Nuppa Site'!I493,"NULL")</f>
        <v>120</v>
      </c>
      <c r="G493" t="str">
        <f>IF('Boletins Nuppa Site'!J493&lt;&gt;0,'Boletins Nuppa Site'!J493,"NULL")</f>
        <v>113.33</v>
      </c>
      <c r="H493" s="14">
        <f>IF('Boletins Nuppa Site'!K493&lt;&gt;0,'Boletins Nuppa Site'!K493,"NULL")</f>
        <v>110</v>
      </c>
      <c r="I493" t="str">
        <f t="shared" si="14"/>
        <v>INSERT INTO COTACAO (cot_id, cot_blt_id, cot_pap_id, cot_prc_comum, cot_prc_min, cot_prc_max, cot_prc_med, cot_prc_mediana) VALUES (492, 49, 20, 110, 110, 120, 113.33, 110);</v>
      </c>
      <c r="J493" t="str">
        <f t="shared" si="15"/>
        <v>UPDATE COTACAO SET cot_id = 492, cot_blt_id = 49, cot_pap_id = 20, cot_prc_comum = 110, cot_prc_min = 110, cot_prc_max = 120, cot_prc_med = 113.33, cot_prc_mediana = 110 WHERE cot_id = 492;</v>
      </c>
    </row>
    <row r="494" spans="1:10" x14ac:dyDescent="0.3">
      <c r="A494">
        <v>493</v>
      </c>
      <c r="B494">
        <f>IF('Boletins Nuppa Site'!A494&lt;&gt;0,'Boletins Nuppa Site'!A494,"NULL")</f>
        <v>49</v>
      </c>
      <c r="C494">
        <v>21</v>
      </c>
      <c r="D494" t="str">
        <f>IF('Boletins Nuppa Site'!G494&lt;&gt;0,'Boletins Nuppa Site'!G494,"NULL")</f>
        <v>NULL</v>
      </c>
      <c r="E494" s="14">
        <f>IF('Boletins Nuppa Site'!H494&lt;&gt;0,'Boletins Nuppa Site'!H494,"NULL")</f>
        <v>60</v>
      </c>
      <c r="F494" s="14">
        <f>IF('Boletins Nuppa Site'!I494&lt;&gt;0,'Boletins Nuppa Site'!I494,"NULL")</f>
        <v>80</v>
      </c>
      <c r="G494" t="str">
        <f>IF('Boletins Nuppa Site'!J494&lt;&gt;0,'Boletins Nuppa Site'!J494,"NULL")</f>
        <v>68.75</v>
      </c>
      <c r="H494" t="str">
        <f>IF('Boletins Nuppa Site'!K494&lt;&gt;0,'Boletins Nuppa Site'!K494,"NULL")</f>
        <v>67.5</v>
      </c>
      <c r="I494" t="str">
        <f t="shared" si="14"/>
        <v>INSERT INTO COTACAO (cot_id, cot_blt_id, cot_pap_id, cot_prc_comum, cot_prc_min, cot_prc_max, cot_prc_med, cot_prc_mediana) VALUES (493, 49, 21, NULL, 60, 80, 68.75, 67.5);</v>
      </c>
      <c r="J494" t="str">
        <f t="shared" si="15"/>
        <v>UPDATE COTACAO SET cot_id = 493, cot_blt_id = 49, cot_pap_id = 21, cot_prc_comum = NULL, cot_prc_min = 60, cot_prc_max = 80, cot_prc_med = 68.75, cot_prc_mediana = 67.5 WHERE cot_id = 493;</v>
      </c>
    </row>
    <row r="495" spans="1:10" x14ac:dyDescent="0.3">
      <c r="A495">
        <v>494</v>
      </c>
      <c r="B495">
        <f>IF('Boletins Nuppa Site'!A495&lt;&gt;0,'Boletins Nuppa Site'!A495,"NULL")</f>
        <v>49</v>
      </c>
      <c r="C495">
        <v>22</v>
      </c>
      <c r="D495" s="14">
        <f>IF('Boletins Nuppa Site'!G495&lt;&gt;0,'Boletins Nuppa Site'!G495,"NULL")</f>
        <v>75</v>
      </c>
      <c r="E495" s="14">
        <f>IF('Boletins Nuppa Site'!H495&lt;&gt;0,'Boletins Nuppa Site'!H495,"NULL")</f>
        <v>50</v>
      </c>
      <c r="F495" s="14">
        <f>IF('Boletins Nuppa Site'!I495&lt;&gt;0,'Boletins Nuppa Site'!I495,"NULL")</f>
        <v>75</v>
      </c>
      <c r="G495" s="14">
        <f>IF('Boletins Nuppa Site'!J495&lt;&gt;0,'Boletins Nuppa Site'!J495,"NULL")</f>
        <v>69</v>
      </c>
      <c r="H495" s="14">
        <f>IF('Boletins Nuppa Site'!K495&lt;&gt;0,'Boletins Nuppa Site'!K495,"NULL")</f>
        <v>75</v>
      </c>
      <c r="I495" t="str">
        <f t="shared" si="14"/>
        <v>INSERT INTO COTACAO (cot_id, cot_blt_id, cot_pap_id, cot_prc_comum, cot_prc_min, cot_prc_max, cot_prc_med, cot_prc_mediana) VALUES (494, 49, 22, 75, 50, 75, 69, 75);</v>
      </c>
      <c r="J495" t="str">
        <f t="shared" si="15"/>
        <v>UPDATE COTACAO SET cot_id = 494, cot_blt_id = 49, cot_pap_id = 22, cot_prc_comum = 75, cot_prc_min = 50, cot_prc_max = 75, cot_prc_med = 69, cot_prc_mediana = 75 WHERE cot_id = 494;</v>
      </c>
    </row>
    <row r="496" spans="1:10" x14ac:dyDescent="0.3">
      <c r="A496">
        <v>495</v>
      </c>
      <c r="B496">
        <f>IF('Boletins Nuppa Site'!A496&lt;&gt;0,'Boletins Nuppa Site'!A496,"NULL")</f>
        <v>49</v>
      </c>
      <c r="C496">
        <v>23</v>
      </c>
      <c r="D496" s="14">
        <f>IF('Boletins Nuppa Site'!G496&lt;&gt;0,'Boletins Nuppa Site'!G496,"NULL")</f>
        <v>45</v>
      </c>
      <c r="E496" s="14">
        <f>IF('Boletins Nuppa Site'!H496&lt;&gt;0,'Boletins Nuppa Site'!H496,"NULL")</f>
        <v>30</v>
      </c>
      <c r="F496" s="14">
        <f>IF('Boletins Nuppa Site'!I496&lt;&gt;0,'Boletins Nuppa Site'!I496,"NULL")</f>
        <v>50</v>
      </c>
      <c r="G496" s="14">
        <f>IF('Boletins Nuppa Site'!J496&lt;&gt;0,'Boletins Nuppa Site'!J496,"NULL")</f>
        <v>44</v>
      </c>
      <c r="H496" s="14">
        <f>IF('Boletins Nuppa Site'!K496&lt;&gt;0,'Boletins Nuppa Site'!K496,"NULL")</f>
        <v>45</v>
      </c>
      <c r="I496" t="str">
        <f t="shared" si="14"/>
        <v>INSERT INTO COTACAO (cot_id, cot_blt_id, cot_pap_id, cot_prc_comum, cot_prc_min, cot_prc_max, cot_prc_med, cot_prc_mediana) VALUES (495, 49, 23, 45, 30, 50, 44, 45);</v>
      </c>
      <c r="J496" t="str">
        <f t="shared" si="15"/>
        <v>UPDATE COTACAO SET cot_id = 495, cot_blt_id = 49, cot_pap_id = 23, cot_prc_comum = 45, cot_prc_min = 30, cot_prc_max = 50, cot_prc_med = 44, cot_prc_mediana = 45 WHERE cot_id = 495;</v>
      </c>
    </row>
    <row r="497" spans="1:10" x14ac:dyDescent="0.3">
      <c r="A497">
        <v>496</v>
      </c>
      <c r="B497">
        <f>IF('Boletins Nuppa Site'!A497&lt;&gt;0,'Boletins Nuppa Site'!A497,"NULL")</f>
        <v>49</v>
      </c>
      <c r="C497">
        <v>24</v>
      </c>
      <c r="D497" t="str">
        <f>IF('Boletins Nuppa Site'!G497&lt;&gt;0,'Boletins Nuppa Site'!G497,"NULL")</f>
        <v>NULL</v>
      </c>
      <c r="E497" s="14">
        <f>IF('Boletins Nuppa Site'!H497&lt;&gt;0,'Boletins Nuppa Site'!H497,"NULL")</f>
        <v>110</v>
      </c>
      <c r="F497" s="14">
        <f>IF('Boletins Nuppa Site'!I497&lt;&gt;0,'Boletins Nuppa Site'!I497,"NULL")</f>
        <v>110</v>
      </c>
      <c r="G497" s="14">
        <f>IF('Boletins Nuppa Site'!J497&lt;&gt;0,'Boletins Nuppa Site'!J497,"NULL")</f>
        <v>110</v>
      </c>
      <c r="H497" s="14">
        <f>IF('Boletins Nuppa Site'!K497&lt;&gt;0,'Boletins Nuppa Site'!K497,"NULL")</f>
        <v>110</v>
      </c>
      <c r="I497" t="str">
        <f t="shared" si="14"/>
        <v>INSERT INTO COTACAO (cot_id, cot_blt_id, cot_pap_id, cot_prc_comum, cot_prc_min, cot_prc_max, cot_prc_med, cot_prc_mediana) VALUES (496, 49, 24, NULL, 110, 110, 110, 110);</v>
      </c>
      <c r="J497" t="str">
        <f t="shared" si="15"/>
        <v>UPDATE COTACAO SET cot_id = 496, cot_blt_id = 49, cot_pap_id = 24, cot_prc_comum = NULL, cot_prc_min = 110, cot_prc_max = 110, cot_prc_med = 110, cot_prc_mediana = 110 WHERE cot_id = 496;</v>
      </c>
    </row>
    <row r="498" spans="1:10" x14ac:dyDescent="0.3">
      <c r="A498">
        <v>497</v>
      </c>
      <c r="B498">
        <f>IF('Boletins Nuppa Site'!A498&lt;&gt;0,'Boletins Nuppa Site'!A498,"NULL")</f>
        <v>49</v>
      </c>
      <c r="C498">
        <v>25</v>
      </c>
      <c r="D498" s="14">
        <f>IF('Boletins Nuppa Site'!G498&lt;&gt;0,'Boletins Nuppa Site'!G498,"NULL")</f>
        <v>130</v>
      </c>
      <c r="E498" s="14">
        <f>IF('Boletins Nuppa Site'!H498&lt;&gt;0,'Boletins Nuppa Site'!H498,"NULL")</f>
        <v>80</v>
      </c>
      <c r="F498" s="14">
        <f>IF('Boletins Nuppa Site'!I498&lt;&gt;0,'Boletins Nuppa Site'!I498,"NULL")</f>
        <v>150</v>
      </c>
      <c r="G498" t="str">
        <f>IF('Boletins Nuppa Site'!J498&lt;&gt;0,'Boletins Nuppa Site'!J498,"NULL")</f>
        <v>122.5</v>
      </c>
      <c r="H498" s="14">
        <f>IF('Boletins Nuppa Site'!K498&lt;&gt;0,'Boletins Nuppa Site'!K498,"NULL")</f>
        <v>130</v>
      </c>
      <c r="I498" t="str">
        <f t="shared" si="14"/>
        <v>INSERT INTO COTACAO (cot_id, cot_blt_id, cot_pap_id, cot_prc_comum, cot_prc_min, cot_prc_max, cot_prc_med, cot_prc_mediana) VALUES (497, 49, 25, 130, 80, 150, 122.5, 130);</v>
      </c>
      <c r="J498" t="str">
        <f t="shared" si="15"/>
        <v>UPDATE COTACAO SET cot_id = 497, cot_blt_id = 49, cot_pap_id = 25, cot_prc_comum = 130, cot_prc_min = 80, cot_prc_max = 150, cot_prc_med = 122.5, cot_prc_mediana = 130 WHERE cot_id = 497;</v>
      </c>
    </row>
    <row r="499" spans="1:10" x14ac:dyDescent="0.3">
      <c r="A499">
        <v>498</v>
      </c>
      <c r="B499">
        <f>IF('Boletins Nuppa Site'!A499&lt;&gt;0,'Boletins Nuppa Site'!A499,"NULL")</f>
        <v>49</v>
      </c>
      <c r="C499">
        <v>26</v>
      </c>
      <c r="D499" s="14">
        <f>IF('Boletins Nuppa Site'!G499&lt;&gt;0,'Boletins Nuppa Site'!G499,"NULL")</f>
        <v>140</v>
      </c>
      <c r="E499" s="14">
        <f>IF('Boletins Nuppa Site'!H499&lt;&gt;0,'Boletins Nuppa Site'!H499,"NULL")</f>
        <v>80</v>
      </c>
      <c r="F499" s="14">
        <f>IF('Boletins Nuppa Site'!I499&lt;&gt;0,'Boletins Nuppa Site'!I499,"NULL")</f>
        <v>170</v>
      </c>
      <c r="G499" s="14">
        <f>IF('Boletins Nuppa Site'!J499&lt;&gt;0,'Boletins Nuppa Site'!J499,"NULL")</f>
        <v>138</v>
      </c>
      <c r="H499" s="14">
        <f>IF('Boletins Nuppa Site'!K499&lt;&gt;0,'Boletins Nuppa Site'!K499,"NULL")</f>
        <v>140</v>
      </c>
      <c r="I499" t="str">
        <f t="shared" si="14"/>
        <v>INSERT INTO COTACAO (cot_id, cot_blt_id, cot_pap_id, cot_prc_comum, cot_prc_min, cot_prc_max, cot_prc_med, cot_prc_mediana) VALUES (498, 49, 26, 140, 80, 170, 138, 140);</v>
      </c>
      <c r="J499" t="str">
        <f t="shared" si="15"/>
        <v>UPDATE COTACAO SET cot_id = 498, cot_blt_id = 49, cot_pap_id = 26, cot_prc_comum = 140, cot_prc_min = 80, cot_prc_max = 170, cot_prc_med = 138, cot_prc_mediana = 140 WHERE cot_id = 498;</v>
      </c>
    </row>
    <row r="500" spans="1:10" x14ac:dyDescent="0.3">
      <c r="A500">
        <v>499</v>
      </c>
      <c r="B500">
        <f>IF('Boletins Nuppa Site'!A500&lt;&gt;0,'Boletins Nuppa Site'!A500,"NULL")</f>
        <v>49</v>
      </c>
      <c r="C500">
        <v>27</v>
      </c>
      <c r="D500" s="14">
        <f>IF('Boletins Nuppa Site'!G500&lt;&gt;0,'Boletins Nuppa Site'!G500,"NULL")</f>
        <v>60</v>
      </c>
      <c r="E500" s="14">
        <f>IF('Boletins Nuppa Site'!H500&lt;&gt;0,'Boletins Nuppa Site'!H500,"NULL")</f>
        <v>50</v>
      </c>
      <c r="F500" s="14">
        <f>IF('Boletins Nuppa Site'!I500&lt;&gt;0,'Boletins Nuppa Site'!I500,"NULL")</f>
        <v>70</v>
      </c>
      <c r="G500" s="14">
        <f>IF('Boletins Nuppa Site'!J500&lt;&gt;0,'Boletins Nuppa Site'!J500,"NULL")</f>
        <v>59</v>
      </c>
      <c r="H500" s="14">
        <f>IF('Boletins Nuppa Site'!K500&lt;&gt;0,'Boletins Nuppa Site'!K500,"NULL")</f>
        <v>60</v>
      </c>
      <c r="I500" t="str">
        <f t="shared" si="14"/>
        <v>INSERT INTO COTACAO (cot_id, cot_blt_id, cot_pap_id, cot_prc_comum, cot_prc_min, cot_prc_max, cot_prc_med, cot_prc_mediana) VALUES (499, 49, 27, 60, 50, 70, 59, 60);</v>
      </c>
      <c r="J500" t="str">
        <f t="shared" si="15"/>
        <v>UPDATE COTACAO SET cot_id = 499, cot_blt_id = 49, cot_pap_id = 27, cot_prc_comum = 60, cot_prc_min = 50, cot_prc_max = 70, cot_prc_med = 59, cot_prc_mediana = 60 WHERE cot_id = 499;</v>
      </c>
    </row>
    <row r="501" spans="1:10" x14ac:dyDescent="0.3">
      <c r="A501">
        <v>500</v>
      </c>
      <c r="B501">
        <f>IF('Boletins Nuppa Site'!A501&lt;&gt;0,'Boletins Nuppa Site'!A501,"NULL")</f>
        <v>49</v>
      </c>
      <c r="C501">
        <v>28</v>
      </c>
      <c r="D501" t="str">
        <f>IF('Boletins Nuppa Site'!G501&lt;&gt;0,'Boletins Nuppa Site'!G501,"NULL")</f>
        <v>NULL</v>
      </c>
      <c r="E501" s="14">
        <f>IF('Boletins Nuppa Site'!H501&lt;&gt;0,'Boletins Nuppa Site'!H501,"NULL")</f>
        <v>80</v>
      </c>
      <c r="F501" s="14">
        <f>IF('Boletins Nuppa Site'!I501&lt;&gt;0,'Boletins Nuppa Site'!I501,"NULL")</f>
        <v>120</v>
      </c>
      <c r="G501" t="str">
        <f>IF('Boletins Nuppa Site'!J501&lt;&gt;0,'Boletins Nuppa Site'!J501,"NULL")</f>
        <v>96.67</v>
      </c>
      <c r="H501" s="14">
        <f>IF('Boletins Nuppa Site'!K501&lt;&gt;0,'Boletins Nuppa Site'!K501,"NULL")</f>
        <v>90</v>
      </c>
      <c r="I501" t="str">
        <f t="shared" si="14"/>
        <v>INSERT INTO COTACAO (cot_id, cot_blt_id, cot_pap_id, cot_prc_comum, cot_prc_min, cot_prc_max, cot_prc_med, cot_prc_mediana) VALUES (500, 49, 28, NULL, 80, 120, 96.67, 90);</v>
      </c>
      <c r="J501" t="str">
        <f t="shared" si="15"/>
        <v>UPDATE COTACAO SET cot_id = 500, cot_blt_id = 49, cot_pap_id = 28, cot_prc_comum = NULL, cot_prc_min = 80, cot_prc_max = 120, cot_prc_med = 96.67, cot_prc_mediana = 90 WHERE cot_id = 500;</v>
      </c>
    </row>
    <row r="502" spans="1:10" x14ac:dyDescent="0.3">
      <c r="A502">
        <v>501</v>
      </c>
      <c r="B502">
        <f>IF('Boletins Nuppa Site'!A502&lt;&gt;0,'Boletins Nuppa Site'!A502,"NULL")</f>
        <v>49</v>
      </c>
      <c r="C502">
        <v>29</v>
      </c>
      <c r="D502" t="str">
        <f>IF('Boletins Nuppa Site'!G502&lt;&gt;0,'Boletins Nuppa Site'!G502,"NULL")</f>
        <v>NULL</v>
      </c>
      <c r="E502" t="str">
        <f>IF('Boletins Nuppa Site'!H502&lt;&gt;0,'Boletins Nuppa Site'!H502,"NULL")</f>
        <v>NULL</v>
      </c>
      <c r="F502" t="str">
        <f>IF('Boletins Nuppa Site'!I502&lt;&gt;0,'Boletins Nuppa Site'!I502,"NULL")</f>
        <v>NULL</v>
      </c>
      <c r="G502" t="str">
        <f>IF('Boletins Nuppa Site'!J502&lt;&gt;0,'Boletins Nuppa Site'!J502,"NULL")</f>
        <v>NULL</v>
      </c>
      <c r="H502" t="str">
        <f>IF('Boletins Nuppa Site'!K502&lt;&gt;0,'Boletins Nuppa Site'!K502,"NULL")</f>
        <v>NULL</v>
      </c>
      <c r="I502" t="str">
        <f t="shared" si="14"/>
        <v>INSERT INTO COTACAO (cot_id, cot_blt_id, cot_pap_id, cot_prc_comum, cot_prc_min, cot_prc_max, cot_prc_med, cot_prc_mediana) VALUES (501, 49, 29, NULL, NULL, NULL, NULL, NULL);</v>
      </c>
      <c r="J502" t="str">
        <f t="shared" si="15"/>
        <v>UPDATE COTACAO SET cot_id = 501, cot_blt_id = 49, cot_pap_id = 29, cot_prc_comum = NULL, cot_prc_min = NULL, cot_prc_max = NULL, cot_prc_med = NULL, cot_prc_mediana = NULL WHERE cot_id = 501;</v>
      </c>
    </row>
    <row r="503" spans="1:10" x14ac:dyDescent="0.3">
      <c r="A503">
        <v>502</v>
      </c>
      <c r="B503">
        <f>IF('Boletins Nuppa Site'!A503&lt;&gt;0,'Boletins Nuppa Site'!A503,"NULL")</f>
        <v>49</v>
      </c>
      <c r="C503">
        <v>30</v>
      </c>
      <c r="D503" s="14">
        <f>IF('Boletins Nuppa Site'!G503&lt;&gt;0,'Boletins Nuppa Site'!G503,"NULL")</f>
        <v>70</v>
      </c>
      <c r="E503" s="14">
        <f>IF('Boletins Nuppa Site'!H503&lt;&gt;0,'Boletins Nuppa Site'!H503,"NULL")</f>
        <v>60</v>
      </c>
      <c r="F503" s="14">
        <f>IF('Boletins Nuppa Site'!I503&lt;&gt;0,'Boletins Nuppa Site'!I503,"NULL")</f>
        <v>80</v>
      </c>
      <c r="G503" s="14">
        <f>IF('Boletins Nuppa Site'!J503&lt;&gt;0,'Boletins Nuppa Site'!J503,"NULL")</f>
        <v>70</v>
      </c>
      <c r="H503" s="14">
        <f>IF('Boletins Nuppa Site'!K503&lt;&gt;0,'Boletins Nuppa Site'!K503,"NULL")</f>
        <v>70</v>
      </c>
      <c r="I503" t="str">
        <f t="shared" si="14"/>
        <v>INSERT INTO COTACAO (cot_id, cot_blt_id, cot_pap_id, cot_prc_comum, cot_prc_min, cot_prc_max, cot_prc_med, cot_prc_mediana) VALUES (502, 49, 30, 70, 60, 80, 70, 70);</v>
      </c>
      <c r="J503" t="str">
        <f t="shared" si="15"/>
        <v>UPDATE COTACAO SET cot_id = 502, cot_blt_id = 49, cot_pap_id = 30, cot_prc_comum = 70, cot_prc_min = 60, cot_prc_max = 80, cot_prc_med = 70, cot_prc_mediana = 70 WHERE cot_id = 502;</v>
      </c>
    </row>
    <row r="504" spans="1:10" x14ac:dyDescent="0.3">
      <c r="A504">
        <v>503</v>
      </c>
      <c r="B504">
        <f>IF('Boletins Nuppa Site'!A504&lt;&gt;0,'Boletins Nuppa Site'!A504,"NULL")</f>
        <v>49</v>
      </c>
      <c r="C504">
        <v>31</v>
      </c>
      <c r="D504" s="14">
        <f>IF('Boletins Nuppa Site'!G504&lt;&gt;0,'Boletins Nuppa Site'!G504,"NULL")</f>
        <v>90</v>
      </c>
      <c r="E504" s="14">
        <f>IF('Boletins Nuppa Site'!H504&lt;&gt;0,'Boletins Nuppa Site'!H504,"NULL")</f>
        <v>80</v>
      </c>
      <c r="F504" s="14">
        <f>IF('Boletins Nuppa Site'!I504&lt;&gt;0,'Boletins Nuppa Site'!I504,"NULL")</f>
        <v>100</v>
      </c>
      <c r="G504" s="14">
        <f>IF('Boletins Nuppa Site'!J504&lt;&gt;0,'Boletins Nuppa Site'!J504,"NULL")</f>
        <v>89</v>
      </c>
      <c r="H504" s="14">
        <f>IF('Boletins Nuppa Site'!K504&lt;&gt;0,'Boletins Nuppa Site'!K504,"NULL")</f>
        <v>90</v>
      </c>
      <c r="I504" t="str">
        <f t="shared" si="14"/>
        <v>INSERT INTO COTACAO (cot_id, cot_blt_id, cot_pap_id, cot_prc_comum, cot_prc_min, cot_prc_max, cot_prc_med, cot_prc_mediana) VALUES (503, 49, 31, 90, 80, 100, 89, 90);</v>
      </c>
      <c r="J504" t="str">
        <f t="shared" si="15"/>
        <v>UPDATE COTACAO SET cot_id = 503, cot_blt_id = 49, cot_pap_id = 31, cot_prc_comum = 90, cot_prc_min = 80, cot_prc_max = 100, cot_prc_med = 89, cot_prc_mediana = 90 WHERE cot_id = 503;</v>
      </c>
    </row>
    <row r="505" spans="1:10" x14ac:dyDescent="0.3">
      <c r="A505">
        <v>504</v>
      </c>
      <c r="B505">
        <f>IF('Boletins Nuppa Site'!A505&lt;&gt;0,'Boletins Nuppa Site'!A505,"NULL")</f>
        <v>49</v>
      </c>
      <c r="C505">
        <v>32</v>
      </c>
      <c r="D505" s="14">
        <f>IF('Boletins Nuppa Site'!G505&lt;&gt;0,'Boletins Nuppa Site'!G505,"NULL")</f>
        <v>70</v>
      </c>
      <c r="E505" s="14">
        <f>IF('Boletins Nuppa Site'!H505&lt;&gt;0,'Boletins Nuppa Site'!H505,"NULL")</f>
        <v>45</v>
      </c>
      <c r="F505" s="14">
        <f>IF('Boletins Nuppa Site'!I505&lt;&gt;0,'Boletins Nuppa Site'!I505,"NULL")</f>
        <v>100</v>
      </c>
      <c r="G505" t="str">
        <f>IF('Boletins Nuppa Site'!J505&lt;&gt;0,'Boletins Nuppa Site'!J505,"NULL")</f>
        <v>68.6</v>
      </c>
      <c r="H505" s="14">
        <f>IF('Boletins Nuppa Site'!K505&lt;&gt;0,'Boletins Nuppa Site'!K505,"NULL")</f>
        <v>70</v>
      </c>
      <c r="I505" t="str">
        <f t="shared" si="14"/>
        <v>INSERT INTO COTACAO (cot_id, cot_blt_id, cot_pap_id, cot_prc_comum, cot_prc_min, cot_prc_max, cot_prc_med, cot_prc_mediana) VALUES (504, 49, 32, 70, 45, 100, 68.6, 70);</v>
      </c>
      <c r="J505" t="str">
        <f t="shared" si="15"/>
        <v>UPDATE COTACAO SET cot_id = 504, cot_blt_id = 49, cot_pap_id = 32, cot_prc_comum = 70, cot_prc_min = 45, cot_prc_max = 100, cot_prc_med = 68.6, cot_prc_mediana = 70 WHERE cot_id = 504;</v>
      </c>
    </row>
    <row r="506" spans="1:10" x14ac:dyDescent="0.3">
      <c r="A506">
        <v>505</v>
      </c>
      <c r="B506">
        <f>IF('Boletins Nuppa Site'!A506&lt;&gt;0,'Boletins Nuppa Site'!A506,"NULL")</f>
        <v>49</v>
      </c>
      <c r="C506">
        <v>33</v>
      </c>
      <c r="D506" s="14">
        <f>IF('Boletins Nuppa Site'!G506&lt;&gt;0,'Boletins Nuppa Site'!G506,"NULL")</f>
        <v>120</v>
      </c>
      <c r="E506" s="14">
        <f>IF('Boletins Nuppa Site'!H506&lt;&gt;0,'Boletins Nuppa Site'!H506,"NULL")</f>
        <v>100</v>
      </c>
      <c r="F506" s="14">
        <f>IF('Boletins Nuppa Site'!I506&lt;&gt;0,'Boletins Nuppa Site'!I506,"NULL")</f>
        <v>120</v>
      </c>
      <c r="G506" s="14">
        <f>IF('Boletins Nuppa Site'!J506&lt;&gt;0,'Boletins Nuppa Site'!J506,"NULL")</f>
        <v>112</v>
      </c>
      <c r="H506" s="14">
        <f>IF('Boletins Nuppa Site'!K506&lt;&gt;0,'Boletins Nuppa Site'!K506,"NULL")</f>
        <v>120</v>
      </c>
      <c r="I506" t="str">
        <f t="shared" si="14"/>
        <v>INSERT INTO COTACAO (cot_id, cot_blt_id, cot_pap_id, cot_prc_comum, cot_prc_min, cot_prc_max, cot_prc_med, cot_prc_mediana) VALUES (505, 49, 33, 120, 100, 120, 112, 120);</v>
      </c>
      <c r="J506" t="str">
        <f t="shared" si="15"/>
        <v>UPDATE COTACAO SET cot_id = 505, cot_blt_id = 49, cot_pap_id = 33, cot_prc_comum = 120, cot_prc_min = 100, cot_prc_max = 120, cot_prc_med = 112, cot_prc_mediana = 120 WHERE cot_id = 505;</v>
      </c>
    </row>
    <row r="507" spans="1:10" x14ac:dyDescent="0.3">
      <c r="A507">
        <v>506</v>
      </c>
      <c r="B507">
        <f>IF('Boletins Nuppa Site'!A507&lt;&gt;0,'Boletins Nuppa Site'!A507,"NULL")</f>
        <v>49</v>
      </c>
      <c r="C507">
        <v>34</v>
      </c>
      <c r="D507" t="str">
        <f>IF('Boletins Nuppa Site'!G507&lt;&gt;0,'Boletins Nuppa Site'!G507,"NULL")</f>
        <v>NULL</v>
      </c>
      <c r="E507" s="14">
        <f>IF('Boletins Nuppa Site'!H507&lt;&gt;0,'Boletins Nuppa Site'!H507,"NULL")</f>
        <v>65</v>
      </c>
      <c r="F507" s="14">
        <f>IF('Boletins Nuppa Site'!I507&lt;&gt;0,'Boletins Nuppa Site'!I507,"NULL")</f>
        <v>130</v>
      </c>
      <c r="G507" t="str">
        <f>IF('Boletins Nuppa Site'!J507&lt;&gt;0,'Boletins Nuppa Site'!J507,"NULL")</f>
        <v>91.25</v>
      </c>
      <c r="H507" s="14">
        <f>IF('Boletins Nuppa Site'!K507&lt;&gt;0,'Boletins Nuppa Site'!K507,"NULL")</f>
        <v>85</v>
      </c>
      <c r="I507" t="str">
        <f t="shared" si="14"/>
        <v>INSERT INTO COTACAO (cot_id, cot_blt_id, cot_pap_id, cot_prc_comum, cot_prc_min, cot_prc_max, cot_prc_med, cot_prc_mediana) VALUES (506, 49, 34, NULL, 65, 130, 91.25, 85);</v>
      </c>
      <c r="J507" t="str">
        <f t="shared" si="15"/>
        <v>UPDATE COTACAO SET cot_id = 506, cot_blt_id = 49, cot_pap_id = 34, cot_prc_comum = NULL, cot_prc_min = 65, cot_prc_max = 130, cot_prc_med = 91.25, cot_prc_mediana = 85 WHERE cot_id = 506;</v>
      </c>
    </row>
    <row r="508" spans="1:10" x14ac:dyDescent="0.3">
      <c r="A508">
        <v>507</v>
      </c>
      <c r="B508">
        <f>IF('Boletins Nuppa Site'!A508&lt;&gt;0,'Boletins Nuppa Site'!A508,"NULL")</f>
        <v>49</v>
      </c>
      <c r="C508">
        <v>35</v>
      </c>
      <c r="D508" s="14">
        <f>IF('Boletins Nuppa Site'!G508&lt;&gt;0,'Boletins Nuppa Site'!G508,"NULL")</f>
        <v>130</v>
      </c>
      <c r="E508" s="14">
        <f>IF('Boletins Nuppa Site'!H508&lt;&gt;0,'Boletins Nuppa Site'!H508,"NULL")</f>
        <v>130</v>
      </c>
      <c r="F508" s="14">
        <f>IF('Boletins Nuppa Site'!I508&lt;&gt;0,'Boletins Nuppa Site'!I508,"NULL")</f>
        <v>150</v>
      </c>
      <c r="G508" t="str">
        <f>IF('Boletins Nuppa Site'!J508&lt;&gt;0,'Boletins Nuppa Site'!J508,"NULL")</f>
        <v>136.67</v>
      </c>
      <c r="H508" s="14">
        <f>IF('Boletins Nuppa Site'!K508&lt;&gt;0,'Boletins Nuppa Site'!K508,"NULL")</f>
        <v>130</v>
      </c>
      <c r="I508" t="str">
        <f t="shared" si="14"/>
        <v>INSERT INTO COTACAO (cot_id, cot_blt_id, cot_pap_id, cot_prc_comum, cot_prc_min, cot_prc_max, cot_prc_med, cot_prc_mediana) VALUES (507, 49, 35, 130, 130, 150, 136.67, 130);</v>
      </c>
      <c r="J508" t="str">
        <f t="shared" si="15"/>
        <v>UPDATE COTACAO SET cot_id = 507, cot_blt_id = 49, cot_pap_id = 35, cot_prc_comum = 130, cot_prc_min = 130, cot_prc_max = 150, cot_prc_med = 136.67, cot_prc_mediana = 130 WHERE cot_id = 507;</v>
      </c>
    </row>
    <row r="509" spans="1:10" x14ac:dyDescent="0.3">
      <c r="A509">
        <v>508</v>
      </c>
      <c r="B509">
        <f>IF('Boletins Nuppa Site'!A509&lt;&gt;0,'Boletins Nuppa Site'!A509,"NULL")</f>
        <v>49</v>
      </c>
      <c r="C509">
        <v>36</v>
      </c>
      <c r="D509" t="str">
        <f>IF('Boletins Nuppa Site'!G509&lt;&gt;0,'Boletins Nuppa Site'!G509,"NULL")</f>
        <v>NULL</v>
      </c>
      <c r="E509" s="14">
        <f>IF('Boletins Nuppa Site'!H509&lt;&gt;0,'Boletins Nuppa Site'!H509,"NULL")</f>
        <v>65</v>
      </c>
      <c r="F509" s="14">
        <f>IF('Boletins Nuppa Site'!I509&lt;&gt;0,'Boletins Nuppa Site'!I509,"NULL")</f>
        <v>65</v>
      </c>
      <c r="G509" s="14">
        <f>IF('Boletins Nuppa Site'!J509&lt;&gt;0,'Boletins Nuppa Site'!J509,"NULL")</f>
        <v>65</v>
      </c>
      <c r="H509" s="14">
        <f>IF('Boletins Nuppa Site'!K509&lt;&gt;0,'Boletins Nuppa Site'!K509,"NULL")</f>
        <v>65</v>
      </c>
      <c r="I509" t="str">
        <f t="shared" si="14"/>
        <v>INSERT INTO COTACAO (cot_id, cot_blt_id, cot_pap_id, cot_prc_comum, cot_prc_min, cot_prc_max, cot_prc_med, cot_prc_mediana) VALUES (508, 49, 36, NULL, 65, 65, 65, 65);</v>
      </c>
      <c r="J509" t="str">
        <f t="shared" si="15"/>
        <v>UPDATE COTACAO SET cot_id = 508, cot_blt_id = 49, cot_pap_id = 36, cot_prc_comum = NULL, cot_prc_min = 65, cot_prc_max = 65, cot_prc_med = 65, cot_prc_mediana = 65 WHERE cot_id = 508;</v>
      </c>
    </row>
    <row r="510" spans="1:10" x14ac:dyDescent="0.3">
      <c r="A510">
        <v>509</v>
      </c>
      <c r="B510">
        <f>IF('Boletins Nuppa Site'!A510&lt;&gt;0,'Boletins Nuppa Site'!A510,"NULL")</f>
        <v>49</v>
      </c>
      <c r="C510">
        <v>37</v>
      </c>
      <c r="D510" t="str">
        <f>IF('Boletins Nuppa Site'!G510&lt;&gt;0,'Boletins Nuppa Site'!G510,"NULL")</f>
        <v>NULL</v>
      </c>
      <c r="E510" s="14">
        <f>IF('Boletins Nuppa Site'!H510&lt;&gt;0,'Boletins Nuppa Site'!H510,"NULL")</f>
        <v>75</v>
      </c>
      <c r="F510" s="14">
        <f>IF('Boletins Nuppa Site'!I510&lt;&gt;0,'Boletins Nuppa Site'!I510,"NULL")</f>
        <v>124</v>
      </c>
      <c r="G510" t="str">
        <f>IF('Boletins Nuppa Site'!J510&lt;&gt;0,'Boletins Nuppa Site'!J510,"NULL")</f>
        <v>99.5</v>
      </c>
      <c r="H510" t="str">
        <f>IF('Boletins Nuppa Site'!K510&lt;&gt;0,'Boletins Nuppa Site'!K510,"NULL")</f>
        <v>99.5</v>
      </c>
      <c r="I510" t="str">
        <f t="shared" si="14"/>
        <v>INSERT INTO COTACAO (cot_id, cot_blt_id, cot_pap_id, cot_prc_comum, cot_prc_min, cot_prc_max, cot_prc_med, cot_prc_mediana) VALUES (509, 49, 37, NULL, 75, 124, 99.5, 99.5);</v>
      </c>
      <c r="J510" t="str">
        <f t="shared" si="15"/>
        <v>UPDATE COTACAO SET cot_id = 509, cot_blt_id = 49, cot_pap_id = 37, cot_prc_comum = NULL, cot_prc_min = 75, cot_prc_max = 124, cot_prc_med = 99.5, cot_prc_mediana = 99.5 WHERE cot_id = 509;</v>
      </c>
    </row>
    <row r="511" spans="1:10" x14ac:dyDescent="0.3">
      <c r="A511">
        <v>510</v>
      </c>
      <c r="B511">
        <f>IF('Boletins Nuppa Site'!A511&lt;&gt;0,'Boletins Nuppa Site'!A511,"NULL")</f>
        <v>49</v>
      </c>
      <c r="C511">
        <v>38</v>
      </c>
      <c r="D511" t="str">
        <f>IF('Boletins Nuppa Site'!G511&lt;&gt;0,'Boletins Nuppa Site'!G511,"NULL")</f>
        <v>NULL</v>
      </c>
      <c r="E511" s="14">
        <f>IF('Boletins Nuppa Site'!H511&lt;&gt;0,'Boletins Nuppa Site'!H511,"NULL")</f>
        <v>45</v>
      </c>
      <c r="F511" s="14">
        <f>IF('Boletins Nuppa Site'!I511&lt;&gt;0,'Boletins Nuppa Site'!I511,"NULL")</f>
        <v>70</v>
      </c>
      <c r="G511" t="str">
        <f>IF('Boletins Nuppa Site'!J511&lt;&gt;0,'Boletins Nuppa Site'!J511,"NULL")</f>
        <v>57.5</v>
      </c>
      <c r="H511" t="str">
        <f>IF('Boletins Nuppa Site'!K511&lt;&gt;0,'Boletins Nuppa Site'!K511,"NULL")</f>
        <v>57.5</v>
      </c>
      <c r="I511" t="str">
        <f t="shared" si="14"/>
        <v>INSERT INTO COTACAO (cot_id, cot_blt_id, cot_pap_id, cot_prc_comum, cot_prc_min, cot_prc_max, cot_prc_med, cot_prc_mediana) VALUES (510, 49, 38, NULL, 45, 70, 57.5, 57.5);</v>
      </c>
      <c r="J511" t="str">
        <f t="shared" si="15"/>
        <v>UPDATE COTACAO SET cot_id = 510, cot_blt_id = 49, cot_pap_id = 38, cot_prc_comum = NULL, cot_prc_min = 45, cot_prc_max = 70, cot_prc_med = 57.5, cot_prc_mediana = 57.5 WHERE cot_id = 510;</v>
      </c>
    </row>
    <row r="512" spans="1:10" x14ac:dyDescent="0.3">
      <c r="A512">
        <v>511</v>
      </c>
      <c r="B512">
        <f>IF('Boletins Nuppa Site'!A512&lt;&gt;0,'Boletins Nuppa Site'!A512,"NULL")</f>
        <v>49</v>
      </c>
      <c r="C512">
        <v>39</v>
      </c>
      <c r="D512" t="str">
        <f>IF('Boletins Nuppa Site'!G512&lt;&gt;0,'Boletins Nuppa Site'!G512,"NULL")</f>
        <v>NULL</v>
      </c>
      <c r="E512" s="14">
        <f>IF('Boletins Nuppa Site'!H512&lt;&gt;0,'Boletins Nuppa Site'!H512,"NULL")</f>
        <v>50</v>
      </c>
      <c r="F512" s="14">
        <f>IF('Boletins Nuppa Site'!I512&lt;&gt;0,'Boletins Nuppa Site'!I512,"NULL")</f>
        <v>50</v>
      </c>
      <c r="G512" s="14">
        <f>IF('Boletins Nuppa Site'!J512&lt;&gt;0,'Boletins Nuppa Site'!J512,"NULL")</f>
        <v>50</v>
      </c>
      <c r="H512" s="14">
        <f>IF('Boletins Nuppa Site'!K512&lt;&gt;0,'Boletins Nuppa Site'!K512,"NULL")</f>
        <v>50</v>
      </c>
      <c r="I512" t="str">
        <f t="shared" si="14"/>
        <v>INSERT INTO COTACAO (cot_id, cot_blt_id, cot_pap_id, cot_prc_comum, cot_prc_min, cot_prc_max, cot_prc_med, cot_prc_mediana) VALUES (511, 49, 39, NULL, 50, 50, 50, 50);</v>
      </c>
      <c r="J512" t="str">
        <f t="shared" si="15"/>
        <v>UPDATE COTACAO SET cot_id = 511, cot_blt_id = 49, cot_pap_id = 39, cot_prc_comum = NULL, cot_prc_min = 50, cot_prc_max = 50, cot_prc_med = 50, cot_prc_mediana = 50 WHERE cot_id = 511;</v>
      </c>
    </row>
    <row r="513" spans="1:10" x14ac:dyDescent="0.3">
      <c r="A513">
        <v>512</v>
      </c>
      <c r="B513">
        <f>IF('Boletins Nuppa Site'!A513&lt;&gt;0,'Boletins Nuppa Site'!A513,"NULL")</f>
        <v>49</v>
      </c>
      <c r="C513">
        <v>40</v>
      </c>
      <c r="D513" t="str">
        <f>IF('Boletins Nuppa Site'!G513&lt;&gt;0,'Boletins Nuppa Site'!G513,"NULL")</f>
        <v>NULL</v>
      </c>
      <c r="E513" s="14">
        <f>IF('Boletins Nuppa Site'!H513&lt;&gt;0,'Boletins Nuppa Site'!H513,"NULL")</f>
        <v>75</v>
      </c>
      <c r="F513" s="14">
        <f>IF('Boletins Nuppa Site'!I513&lt;&gt;0,'Boletins Nuppa Site'!I513,"NULL")</f>
        <v>88</v>
      </c>
      <c r="G513" t="str">
        <f>IF('Boletins Nuppa Site'!J513&lt;&gt;0,'Boletins Nuppa Site'!J513,"NULL")</f>
        <v>81.5</v>
      </c>
      <c r="H513" t="str">
        <f>IF('Boletins Nuppa Site'!K513&lt;&gt;0,'Boletins Nuppa Site'!K513,"NULL")</f>
        <v>81.5</v>
      </c>
      <c r="I513" t="str">
        <f t="shared" si="14"/>
        <v>INSERT INTO COTACAO (cot_id, cot_blt_id, cot_pap_id, cot_prc_comum, cot_prc_min, cot_prc_max, cot_prc_med, cot_prc_mediana) VALUES (512, 49, 40, NULL, 75, 88, 81.5, 81.5);</v>
      </c>
      <c r="J513" t="str">
        <f t="shared" si="15"/>
        <v>UPDATE COTACAO SET cot_id = 512, cot_blt_id = 49, cot_pap_id = 40, cot_prc_comum = NULL, cot_prc_min = 75, cot_prc_max = 88, cot_prc_med = 81.5, cot_prc_mediana = 81.5 WHERE cot_id = 512;</v>
      </c>
    </row>
    <row r="514" spans="1:10" x14ac:dyDescent="0.3">
      <c r="A514">
        <v>513</v>
      </c>
      <c r="B514">
        <f>IF('Boletins Nuppa Site'!A514&lt;&gt;0,'Boletins Nuppa Site'!A514,"NULL")</f>
        <v>50</v>
      </c>
      <c r="C514">
        <v>1</v>
      </c>
      <c r="D514" t="str">
        <f>IF('Boletins Nuppa Site'!G514&lt;&gt;0,'Boletins Nuppa Site'!G514,"NULL")</f>
        <v>NULL</v>
      </c>
      <c r="E514" s="14">
        <f>IF('Boletins Nuppa Site'!H514&lt;&gt;0,'Boletins Nuppa Site'!H514,"NULL")</f>
        <v>48</v>
      </c>
      <c r="F514" s="14">
        <f>IF('Boletins Nuppa Site'!I514&lt;&gt;0,'Boletins Nuppa Site'!I514,"NULL")</f>
        <v>72</v>
      </c>
      <c r="G514" s="14">
        <f>IF('Boletins Nuppa Site'!J514&lt;&gt;0,'Boletins Nuppa Site'!J514,"NULL")</f>
        <v>60</v>
      </c>
      <c r="H514" s="14">
        <f>IF('Boletins Nuppa Site'!K514&lt;&gt;0,'Boletins Nuppa Site'!K514,"NULL")</f>
        <v>60</v>
      </c>
      <c r="I514" t="str">
        <f t="shared" si="14"/>
        <v>INSERT INTO COTACAO (cot_id, cot_blt_id, cot_pap_id, cot_prc_comum, cot_prc_min, cot_prc_max, cot_prc_med, cot_prc_mediana) VALUES (513, 50, 1, NULL, 48, 72, 60, 60);</v>
      </c>
      <c r="J514" t="str">
        <f t="shared" si="15"/>
        <v>UPDATE COTACAO SET cot_id = 513, cot_blt_id = 50, cot_pap_id = 1, cot_prc_comum = NULL, cot_prc_min = 48, cot_prc_max = 72, cot_prc_med = 60, cot_prc_mediana = 60 WHERE cot_id = 513;</v>
      </c>
    </row>
    <row r="515" spans="1:10" x14ac:dyDescent="0.3">
      <c r="A515">
        <v>514</v>
      </c>
      <c r="B515">
        <f>IF('Boletins Nuppa Site'!A515&lt;&gt;0,'Boletins Nuppa Site'!A515,"NULL")</f>
        <v>50</v>
      </c>
      <c r="C515">
        <v>2</v>
      </c>
      <c r="D515" s="14">
        <f>IF('Boletins Nuppa Site'!G515&lt;&gt;0,'Boletins Nuppa Site'!G515,"NULL")</f>
        <v>84</v>
      </c>
      <c r="E515" s="14">
        <f>IF('Boletins Nuppa Site'!H515&lt;&gt;0,'Boletins Nuppa Site'!H515,"NULL")</f>
        <v>72</v>
      </c>
      <c r="F515" s="14">
        <f>IF('Boletins Nuppa Site'!I515&lt;&gt;0,'Boletins Nuppa Site'!I515,"NULL")</f>
        <v>84</v>
      </c>
      <c r="G515" s="14">
        <f>IF('Boletins Nuppa Site'!J515&lt;&gt;0,'Boletins Nuppa Site'!J515,"NULL")</f>
        <v>80</v>
      </c>
      <c r="H515" s="14">
        <f>IF('Boletins Nuppa Site'!K515&lt;&gt;0,'Boletins Nuppa Site'!K515,"NULL")</f>
        <v>84</v>
      </c>
      <c r="I515" t="str">
        <f t="shared" ref="I515:I578" si="16">"INSERT INTO COTACAO (cot_id, cot_blt_id, cot_pap_id, cot_prc_comum, cot_prc_min, cot_prc_max, cot_prc_med, cot_prc_mediana) VALUES ("&amp;A515&amp;", "&amp;B515&amp;", "&amp;C515&amp;", "&amp;D515&amp;", "&amp;E515&amp;", "&amp;F515&amp;", "&amp;G515&amp;", "&amp;H515&amp;");"</f>
        <v>INSERT INTO COTACAO (cot_id, cot_blt_id, cot_pap_id, cot_prc_comum, cot_prc_min, cot_prc_max, cot_prc_med, cot_prc_mediana) VALUES (514, 50, 2, 84, 72, 84, 80, 84);</v>
      </c>
      <c r="J515" t="str">
        <f t="shared" ref="J515:J578" si="17">"UPDATE COTACAO SET cot_id = "&amp;A515&amp;", cot_blt_id = "&amp;B515&amp;", cot_pap_id = "&amp;C515&amp;", cot_prc_comum = "&amp;D515&amp;", cot_prc_min = "&amp;E515&amp;", cot_prc_max = "&amp;F515&amp;", cot_prc_med = "&amp;G515&amp;", cot_prc_mediana = "&amp;H515&amp;" WHERE cot_id = "&amp;A515&amp;";"</f>
        <v>UPDATE COTACAO SET cot_id = 514, cot_blt_id = 50, cot_pap_id = 2, cot_prc_comum = 84, cot_prc_min = 72, cot_prc_max = 84, cot_prc_med = 80, cot_prc_mediana = 84 WHERE cot_id = 514;</v>
      </c>
    </row>
    <row r="516" spans="1:10" x14ac:dyDescent="0.3">
      <c r="A516">
        <v>515</v>
      </c>
      <c r="B516">
        <f>IF('Boletins Nuppa Site'!A516&lt;&gt;0,'Boletins Nuppa Site'!A516,"NULL")</f>
        <v>50</v>
      </c>
      <c r="C516">
        <v>3</v>
      </c>
      <c r="D516" t="str">
        <f>IF('Boletins Nuppa Site'!G516&lt;&gt;0,'Boletins Nuppa Site'!G516,"NULL")</f>
        <v>NULL</v>
      </c>
      <c r="E516" s="14">
        <f>IF('Boletins Nuppa Site'!H516&lt;&gt;0,'Boletins Nuppa Site'!H516,"NULL")</f>
        <v>42</v>
      </c>
      <c r="F516" s="14">
        <f>IF('Boletins Nuppa Site'!I516&lt;&gt;0,'Boletins Nuppa Site'!I516,"NULL")</f>
        <v>60</v>
      </c>
      <c r="G516" s="14">
        <f>IF('Boletins Nuppa Site'!J516&lt;&gt;0,'Boletins Nuppa Site'!J516,"NULL")</f>
        <v>50</v>
      </c>
      <c r="H516" s="14">
        <f>IF('Boletins Nuppa Site'!K516&lt;&gt;0,'Boletins Nuppa Site'!K516,"NULL")</f>
        <v>48</v>
      </c>
      <c r="I516" t="str">
        <f t="shared" si="16"/>
        <v>INSERT INTO COTACAO (cot_id, cot_blt_id, cot_pap_id, cot_prc_comum, cot_prc_min, cot_prc_max, cot_prc_med, cot_prc_mediana) VALUES (515, 50, 3, NULL, 42, 60, 50, 48);</v>
      </c>
      <c r="J516" t="str">
        <f t="shared" si="17"/>
        <v>UPDATE COTACAO SET cot_id = 515, cot_blt_id = 50, cot_pap_id = 3, cot_prc_comum = NULL, cot_prc_min = 42, cot_prc_max = 60, cot_prc_med = 50, cot_prc_mediana = 48 WHERE cot_id = 515;</v>
      </c>
    </row>
    <row r="517" spans="1:10" x14ac:dyDescent="0.3">
      <c r="A517">
        <v>516</v>
      </c>
      <c r="B517">
        <f>IF('Boletins Nuppa Site'!A517&lt;&gt;0,'Boletins Nuppa Site'!A517,"NULL")</f>
        <v>50</v>
      </c>
      <c r="C517">
        <v>4</v>
      </c>
      <c r="D517" s="14">
        <f>IF('Boletins Nuppa Site'!G517&lt;&gt;0,'Boletins Nuppa Site'!G517,"NULL")</f>
        <v>36</v>
      </c>
      <c r="E517" s="14">
        <f>IF('Boletins Nuppa Site'!H517&lt;&gt;0,'Boletins Nuppa Site'!H517,"NULL")</f>
        <v>30</v>
      </c>
      <c r="F517" s="14">
        <f>IF('Boletins Nuppa Site'!I517&lt;&gt;0,'Boletins Nuppa Site'!I517,"NULL")</f>
        <v>36</v>
      </c>
      <c r="G517" s="14">
        <f>IF('Boletins Nuppa Site'!J517&lt;&gt;0,'Boletins Nuppa Site'!J517,"NULL")</f>
        <v>34</v>
      </c>
      <c r="H517" s="14">
        <f>IF('Boletins Nuppa Site'!K517&lt;&gt;0,'Boletins Nuppa Site'!K517,"NULL")</f>
        <v>36</v>
      </c>
      <c r="I517" t="str">
        <f t="shared" si="16"/>
        <v>INSERT INTO COTACAO (cot_id, cot_blt_id, cot_pap_id, cot_prc_comum, cot_prc_min, cot_prc_max, cot_prc_med, cot_prc_mediana) VALUES (516, 50, 4, 36, 30, 36, 34, 36);</v>
      </c>
      <c r="J517" t="str">
        <f t="shared" si="17"/>
        <v>UPDATE COTACAO SET cot_id = 516, cot_blt_id = 50, cot_pap_id = 4, cot_prc_comum = 36, cot_prc_min = 30, cot_prc_max = 36, cot_prc_med = 34, cot_prc_mediana = 36 WHERE cot_id = 516;</v>
      </c>
    </row>
    <row r="518" spans="1:10" x14ac:dyDescent="0.3">
      <c r="A518">
        <v>517</v>
      </c>
      <c r="B518">
        <f>IF('Boletins Nuppa Site'!A518&lt;&gt;0,'Boletins Nuppa Site'!A518,"NULL")</f>
        <v>50</v>
      </c>
      <c r="C518">
        <v>5</v>
      </c>
      <c r="D518" s="14">
        <f>IF('Boletins Nuppa Site'!G518&lt;&gt;0,'Boletins Nuppa Site'!G518,"NULL")</f>
        <v>36</v>
      </c>
      <c r="E518" s="14">
        <f>IF('Boletins Nuppa Site'!H518&lt;&gt;0,'Boletins Nuppa Site'!H518,"NULL")</f>
        <v>30</v>
      </c>
      <c r="F518" s="14">
        <f>IF('Boletins Nuppa Site'!I518&lt;&gt;0,'Boletins Nuppa Site'!I518,"NULL")</f>
        <v>36</v>
      </c>
      <c r="G518" s="14">
        <f>IF('Boletins Nuppa Site'!J518&lt;&gt;0,'Boletins Nuppa Site'!J518,"NULL")</f>
        <v>34</v>
      </c>
      <c r="H518" s="14">
        <f>IF('Boletins Nuppa Site'!K518&lt;&gt;0,'Boletins Nuppa Site'!K518,"NULL")</f>
        <v>36</v>
      </c>
      <c r="I518" t="str">
        <f t="shared" si="16"/>
        <v>INSERT INTO COTACAO (cot_id, cot_blt_id, cot_pap_id, cot_prc_comum, cot_prc_min, cot_prc_max, cot_prc_med, cot_prc_mediana) VALUES (517, 50, 5, 36, 30, 36, 34, 36);</v>
      </c>
      <c r="J518" t="str">
        <f t="shared" si="17"/>
        <v>UPDATE COTACAO SET cot_id = 517, cot_blt_id = 50, cot_pap_id = 5, cot_prc_comum = 36, cot_prc_min = 30, cot_prc_max = 36, cot_prc_med = 34, cot_prc_mediana = 36 WHERE cot_id = 517;</v>
      </c>
    </row>
    <row r="519" spans="1:10" x14ac:dyDescent="0.3">
      <c r="A519">
        <v>518</v>
      </c>
      <c r="B519">
        <f>IF('Boletins Nuppa Site'!A519&lt;&gt;0,'Boletins Nuppa Site'!A519,"NULL")</f>
        <v>50</v>
      </c>
      <c r="C519">
        <v>6</v>
      </c>
      <c r="D519" s="14">
        <f>IF('Boletins Nuppa Site'!G519&lt;&gt;0,'Boletins Nuppa Site'!G519,"NULL")</f>
        <v>72</v>
      </c>
      <c r="E519" s="14">
        <f>IF('Boletins Nuppa Site'!H519&lt;&gt;0,'Boletins Nuppa Site'!H519,"NULL")</f>
        <v>48</v>
      </c>
      <c r="F519" s="14">
        <f>IF('Boletins Nuppa Site'!I519&lt;&gt;0,'Boletins Nuppa Site'!I519,"NULL")</f>
        <v>72</v>
      </c>
      <c r="G519" s="14">
        <f>IF('Boletins Nuppa Site'!J519&lt;&gt;0,'Boletins Nuppa Site'!J519,"NULL")</f>
        <v>64</v>
      </c>
      <c r="H519" s="14">
        <f>IF('Boletins Nuppa Site'!K519&lt;&gt;0,'Boletins Nuppa Site'!K519,"NULL")</f>
        <v>72</v>
      </c>
      <c r="I519" t="str">
        <f t="shared" si="16"/>
        <v>INSERT INTO COTACAO (cot_id, cot_blt_id, cot_pap_id, cot_prc_comum, cot_prc_min, cot_prc_max, cot_prc_med, cot_prc_mediana) VALUES (518, 50, 6, 72, 48, 72, 64, 72);</v>
      </c>
      <c r="J519" t="str">
        <f t="shared" si="17"/>
        <v>UPDATE COTACAO SET cot_id = 518, cot_blt_id = 50, cot_pap_id = 6, cot_prc_comum = 72, cot_prc_min = 48, cot_prc_max = 72, cot_prc_med = 64, cot_prc_mediana = 72 WHERE cot_id = 518;</v>
      </c>
    </row>
    <row r="520" spans="1:10" x14ac:dyDescent="0.3">
      <c r="A520">
        <v>519</v>
      </c>
      <c r="B520">
        <f>IF('Boletins Nuppa Site'!A520&lt;&gt;0,'Boletins Nuppa Site'!A520,"NULL")</f>
        <v>50</v>
      </c>
      <c r="C520">
        <v>7</v>
      </c>
      <c r="D520" t="str">
        <f>IF('Boletins Nuppa Site'!G520&lt;&gt;0,'Boletins Nuppa Site'!G520,"NULL")</f>
        <v>NULL</v>
      </c>
      <c r="E520" s="14">
        <f>IF('Boletins Nuppa Site'!H520&lt;&gt;0,'Boletins Nuppa Site'!H520,"NULL")</f>
        <v>72</v>
      </c>
      <c r="F520" s="14">
        <f>IF('Boletins Nuppa Site'!I520&lt;&gt;0,'Boletins Nuppa Site'!I520,"NULL")</f>
        <v>96</v>
      </c>
      <c r="G520" s="14">
        <f>IF('Boletins Nuppa Site'!J520&lt;&gt;0,'Boletins Nuppa Site'!J520,"NULL")</f>
        <v>82</v>
      </c>
      <c r="H520" s="14">
        <f>IF('Boletins Nuppa Site'!K520&lt;&gt;0,'Boletins Nuppa Site'!K520,"NULL")</f>
        <v>78</v>
      </c>
      <c r="I520" t="str">
        <f t="shared" si="16"/>
        <v>INSERT INTO COTACAO (cot_id, cot_blt_id, cot_pap_id, cot_prc_comum, cot_prc_min, cot_prc_max, cot_prc_med, cot_prc_mediana) VALUES (519, 50, 7, NULL, 72, 96, 82, 78);</v>
      </c>
      <c r="J520" t="str">
        <f t="shared" si="17"/>
        <v>UPDATE COTACAO SET cot_id = 519, cot_blt_id = 50, cot_pap_id = 7, cot_prc_comum = NULL, cot_prc_min = 72, cot_prc_max = 96, cot_prc_med = 82, cot_prc_mediana = 78 WHERE cot_id = 519;</v>
      </c>
    </row>
    <row r="521" spans="1:10" x14ac:dyDescent="0.3">
      <c r="A521">
        <v>520</v>
      </c>
      <c r="B521">
        <f>IF('Boletins Nuppa Site'!A521&lt;&gt;0,'Boletins Nuppa Site'!A521,"NULL")</f>
        <v>50</v>
      </c>
      <c r="C521">
        <v>8</v>
      </c>
      <c r="D521" s="14">
        <f>IF('Boletins Nuppa Site'!G521&lt;&gt;0,'Boletins Nuppa Site'!G521,"NULL")</f>
        <v>96</v>
      </c>
      <c r="E521" s="14">
        <f>IF('Boletins Nuppa Site'!H521&lt;&gt;0,'Boletins Nuppa Site'!H521,"NULL")</f>
        <v>96</v>
      </c>
      <c r="F521" s="14">
        <f>IF('Boletins Nuppa Site'!I521&lt;&gt;0,'Boletins Nuppa Site'!I521,"NULL")</f>
        <v>96</v>
      </c>
      <c r="G521" s="14">
        <f>IF('Boletins Nuppa Site'!J521&lt;&gt;0,'Boletins Nuppa Site'!J521,"NULL")</f>
        <v>96</v>
      </c>
      <c r="H521" s="14">
        <f>IF('Boletins Nuppa Site'!K521&lt;&gt;0,'Boletins Nuppa Site'!K521,"NULL")</f>
        <v>96</v>
      </c>
      <c r="I521" t="str">
        <f t="shared" si="16"/>
        <v>INSERT INTO COTACAO (cot_id, cot_blt_id, cot_pap_id, cot_prc_comum, cot_prc_min, cot_prc_max, cot_prc_med, cot_prc_mediana) VALUES (520, 50, 8, 96, 96, 96, 96, 96);</v>
      </c>
      <c r="J521" t="str">
        <f t="shared" si="17"/>
        <v>UPDATE COTACAO SET cot_id = 520, cot_blt_id = 50, cot_pap_id = 8, cot_prc_comum = 96, cot_prc_min = 96, cot_prc_max = 96, cot_prc_med = 96, cot_prc_mediana = 96 WHERE cot_id = 520;</v>
      </c>
    </row>
    <row r="522" spans="1:10" x14ac:dyDescent="0.3">
      <c r="A522">
        <v>521</v>
      </c>
      <c r="B522">
        <f>IF('Boletins Nuppa Site'!A522&lt;&gt;0,'Boletins Nuppa Site'!A522,"NULL")</f>
        <v>50</v>
      </c>
      <c r="C522">
        <v>9</v>
      </c>
      <c r="D522" t="str">
        <f>IF('Boletins Nuppa Site'!G522&lt;&gt;0,'Boletins Nuppa Site'!G522,"NULL")</f>
        <v>NULL</v>
      </c>
      <c r="E522" s="14">
        <f>IF('Boletins Nuppa Site'!H522&lt;&gt;0,'Boletins Nuppa Site'!H522,"NULL")</f>
        <v>24</v>
      </c>
      <c r="F522" s="14">
        <f>IF('Boletins Nuppa Site'!I522&lt;&gt;0,'Boletins Nuppa Site'!I522,"NULL")</f>
        <v>36</v>
      </c>
      <c r="G522" s="14">
        <f>IF('Boletins Nuppa Site'!J522&lt;&gt;0,'Boletins Nuppa Site'!J522,"NULL")</f>
        <v>30</v>
      </c>
      <c r="H522" s="14">
        <f>IF('Boletins Nuppa Site'!K522&lt;&gt;0,'Boletins Nuppa Site'!K522,"NULL")</f>
        <v>30</v>
      </c>
      <c r="I522" t="str">
        <f t="shared" si="16"/>
        <v>INSERT INTO COTACAO (cot_id, cot_blt_id, cot_pap_id, cot_prc_comum, cot_prc_min, cot_prc_max, cot_prc_med, cot_prc_mediana) VALUES (521, 50, 9, NULL, 24, 36, 30, 30);</v>
      </c>
      <c r="J522" t="str">
        <f t="shared" si="17"/>
        <v>UPDATE COTACAO SET cot_id = 521, cot_blt_id = 50, cot_pap_id = 9, cot_prc_comum = NULL, cot_prc_min = 24, cot_prc_max = 36, cot_prc_med = 30, cot_prc_mediana = 30 WHERE cot_id = 521;</v>
      </c>
    </row>
    <row r="523" spans="1:10" x14ac:dyDescent="0.3">
      <c r="A523">
        <v>522</v>
      </c>
      <c r="B523">
        <f>IF('Boletins Nuppa Site'!A523&lt;&gt;0,'Boletins Nuppa Site'!A523,"NULL")</f>
        <v>50</v>
      </c>
      <c r="C523">
        <v>10</v>
      </c>
      <c r="D523" s="14">
        <f>IF('Boletins Nuppa Site'!G523&lt;&gt;0,'Boletins Nuppa Site'!G523,"NULL")</f>
        <v>96</v>
      </c>
      <c r="E523" s="14">
        <f>IF('Boletins Nuppa Site'!H523&lt;&gt;0,'Boletins Nuppa Site'!H523,"NULL")</f>
        <v>96</v>
      </c>
      <c r="F523" s="14">
        <f>IF('Boletins Nuppa Site'!I523&lt;&gt;0,'Boletins Nuppa Site'!I523,"NULL")</f>
        <v>108</v>
      </c>
      <c r="G523" s="14">
        <f>IF('Boletins Nuppa Site'!J523&lt;&gt;0,'Boletins Nuppa Site'!J523,"NULL")</f>
        <v>100</v>
      </c>
      <c r="H523" s="14">
        <f>IF('Boletins Nuppa Site'!K523&lt;&gt;0,'Boletins Nuppa Site'!K523,"NULL")</f>
        <v>96</v>
      </c>
      <c r="I523" t="str">
        <f t="shared" si="16"/>
        <v>INSERT INTO COTACAO (cot_id, cot_blt_id, cot_pap_id, cot_prc_comum, cot_prc_min, cot_prc_max, cot_prc_med, cot_prc_mediana) VALUES (522, 50, 10, 96, 96, 108, 100, 96);</v>
      </c>
      <c r="J523" t="str">
        <f t="shared" si="17"/>
        <v>UPDATE COTACAO SET cot_id = 522, cot_blt_id = 50, cot_pap_id = 10, cot_prc_comum = 96, cot_prc_min = 96, cot_prc_max = 108, cot_prc_med = 100, cot_prc_mediana = 96 WHERE cot_id = 522;</v>
      </c>
    </row>
    <row r="524" spans="1:10" x14ac:dyDescent="0.3">
      <c r="A524">
        <v>523</v>
      </c>
      <c r="B524">
        <f>IF('Boletins Nuppa Site'!A524&lt;&gt;0,'Boletins Nuppa Site'!A524,"NULL")</f>
        <v>50</v>
      </c>
      <c r="C524">
        <v>11</v>
      </c>
      <c r="D524" s="14">
        <f>IF('Boletins Nuppa Site'!G524&lt;&gt;0,'Boletins Nuppa Site'!G524,"NULL")</f>
        <v>36</v>
      </c>
      <c r="E524" s="14">
        <f>IF('Boletins Nuppa Site'!H524&lt;&gt;0,'Boletins Nuppa Site'!H524,"NULL")</f>
        <v>24</v>
      </c>
      <c r="F524" s="14">
        <f>IF('Boletins Nuppa Site'!I524&lt;&gt;0,'Boletins Nuppa Site'!I524,"NULL")</f>
        <v>36</v>
      </c>
      <c r="G524" s="14">
        <f>IF('Boletins Nuppa Site'!J524&lt;&gt;0,'Boletins Nuppa Site'!J524,"NULL")</f>
        <v>32</v>
      </c>
      <c r="H524" s="14">
        <f>IF('Boletins Nuppa Site'!K524&lt;&gt;0,'Boletins Nuppa Site'!K524,"NULL")</f>
        <v>36</v>
      </c>
      <c r="I524" t="str">
        <f t="shared" si="16"/>
        <v>INSERT INTO COTACAO (cot_id, cot_blt_id, cot_pap_id, cot_prc_comum, cot_prc_min, cot_prc_max, cot_prc_med, cot_prc_mediana) VALUES (523, 50, 11, 36, 24, 36, 32, 36);</v>
      </c>
      <c r="J524" t="str">
        <f t="shared" si="17"/>
        <v>UPDATE COTACAO SET cot_id = 523, cot_blt_id = 50, cot_pap_id = 11, cot_prc_comum = 36, cot_prc_min = 24, cot_prc_max = 36, cot_prc_med = 32, cot_prc_mediana = 36 WHERE cot_id = 523;</v>
      </c>
    </row>
    <row r="525" spans="1:10" x14ac:dyDescent="0.3">
      <c r="A525">
        <v>524</v>
      </c>
      <c r="B525">
        <f>IF('Boletins Nuppa Site'!A525&lt;&gt;0,'Boletins Nuppa Site'!A525,"NULL")</f>
        <v>50</v>
      </c>
      <c r="C525">
        <v>12</v>
      </c>
      <c r="D525" s="14">
        <f>IF('Boletins Nuppa Site'!G525&lt;&gt;0,'Boletins Nuppa Site'!G525,"NULL")</f>
        <v>84</v>
      </c>
      <c r="E525" s="14">
        <f>IF('Boletins Nuppa Site'!H525&lt;&gt;0,'Boletins Nuppa Site'!H525,"NULL")</f>
        <v>84</v>
      </c>
      <c r="F525" s="14">
        <f>IF('Boletins Nuppa Site'!I525&lt;&gt;0,'Boletins Nuppa Site'!I525,"NULL")</f>
        <v>84</v>
      </c>
      <c r="G525" s="14">
        <f>IF('Boletins Nuppa Site'!J525&lt;&gt;0,'Boletins Nuppa Site'!J525,"NULL")</f>
        <v>84</v>
      </c>
      <c r="H525" s="14">
        <f>IF('Boletins Nuppa Site'!K525&lt;&gt;0,'Boletins Nuppa Site'!K525,"NULL")</f>
        <v>84</v>
      </c>
      <c r="I525" t="str">
        <f t="shared" si="16"/>
        <v>INSERT INTO COTACAO (cot_id, cot_blt_id, cot_pap_id, cot_prc_comum, cot_prc_min, cot_prc_max, cot_prc_med, cot_prc_mediana) VALUES (524, 50, 12, 84, 84, 84, 84, 84);</v>
      </c>
      <c r="J525" t="str">
        <f t="shared" si="17"/>
        <v>UPDATE COTACAO SET cot_id = 524, cot_blt_id = 50, cot_pap_id = 12, cot_prc_comum = 84, cot_prc_min = 84, cot_prc_max = 84, cot_prc_med = 84, cot_prc_mediana = 84 WHERE cot_id = 524;</v>
      </c>
    </row>
    <row r="526" spans="1:10" x14ac:dyDescent="0.3">
      <c r="A526">
        <v>525</v>
      </c>
      <c r="B526">
        <f>IF('Boletins Nuppa Site'!A526&lt;&gt;0,'Boletins Nuppa Site'!A526,"NULL")</f>
        <v>50</v>
      </c>
      <c r="C526">
        <v>13</v>
      </c>
      <c r="D526" s="14">
        <f>IF('Boletins Nuppa Site'!G526&lt;&gt;0,'Boletins Nuppa Site'!G526,"NULL")</f>
        <v>72</v>
      </c>
      <c r="E526" s="14">
        <f>IF('Boletins Nuppa Site'!H526&lt;&gt;0,'Boletins Nuppa Site'!H526,"NULL")</f>
        <v>72</v>
      </c>
      <c r="F526" s="14">
        <f>IF('Boletins Nuppa Site'!I526&lt;&gt;0,'Boletins Nuppa Site'!I526,"NULL")</f>
        <v>84</v>
      </c>
      <c r="G526" s="14">
        <f>IF('Boletins Nuppa Site'!J526&lt;&gt;0,'Boletins Nuppa Site'!J526,"NULL")</f>
        <v>76</v>
      </c>
      <c r="H526" s="14">
        <f>IF('Boletins Nuppa Site'!K526&lt;&gt;0,'Boletins Nuppa Site'!K526,"NULL")</f>
        <v>72</v>
      </c>
      <c r="I526" t="str">
        <f t="shared" si="16"/>
        <v>INSERT INTO COTACAO (cot_id, cot_blt_id, cot_pap_id, cot_prc_comum, cot_prc_min, cot_prc_max, cot_prc_med, cot_prc_mediana) VALUES (525, 50, 13, 72, 72, 84, 76, 72);</v>
      </c>
      <c r="J526" t="str">
        <f t="shared" si="17"/>
        <v>UPDATE COTACAO SET cot_id = 525, cot_blt_id = 50, cot_pap_id = 13, cot_prc_comum = 72, cot_prc_min = 72, cot_prc_max = 84, cot_prc_med = 76, cot_prc_mediana = 72 WHERE cot_id = 525;</v>
      </c>
    </row>
    <row r="527" spans="1:10" x14ac:dyDescent="0.3">
      <c r="A527">
        <v>526</v>
      </c>
      <c r="B527">
        <f>IF('Boletins Nuppa Site'!A527&lt;&gt;0,'Boletins Nuppa Site'!A527,"NULL")</f>
        <v>50</v>
      </c>
      <c r="C527">
        <v>14</v>
      </c>
      <c r="D527" s="14">
        <f>IF('Boletins Nuppa Site'!G527&lt;&gt;0,'Boletins Nuppa Site'!G527,"NULL")</f>
        <v>60</v>
      </c>
      <c r="E527" s="14">
        <f>IF('Boletins Nuppa Site'!H527&lt;&gt;0,'Boletins Nuppa Site'!H527,"NULL")</f>
        <v>60</v>
      </c>
      <c r="F527" s="14">
        <f>IF('Boletins Nuppa Site'!I527&lt;&gt;0,'Boletins Nuppa Site'!I527,"NULL")</f>
        <v>96</v>
      </c>
      <c r="G527" s="14">
        <f>IF('Boletins Nuppa Site'!J527&lt;&gt;0,'Boletins Nuppa Site'!J527,"NULL")</f>
        <v>72</v>
      </c>
      <c r="H527" s="14">
        <f>IF('Boletins Nuppa Site'!K527&lt;&gt;0,'Boletins Nuppa Site'!K527,"NULL")</f>
        <v>60</v>
      </c>
      <c r="I527" t="str">
        <f t="shared" si="16"/>
        <v>INSERT INTO COTACAO (cot_id, cot_blt_id, cot_pap_id, cot_prc_comum, cot_prc_min, cot_prc_max, cot_prc_med, cot_prc_mediana) VALUES (526, 50, 14, 60, 60, 96, 72, 60);</v>
      </c>
      <c r="J527" t="str">
        <f t="shared" si="17"/>
        <v>UPDATE COTACAO SET cot_id = 526, cot_blt_id = 50, cot_pap_id = 14, cot_prc_comum = 60, cot_prc_min = 60, cot_prc_max = 96, cot_prc_med = 72, cot_prc_mediana = 60 WHERE cot_id = 526;</v>
      </c>
    </row>
    <row r="528" spans="1:10" x14ac:dyDescent="0.3">
      <c r="A528">
        <v>527</v>
      </c>
      <c r="B528">
        <f>IF('Boletins Nuppa Site'!A528&lt;&gt;0,'Boletins Nuppa Site'!A528,"NULL")</f>
        <v>50</v>
      </c>
      <c r="C528">
        <v>15</v>
      </c>
      <c r="D528" t="str">
        <f>IF('Boletins Nuppa Site'!G528&lt;&gt;0,'Boletins Nuppa Site'!G528,"NULL")</f>
        <v>NULL</v>
      </c>
      <c r="E528" s="14">
        <f>IF('Boletins Nuppa Site'!H528&lt;&gt;0,'Boletins Nuppa Site'!H528,"NULL")</f>
        <v>48</v>
      </c>
      <c r="F528" s="14">
        <f>IF('Boletins Nuppa Site'!I528&lt;&gt;0,'Boletins Nuppa Site'!I528,"NULL")</f>
        <v>70</v>
      </c>
      <c r="G528" t="str">
        <f>IF('Boletins Nuppa Site'!J528&lt;&gt;0,'Boletins Nuppa Site'!J528,"NULL")</f>
        <v>59.33</v>
      </c>
      <c r="H528" s="14">
        <f>IF('Boletins Nuppa Site'!K528&lt;&gt;0,'Boletins Nuppa Site'!K528,"NULL")</f>
        <v>60</v>
      </c>
      <c r="I528" t="str">
        <f t="shared" si="16"/>
        <v>INSERT INTO COTACAO (cot_id, cot_blt_id, cot_pap_id, cot_prc_comum, cot_prc_min, cot_prc_max, cot_prc_med, cot_prc_mediana) VALUES (527, 50, 15, NULL, 48, 70, 59.33, 60);</v>
      </c>
      <c r="J528" t="str">
        <f t="shared" si="17"/>
        <v>UPDATE COTACAO SET cot_id = 527, cot_blt_id = 50, cot_pap_id = 15, cot_prc_comum = NULL, cot_prc_min = 48, cot_prc_max = 70, cot_prc_med = 59.33, cot_prc_mediana = 60 WHERE cot_id = 527;</v>
      </c>
    </row>
    <row r="529" spans="1:10" x14ac:dyDescent="0.3">
      <c r="A529">
        <v>528</v>
      </c>
      <c r="B529">
        <f>IF('Boletins Nuppa Site'!A529&lt;&gt;0,'Boletins Nuppa Site'!A529,"NULL")</f>
        <v>50</v>
      </c>
      <c r="C529">
        <v>16</v>
      </c>
      <c r="D529" s="14">
        <f>IF('Boletins Nuppa Site'!G529&lt;&gt;0,'Boletins Nuppa Site'!G529,"NULL")</f>
        <v>54</v>
      </c>
      <c r="E529" s="14">
        <f>IF('Boletins Nuppa Site'!H529&lt;&gt;0,'Boletins Nuppa Site'!H529,"NULL")</f>
        <v>48</v>
      </c>
      <c r="F529" s="14">
        <f>IF('Boletins Nuppa Site'!I529&lt;&gt;0,'Boletins Nuppa Site'!I529,"NULL")</f>
        <v>54</v>
      </c>
      <c r="G529" s="14">
        <f>IF('Boletins Nuppa Site'!J529&lt;&gt;0,'Boletins Nuppa Site'!J529,"NULL")</f>
        <v>52</v>
      </c>
      <c r="H529" s="14">
        <f>IF('Boletins Nuppa Site'!K529&lt;&gt;0,'Boletins Nuppa Site'!K529,"NULL")</f>
        <v>54</v>
      </c>
      <c r="I529" t="str">
        <f t="shared" si="16"/>
        <v>INSERT INTO COTACAO (cot_id, cot_blt_id, cot_pap_id, cot_prc_comum, cot_prc_min, cot_prc_max, cot_prc_med, cot_prc_mediana) VALUES (528, 50, 16, 54, 48, 54, 52, 54);</v>
      </c>
      <c r="J529" t="str">
        <f t="shared" si="17"/>
        <v>UPDATE COTACAO SET cot_id = 528, cot_blt_id = 50, cot_pap_id = 16, cot_prc_comum = 54, cot_prc_min = 48, cot_prc_max = 54, cot_prc_med = 52, cot_prc_mediana = 54 WHERE cot_id = 528;</v>
      </c>
    </row>
    <row r="530" spans="1:10" x14ac:dyDescent="0.3">
      <c r="A530">
        <v>529</v>
      </c>
      <c r="B530">
        <f>IF('Boletins Nuppa Site'!A530&lt;&gt;0,'Boletins Nuppa Site'!A530,"NULL")</f>
        <v>50</v>
      </c>
      <c r="C530">
        <v>17</v>
      </c>
      <c r="D530" s="14">
        <f>IF('Boletins Nuppa Site'!G530&lt;&gt;0,'Boletins Nuppa Site'!G530,"NULL")</f>
        <v>5</v>
      </c>
      <c r="E530" s="14">
        <f>IF('Boletins Nuppa Site'!H530&lt;&gt;0,'Boletins Nuppa Site'!H530,"NULL")</f>
        <v>5</v>
      </c>
      <c r="F530" s="14">
        <f>IF('Boletins Nuppa Site'!I530&lt;&gt;0,'Boletins Nuppa Site'!I530,"NULL")</f>
        <v>5</v>
      </c>
      <c r="G530" s="14">
        <f>IF('Boletins Nuppa Site'!J530&lt;&gt;0,'Boletins Nuppa Site'!J530,"NULL")</f>
        <v>5</v>
      </c>
      <c r="H530" s="14">
        <f>IF('Boletins Nuppa Site'!K530&lt;&gt;0,'Boletins Nuppa Site'!K530,"NULL")</f>
        <v>5</v>
      </c>
      <c r="I530" t="str">
        <f t="shared" si="16"/>
        <v>INSERT INTO COTACAO (cot_id, cot_blt_id, cot_pap_id, cot_prc_comum, cot_prc_min, cot_prc_max, cot_prc_med, cot_prc_mediana) VALUES (529, 50, 17, 5, 5, 5, 5, 5);</v>
      </c>
      <c r="J530" t="str">
        <f t="shared" si="17"/>
        <v>UPDATE COTACAO SET cot_id = 529, cot_blt_id = 50, cot_pap_id = 17, cot_prc_comum = 5, cot_prc_min = 5, cot_prc_max = 5, cot_prc_med = 5, cot_prc_mediana = 5 WHERE cot_id = 529;</v>
      </c>
    </row>
    <row r="531" spans="1:10" x14ac:dyDescent="0.3">
      <c r="A531">
        <v>530</v>
      </c>
      <c r="B531">
        <f>IF('Boletins Nuppa Site'!A531&lt;&gt;0,'Boletins Nuppa Site'!A531,"NULL")</f>
        <v>50</v>
      </c>
      <c r="C531">
        <v>18</v>
      </c>
      <c r="D531" t="str">
        <f>IF('Boletins Nuppa Site'!G531&lt;&gt;0,'Boletins Nuppa Site'!G531,"NULL")</f>
        <v>NULL</v>
      </c>
      <c r="E531" s="14">
        <f>IF('Boletins Nuppa Site'!H531&lt;&gt;0,'Boletins Nuppa Site'!H531,"NULL")</f>
        <v>25</v>
      </c>
      <c r="F531" s="14">
        <f>IF('Boletins Nuppa Site'!I531&lt;&gt;0,'Boletins Nuppa Site'!I531,"NULL")</f>
        <v>30</v>
      </c>
      <c r="G531" t="str">
        <f>IF('Boletins Nuppa Site'!J531&lt;&gt;0,'Boletins Nuppa Site'!J531,"NULL")</f>
        <v>27.67</v>
      </c>
      <c r="H531" s="14">
        <f>IF('Boletins Nuppa Site'!K531&lt;&gt;0,'Boletins Nuppa Site'!K531,"NULL")</f>
        <v>28</v>
      </c>
      <c r="I531" t="str">
        <f t="shared" si="16"/>
        <v>INSERT INTO COTACAO (cot_id, cot_blt_id, cot_pap_id, cot_prc_comum, cot_prc_min, cot_prc_max, cot_prc_med, cot_prc_mediana) VALUES (530, 50, 18, NULL, 25, 30, 27.67, 28);</v>
      </c>
      <c r="J531" t="str">
        <f t="shared" si="17"/>
        <v>UPDATE COTACAO SET cot_id = 530, cot_blt_id = 50, cot_pap_id = 18, cot_prc_comum = NULL, cot_prc_min = 25, cot_prc_max = 30, cot_prc_med = 27.67, cot_prc_mediana = 28 WHERE cot_id = 530;</v>
      </c>
    </row>
    <row r="532" spans="1:10" x14ac:dyDescent="0.3">
      <c r="A532">
        <v>531</v>
      </c>
      <c r="B532">
        <f>IF('Boletins Nuppa Site'!A532&lt;&gt;0,'Boletins Nuppa Site'!A532,"NULL")</f>
        <v>50</v>
      </c>
      <c r="C532">
        <v>19</v>
      </c>
      <c r="D532" s="14">
        <f>IF('Boletins Nuppa Site'!G532&lt;&gt;0,'Boletins Nuppa Site'!G532,"NULL")</f>
        <v>35</v>
      </c>
      <c r="E532" s="14">
        <f>IF('Boletins Nuppa Site'!H532&lt;&gt;0,'Boletins Nuppa Site'!H532,"NULL")</f>
        <v>30</v>
      </c>
      <c r="F532" s="14">
        <f>IF('Boletins Nuppa Site'!I532&lt;&gt;0,'Boletins Nuppa Site'!I532,"NULL")</f>
        <v>35</v>
      </c>
      <c r="G532" t="str">
        <f>IF('Boletins Nuppa Site'!J532&lt;&gt;0,'Boletins Nuppa Site'!J532,"NULL")</f>
        <v>33.33</v>
      </c>
      <c r="H532" s="14">
        <f>IF('Boletins Nuppa Site'!K532&lt;&gt;0,'Boletins Nuppa Site'!K532,"NULL")</f>
        <v>35</v>
      </c>
      <c r="I532" t="str">
        <f t="shared" si="16"/>
        <v>INSERT INTO COTACAO (cot_id, cot_blt_id, cot_pap_id, cot_prc_comum, cot_prc_min, cot_prc_max, cot_prc_med, cot_prc_mediana) VALUES (531, 50, 19, 35, 30, 35, 33.33, 35);</v>
      </c>
      <c r="J532" t="str">
        <f t="shared" si="17"/>
        <v>UPDATE COTACAO SET cot_id = 531, cot_blt_id = 50, cot_pap_id = 19, cot_prc_comum = 35, cot_prc_min = 30, cot_prc_max = 35, cot_prc_med = 33.33, cot_prc_mediana = 35 WHERE cot_id = 531;</v>
      </c>
    </row>
    <row r="533" spans="1:10" x14ac:dyDescent="0.3">
      <c r="A533">
        <v>532</v>
      </c>
      <c r="B533">
        <f>IF('Boletins Nuppa Site'!A533&lt;&gt;0,'Boletins Nuppa Site'!A533,"NULL")</f>
        <v>50</v>
      </c>
      <c r="C533">
        <v>20</v>
      </c>
      <c r="D533" s="14">
        <f>IF('Boletins Nuppa Site'!G533&lt;&gt;0,'Boletins Nuppa Site'!G533,"NULL")</f>
        <v>110</v>
      </c>
      <c r="E533" s="14">
        <f>IF('Boletins Nuppa Site'!H533&lt;&gt;0,'Boletins Nuppa Site'!H533,"NULL")</f>
        <v>80</v>
      </c>
      <c r="F533" s="14">
        <f>IF('Boletins Nuppa Site'!I533&lt;&gt;0,'Boletins Nuppa Site'!I533,"NULL")</f>
        <v>110</v>
      </c>
      <c r="G533" s="14">
        <f>IF('Boletins Nuppa Site'!J533&lt;&gt;0,'Boletins Nuppa Site'!J533,"NULL")</f>
        <v>98</v>
      </c>
      <c r="H533" s="14">
        <f>IF('Boletins Nuppa Site'!K533&lt;&gt;0,'Boletins Nuppa Site'!K533,"NULL")</f>
        <v>100</v>
      </c>
      <c r="I533" t="str">
        <f t="shared" si="16"/>
        <v>INSERT INTO COTACAO (cot_id, cot_blt_id, cot_pap_id, cot_prc_comum, cot_prc_min, cot_prc_max, cot_prc_med, cot_prc_mediana) VALUES (532, 50, 20, 110, 80, 110, 98, 100);</v>
      </c>
      <c r="J533" t="str">
        <f t="shared" si="17"/>
        <v>UPDATE COTACAO SET cot_id = 532, cot_blt_id = 50, cot_pap_id = 20, cot_prc_comum = 110, cot_prc_min = 80, cot_prc_max = 110, cot_prc_med = 98, cot_prc_mediana = 100 WHERE cot_id = 532;</v>
      </c>
    </row>
    <row r="534" spans="1:10" x14ac:dyDescent="0.3">
      <c r="A534">
        <v>533</v>
      </c>
      <c r="B534">
        <f>IF('Boletins Nuppa Site'!A534&lt;&gt;0,'Boletins Nuppa Site'!A534,"NULL")</f>
        <v>50</v>
      </c>
      <c r="C534">
        <v>21</v>
      </c>
      <c r="D534" s="14">
        <f>IF('Boletins Nuppa Site'!G534&lt;&gt;0,'Boletins Nuppa Site'!G534,"NULL")</f>
        <v>80</v>
      </c>
      <c r="E534" s="14">
        <f>IF('Boletins Nuppa Site'!H534&lt;&gt;0,'Boletins Nuppa Site'!H534,"NULL")</f>
        <v>70</v>
      </c>
      <c r="F534" s="14">
        <f>IF('Boletins Nuppa Site'!I534&lt;&gt;0,'Boletins Nuppa Site'!I534,"NULL")</f>
        <v>90</v>
      </c>
      <c r="G534" t="str">
        <f>IF('Boletins Nuppa Site'!J534&lt;&gt;0,'Boletins Nuppa Site'!J534,"NULL")</f>
        <v>78.75</v>
      </c>
      <c r="H534" s="14">
        <f>IF('Boletins Nuppa Site'!K534&lt;&gt;0,'Boletins Nuppa Site'!K534,"NULL")</f>
        <v>80</v>
      </c>
      <c r="I534" t="str">
        <f t="shared" si="16"/>
        <v>INSERT INTO COTACAO (cot_id, cot_blt_id, cot_pap_id, cot_prc_comum, cot_prc_min, cot_prc_max, cot_prc_med, cot_prc_mediana) VALUES (533, 50, 21, 80, 70, 90, 78.75, 80);</v>
      </c>
      <c r="J534" t="str">
        <f t="shared" si="17"/>
        <v>UPDATE COTACAO SET cot_id = 533, cot_blt_id = 50, cot_pap_id = 21, cot_prc_comum = 80, cot_prc_min = 70, cot_prc_max = 90, cot_prc_med = 78.75, cot_prc_mediana = 80 WHERE cot_id = 533;</v>
      </c>
    </row>
    <row r="535" spans="1:10" x14ac:dyDescent="0.3">
      <c r="A535">
        <v>534</v>
      </c>
      <c r="B535">
        <f>IF('Boletins Nuppa Site'!A535&lt;&gt;0,'Boletins Nuppa Site'!A535,"NULL")</f>
        <v>50</v>
      </c>
      <c r="C535">
        <v>22</v>
      </c>
      <c r="D535" s="14">
        <f>IF('Boletins Nuppa Site'!G535&lt;&gt;0,'Boletins Nuppa Site'!G535,"NULL")</f>
        <v>70</v>
      </c>
      <c r="E535" s="14">
        <f>IF('Boletins Nuppa Site'!H535&lt;&gt;0,'Boletins Nuppa Site'!H535,"NULL")</f>
        <v>40</v>
      </c>
      <c r="F535" s="14">
        <f>IF('Boletins Nuppa Site'!I535&lt;&gt;0,'Boletins Nuppa Site'!I535,"NULL")</f>
        <v>75</v>
      </c>
      <c r="G535" t="str">
        <f>IF('Boletins Nuppa Site'!J535&lt;&gt;0,'Boletins Nuppa Site'!J535,"NULL")</f>
        <v>62.78</v>
      </c>
      <c r="H535" s="14">
        <f>IF('Boletins Nuppa Site'!K535&lt;&gt;0,'Boletins Nuppa Site'!K535,"NULL")</f>
        <v>70</v>
      </c>
      <c r="I535" t="str">
        <f t="shared" si="16"/>
        <v>INSERT INTO COTACAO (cot_id, cot_blt_id, cot_pap_id, cot_prc_comum, cot_prc_min, cot_prc_max, cot_prc_med, cot_prc_mediana) VALUES (534, 50, 22, 70, 40, 75, 62.78, 70);</v>
      </c>
      <c r="J535" t="str">
        <f t="shared" si="17"/>
        <v>UPDATE COTACAO SET cot_id = 534, cot_blt_id = 50, cot_pap_id = 22, cot_prc_comum = 70, cot_prc_min = 40, cot_prc_max = 75, cot_prc_med = 62.78, cot_prc_mediana = 70 WHERE cot_id = 534;</v>
      </c>
    </row>
    <row r="536" spans="1:10" x14ac:dyDescent="0.3">
      <c r="A536">
        <v>535</v>
      </c>
      <c r="B536">
        <f>IF('Boletins Nuppa Site'!A536&lt;&gt;0,'Boletins Nuppa Site'!A536,"NULL")</f>
        <v>50</v>
      </c>
      <c r="C536">
        <v>23</v>
      </c>
      <c r="D536" s="14">
        <f>IF('Boletins Nuppa Site'!G536&lt;&gt;0,'Boletins Nuppa Site'!G536,"NULL")</f>
        <v>50</v>
      </c>
      <c r="E536" s="14">
        <f>IF('Boletins Nuppa Site'!H536&lt;&gt;0,'Boletins Nuppa Site'!H536,"NULL")</f>
        <v>35</v>
      </c>
      <c r="F536" s="14">
        <f>IF('Boletins Nuppa Site'!I536&lt;&gt;0,'Boletins Nuppa Site'!I536,"NULL")</f>
        <v>55</v>
      </c>
      <c r="G536" t="str">
        <f>IF('Boletins Nuppa Site'!J536&lt;&gt;0,'Boletins Nuppa Site'!J536,"NULL")</f>
        <v>44.38</v>
      </c>
      <c r="H536" s="14">
        <f>IF('Boletins Nuppa Site'!K536&lt;&gt;0,'Boletins Nuppa Site'!K536,"NULL")</f>
        <v>45</v>
      </c>
      <c r="I536" t="str">
        <f t="shared" si="16"/>
        <v>INSERT INTO COTACAO (cot_id, cot_blt_id, cot_pap_id, cot_prc_comum, cot_prc_min, cot_prc_max, cot_prc_med, cot_prc_mediana) VALUES (535, 50, 23, 50, 35, 55, 44.38, 45);</v>
      </c>
      <c r="J536" t="str">
        <f t="shared" si="17"/>
        <v>UPDATE COTACAO SET cot_id = 535, cot_blt_id = 50, cot_pap_id = 23, cot_prc_comum = 50, cot_prc_min = 35, cot_prc_max = 55, cot_prc_med = 44.38, cot_prc_mediana = 45 WHERE cot_id = 535;</v>
      </c>
    </row>
    <row r="537" spans="1:10" x14ac:dyDescent="0.3">
      <c r="A537">
        <v>536</v>
      </c>
      <c r="B537">
        <f>IF('Boletins Nuppa Site'!A537&lt;&gt;0,'Boletins Nuppa Site'!A537,"NULL")</f>
        <v>50</v>
      </c>
      <c r="C537">
        <v>24</v>
      </c>
      <c r="D537" t="str">
        <f>IF('Boletins Nuppa Site'!G537&lt;&gt;0,'Boletins Nuppa Site'!G537,"NULL")</f>
        <v>NULL</v>
      </c>
      <c r="E537" s="14">
        <f>IF('Boletins Nuppa Site'!H537&lt;&gt;0,'Boletins Nuppa Site'!H537,"NULL")</f>
        <v>90</v>
      </c>
      <c r="F537" s="14">
        <f>IF('Boletins Nuppa Site'!I537&lt;&gt;0,'Boletins Nuppa Site'!I537,"NULL")</f>
        <v>115</v>
      </c>
      <c r="G537" s="14">
        <f>IF('Boletins Nuppa Site'!J537&lt;&gt;0,'Boletins Nuppa Site'!J537,"NULL")</f>
        <v>105</v>
      </c>
      <c r="H537" s="14">
        <f>IF('Boletins Nuppa Site'!K537&lt;&gt;0,'Boletins Nuppa Site'!K537,"NULL")</f>
        <v>110</v>
      </c>
      <c r="I537" t="str">
        <f t="shared" si="16"/>
        <v>INSERT INTO COTACAO (cot_id, cot_blt_id, cot_pap_id, cot_prc_comum, cot_prc_min, cot_prc_max, cot_prc_med, cot_prc_mediana) VALUES (536, 50, 24, NULL, 90, 115, 105, 110);</v>
      </c>
      <c r="J537" t="str">
        <f t="shared" si="17"/>
        <v>UPDATE COTACAO SET cot_id = 536, cot_blt_id = 50, cot_pap_id = 24, cot_prc_comum = NULL, cot_prc_min = 90, cot_prc_max = 115, cot_prc_med = 105, cot_prc_mediana = 110 WHERE cot_id = 536;</v>
      </c>
    </row>
    <row r="538" spans="1:10" x14ac:dyDescent="0.3">
      <c r="A538">
        <v>537</v>
      </c>
      <c r="B538">
        <f>IF('Boletins Nuppa Site'!A538&lt;&gt;0,'Boletins Nuppa Site'!A538,"NULL")</f>
        <v>50</v>
      </c>
      <c r="C538">
        <v>25</v>
      </c>
      <c r="D538" s="14">
        <f>IF('Boletins Nuppa Site'!G538&lt;&gt;0,'Boletins Nuppa Site'!G538,"NULL")</f>
        <v>150</v>
      </c>
      <c r="E538" s="14">
        <f>IF('Boletins Nuppa Site'!H538&lt;&gt;0,'Boletins Nuppa Site'!H538,"NULL")</f>
        <v>100</v>
      </c>
      <c r="F538" s="14">
        <f>IF('Boletins Nuppa Site'!I538&lt;&gt;0,'Boletins Nuppa Site'!I538,"NULL")</f>
        <v>150</v>
      </c>
      <c r="G538" t="str">
        <f>IF('Boletins Nuppa Site'!J538&lt;&gt;0,'Boletins Nuppa Site'!J538,"NULL")</f>
        <v>125.71</v>
      </c>
      <c r="H538" s="14">
        <f>IF('Boletins Nuppa Site'!K538&lt;&gt;0,'Boletins Nuppa Site'!K538,"NULL")</f>
        <v>130</v>
      </c>
      <c r="I538" t="str">
        <f t="shared" si="16"/>
        <v>INSERT INTO COTACAO (cot_id, cot_blt_id, cot_pap_id, cot_prc_comum, cot_prc_min, cot_prc_max, cot_prc_med, cot_prc_mediana) VALUES (537, 50, 25, 150, 100, 150, 125.71, 130);</v>
      </c>
      <c r="J538" t="str">
        <f t="shared" si="17"/>
        <v>UPDATE COTACAO SET cot_id = 537, cot_blt_id = 50, cot_pap_id = 25, cot_prc_comum = 150, cot_prc_min = 100, cot_prc_max = 150, cot_prc_med = 125.71, cot_prc_mediana = 130 WHERE cot_id = 537;</v>
      </c>
    </row>
    <row r="539" spans="1:10" x14ac:dyDescent="0.3">
      <c r="A539">
        <v>538</v>
      </c>
      <c r="B539">
        <f>IF('Boletins Nuppa Site'!A539&lt;&gt;0,'Boletins Nuppa Site'!A539,"NULL")</f>
        <v>50</v>
      </c>
      <c r="C539">
        <v>26</v>
      </c>
      <c r="D539" s="14">
        <f>IF('Boletins Nuppa Site'!G539&lt;&gt;0,'Boletins Nuppa Site'!G539,"NULL")</f>
        <v>140</v>
      </c>
      <c r="E539" s="14">
        <f>IF('Boletins Nuppa Site'!H539&lt;&gt;0,'Boletins Nuppa Site'!H539,"NULL")</f>
        <v>80</v>
      </c>
      <c r="F539" s="14">
        <f>IF('Boletins Nuppa Site'!I539&lt;&gt;0,'Boletins Nuppa Site'!I539,"NULL")</f>
        <v>170</v>
      </c>
      <c r="G539" s="14">
        <f>IF('Boletins Nuppa Site'!J539&lt;&gt;0,'Boletins Nuppa Site'!J539,"NULL")</f>
        <v>130</v>
      </c>
      <c r="H539" s="14">
        <f>IF('Boletins Nuppa Site'!K539&lt;&gt;0,'Boletins Nuppa Site'!K539,"NULL")</f>
        <v>130</v>
      </c>
      <c r="I539" t="str">
        <f t="shared" si="16"/>
        <v>INSERT INTO COTACAO (cot_id, cot_blt_id, cot_pap_id, cot_prc_comum, cot_prc_min, cot_prc_max, cot_prc_med, cot_prc_mediana) VALUES (538, 50, 26, 140, 80, 170, 130, 130);</v>
      </c>
      <c r="J539" t="str">
        <f t="shared" si="17"/>
        <v>UPDATE COTACAO SET cot_id = 538, cot_blt_id = 50, cot_pap_id = 26, cot_prc_comum = 140, cot_prc_min = 80, cot_prc_max = 170, cot_prc_med = 130, cot_prc_mediana = 130 WHERE cot_id = 538;</v>
      </c>
    </row>
    <row r="540" spans="1:10" x14ac:dyDescent="0.3">
      <c r="A540">
        <v>539</v>
      </c>
      <c r="B540">
        <f>IF('Boletins Nuppa Site'!A540&lt;&gt;0,'Boletins Nuppa Site'!A540,"NULL")</f>
        <v>50</v>
      </c>
      <c r="C540">
        <v>27</v>
      </c>
      <c r="D540" s="14">
        <f>IF('Boletins Nuppa Site'!G540&lt;&gt;0,'Boletins Nuppa Site'!G540,"NULL")</f>
        <v>60</v>
      </c>
      <c r="E540" s="14">
        <f>IF('Boletins Nuppa Site'!H540&lt;&gt;0,'Boletins Nuppa Site'!H540,"NULL")</f>
        <v>40</v>
      </c>
      <c r="F540" s="14">
        <f>IF('Boletins Nuppa Site'!I540&lt;&gt;0,'Boletins Nuppa Site'!I540,"NULL")</f>
        <v>80</v>
      </c>
      <c r="G540" t="str">
        <f>IF('Boletins Nuppa Site'!J540&lt;&gt;0,'Boletins Nuppa Site'!J540,"NULL")</f>
        <v>61.25</v>
      </c>
      <c r="H540" s="14">
        <f>IF('Boletins Nuppa Site'!K540&lt;&gt;0,'Boletins Nuppa Site'!K540,"NULL")</f>
        <v>60</v>
      </c>
      <c r="I540" t="str">
        <f t="shared" si="16"/>
        <v>INSERT INTO COTACAO (cot_id, cot_blt_id, cot_pap_id, cot_prc_comum, cot_prc_min, cot_prc_max, cot_prc_med, cot_prc_mediana) VALUES (539, 50, 27, 60, 40, 80, 61.25, 60);</v>
      </c>
      <c r="J540" t="str">
        <f t="shared" si="17"/>
        <v>UPDATE COTACAO SET cot_id = 539, cot_blt_id = 50, cot_pap_id = 27, cot_prc_comum = 60, cot_prc_min = 40, cot_prc_max = 80, cot_prc_med = 61.25, cot_prc_mediana = 60 WHERE cot_id = 539;</v>
      </c>
    </row>
    <row r="541" spans="1:10" x14ac:dyDescent="0.3">
      <c r="A541">
        <v>540</v>
      </c>
      <c r="B541">
        <f>IF('Boletins Nuppa Site'!A541&lt;&gt;0,'Boletins Nuppa Site'!A541,"NULL")</f>
        <v>50</v>
      </c>
      <c r="C541">
        <v>28</v>
      </c>
      <c r="D541" s="14">
        <f>IF('Boletins Nuppa Site'!G541&lt;&gt;0,'Boletins Nuppa Site'!G541,"NULL")</f>
        <v>100</v>
      </c>
      <c r="E541" s="14">
        <f>IF('Boletins Nuppa Site'!H541&lt;&gt;0,'Boletins Nuppa Site'!H541,"NULL")</f>
        <v>60</v>
      </c>
      <c r="F541" s="14">
        <f>IF('Boletins Nuppa Site'!I541&lt;&gt;0,'Boletins Nuppa Site'!I541,"NULL")</f>
        <v>120</v>
      </c>
      <c r="G541" t="str">
        <f>IF('Boletins Nuppa Site'!J541&lt;&gt;0,'Boletins Nuppa Site'!J541,"NULL")</f>
        <v>98.57</v>
      </c>
      <c r="H541" s="14">
        <f>IF('Boletins Nuppa Site'!K541&lt;&gt;0,'Boletins Nuppa Site'!K541,"NULL")</f>
        <v>100</v>
      </c>
      <c r="I541" t="str">
        <f t="shared" si="16"/>
        <v>INSERT INTO COTACAO (cot_id, cot_blt_id, cot_pap_id, cot_prc_comum, cot_prc_min, cot_prc_max, cot_prc_med, cot_prc_mediana) VALUES (540, 50, 28, 100, 60, 120, 98.57, 100);</v>
      </c>
      <c r="J541" t="str">
        <f t="shared" si="17"/>
        <v>UPDATE COTACAO SET cot_id = 540, cot_blt_id = 50, cot_pap_id = 28, cot_prc_comum = 100, cot_prc_min = 60, cot_prc_max = 120, cot_prc_med = 98.57, cot_prc_mediana = 100 WHERE cot_id = 540;</v>
      </c>
    </row>
    <row r="542" spans="1:10" x14ac:dyDescent="0.3">
      <c r="A542">
        <v>541</v>
      </c>
      <c r="B542">
        <f>IF('Boletins Nuppa Site'!A542&lt;&gt;0,'Boletins Nuppa Site'!A542,"NULL")</f>
        <v>50</v>
      </c>
      <c r="C542">
        <v>29</v>
      </c>
      <c r="D542" t="str">
        <f>IF('Boletins Nuppa Site'!G542&lt;&gt;0,'Boletins Nuppa Site'!G542,"NULL")</f>
        <v>NULL</v>
      </c>
      <c r="E542" s="14">
        <f>IF('Boletins Nuppa Site'!H542&lt;&gt;0,'Boletins Nuppa Site'!H542,"NULL")</f>
        <v>50</v>
      </c>
      <c r="F542" s="14">
        <f>IF('Boletins Nuppa Site'!I542&lt;&gt;0,'Boletins Nuppa Site'!I542,"NULL")</f>
        <v>78</v>
      </c>
      <c r="G542" t="str">
        <f>IF('Boletins Nuppa Site'!J542&lt;&gt;0,'Boletins Nuppa Site'!J542,"NULL")</f>
        <v>62.67</v>
      </c>
      <c r="H542" s="14">
        <f>IF('Boletins Nuppa Site'!K542&lt;&gt;0,'Boletins Nuppa Site'!K542,"NULL")</f>
        <v>60</v>
      </c>
      <c r="I542" t="str">
        <f t="shared" si="16"/>
        <v>INSERT INTO COTACAO (cot_id, cot_blt_id, cot_pap_id, cot_prc_comum, cot_prc_min, cot_prc_max, cot_prc_med, cot_prc_mediana) VALUES (541, 50, 29, NULL, 50, 78, 62.67, 60);</v>
      </c>
      <c r="J542" t="str">
        <f t="shared" si="17"/>
        <v>UPDATE COTACAO SET cot_id = 541, cot_blt_id = 50, cot_pap_id = 29, cot_prc_comum = NULL, cot_prc_min = 50, cot_prc_max = 78, cot_prc_med = 62.67, cot_prc_mediana = 60 WHERE cot_id = 541;</v>
      </c>
    </row>
    <row r="543" spans="1:10" x14ac:dyDescent="0.3">
      <c r="A543">
        <v>542</v>
      </c>
      <c r="B543">
        <f>IF('Boletins Nuppa Site'!A543&lt;&gt;0,'Boletins Nuppa Site'!A543,"NULL")</f>
        <v>50</v>
      </c>
      <c r="C543">
        <v>30</v>
      </c>
      <c r="D543" s="14">
        <f>IF('Boletins Nuppa Site'!G543&lt;&gt;0,'Boletins Nuppa Site'!G543,"NULL")</f>
        <v>70</v>
      </c>
      <c r="E543" s="14">
        <f>IF('Boletins Nuppa Site'!H543&lt;&gt;0,'Boletins Nuppa Site'!H543,"NULL")</f>
        <v>50</v>
      </c>
      <c r="F543" s="14">
        <f>IF('Boletins Nuppa Site'!I543&lt;&gt;0,'Boletins Nuppa Site'!I543,"NULL")</f>
        <v>75</v>
      </c>
      <c r="G543" t="str">
        <f>IF('Boletins Nuppa Site'!J543&lt;&gt;0,'Boletins Nuppa Site'!J543,"NULL")</f>
        <v>66.67</v>
      </c>
      <c r="H543" s="14">
        <f>IF('Boletins Nuppa Site'!K543&lt;&gt;0,'Boletins Nuppa Site'!K543,"NULL")</f>
        <v>70</v>
      </c>
      <c r="I543" t="str">
        <f t="shared" si="16"/>
        <v>INSERT INTO COTACAO (cot_id, cot_blt_id, cot_pap_id, cot_prc_comum, cot_prc_min, cot_prc_max, cot_prc_med, cot_prc_mediana) VALUES (542, 50, 30, 70, 50, 75, 66.67, 70);</v>
      </c>
      <c r="J543" t="str">
        <f t="shared" si="17"/>
        <v>UPDATE COTACAO SET cot_id = 542, cot_blt_id = 50, cot_pap_id = 30, cot_prc_comum = 70, cot_prc_min = 50, cot_prc_max = 75, cot_prc_med = 66.67, cot_prc_mediana = 70 WHERE cot_id = 542;</v>
      </c>
    </row>
    <row r="544" spans="1:10" x14ac:dyDescent="0.3">
      <c r="A544">
        <v>543</v>
      </c>
      <c r="B544">
        <f>IF('Boletins Nuppa Site'!A544&lt;&gt;0,'Boletins Nuppa Site'!A544,"NULL")</f>
        <v>50</v>
      </c>
      <c r="C544">
        <v>31</v>
      </c>
      <c r="D544" s="14">
        <f>IF('Boletins Nuppa Site'!G544&lt;&gt;0,'Boletins Nuppa Site'!G544,"NULL")</f>
        <v>100</v>
      </c>
      <c r="E544" s="14">
        <f>IF('Boletins Nuppa Site'!H544&lt;&gt;0,'Boletins Nuppa Site'!H544,"NULL")</f>
        <v>70</v>
      </c>
      <c r="F544" s="14">
        <f>IF('Boletins Nuppa Site'!I544&lt;&gt;0,'Boletins Nuppa Site'!I544,"NULL")</f>
        <v>110</v>
      </c>
      <c r="G544" t="str">
        <f>IF('Boletins Nuppa Site'!J544&lt;&gt;0,'Boletins Nuppa Site'!J544,"NULL")</f>
        <v>93.13</v>
      </c>
      <c r="H544" s="14">
        <f>IF('Boletins Nuppa Site'!K544&lt;&gt;0,'Boletins Nuppa Site'!K544,"NULL")</f>
        <v>100</v>
      </c>
      <c r="I544" t="str">
        <f t="shared" si="16"/>
        <v>INSERT INTO COTACAO (cot_id, cot_blt_id, cot_pap_id, cot_prc_comum, cot_prc_min, cot_prc_max, cot_prc_med, cot_prc_mediana) VALUES (543, 50, 31, 100, 70, 110, 93.13, 100);</v>
      </c>
      <c r="J544" t="str">
        <f t="shared" si="17"/>
        <v>UPDATE COTACAO SET cot_id = 543, cot_blt_id = 50, cot_pap_id = 31, cot_prc_comum = 100, cot_prc_min = 70, cot_prc_max = 110, cot_prc_med = 93.13, cot_prc_mediana = 100 WHERE cot_id = 543;</v>
      </c>
    </row>
    <row r="545" spans="1:10" x14ac:dyDescent="0.3">
      <c r="A545">
        <v>544</v>
      </c>
      <c r="B545">
        <f>IF('Boletins Nuppa Site'!A545&lt;&gt;0,'Boletins Nuppa Site'!A545,"NULL")</f>
        <v>50</v>
      </c>
      <c r="C545">
        <v>32</v>
      </c>
      <c r="D545" s="14">
        <f>IF('Boletins Nuppa Site'!G545&lt;&gt;0,'Boletins Nuppa Site'!G545,"NULL")</f>
        <v>70</v>
      </c>
      <c r="E545" s="14">
        <f>IF('Boletins Nuppa Site'!H545&lt;&gt;0,'Boletins Nuppa Site'!H545,"NULL")</f>
        <v>70</v>
      </c>
      <c r="F545" s="14">
        <f>IF('Boletins Nuppa Site'!I545&lt;&gt;0,'Boletins Nuppa Site'!I545,"NULL")</f>
        <v>80</v>
      </c>
      <c r="G545" t="str">
        <f>IF('Boletins Nuppa Site'!J545&lt;&gt;0,'Boletins Nuppa Site'!J545,"NULL")</f>
        <v>74.29</v>
      </c>
      <c r="H545" s="14">
        <f>IF('Boletins Nuppa Site'!K545&lt;&gt;0,'Boletins Nuppa Site'!K545,"NULL")</f>
        <v>75</v>
      </c>
      <c r="I545" t="str">
        <f t="shared" si="16"/>
        <v>INSERT INTO COTACAO (cot_id, cot_blt_id, cot_pap_id, cot_prc_comum, cot_prc_min, cot_prc_max, cot_prc_med, cot_prc_mediana) VALUES (544, 50, 32, 70, 70, 80, 74.29, 75);</v>
      </c>
      <c r="J545" t="str">
        <f t="shared" si="17"/>
        <v>UPDATE COTACAO SET cot_id = 544, cot_blt_id = 50, cot_pap_id = 32, cot_prc_comum = 70, cot_prc_min = 70, cot_prc_max = 80, cot_prc_med = 74.29, cot_prc_mediana = 75 WHERE cot_id = 544;</v>
      </c>
    </row>
    <row r="546" spans="1:10" x14ac:dyDescent="0.3">
      <c r="A546">
        <v>545</v>
      </c>
      <c r="B546">
        <f>IF('Boletins Nuppa Site'!A546&lt;&gt;0,'Boletins Nuppa Site'!A546,"NULL")</f>
        <v>50</v>
      </c>
      <c r="C546">
        <v>33</v>
      </c>
      <c r="D546" s="14">
        <f>IF('Boletins Nuppa Site'!G546&lt;&gt;0,'Boletins Nuppa Site'!G546,"NULL")</f>
        <v>120</v>
      </c>
      <c r="E546" s="14">
        <f>IF('Boletins Nuppa Site'!H546&lt;&gt;0,'Boletins Nuppa Site'!H546,"NULL")</f>
        <v>100</v>
      </c>
      <c r="F546" s="14">
        <f>IF('Boletins Nuppa Site'!I546&lt;&gt;0,'Boletins Nuppa Site'!I546,"NULL")</f>
        <v>140</v>
      </c>
      <c r="G546" t="str">
        <f>IF('Boletins Nuppa Site'!J546&lt;&gt;0,'Boletins Nuppa Site'!J546,"NULL")</f>
        <v>117.14</v>
      </c>
      <c r="H546" s="14">
        <f>IF('Boletins Nuppa Site'!K546&lt;&gt;0,'Boletins Nuppa Site'!K546,"NULL")</f>
        <v>120</v>
      </c>
      <c r="I546" t="str">
        <f t="shared" si="16"/>
        <v>INSERT INTO COTACAO (cot_id, cot_blt_id, cot_pap_id, cot_prc_comum, cot_prc_min, cot_prc_max, cot_prc_med, cot_prc_mediana) VALUES (545, 50, 33, 120, 100, 140, 117.14, 120);</v>
      </c>
      <c r="J546" t="str">
        <f t="shared" si="17"/>
        <v>UPDATE COTACAO SET cot_id = 545, cot_blt_id = 50, cot_pap_id = 33, cot_prc_comum = 120, cot_prc_min = 100, cot_prc_max = 140, cot_prc_med = 117.14, cot_prc_mediana = 120 WHERE cot_id = 545;</v>
      </c>
    </row>
    <row r="547" spans="1:10" x14ac:dyDescent="0.3">
      <c r="A547">
        <v>546</v>
      </c>
      <c r="B547">
        <f>IF('Boletins Nuppa Site'!A547&lt;&gt;0,'Boletins Nuppa Site'!A547,"NULL")</f>
        <v>50</v>
      </c>
      <c r="C547">
        <v>34</v>
      </c>
      <c r="D547" s="14">
        <f>IF('Boletins Nuppa Site'!G547&lt;&gt;0,'Boletins Nuppa Site'!G547,"NULL")</f>
        <v>90</v>
      </c>
      <c r="E547" s="14">
        <f>IF('Boletins Nuppa Site'!H547&lt;&gt;0,'Boletins Nuppa Site'!H547,"NULL")</f>
        <v>90</v>
      </c>
      <c r="F547" s="14">
        <f>IF('Boletins Nuppa Site'!I547&lt;&gt;0,'Boletins Nuppa Site'!I547,"NULL")</f>
        <v>120</v>
      </c>
      <c r="G547" t="str">
        <f>IF('Boletins Nuppa Site'!J547&lt;&gt;0,'Boletins Nuppa Site'!J547,"NULL")</f>
        <v>102.86</v>
      </c>
      <c r="H547" s="14">
        <f>IF('Boletins Nuppa Site'!K547&lt;&gt;0,'Boletins Nuppa Site'!K547,"NULL")</f>
        <v>100</v>
      </c>
      <c r="I547" t="str">
        <f t="shared" si="16"/>
        <v>INSERT INTO COTACAO (cot_id, cot_blt_id, cot_pap_id, cot_prc_comum, cot_prc_min, cot_prc_max, cot_prc_med, cot_prc_mediana) VALUES (546, 50, 34, 90, 90, 120, 102.86, 100);</v>
      </c>
      <c r="J547" t="str">
        <f t="shared" si="17"/>
        <v>UPDATE COTACAO SET cot_id = 546, cot_blt_id = 50, cot_pap_id = 34, cot_prc_comum = 90, cot_prc_min = 90, cot_prc_max = 120, cot_prc_med = 102.86, cot_prc_mediana = 100 WHERE cot_id = 546;</v>
      </c>
    </row>
    <row r="548" spans="1:10" x14ac:dyDescent="0.3">
      <c r="A548">
        <v>547</v>
      </c>
      <c r="B548">
        <f>IF('Boletins Nuppa Site'!A548&lt;&gt;0,'Boletins Nuppa Site'!A548,"NULL")</f>
        <v>50</v>
      </c>
      <c r="C548">
        <v>35</v>
      </c>
      <c r="D548" s="14">
        <f>IF('Boletins Nuppa Site'!G548&lt;&gt;0,'Boletins Nuppa Site'!G548,"NULL")</f>
        <v>80</v>
      </c>
      <c r="E548" s="14">
        <f>IF('Boletins Nuppa Site'!H548&lt;&gt;0,'Boletins Nuppa Site'!H548,"NULL")</f>
        <v>70</v>
      </c>
      <c r="F548" s="14">
        <f>IF('Boletins Nuppa Site'!I548&lt;&gt;0,'Boletins Nuppa Site'!I548,"NULL")</f>
        <v>120</v>
      </c>
      <c r="G548" t="str">
        <f>IF('Boletins Nuppa Site'!J548&lt;&gt;0,'Boletins Nuppa Site'!J548,"NULL")</f>
        <v>92.14</v>
      </c>
      <c r="H548" s="14">
        <f>IF('Boletins Nuppa Site'!K548&lt;&gt;0,'Boletins Nuppa Site'!K548,"NULL")</f>
        <v>95</v>
      </c>
      <c r="I548" t="str">
        <f t="shared" si="16"/>
        <v>INSERT INTO COTACAO (cot_id, cot_blt_id, cot_pap_id, cot_prc_comum, cot_prc_min, cot_prc_max, cot_prc_med, cot_prc_mediana) VALUES (547, 50, 35, 80, 70, 120, 92.14, 95);</v>
      </c>
      <c r="J548" t="str">
        <f t="shared" si="17"/>
        <v>UPDATE COTACAO SET cot_id = 547, cot_blt_id = 50, cot_pap_id = 35, cot_prc_comum = 80, cot_prc_min = 70, cot_prc_max = 120, cot_prc_med = 92.14, cot_prc_mediana = 95 WHERE cot_id = 547;</v>
      </c>
    </row>
    <row r="549" spans="1:10" x14ac:dyDescent="0.3">
      <c r="A549">
        <v>548</v>
      </c>
      <c r="B549">
        <f>IF('Boletins Nuppa Site'!A549&lt;&gt;0,'Boletins Nuppa Site'!A549,"NULL")</f>
        <v>50</v>
      </c>
      <c r="C549">
        <v>36</v>
      </c>
      <c r="D549" t="str">
        <f>IF('Boletins Nuppa Site'!G549&lt;&gt;0,'Boletins Nuppa Site'!G549,"NULL")</f>
        <v>NULL</v>
      </c>
      <c r="E549" s="14">
        <f>IF('Boletins Nuppa Site'!H549&lt;&gt;0,'Boletins Nuppa Site'!H549,"NULL")</f>
        <v>85</v>
      </c>
      <c r="F549" s="14">
        <f>IF('Boletins Nuppa Site'!I549&lt;&gt;0,'Boletins Nuppa Site'!I549,"NULL")</f>
        <v>85</v>
      </c>
      <c r="G549" s="14">
        <f>IF('Boletins Nuppa Site'!J549&lt;&gt;0,'Boletins Nuppa Site'!J549,"NULL")</f>
        <v>85</v>
      </c>
      <c r="H549" s="14">
        <f>IF('Boletins Nuppa Site'!K549&lt;&gt;0,'Boletins Nuppa Site'!K549,"NULL")</f>
        <v>85</v>
      </c>
      <c r="I549" t="str">
        <f t="shared" si="16"/>
        <v>INSERT INTO COTACAO (cot_id, cot_blt_id, cot_pap_id, cot_prc_comum, cot_prc_min, cot_prc_max, cot_prc_med, cot_prc_mediana) VALUES (548, 50, 36, NULL, 85, 85, 85, 85);</v>
      </c>
      <c r="J549" t="str">
        <f t="shared" si="17"/>
        <v>UPDATE COTACAO SET cot_id = 548, cot_blt_id = 50, cot_pap_id = 36, cot_prc_comum = NULL, cot_prc_min = 85, cot_prc_max = 85, cot_prc_med = 85, cot_prc_mediana = 85 WHERE cot_id = 548;</v>
      </c>
    </row>
    <row r="550" spans="1:10" x14ac:dyDescent="0.3">
      <c r="A550">
        <v>549</v>
      </c>
      <c r="B550">
        <f>IF('Boletins Nuppa Site'!A550&lt;&gt;0,'Boletins Nuppa Site'!A550,"NULL")</f>
        <v>50</v>
      </c>
      <c r="C550">
        <v>37</v>
      </c>
      <c r="D550" t="str">
        <f>IF('Boletins Nuppa Site'!G550&lt;&gt;0,'Boletins Nuppa Site'!G550,"NULL")</f>
        <v>NULL</v>
      </c>
      <c r="E550" s="14">
        <f>IF('Boletins Nuppa Site'!H550&lt;&gt;0,'Boletins Nuppa Site'!H550,"NULL")</f>
        <v>70</v>
      </c>
      <c r="F550" s="14">
        <f>IF('Boletins Nuppa Site'!I550&lt;&gt;0,'Boletins Nuppa Site'!I550,"NULL")</f>
        <v>80</v>
      </c>
      <c r="G550" s="14">
        <f>IF('Boletins Nuppa Site'!J550&lt;&gt;0,'Boletins Nuppa Site'!J550,"NULL")</f>
        <v>75</v>
      </c>
      <c r="H550" s="14">
        <f>IF('Boletins Nuppa Site'!K550&lt;&gt;0,'Boletins Nuppa Site'!K550,"NULL")</f>
        <v>75</v>
      </c>
      <c r="I550" t="str">
        <f t="shared" si="16"/>
        <v>INSERT INTO COTACAO (cot_id, cot_blt_id, cot_pap_id, cot_prc_comum, cot_prc_min, cot_prc_max, cot_prc_med, cot_prc_mediana) VALUES (549, 50, 37, NULL, 70, 80, 75, 75);</v>
      </c>
      <c r="J550" t="str">
        <f t="shared" si="17"/>
        <v>UPDATE COTACAO SET cot_id = 549, cot_blt_id = 50, cot_pap_id = 37, cot_prc_comum = NULL, cot_prc_min = 70, cot_prc_max = 80, cot_prc_med = 75, cot_prc_mediana = 75 WHERE cot_id = 549;</v>
      </c>
    </row>
    <row r="551" spans="1:10" x14ac:dyDescent="0.3">
      <c r="A551">
        <v>550</v>
      </c>
      <c r="B551">
        <f>IF('Boletins Nuppa Site'!A551&lt;&gt;0,'Boletins Nuppa Site'!A551,"NULL")</f>
        <v>50</v>
      </c>
      <c r="C551">
        <v>38</v>
      </c>
      <c r="D551" s="14">
        <f>IF('Boletins Nuppa Site'!G551&lt;&gt;0,'Boletins Nuppa Site'!G551,"NULL")</f>
        <v>45</v>
      </c>
      <c r="E551" s="14">
        <f>IF('Boletins Nuppa Site'!H551&lt;&gt;0,'Boletins Nuppa Site'!H551,"NULL")</f>
        <v>45</v>
      </c>
      <c r="F551" s="14">
        <f>IF('Boletins Nuppa Site'!I551&lt;&gt;0,'Boletins Nuppa Site'!I551,"NULL")</f>
        <v>45</v>
      </c>
      <c r="G551" s="14">
        <f>IF('Boletins Nuppa Site'!J551&lt;&gt;0,'Boletins Nuppa Site'!J551,"NULL")</f>
        <v>45</v>
      </c>
      <c r="H551" s="14">
        <f>IF('Boletins Nuppa Site'!K551&lt;&gt;0,'Boletins Nuppa Site'!K551,"NULL")</f>
        <v>45</v>
      </c>
      <c r="I551" t="str">
        <f t="shared" si="16"/>
        <v>INSERT INTO COTACAO (cot_id, cot_blt_id, cot_pap_id, cot_prc_comum, cot_prc_min, cot_prc_max, cot_prc_med, cot_prc_mediana) VALUES (550, 50, 38, 45, 45, 45, 45, 45);</v>
      </c>
      <c r="J551" t="str">
        <f t="shared" si="17"/>
        <v>UPDATE COTACAO SET cot_id = 550, cot_blt_id = 50, cot_pap_id = 38, cot_prc_comum = 45, cot_prc_min = 45, cot_prc_max = 45, cot_prc_med = 45, cot_prc_mediana = 45 WHERE cot_id = 550;</v>
      </c>
    </row>
    <row r="552" spans="1:10" x14ac:dyDescent="0.3">
      <c r="A552">
        <v>551</v>
      </c>
      <c r="B552">
        <f>IF('Boletins Nuppa Site'!A552&lt;&gt;0,'Boletins Nuppa Site'!A552,"NULL")</f>
        <v>50</v>
      </c>
      <c r="C552">
        <v>39</v>
      </c>
      <c r="D552" t="str">
        <f>IF('Boletins Nuppa Site'!G552&lt;&gt;0,'Boletins Nuppa Site'!G552,"NULL")</f>
        <v>NULL</v>
      </c>
      <c r="E552" s="14">
        <f>IF('Boletins Nuppa Site'!H552&lt;&gt;0,'Boletins Nuppa Site'!H552,"NULL")</f>
        <v>60</v>
      </c>
      <c r="F552" s="14">
        <f>IF('Boletins Nuppa Site'!I552&lt;&gt;0,'Boletins Nuppa Site'!I552,"NULL")</f>
        <v>60</v>
      </c>
      <c r="G552" s="14">
        <f>IF('Boletins Nuppa Site'!J552&lt;&gt;0,'Boletins Nuppa Site'!J552,"NULL")</f>
        <v>60</v>
      </c>
      <c r="H552" s="14">
        <f>IF('Boletins Nuppa Site'!K552&lt;&gt;0,'Boletins Nuppa Site'!K552,"NULL")</f>
        <v>60</v>
      </c>
      <c r="I552" t="str">
        <f t="shared" si="16"/>
        <v>INSERT INTO COTACAO (cot_id, cot_blt_id, cot_pap_id, cot_prc_comum, cot_prc_min, cot_prc_max, cot_prc_med, cot_prc_mediana) VALUES (551, 50, 39, NULL, 60, 60, 60, 60);</v>
      </c>
      <c r="J552" t="str">
        <f t="shared" si="17"/>
        <v>UPDATE COTACAO SET cot_id = 551, cot_blt_id = 50, cot_pap_id = 39, cot_prc_comum = NULL, cot_prc_min = 60, cot_prc_max = 60, cot_prc_med = 60, cot_prc_mediana = 60 WHERE cot_id = 551;</v>
      </c>
    </row>
    <row r="553" spans="1:10" x14ac:dyDescent="0.3">
      <c r="A553">
        <v>552</v>
      </c>
      <c r="B553">
        <f>IF('Boletins Nuppa Site'!A553&lt;&gt;0,'Boletins Nuppa Site'!A553,"NULL")</f>
        <v>50</v>
      </c>
      <c r="C553">
        <v>40</v>
      </c>
      <c r="D553" t="str">
        <f>IF('Boletins Nuppa Site'!G553&lt;&gt;0,'Boletins Nuppa Site'!G553,"NULL")</f>
        <v>NULL</v>
      </c>
      <c r="E553" s="14">
        <f>IF('Boletins Nuppa Site'!H553&lt;&gt;0,'Boletins Nuppa Site'!H553,"NULL")</f>
        <v>60</v>
      </c>
      <c r="F553" s="14">
        <f>IF('Boletins Nuppa Site'!I553&lt;&gt;0,'Boletins Nuppa Site'!I553,"NULL")</f>
        <v>60</v>
      </c>
      <c r="G553" s="14">
        <f>IF('Boletins Nuppa Site'!J553&lt;&gt;0,'Boletins Nuppa Site'!J553,"NULL")</f>
        <v>60</v>
      </c>
      <c r="H553" s="14">
        <f>IF('Boletins Nuppa Site'!K553&lt;&gt;0,'Boletins Nuppa Site'!K553,"NULL")</f>
        <v>60</v>
      </c>
      <c r="I553" t="str">
        <f t="shared" si="16"/>
        <v>INSERT INTO COTACAO (cot_id, cot_blt_id, cot_pap_id, cot_prc_comum, cot_prc_min, cot_prc_max, cot_prc_med, cot_prc_mediana) VALUES (552, 50, 40, NULL, 60, 60, 60, 60);</v>
      </c>
      <c r="J553" t="str">
        <f t="shared" si="17"/>
        <v>UPDATE COTACAO SET cot_id = 552, cot_blt_id = 50, cot_pap_id = 40, cot_prc_comum = NULL, cot_prc_min = 60, cot_prc_max = 60, cot_prc_med = 60, cot_prc_mediana = 60 WHERE cot_id = 552;</v>
      </c>
    </row>
    <row r="554" spans="1:10" x14ac:dyDescent="0.3">
      <c r="A554">
        <v>553</v>
      </c>
      <c r="B554">
        <f>IF('Boletins Nuppa Site'!A554&lt;&gt;0,'Boletins Nuppa Site'!A554,"NULL")</f>
        <v>51</v>
      </c>
      <c r="C554">
        <v>1</v>
      </c>
      <c r="D554" t="str">
        <f>IF('Boletins Nuppa Site'!G554&lt;&gt;0,'Boletins Nuppa Site'!G554,"NULL")</f>
        <v>NULL</v>
      </c>
      <c r="E554" s="14">
        <f>IF('Boletins Nuppa Site'!H554&lt;&gt;0,'Boletins Nuppa Site'!H554,"NULL")</f>
        <v>48</v>
      </c>
      <c r="F554" s="14">
        <f>IF('Boletins Nuppa Site'!I554&lt;&gt;0,'Boletins Nuppa Site'!I554,"NULL")</f>
        <v>78</v>
      </c>
      <c r="G554" s="14">
        <f>IF('Boletins Nuppa Site'!J554&lt;&gt;0,'Boletins Nuppa Site'!J554,"NULL")</f>
        <v>60</v>
      </c>
      <c r="H554" s="14">
        <f>IF('Boletins Nuppa Site'!K554&lt;&gt;0,'Boletins Nuppa Site'!K554,"NULL")</f>
        <v>54</v>
      </c>
      <c r="I554" t="str">
        <f t="shared" si="16"/>
        <v>INSERT INTO COTACAO (cot_id, cot_blt_id, cot_pap_id, cot_prc_comum, cot_prc_min, cot_prc_max, cot_prc_med, cot_prc_mediana) VALUES (553, 51, 1, NULL, 48, 78, 60, 54);</v>
      </c>
      <c r="J554" t="str">
        <f t="shared" si="17"/>
        <v>UPDATE COTACAO SET cot_id = 553, cot_blt_id = 51, cot_pap_id = 1, cot_prc_comum = NULL, cot_prc_min = 48, cot_prc_max = 78, cot_prc_med = 60, cot_prc_mediana = 54 WHERE cot_id = 553;</v>
      </c>
    </row>
    <row r="555" spans="1:10" x14ac:dyDescent="0.3">
      <c r="A555">
        <v>554</v>
      </c>
      <c r="B555">
        <f>IF('Boletins Nuppa Site'!A555&lt;&gt;0,'Boletins Nuppa Site'!A555,"NULL")</f>
        <v>51</v>
      </c>
      <c r="C555">
        <v>2</v>
      </c>
      <c r="D555" s="14">
        <f>IF('Boletins Nuppa Site'!G555&lt;&gt;0,'Boletins Nuppa Site'!G555,"NULL")</f>
        <v>72</v>
      </c>
      <c r="E555" s="14">
        <f>IF('Boletins Nuppa Site'!H555&lt;&gt;0,'Boletins Nuppa Site'!H555,"NULL")</f>
        <v>72</v>
      </c>
      <c r="F555" s="14">
        <f>IF('Boletins Nuppa Site'!I555&lt;&gt;0,'Boletins Nuppa Site'!I555,"NULL")</f>
        <v>84</v>
      </c>
      <c r="G555" s="14">
        <f>IF('Boletins Nuppa Site'!J555&lt;&gt;0,'Boletins Nuppa Site'!J555,"NULL")</f>
        <v>76</v>
      </c>
      <c r="H555" s="14">
        <f>IF('Boletins Nuppa Site'!K555&lt;&gt;0,'Boletins Nuppa Site'!K555,"NULL")</f>
        <v>72</v>
      </c>
      <c r="I555" t="str">
        <f t="shared" si="16"/>
        <v>INSERT INTO COTACAO (cot_id, cot_blt_id, cot_pap_id, cot_prc_comum, cot_prc_min, cot_prc_max, cot_prc_med, cot_prc_mediana) VALUES (554, 51, 2, 72, 72, 84, 76, 72);</v>
      </c>
      <c r="J555" t="str">
        <f t="shared" si="17"/>
        <v>UPDATE COTACAO SET cot_id = 554, cot_blt_id = 51, cot_pap_id = 2, cot_prc_comum = 72, cot_prc_min = 72, cot_prc_max = 84, cot_prc_med = 76, cot_prc_mediana = 72 WHERE cot_id = 554;</v>
      </c>
    </row>
    <row r="556" spans="1:10" x14ac:dyDescent="0.3">
      <c r="A556">
        <v>555</v>
      </c>
      <c r="B556">
        <f>IF('Boletins Nuppa Site'!A556&lt;&gt;0,'Boletins Nuppa Site'!A556,"NULL")</f>
        <v>51</v>
      </c>
      <c r="C556">
        <v>3</v>
      </c>
      <c r="D556" t="str">
        <f>IF('Boletins Nuppa Site'!G556&lt;&gt;0,'Boletins Nuppa Site'!G556,"NULL")</f>
        <v>NULL</v>
      </c>
      <c r="E556" s="14">
        <f>IF('Boletins Nuppa Site'!H556&lt;&gt;0,'Boletins Nuppa Site'!H556,"NULL")</f>
        <v>48</v>
      </c>
      <c r="F556" s="14">
        <f>IF('Boletins Nuppa Site'!I556&lt;&gt;0,'Boletins Nuppa Site'!I556,"NULL")</f>
        <v>84</v>
      </c>
      <c r="G556" s="14">
        <f>IF('Boletins Nuppa Site'!J556&lt;&gt;0,'Boletins Nuppa Site'!J556,"NULL")</f>
        <v>68</v>
      </c>
      <c r="H556" s="14">
        <f>IF('Boletins Nuppa Site'!K556&lt;&gt;0,'Boletins Nuppa Site'!K556,"NULL")</f>
        <v>72</v>
      </c>
      <c r="I556" t="str">
        <f t="shared" si="16"/>
        <v>INSERT INTO COTACAO (cot_id, cot_blt_id, cot_pap_id, cot_prc_comum, cot_prc_min, cot_prc_max, cot_prc_med, cot_prc_mediana) VALUES (555, 51, 3, NULL, 48, 84, 68, 72);</v>
      </c>
      <c r="J556" t="str">
        <f t="shared" si="17"/>
        <v>UPDATE COTACAO SET cot_id = 555, cot_blt_id = 51, cot_pap_id = 3, cot_prc_comum = NULL, cot_prc_min = 48, cot_prc_max = 84, cot_prc_med = 68, cot_prc_mediana = 72 WHERE cot_id = 555;</v>
      </c>
    </row>
    <row r="557" spans="1:10" x14ac:dyDescent="0.3">
      <c r="A557">
        <v>556</v>
      </c>
      <c r="B557">
        <f>IF('Boletins Nuppa Site'!A557&lt;&gt;0,'Boletins Nuppa Site'!A557,"NULL")</f>
        <v>51</v>
      </c>
      <c r="C557">
        <v>4</v>
      </c>
      <c r="D557" s="14">
        <f>IF('Boletins Nuppa Site'!G557&lt;&gt;0,'Boletins Nuppa Site'!G557,"NULL")</f>
        <v>30</v>
      </c>
      <c r="E557" s="14">
        <f>IF('Boletins Nuppa Site'!H557&lt;&gt;0,'Boletins Nuppa Site'!H557,"NULL")</f>
        <v>25</v>
      </c>
      <c r="F557" s="14">
        <f>IF('Boletins Nuppa Site'!I557&lt;&gt;0,'Boletins Nuppa Site'!I557,"NULL")</f>
        <v>30</v>
      </c>
      <c r="G557" t="str">
        <f>IF('Boletins Nuppa Site'!J557&lt;&gt;0,'Boletins Nuppa Site'!J557,"NULL")</f>
        <v>28.33</v>
      </c>
      <c r="H557" s="14">
        <f>IF('Boletins Nuppa Site'!K557&lt;&gt;0,'Boletins Nuppa Site'!K557,"NULL")</f>
        <v>30</v>
      </c>
      <c r="I557" t="str">
        <f t="shared" si="16"/>
        <v>INSERT INTO COTACAO (cot_id, cot_blt_id, cot_pap_id, cot_prc_comum, cot_prc_min, cot_prc_max, cot_prc_med, cot_prc_mediana) VALUES (556, 51, 4, 30, 25, 30, 28.33, 30);</v>
      </c>
      <c r="J557" t="str">
        <f t="shared" si="17"/>
        <v>UPDATE COTACAO SET cot_id = 556, cot_blt_id = 51, cot_pap_id = 4, cot_prc_comum = 30, cot_prc_min = 25, cot_prc_max = 30, cot_prc_med = 28.33, cot_prc_mediana = 30 WHERE cot_id = 556;</v>
      </c>
    </row>
    <row r="558" spans="1:10" x14ac:dyDescent="0.3">
      <c r="A558">
        <v>557</v>
      </c>
      <c r="B558">
        <f>IF('Boletins Nuppa Site'!A558&lt;&gt;0,'Boletins Nuppa Site'!A558,"NULL")</f>
        <v>51</v>
      </c>
      <c r="C558">
        <v>5</v>
      </c>
      <c r="D558" s="14">
        <f>IF('Boletins Nuppa Site'!G558&lt;&gt;0,'Boletins Nuppa Site'!G558,"NULL")</f>
        <v>30</v>
      </c>
      <c r="E558" s="14">
        <f>IF('Boletins Nuppa Site'!H558&lt;&gt;0,'Boletins Nuppa Site'!H558,"NULL")</f>
        <v>25</v>
      </c>
      <c r="F558" s="14">
        <f>IF('Boletins Nuppa Site'!I558&lt;&gt;0,'Boletins Nuppa Site'!I558,"NULL")</f>
        <v>30</v>
      </c>
      <c r="G558" t="str">
        <f>IF('Boletins Nuppa Site'!J558&lt;&gt;0,'Boletins Nuppa Site'!J558,"NULL")</f>
        <v>28.33</v>
      </c>
      <c r="H558" s="14">
        <f>IF('Boletins Nuppa Site'!K558&lt;&gt;0,'Boletins Nuppa Site'!K558,"NULL")</f>
        <v>30</v>
      </c>
      <c r="I558" t="str">
        <f t="shared" si="16"/>
        <v>INSERT INTO COTACAO (cot_id, cot_blt_id, cot_pap_id, cot_prc_comum, cot_prc_min, cot_prc_max, cot_prc_med, cot_prc_mediana) VALUES (557, 51, 5, 30, 25, 30, 28.33, 30);</v>
      </c>
      <c r="J558" t="str">
        <f t="shared" si="17"/>
        <v>UPDATE COTACAO SET cot_id = 557, cot_blt_id = 51, cot_pap_id = 5, cot_prc_comum = 30, cot_prc_min = 25, cot_prc_max = 30, cot_prc_med = 28.33, cot_prc_mediana = 30 WHERE cot_id = 557;</v>
      </c>
    </row>
    <row r="559" spans="1:10" x14ac:dyDescent="0.3">
      <c r="A559">
        <v>558</v>
      </c>
      <c r="B559">
        <f>IF('Boletins Nuppa Site'!A559&lt;&gt;0,'Boletins Nuppa Site'!A559,"NULL")</f>
        <v>51</v>
      </c>
      <c r="C559">
        <v>6</v>
      </c>
      <c r="D559" s="14">
        <f>IF('Boletins Nuppa Site'!G559&lt;&gt;0,'Boletins Nuppa Site'!G559,"NULL")</f>
        <v>60</v>
      </c>
      <c r="E559" s="14">
        <f>IF('Boletins Nuppa Site'!H559&lt;&gt;0,'Boletins Nuppa Site'!H559,"NULL")</f>
        <v>54</v>
      </c>
      <c r="F559" s="14">
        <f>IF('Boletins Nuppa Site'!I559&lt;&gt;0,'Boletins Nuppa Site'!I559,"NULL")</f>
        <v>60</v>
      </c>
      <c r="G559" s="14">
        <f>IF('Boletins Nuppa Site'!J559&lt;&gt;0,'Boletins Nuppa Site'!J559,"NULL")</f>
        <v>58</v>
      </c>
      <c r="H559" s="14">
        <f>IF('Boletins Nuppa Site'!K559&lt;&gt;0,'Boletins Nuppa Site'!K559,"NULL")</f>
        <v>60</v>
      </c>
      <c r="I559" t="str">
        <f t="shared" si="16"/>
        <v>INSERT INTO COTACAO (cot_id, cot_blt_id, cot_pap_id, cot_prc_comum, cot_prc_min, cot_prc_max, cot_prc_med, cot_prc_mediana) VALUES (558, 51, 6, 60, 54, 60, 58, 60);</v>
      </c>
      <c r="J559" t="str">
        <f t="shared" si="17"/>
        <v>UPDATE COTACAO SET cot_id = 558, cot_blt_id = 51, cot_pap_id = 6, cot_prc_comum = 60, cot_prc_min = 54, cot_prc_max = 60, cot_prc_med = 58, cot_prc_mediana = 60 WHERE cot_id = 558;</v>
      </c>
    </row>
    <row r="560" spans="1:10" x14ac:dyDescent="0.3">
      <c r="A560">
        <v>559</v>
      </c>
      <c r="B560">
        <f>IF('Boletins Nuppa Site'!A560&lt;&gt;0,'Boletins Nuppa Site'!A560,"NULL")</f>
        <v>51</v>
      </c>
      <c r="C560">
        <v>7</v>
      </c>
      <c r="D560" s="14">
        <f>IF('Boletins Nuppa Site'!G560&lt;&gt;0,'Boletins Nuppa Site'!G560,"NULL")</f>
        <v>72</v>
      </c>
      <c r="E560" s="14">
        <f>IF('Boletins Nuppa Site'!H560&lt;&gt;0,'Boletins Nuppa Site'!H560,"NULL")</f>
        <v>72</v>
      </c>
      <c r="F560" s="14">
        <f>IF('Boletins Nuppa Site'!I560&lt;&gt;0,'Boletins Nuppa Site'!I560,"NULL")</f>
        <v>84</v>
      </c>
      <c r="G560" s="14">
        <f>IF('Boletins Nuppa Site'!J560&lt;&gt;0,'Boletins Nuppa Site'!J560,"NULL")</f>
        <v>76</v>
      </c>
      <c r="H560" s="14">
        <f>IF('Boletins Nuppa Site'!K560&lt;&gt;0,'Boletins Nuppa Site'!K560,"NULL")</f>
        <v>72</v>
      </c>
      <c r="I560" t="str">
        <f t="shared" si="16"/>
        <v>INSERT INTO COTACAO (cot_id, cot_blt_id, cot_pap_id, cot_prc_comum, cot_prc_min, cot_prc_max, cot_prc_med, cot_prc_mediana) VALUES (559, 51, 7, 72, 72, 84, 76, 72);</v>
      </c>
      <c r="J560" t="str">
        <f t="shared" si="17"/>
        <v>UPDATE COTACAO SET cot_id = 559, cot_blt_id = 51, cot_pap_id = 7, cot_prc_comum = 72, cot_prc_min = 72, cot_prc_max = 84, cot_prc_med = 76, cot_prc_mediana = 72 WHERE cot_id = 559;</v>
      </c>
    </row>
    <row r="561" spans="1:10" x14ac:dyDescent="0.3">
      <c r="A561">
        <v>560</v>
      </c>
      <c r="B561">
        <f>IF('Boletins Nuppa Site'!A561&lt;&gt;0,'Boletins Nuppa Site'!A561,"NULL")</f>
        <v>51</v>
      </c>
      <c r="C561">
        <v>8</v>
      </c>
      <c r="D561" t="str">
        <f>IF('Boletins Nuppa Site'!G561&lt;&gt;0,'Boletins Nuppa Site'!G561,"NULL")</f>
        <v>NULL</v>
      </c>
      <c r="E561" s="14">
        <f>IF('Boletins Nuppa Site'!H561&lt;&gt;0,'Boletins Nuppa Site'!H561,"NULL")</f>
        <v>84</v>
      </c>
      <c r="F561" s="14">
        <f>IF('Boletins Nuppa Site'!I561&lt;&gt;0,'Boletins Nuppa Site'!I561,"NULL")</f>
        <v>96</v>
      </c>
      <c r="G561" t="str">
        <f>IF('Boletins Nuppa Site'!J561&lt;&gt;0,'Boletins Nuppa Site'!J561,"NULL")</f>
        <v>91.67</v>
      </c>
      <c r="H561" s="14">
        <f>IF('Boletins Nuppa Site'!K561&lt;&gt;0,'Boletins Nuppa Site'!K561,"NULL")</f>
        <v>95</v>
      </c>
      <c r="I561" t="str">
        <f t="shared" si="16"/>
        <v>INSERT INTO COTACAO (cot_id, cot_blt_id, cot_pap_id, cot_prc_comum, cot_prc_min, cot_prc_max, cot_prc_med, cot_prc_mediana) VALUES (560, 51, 8, NULL, 84, 96, 91.67, 95);</v>
      </c>
      <c r="J561" t="str">
        <f t="shared" si="17"/>
        <v>UPDATE COTACAO SET cot_id = 560, cot_blt_id = 51, cot_pap_id = 8, cot_prc_comum = NULL, cot_prc_min = 84, cot_prc_max = 96, cot_prc_med = 91.67, cot_prc_mediana = 95 WHERE cot_id = 560;</v>
      </c>
    </row>
    <row r="562" spans="1:10" x14ac:dyDescent="0.3">
      <c r="A562">
        <v>561</v>
      </c>
      <c r="B562">
        <f>IF('Boletins Nuppa Site'!A562&lt;&gt;0,'Boletins Nuppa Site'!A562,"NULL")</f>
        <v>51</v>
      </c>
      <c r="C562">
        <v>9</v>
      </c>
      <c r="D562" s="14">
        <f>IF('Boletins Nuppa Site'!G562&lt;&gt;0,'Boletins Nuppa Site'!G562,"NULL")</f>
        <v>30</v>
      </c>
      <c r="E562" s="14">
        <f>IF('Boletins Nuppa Site'!H562&lt;&gt;0,'Boletins Nuppa Site'!H562,"NULL")</f>
        <v>24</v>
      </c>
      <c r="F562" s="14">
        <f>IF('Boletins Nuppa Site'!I562&lt;&gt;0,'Boletins Nuppa Site'!I562,"NULL")</f>
        <v>30</v>
      </c>
      <c r="G562" s="14">
        <f>IF('Boletins Nuppa Site'!J562&lt;&gt;0,'Boletins Nuppa Site'!J562,"NULL")</f>
        <v>28</v>
      </c>
      <c r="H562" s="14">
        <f>IF('Boletins Nuppa Site'!K562&lt;&gt;0,'Boletins Nuppa Site'!K562,"NULL")</f>
        <v>30</v>
      </c>
      <c r="I562" t="str">
        <f t="shared" si="16"/>
        <v>INSERT INTO COTACAO (cot_id, cot_blt_id, cot_pap_id, cot_prc_comum, cot_prc_min, cot_prc_max, cot_prc_med, cot_prc_mediana) VALUES (561, 51, 9, 30, 24, 30, 28, 30);</v>
      </c>
      <c r="J562" t="str">
        <f t="shared" si="17"/>
        <v>UPDATE COTACAO SET cot_id = 561, cot_blt_id = 51, cot_pap_id = 9, cot_prc_comum = 30, cot_prc_min = 24, cot_prc_max = 30, cot_prc_med = 28, cot_prc_mediana = 30 WHERE cot_id = 561;</v>
      </c>
    </row>
    <row r="563" spans="1:10" x14ac:dyDescent="0.3">
      <c r="A563">
        <v>562</v>
      </c>
      <c r="B563">
        <f>IF('Boletins Nuppa Site'!A563&lt;&gt;0,'Boletins Nuppa Site'!A563,"NULL")</f>
        <v>51</v>
      </c>
      <c r="C563">
        <v>10</v>
      </c>
      <c r="D563" t="str">
        <f>IF('Boletins Nuppa Site'!G563&lt;&gt;0,'Boletins Nuppa Site'!G563,"NULL")</f>
        <v>NULL</v>
      </c>
      <c r="E563" s="14">
        <f>IF('Boletins Nuppa Site'!H563&lt;&gt;0,'Boletins Nuppa Site'!H563,"NULL")</f>
        <v>95</v>
      </c>
      <c r="F563" s="14">
        <f>IF('Boletins Nuppa Site'!I563&lt;&gt;0,'Boletins Nuppa Site'!I563,"NULL")</f>
        <v>108</v>
      </c>
      <c r="G563" t="str">
        <f>IF('Boletins Nuppa Site'!J563&lt;&gt;0,'Boletins Nuppa Site'!J563,"NULL")</f>
        <v>99.67</v>
      </c>
      <c r="H563" s="14">
        <f>IF('Boletins Nuppa Site'!K563&lt;&gt;0,'Boletins Nuppa Site'!K563,"NULL")</f>
        <v>96</v>
      </c>
      <c r="I563" t="str">
        <f t="shared" si="16"/>
        <v>INSERT INTO COTACAO (cot_id, cot_blt_id, cot_pap_id, cot_prc_comum, cot_prc_min, cot_prc_max, cot_prc_med, cot_prc_mediana) VALUES (562, 51, 10, NULL, 95, 108, 99.67, 96);</v>
      </c>
      <c r="J563" t="str">
        <f t="shared" si="17"/>
        <v>UPDATE COTACAO SET cot_id = 562, cot_blt_id = 51, cot_pap_id = 10, cot_prc_comum = NULL, cot_prc_min = 95, cot_prc_max = 108, cot_prc_med = 99.67, cot_prc_mediana = 96 WHERE cot_id = 562;</v>
      </c>
    </row>
    <row r="564" spans="1:10" x14ac:dyDescent="0.3">
      <c r="A564">
        <v>563</v>
      </c>
      <c r="B564">
        <f>IF('Boletins Nuppa Site'!A564&lt;&gt;0,'Boletins Nuppa Site'!A564,"NULL")</f>
        <v>51</v>
      </c>
      <c r="C564">
        <v>11</v>
      </c>
      <c r="D564" s="14">
        <f>IF('Boletins Nuppa Site'!G564&lt;&gt;0,'Boletins Nuppa Site'!G564,"NULL")</f>
        <v>30</v>
      </c>
      <c r="E564" s="14">
        <f>IF('Boletins Nuppa Site'!H564&lt;&gt;0,'Boletins Nuppa Site'!H564,"NULL")</f>
        <v>25</v>
      </c>
      <c r="F564" s="14">
        <f>IF('Boletins Nuppa Site'!I564&lt;&gt;0,'Boletins Nuppa Site'!I564,"NULL")</f>
        <v>30</v>
      </c>
      <c r="G564" t="str">
        <f>IF('Boletins Nuppa Site'!J564&lt;&gt;0,'Boletins Nuppa Site'!J564,"NULL")</f>
        <v>28.33</v>
      </c>
      <c r="H564" s="14">
        <f>IF('Boletins Nuppa Site'!K564&lt;&gt;0,'Boletins Nuppa Site'!K564,"NULL")</f>
        <v>30</v>
      </c>
      <c r="I564" t="str">
        <f t="shared" si="16"/>
        <v>INSERT INTO COTACAO (cot_id, cot_blt_id, cot_pap_id, cot_prc_comum, cot_prc_min, cot_prc_max, cot_prc_med, cot_prc_mediana) VALUES (563, 51, 11, 30, 25, 30, 28.33, 30);</v>
      </c>
      <c r="J564" t="str">
        <f t="shared" si="17"/>
        <v>UPDATE COTACAO SET cot_id = 563, cot_blt_id = 51, cot_pap_id = 11, cot_prc_comum = 30, cot_prc_min = 25, cot_prc_max = 30, cot_prc_med = 28.33, cot_prc_mediana = 30 WHERE cot_id = 563;</v>
      </c>
    </row>
    <row r="565" spans="1:10" x14ac:dyDescent="0.3">
      <c r="A565">
        <v>564</v>
      </c>
      <c r="B565">
        <f>IF('Boletins Nuppa Site'!A565&lt;&gt;0,'Boletins Nuppa Site'!A565,"NULL")</f>
        <v>51</v>
      </c>
      <c r="C565">
        <v>12</v>
      </c>
      <c r="D565" s="14">
        <f>IF('Boletins Nuppa Site'!G565&lt;&gt;0,'Boletins Nuppa Site'!G565,"NULL")</f>
        <v>84</v>
      </c>
      <c r="E565" s="14">
        <f>IF('Boletins Nuppa Site'!H565&lt;&gt;0,'Boletins Nuppa Site'!H565,"NULL")</f>
        <v>78</v>
      </c>
      <c r="F565" s="14">
        <f>IF('Boletins Nuppa Site'!I565&lt;&gt;0,'Boletins Nuppa Site'!I565,"NULL")</f>
        <v>84</v>
      </c>
      <c r="G565" s="14">
        <f>IF('Boletins Nuppa Site'!J565&lt;&gt;0,'Boletins Nuppa Site'!J565,"NULL")</f>
        <v>82</v>
      </c>
      <c r="H565" s="14">
        <f>IF('Boletins Nuppa Site'!K565&lt;&gt;0,'Boletins Nuppa Site'!K565,"NULL")</f>
        <v>84</v>
      </c>
      <c r="I565" t="str">
        <f t="shared" si="16"/>
        <v>INSERT INTO COTACAO (cot_id, cot_blt_id, cot_pap_id, cot_prc_comum, cot_prc_min, cot_prc_max, cot_prc_med, cot_prc_mediana) VALUES (564, 51, 12, 84, 78, 84, 82, 84);</v>
      </c>
      <c r="J565" t="str">
        <f t="shared" si="17"/>
        <v>UPDATE COTACAO SET cot_id = 564, cot_blt_id = 51, cot_pap_id = 12, cot_prc_comum = 84, cot_prc_min = 78, cot_prc_max = 84, cot_prc_med = 82, cot_prc_mediana = 84 WHERE cot_id = 564;</v>
      </c>
    </row>
    <row r="566" spans="1:10" x14ac:dyDescent="0.3">
      <c r="A566">
        <v>565</v>
      </c>
      <c r="B566">
        <f>IF('Boletins Nuppa Site'!A566&lt;&gt;0,'Boletins Nuppa Site'!A566,"NULL")</f>
        <v>51</v>
      </c>
      <c r="C566">
        <v>13</v>
      </c>
      <c r="D566" s="14">
        <f>IF('Boletins Nuppa Site'!G566&lt;&gt;0,'Boletins Nuppa Site'!G566,"NULL")</f>
        <v>60</v>
      </c>
      <c r="E566" s="14">
        <f>IF('Boletins Nuppa Site'!H566&lt;&gt;0,'Boletins Nuppa Site'!H566,"NULL")</f>
        <v>60</v>
      </c>
      <c r="F566" s="14">
        <f>IF('Boletins Nuppa Site'!I566&lt;&gt;0,'Boletins Nuppa Site'!I566,"NULL")</f>
        <v>84</v>
      </c>
      <c r="G566" s="14">
        <f>IF('Boletins Nuppa Site'!J566&lt;&gt;0,'Boletins Nuppa Site'!J566,"NULL")</f>
        <v>68</v>
      </c>
      <c r="H566" s="14">
        <f>IF('Boletins Nuppa Site'!K566&lt;&gt;0,'Boletins Nuppa Site'!K566,"NULL")</f>
        <v>60</v>
      </c>
      <c r="I566" t="str">
        <f t="shared" si="16"/>
        <v>INSERT INTO COTACAO (cot_id, cot_blt_id, cot_pap_id, cot_prc_comum, cot_prc_min, cot_prc_max, cot_prc_med, cot_prc_mediana) VALUES (565, 51, 13, 60, 60, 84, 68, 60);</v>
      </c>
      <c r="J566" t="str">
        <f t="shared" si="17"/>
        <v>UPDATE COTACAO SET cot_id = 565, cot_blt_id = 51, cot_pap_id = 13, cot_prc_comum = 60, cot_prc_min = 60, cot_prc_max = 84, cot_prc_med = 68, cot_prc_mediana = 60 WHERE cot_id = 565;</v>
      </c>
    </row>
    <row r="567" spans="1:10" x14ac:dyDescent="0.3">
      <c r="A567">
        <v>566</v>
      </c>
      <c r="B567">
        <f>IF('Boletins Nuppa Site'!A567&lt;&gt;0,'Boletins Nuppa Site'!A567,"NULL")</f>
        <v>51</v>
      </c>
      <c r="C567">
        <v>14</v>
      </c>
      <c r="D567" t="str">
        <f>IF('Boletins Nuppa Site'!G567&lt;&gt;0,'Boletins Nuppa Site'!G567,"NULL")</f>
        <v>NULL</v>
      </c>
      <c r="E567" s="14">
        <f>IF('Boletins Nuppa Site'!H567&lt;&gt;0,'Boletins Nuppa Site'!H567,"NULL")</f>
        <v>55</v>
      </c>
      <c r="F567" s="14">
        <f>IF('Boletins Nuppa Site'!I567&lt;&gt;0,'Boletins Nuppa Site'!I567,"NULL")</f>
        <v>84</v>
      </c>
      <c r="G567" t="str">
        <f>IF('Boletins Nuppa Site'!J567&lt;&gt;0,'Boletins Nuppa Site'!J567,"NULL")</f>
        <v>70.33</v>
      </c>
      <c r="H567" s="14">
        <f>IF('Boletins Nuppa Site'!K567&lt;&gt;0,'Boletins Nuppa Site'!K567,"NULL")</f>
        <v>72</v>
      </c>
      <c r="I567" t="str">
        <f t="shared" si="16"/>
        <v>INSERT INTO COTACAO (cot_id, cot_blt_id, cot_pap_id, cot_prc_comum, cot_prc_min, cot_prc_max, cot_prc_med, cot_prc_mediana) VALUES (566, 51, 14, NULL, 55, 84, 70.33, 72);</v>
      </c>
      <c r="J567" t="str">
        <f t="shared" si="17"/>
        <v>UPDATE COTACAO SET cot_id = 566, cot_blt_id = 51, cot_pap_id = 14, cot_prc_comum = NULL, cot_prc_min = 55, cot_prc_max = 84, cot_prc_med = 70.33, cot_prc_mediana = 72 WHERE cot_id = 566;</v>
      </c>
    </row>
    <row r="568" spans="1:10" x14ac:dyDescent="0.3">
      <c r="A568">
        <v>567</v>
      </c>
      <c r="B568">
        <f>IF('Boletins Nuppa Site'!A568&lt;&gt;0,'Boletins Nuppa Site'!A568,"NULL")</f>
        <v>51</v>
      </c>
      <c r="C568">
        <v>15</v>
      </c>
      <c r="D568" t="str">
        <f>IF('Boletins Nuppa Site'!G568&lt;&gt;0,'Boletins Nuppa Site'!G568,"NULL")</f>
        <v>NULL</v>
      </c>
      <c r="E568" s="14">
        <f>IF('Boletins Nuppa Site'!H568&lt;&gt;0,'Boletins Nuppa Site'!H568,"NULL")</f>
        <v>48</v>
      </c>
      <c r="F568" s="14">
        <f>IF('Boletins Nuppa Site'!I568&lt;&gt;0,'Boletins Nuppa Site'!I568,"NULL")</f>
        <v>70</v>
      </c>
      <c r="G568" s="14">
        <f>IF('Boletins Nuppa Site'!J568&lt;&gt;0,'Boletins Nuppa Site'!J568,"NULL")</f>
        <v>56</v>
      </c>
      <c r="H568" s="14">
        <f>IF('Boletins Nuppa Site'!K568&lt;&gt;0,'Boletins Nuppa Site'!K568,"NULL")</f>
        <v>50</v>
      </c>
      <c r="I568" t="str">
        <f t="shared" si="16"/>
        <v>INSERT INTO COTACAO (cot_id, cot_blt_id, cot_pap_id, cot_prc_comum, cot_prc_min, cot_prc_max, cot_prc_med, cot_prc_mediana) VALUES (567, 51, 15, NULL, 48, 70, 56, 50);</v>
      </c>
      <c r="J568" t="str">
        <f t="shared" si="17"/>
        <v>UPDATE COTACAO SET cot_id = 567, cot_blt_id = 51, cot_pap_id = 15, cot_prc_comum = NULL, cot_prc_min = 48, cot_prc_max = 70, cot_prc_med = 56, cot_prc_mediana = 50 WHERE cot_id = 567;</v>
      </c>
    </row>
    <row r="569" spans="1:10" x14ac:dyDescent="0.3">
      <c r="A569">
        <v>568</v>
      </c>
      <c r="B569">
        <f>IF('Boletins Nuppa Site'!A569&lt;&gt;0,'Boletins Nuppa Site'!A569,"NULL")</f>
        <v>51</v>
      </c>
      <c r="C569">
        <v>16</v>
      </c>
      <c r="D569" s="14">
        <f>IF('Boletins Nuppa Site'!G569&lt;&gt;0,'Boletins Nuppa Site'!G569,"NULL")</f>
        <v>54</v>
      </c>
      <c r="E569" s="14">
        <f>IF('Boletins Nuppa Site'!H569&lt;&gt;0,'Boletins Nuppa Site'!H569,"NULL")</f>
        <v>48</v>
      </c>
      <c r="F569" s="14">
        <f>IF('Boletins Nuppa Site'!I569&lt;&gt;0,'Boletins Nuppa Site'!I569,"NULL")</f>
        <v>54</v>
      </c>
      <c r="G569" s="14">
        <f>IF('Boletins Nuppa Site'!J569&lt;&gt;0,'Boletins Nuppa Site'!J569,"NULL")</f>
        <v>52</v>
      </c>
      <c r="H569" s="14">
        <f>IF('Boletins Nuppa Site'!K569&lt;&gt;0,'Boletins Nuppa Site'!K569,"NULL")</f>
        <v>54</v>
      </c>
      <c r="I569" t="str">
        <f t="shared" si="16"/>
        <v>INSERT INTO COTACAO (cot_id, cot_blt_id, cot_pap_id, cot_prc_comum, cot_prc_min, cot_prc_max, cot_prc_med, cot_prc_mediana) VALUES (568, 51, 16, 54, 48, 54, 52, 54);</v>
      </c>
      <c r="J569" t="str">
        <f t="shared" si="17"/>
        <v>UPDATE COTACAO SET cot_id = 568, cot_blt_id = 51, cot_pap_id = 16, cot_prc_comum = 54, cot_prc_min = 48, cot_prc_max = 54, cot_prc_med = 52, cot_prc_mediana = 54 WHERE cot_id = 568;</v>
      </c>
    </row>
    <row r="570" spans="1:10" x14ac:dyDescent="0.3">
      <c r="A570">
        <v>569</v>
      </c>
      <c r="B570">
        <f>IF('Boletins Nuppa Site'!A570&lt;&gt;0,'Boletins Nuppa Site'!A570,"NULL")</f>
        <v>51</v>
      </c>
      <c r="C570">
        <v>17</v>
      </c>
      <c r="D570" s="14">
        <f>IF('Boletins Nuppa Site'!G570&lt;&gt;0,'Boletins Nuppa Site'!G570,"NULL")</f>
        <v>60</v>
      </c>
      <c r="E570" s="14">
        <f>IF('Boletins Nuppa Site'!H570&lt;&gt;0,'Boletins Nuppa Site'!H570,"NULL")</f>
        <v>60</v>
      </c>
      <c r="F570" s="14">
        <f>IF('Boletins Nuppa Site'!I570&lt;&gt;0,'Boletins Nuppa Site'!I570,"NULL")</f>
        <v>72</v>
      </c>
      <c r="G570" s="14">
        <f>IF('Boletins Nuppa Site'!J570&lt;&gt;0,'Boletins Nuppa Site'!J570,"NULL")</f>
        <v>64</v>
      </c>
      <c r="H570" s="14">
        <f>IF('Boletins Nuppa Site'!K570&lt;&gt;0,'Boletins Nuppa Site'!K570,"NULL")</f>
        <v>60</v>
      </c>
      <c r="I570" t="str">
        <f t="shared" si="16"/>
        <v>INSERT INTO COTACAO (cot_id, cot_blt_id, cot_pap_id, cot_prc_comum, cot_prc_min, cot_prc_max, cot_prc_med, cot_prc_mediana) VALUES (569, 51, 17, 60, 60, 72, 64, 60);</v>
      </c>
      <c r="J570" t="str">
        <f t="shared" si="17"/>
        <v>UPDATE COTACAO SET cot_id = 569, cot_blt_id = 51, cot_pap_id = 17, cot_prc_comum = 60, cot_prc_min = 60, cot_prc_max = 72, cot_prc_med = 64, cot_prc_mediana = 60 WHERE cot_id = 569;</v>
      </c>
    </row>
    <row r="571" spans="1:10" x14ac:dyDescent="0.3">
      <c r="A571">
        <v>570</v>
      </c>
      <c r="B571">
        <f>IF('Boletins Nuppa Site'!A571&lt;&gt;0,'Boletins Nuppa Site'!A571,"NULL")</f>
        <v>51</v>
      </c>
      <c r="C571">
        <v>18</v>
      </c>
      <c r="D571" t="str">
        <f>IF('Boletins Nuppa Site'!G571&lt;&gt;0,'Boletins Nuppa Site'!G571,"NULL")</f>
        <v>NULL</v>
      </c>
      <c r="E571" s="14">
        <f>IF('Boletins Nuppa Site'!H571&lt;&gt;0,'Boletins Nuppa Site'!H571,"NULL")</f>
        <v>20</v>
      </c>
      <c r="F571" s="14">
        <f>IF('Boletins Nuppa Site'!I571&lt;&gt;0,'Boletins Nuppa Site'!I571,"NULL")</f>
        <v>30</v>
      </c>
      <c r="G571" s="14">
        <f>IF('Boletins Nuppa Site'!J571&lt;&gt;0,'Boletins Nuppa Site'!J571,"NULL")</f>
        <v>25</v>
      </c>
      <c r="H571" s="14">
        <f>IF('Boletins Nuppa Site'!K571&lt;&gt;0,'Boletins Nuppa Site'!K571,"NULL")</f>
        <v>25</v>
      </c>
      <c r="I571" t="str">
        <f t="shared" si="16"/>
        <v>INSERT INTO COTACAO (cot_id, cot_blt_id, cot_pap_id, cot_prc_comum, cot_prc_min, cot_prc_max, cot_prc_med, cot_prc_mediana) VALUES (570, 51, 18, NULL, 20, 30, 25, 25);</v>
      </c>
      <c r="J571" t="str">
        <f t="shared" si="17"/>
        <v>UPDATE COTACAO SET cot_id = 570, cot_blt_id = 51, cot_pap_id = 18, cot_prc_comum = NULL, cot_prc_min = 20, cot_prc_max = 30, cot_prc_med = 25, cot_prc_mediana = 25 WHERE cot_id = 570;</v>
      </c>
    </row>
    <row r="572" spans="1:10" x14ac:dyDescent="0.3">
      <c r="A572">
        <v>571</v>
      </c>
      <c r="B572">
        <f>IF('Boletins Nuppa Site'!A572&lt;&gt;0,'Boletins Nuppa Site'!A572,"NULL")</f>
        <v>51</v>
      </c>
      <c r="C572">
        <v>19</v>
      </c>
      <c r="D572" s="14">
        <f>IF('Boletins Nuppa Site'!G572&lt;&gt;0,'Boletins Nuppa Site'!G572,"NULL")</f>
        <v>30</v>
      </c>
      <c r="E572" s="14">
        <f>IF('Boletins Nuppa Site'!H572&lt;&gt;0,'Boletins Nuppa Site'!H572,"NULL")</f>
        <v>30</v>
      </c>
      <c r="F572" s="14">
        <f>IF('Boletins Nuppa Site'!I572&lt;&gt;0,'Boletins Nuppa Site'!I572,"NULL")</f>
        <v>35</v>
      </c>
      <c r="G572" t="str">
        <f>IF('Boletins Nuppa Site'!J572&lt;&gt;0,'Boletins Nuppa Site'!J572,"NULL")</f>
        <v>31.67</v>
      </c>
      <c r="H572" s="14">
        <f>IF('Boletins Nuppa Site'!K572&lt;&gt;0,'Boletins Nuppa Site'!K572,"NULL")</f>
        <v>30</v>
      </c>
      <c r="I572" t="str">
        <f t="shared" si="16"/>
        <v>INSERT INTO COTACAO (cot_id, cot_blt_id, cot_pap_id, cot_prc_comum, cot_prc_min, cot_prc_max, cot_prc_med, cot_prc_mediana) VALUES (571, 51, 19, 30, 30, 35, 31.67, 30);</v>
      </c>
      <c r="J572" t="str">
        <f t="shared" si="17"/>
        <v>UPDATE COTACAO SET cot_id = 571, cot_blt_id = 51, cot_pap_id = 19, cot_prc_comum = 30, cot_prc_min = 30, cot_prc_max = 35, cot_prc_med = 31.67, cot_prc_mediana = 30 WHERE cot_id = 571;</v>
      </c>
    </row>
    <row r="573" spans="1:10" x14ac:dyDescent="0.3">
      <c r="A573">
        <v>572</v>
      </c>
      <c r="B573">
        <f>IF('Boletins Nuppa Site'!A573&lt;&gt;0,'Boletins Nuppa Site'!A573,"NULL")</f>
        <v>51</v>
      </c>
      <c r="C573">
        <v>20</v>
      </c>
      <c r="D573" t="str">
        <f>IF('Boletins Nuppa Site'!G573&lt;&gt;0,'Boletins Nuppa Site'!G573,"NULL")</f>
        <v>NULL</v>
      </c>
      <c r="E573" s="14">
        <f>IF('Boletins Nuppa Site'!H573&lt;&gt;0,'Boletins Nuppa Site'!H573,"NULL")</f>
        <v>90</v>
      </c>
      <c r="F573" s="14">
        <f>IF('Boletins Nuppa Site'!I573&lt;&gt;0,'Boletins Nuppa Site'!I573,"NULL")</f>
        <v>90</v>
      </c>
      <c r="G573" s="14">
        <f>IF('Boletins Nuppa Site'!J573&lt;&gt;0,'Boletins Nuppa Site'!J573,"NULL")</f>
        <v>90</v>
      </c>
      <c r="H573" s="14">
        <f>IF('Boletins Nuppa Site'!K573&lt;&gt;0,'Boletins Nuppa Site'!K573,"NULL")</f>
        <v>90</v>
      </c>
      <c r="I573" t="str">
        <f t="shared" si="16"/>
        <v>INSERT INTO COTACAO (cot_id, cot_blt_id, cot_pap_id, cot_prc_comum, cot_prc_min, cot_prc_max, cot_prc_med, cot_prc_mediana) VALUES (572, 51, 20, NULL, 90, 90, 90, 90);</v>
      </c>
      <c r="J573" t="str">
        <f t="shared" si="17"/>
        <v>UPDATE COTACAO SET cot_id = 572, cot_blt_id = 51, cot_pap_id = 20, cot_prc_comum = NULL, cot_prc_min = 90, cot_prc_max = 90, cot_prc_med = 90, cot_prc_mediana = 90 WHERE cot_id = 572;</v>
      </c>
    </row>
    <row r="574" spans="1:10" x14ac:dyDescent="0.3">
      <c r="A574">
        <v>573</v>
      </c>
      <c r="B574">
        <f>IF('Boletins Nuppa Site'!A574&lt;&gt;0,'Boletins Nuppa Site'!A574,"NULL")</f>
        <v>51</v>
      </c>
      <c r="C574">
        <v>21</v>
      </c>
      <c r="D574" s="14">
        <f>IF('Boletins Nuppa Site'!G574&lt;&gt;0,'Boletins Nuppa Site'!G574,"NULL")</f>
        <v>70</v>
      </c>
      <c r="E574" s="14">
        <f>IF('Boletins Nuppa Site'!H574&lt;&gt;0,'Boletins Nuppa Site'!H574,"NULL")</f>
        <v>60</v>
      </c>
      <c r="F574" s="14">
        <f>IF('Boletins Nuppa Site'!I574&lt;&gt;0,'Boletins Nuppa Site'!I574,"NULL")</f>
        <v>70</v>
      </c>
      <c r="G574" s="14">
        <f>IF('Boletins Nuppa Site'!J574&lt;&gt;0,'Boletins Nuppa Site'!J574,"NULL")</f>
        <v>65</v>
      </c>
      <c r="H574" s="14">
        <f>IF('Boletins Nuppa Site'!K574&lt;&gt;0,'Boletins Nuppa Site'!K574,"NULL")</f>
        <v>65</v>
      </c>
      <c r="I574" t="str">
        <f t="shared" si="16"/>
        <v>INSERT INTO COTACAO (cot_id, cot_blt_id, cot_pap_id, cot_prc_comum, cot_prc_min, cot_prc_max, cot_prc_med, cot_prc_mediana) VALUES (573, 51, 21, 70, 60, 70, 65, 65);</v>
      </c>
      <c r="J574" t="str">
        <f t="shared" si="17"/>
        <v>UPDATE COTACAO SET cot_id = 573, cot_blt_id = 51, cot_pap_id = 21, cot_prc_comum = 70, cot_prc_min = 60, cot_prc_max = 70, cot_prc_med = 65, cot_prc_mediana = 65 WHERE cot_id = 573;</v>
      </c>
    </row>
    <row r="575" spans="1:10" x14ac:dyDescent="0.3">
      <c r="A575">
        <v>574</v>
      </c>
      <c r="B575">
        <f>IF('Boletins Nuppa Site'!A575&lt;&gt;0,'Boletins Nuppa Site'!A575,"NULL")</f>
        <v>51</v>
      </c>
      <c r="C575">
        <v>22</v>
      </c>
      <c r="D575" t="str">
        <f>IF('Boletins Nuppa Site'!G575&lt;&gt;0,'Boletins Nuppa Site'!G575,"NULL")</f>
        <v>NULL</v>
      </c>
      <c r="E575" s="14">
        <f>IF('Boletins Nuppa Site'!H575&lt;&gt;0,'Boletins Nuppa Site'!H575,"NULL")</f>
        <v>45</v>
      </c>
      <c r="F575" s="14">
        <f>IF('Boletins Nuppa Site'!I575&lt;&gt;0,'Boletins Nuppa Site'!I575,"NULL")</f>
        <v>70</v>
      </c>
      <c r="G575" s="14">
        <f>IF('Boletins Nuppa Site'!J575&lt;&gt;0,'Boletins Nuppa Site'!J575,"NULL")</f>
        <v>60</v>
      </c>
      <c r="H575" t="str">
        <f>IF('Boletins Nuppa Site'!K575&lt;&gt;0,'Boletins Nuppa Site'!K575,"NULL")</f>
        <v>62.5</v>
      </c>
      <c r="I575" t="str">
        <f t="shared" si="16"/>
        <v>INSERT INTO COTACAO (cot_id, cot_blt_id, cot_pap_id, cot_prc_comum, cot_prc_min, cot_prc_max, cot_prc_med, cot_prc_mediana) VALUES (574, 51, 22, NULL, 45, 70, 60, 62.5);</v>
      </c>
      <c r="J575" t="str">
        <f t="shared" si="17"/>
        <v>UPDATE COTACAO SET cot_id = 574, cot_blt_id = 51, cot_pap_id = 22, cot_prc_comum = NULL, cot_prc_min = 45, cot_prc_max = 70, cot_prc_med = 60, cot_prc_mediana = 62.5 WHERE cot_id = 574;</v>
      </c>
    </row>
    <row r="576" spans="1:10" x14ac:dyDescent="0.3">
      <c r="A576">
        <v>575</v>
      </c>
      <c r="B576">
        <f>IF('Boletins Nuppa Site'!A576&lt;&gt;0,'Boletins Nuppa Site'!A576,"NULL")</f>
        <v>51</v>
      </c>
      <c r="C576">
        <v>23</v>
      </c>
      <c r="D576" s="14">
        <f>IF('Boletins Nuppa Site'!G576&lt;&gt;0,'Boletins Nuppa Site'!G576,"NULL")</f>
        <v>40</v>
      </c>
      <c r="E576" s="14">
        <f>IF('Boletins Nuppa Site'!H576&lt;&gt;0,'Boletins Nuppa Site'!H576,"NULL")</f>
        <v>40</v>
      </c>
      <c r="F576" s="14">
        <f>IF('Boletins Nuppa Site'!I576&lt;&gt;0,'Boletins Nuppa Site'!I576,"NULL")</f>
        <v>50</v>
      </c>
      <c r="G576" t="str">
        <f>IF('Boletins Nuppa Site'!J576&lt;&gt;0,'Boletins Nuppa Site'!J576,"NULL")</f>
        <v>43.75</v>
      </c>
      <c r="H576" t="str">
        <f>IF('Boletins Nuppa Site'!K576&lt;&gt;0,'Boletins Nuppa Site'!K576,"NULL")</f>
        <v>42.5</v>
      </c>
      <c r="I576" t="str">
        <f t="shared" si="16"/>
        <v>INSERT INTO COTACAO (cot_id, cot_blt_id, cot_pap_id, cot_prc_comum, cot_prc_min, cot_prc_max, cot_prc_med, cot_prc_mediana) VALUES (575, 51, 23, 40, 40, 50, 43.75, 42.5);</v>
      </c>
      <c r="J576" t="str">
        <f t="shared" si="17"/>
        <v>UPDATE COTACAO SET cot_id = 575, cot_blt_id = 51, cot_pap_id = 23, cot_prc_comum = 40, cot_prc_min = 40, cot_prc_max = 50, cot_prc_med = 43.75, cot_prc_mediana = 42.5 WHERE cot_id = 575;</v>
      </c>
    </row>
    <row r="577" spans="1:10" x14ac:dyDescent="0.3">
      <c r="A577">
        <v>576</v>
      </c>
      <c r="B577">
        <f>IF('Boletins Nuppa Site'!A577&lt;&gt;0,'Boletins Nuppa Site'!A577,"NULL")</f>
        <v>51</v>
      </c>
      <c r="C577">
        <v>24</v>
      </c>
      <c r="D577" t="str">
        <f>IF('Boletins Nuppa Site'!G577&lt;&gt;0,'Boletins Nuppa Site'!G577,"NULL")</f>
        <v>NULL</v>
      </c>
      <c r="E577" s="14">
        <f>IF('Boletins Nuppa Site'!H577&lt;&gt;0,'Boletins Nuppa Site'!H577,"NULL")</f>
        <v>90</v>
      </c>
      <c r="F577" s="14">
        <f>IF('Boletins Nuppa Site'!I577&lt;&gt;0,'Boletins Nuppa Site'!I577,"NULL")</f>
        <v>110</v>
      </c>
      <c r="G577" s="14">
        <f>IF('Boletins Nuppa Site'!J577&lt;&gt;0,'Boletins Nuppa Site'!J577,"NULL")</f>
        <v>100</v>
      </c>
      <c r="H577" s="14">
        <f>IF('Boletins Nuppa Site'!K577&lt;&gt;0,'Boletins Nuppa Site'!K577,"NULL")</f>
        <v>100</v>
      </c>
      <c r="I577" t="str">
        <f t="shared" si="16"/>
        <v>INSERT INTO COTACAO (cot_id, cot_blt_id, cot_pap_id, cot_prc_comum, cot_prc_min, cot_prc_max, cot_prc_med, cot_prc_mediana) VALUES (576, 51, 24, NULL, 90, 110, 100, 100);</v>
      </c>
      <c r="J577" t="str">
        <f t="shared" si="17"/>
        <v>UPDATE COTACAO SET cot_id = 576, cot_blt_id = 51, cot_pap_id = 24, cot_prc_comum = NULL, cot_prc_min = 90, cot_prc_max = 110, cot_prc_med = 100, cot_prc_mediana = 100 WHERE cot_id = 576;</v>
      </c>
    </row>
    <row r="578" spans="1:10" x14ac:dyDescent="0.3">
      <c r="A578">
        <v>577</v>
      </c>
      <c r="B578">
        <f>IF('Boletins Nuppa Site'!A578&lt;&gt;0,'Boletins Nuppa Site'!A578,"NULL")</f>
        <v>51</v>
      </c>
      <c r="C578">
        <v>25</v>
      </c>
      <c r="D578" t="str">
        <f>IF('Boletins Nuppa Site'!G578&lt;&gt;0,'Boletins Nuppa Site'!G578,"NULL")</f>
        <v>NULL</v>
      </c>
      <c r="E578" s="14">
        <f>IF('Boletins Nuppa Site'!H578&lt;&gt;0,'Boletins Nuppa Site'!H578,"NULL")</f>
        <v>100</v>
      </c>
      <c r="F578" s="14">
        <f>IF('Boletins Nuppa Site'!I578&lt;&gt;0,'Boletins Nuppa Site'!I578,"NULL")</f>
        <v>160</v>
      </c>
      <c r="G578" t="str">
        <f>IF('Boletins Nuppa Site'!J578&lt;&gt;0,'Boletins Nuppa Site'!J578,"NULL")</f>
        <v>132.5</v>
      </c>
      <c r="H578" s="14">
        <f>IF('Boletins Nuppa Site'!K578&lt;&gt;0,'Boletins Nuppa Site'!K578,"NULL")</f>
        <v>135</v>
      </c>
      <c r="I578" t="str">
        <f t="shared" si="16"/>
        <v>INSERT INTO COTACAO (cot_id, cot_blt_id, cot_pap_id, cot_prc_comum, cot_prc_min, cot_prc_max, cot_prc_med, cot_prc_mediana) VALUES (577, 51, 25, NULL, 100, 160, 132.5, 135);</v>
      </c>
      <c r="J578" t="str">
        <f t="shared" si="17"/>
        <v>UPDATE COTACAO SET cot_id = 577, cot_blt_id = 51, cot_pap_id = 25, cot_prc_comum = NULL, cot_prc_min = 100, cot_prc_max = 160, cot_prc_med = 132.5, cot_prc_mediana = 135 WHERE cot_id = 577;</v>
      </c>
    </row>
    <row r="579" spans="1:10" x14ac:dyDescent="0.3">
      <c r="A579">
        <v>578</v>
      </c>
      <c r="B579">
        <f>IF('Boletins Nuppa Site'!A579&lt;&gt;0,'Boletins Nuppa Site'!A579,"NULL")</f>
        <v>51</v>
      </c>
      <c r="C579">
        <v>26</v>
      </c>
      <c r="D579" s="14">
        <f>IF('Boletins Nuppa Site'!G579&lt;&gt;0,'Boletins Nuppa Site'!G579,"NULL")</f>
        <v>160</v>
      </c>
      <c r="E579" s="14">
        <f>IF('Boletins Nuppa Site'!H579&lt;&gt;0,'Boletins Nuppa Site'!H579,"NULL")</f>
        <v>80</v>
      </c>
      <c r="F579" s="14">
        <f>IF('Boletins Nuppa Site'!I579&lt;&gt;0,'Boletins Nuppa Site'!I579,"NULL")</f>
        <v>170</v>
      </c>
      <c r="G579" s="14">
        <f>IF('Boletins Nuppa Site'!J579&lt;&gt;0,'Boletins Nuppa Site'!J579,"NULL")</f>
        <v>142</v>
      </c>
      <c r="H579" s="14">
        <f>IF('Boletins Nuppa Site'!K579&lt;&gt;0,'Boletins Nuppa Site'!K579,"NULL")</f>
        <v>160</v>
      </c>
      <c r="I579" t="str">
        <f t="shared" ref="I579:I642" si="18">"INSERT INTO COTACAO (cot_id, cot_blt_id, cot_pap_id, cot_prc_comum, cot_prc_min, cot_prc_max, cot_prc_med, cot_prc_mediana) VALUES ("&amp;A579&amp;", "&amp;B579&amp;", "&amp;C579&amp;", "&amp;D579&amp;", "&amp;E579&amp;", "&amp;F579&amp;", "&amp;G579&amp;", "&amp;H579&amp;");"</f>
        <v>INSERT INTO COTACAO (cot_id, cot_blt_id, cot_pap_id, cot_prc_comum, cot_prc_min, cot_prc_max, cot_prc_med, cot_prc_mediana) VALUES (578, 51, 26, 160, 80, 170, 142, 160);</v>
      </c>
      <c r="J579" t="str">
        <f t="shared" ref="J579:J642" si="19">"UPDATE COTACAO SET cot_id = "&amp;A579&amp;", cot_blt_id = "&amp;B579&amp;", cot_pap_id = "&amp;C579&amp;", cot_prc_comum = "&amp;D579&amp;", cot_prc_min = "&amp;E579&amp;", cot_prc_max = "&amp;F579&amp;", cot_prc_med = "&amp;G579&amp;", cot_prc_mediana = "&amp;H579&amp;" WHERE cot_id = "&amp;A579&amp;";"</f>
        <v>UPDATE COTACAO SET cot_id = 578, cot_blt_id = 51, cot_pap_id = 26, cot_prc_comum = 160, cot_prc_min = 80, cot_prc_max = 170, cot_prc_med = 142, cot_prc_mediana = 160 WHERE cot_id = 578;</v>
      </c>
    </row>
    <row r="580" spans="1:10" x14ac:dyDescent="0.3">
      <c r="A580">
        <v>579</v>
      </c>
      <c r="B580">
        <f>IF('Boletins Nuppa Site'!A580&lt;&gt;0,'Boletins Nuppa Site'!A580,"NULL")</f>
        <v>51</v>
      </c>
      <c r="C580">
        <v>27</v>
      </c>
      <c r="D580" s="14">
        <f>IF('Boletins Nuppa Site'!G580&lt;&gt;0,'Boletins Nuppa Site'!G580,"NULL")</f>
        <v>60</v>
      </c>
      <c r="E580" s="14">
        <f>IF('Boletins Nuppa Site'!H580&lt;&gt;0,'Boletins Nuppa Site'!H580,"NULL")</f>
        <v>45</v>
      </c>
      <c r="F580" s="14">
        <f>IF('Boletins Nuppa Site'!I580&lt;&gt;0,'Boletins Nuppa Site'!I580,"NULL")</f>
        <v>60</v>
      </c>
      <c r="G580" t="str">
        <f>IF('Boletins Nuppa Site'!J580&lt;&gt;0,'Boletins Nuppa Site'!J580,"NULL")</f>
        <v>56.25</v>
      </c>
      <c r="H580" s="14">
        <f>IF('Boletins Nuppa Site'!K580&lt;&gt;0,'Boletins Nuppa Site'!K580,"NULL")</f>
        <v>60</v>
      </c>
      <c r="I580" t="str">
        <f t="shared" si="18"/>
        <v>INSERT INTO COTACAO (cot_id, cot_blt_id, cot_pap_id, cot_prc_comum, cot_prc_min, cot_prc_max, cot_prc_med, cot_prc_mediana) VALUES (579, 51, 27, 60, 45, 60, 56.25, 60);</v>
      </c>
      <c r="J580" t="str">
        <f t="shared" si="19"/>
        <v>UPDATE COTACAO SET cot_id = 579, cot_blt_id = 51, cot_pap_id = 27, cot_prc_comum = 60, cot_prc_min = 45, cot_prc_max = 60, cot_prc_med = 56.25, cot_prc_mediana = 60 WHERE cot_id = 579;</v>
      </c>
    </row>
    <row r="581" spans="1:10" x14ac:dyDescent="0.3">
      <c r="A581">
        <v>580</v>
      </c>
      <c r="B581">
        <f>IF('Boletins Nuppa Site'!A581&lt;&gt;0,'Boletins Nuppa Site'!A581,"NULL")</f>
        <v>51</v>
      </c>
      <c r="C581">
        <v>28</v>
      </c>
      <c r="D581" t="str">
        <f>IF('Boletins Nuppa Site'!G581&lt;&gt;0,'Boletins Nuppa Site'!G581,"NULL")</f>
        <v>NULL</v>
      </c>
      <c r="E581" s="14">
        <f>IF('Boletins Nuppa Site'!H581&lt;&gt;0,'Boletins Nuppa Site'!H581,"NULL")</f>
        <v>120</v>
      </c>
      <c r="F581" s="14">
        <f>IF('Boletins Nuppa Site'!I581&lt;&gt;0,'Boletins Nuppa Site'!I581,"NULL")</f>
        <v>120</v>
      </c>
      <c r="G581" s="14">
        <f>IF('Boletins Nuppa Site'!J581&lt;&gt;0,'Boletins Nuppa Site'!J581,"NULL")</f>
        <v>120</v>
      </c>
      <c r="H581" s="14">
        <f>IF('Boletins Nuppa Site'!K581&lt;&gt;0,'Boletins Nuppa Site'!K581,"NULL")</f>
        <v>120</v>
      </c>
      <c r="I581" t="str">
        <f t="shared" si="18"/>
        <v>INSERT INTO COTACAO (cot_id, cot_blt_id, cot_pap_id, cot_prc_comum, cot_prc_min, cot_prc_max, cot_prc_med, cot_prc_mediana) VALUES (580, 51, 28, NULL, 120, 120, 120, 120);</v>
      </c>
      <c r="J581" t="str">
        <f t="shared" si="19"/>
        <v>UPDATE COTACAO SET cot_id = 580, cot_blt_id = 51, cot_pap_id = 28, cot_prc_comum = NULL, cot_prc_min = 120, cot_prc_max = 120, cot_prc_med = 120, cot_prc_mediana = 120 WHERE cot_id = 580;</v>
      </c>
    </row>
    <row r="582" spans="1:10" x14ac:dyDescent="0.3">
      <c r="A582">
        <v>581</v>
      </c>
      <c r="B582">
        <f>IF('Boletins Nuppa Site'!A582&lt;&gt;0,'Boletins Nuppa Site'!A582,"NULL")</f>
        <v>51</v>
      </c>
      <c r="C582">
        <v>29</v>
      </c>
      <c r="D582" t="str">
        <f>IF('Boletins Nuppa Site'!G582&lt;&gt;0,'Boletins Nuppa Site'!G582,"NULL")</f>
        <v>NULL</v>
      </c>
      <c r="E582" t="str">
        <f>IF('Boletins Nuppa Site'!H582&lt;&gt;0,'Boletins Nuppa Site'!H582,"NULL")</f>
        <v>NULL</v>
      </c>
      <c r="F582" t="str">
        <f>IF('Boletins Nuppa Site'!I582&lt;&gt;0,'Boletins Nuppa Site'!I582,"NULL")</f>
        <v>NULL</v>
      </c>
      <c r="G582" t="str">
        <f>IF('Boletins Nuppa Site'!J582&lt;&gt;0,'Boletins Nuppa Site'!J582,"NULL")</f>
        <v>NULL</v>
      </c>
      <c r="H582" t="str">
        <f>IF('Boletins Nuppa Site'!K582&lt;&gt;0,'Boletins Nuppa Site'!K582,"NULL")</f>
        <v>NULL</v>
      </c>
      <c r="I582" t="str">
        <f t="shared" si="18"/>
        <v>INSERT INTO COTACAO (cot_id, cot_blt_id, cot_pap_id, cot_prc_comum, cot_prc_min, cot_prc_max, cot_prc_med, cot_prc_mediana) VALUES (581, 51, 29, NULL, NULL, NULL, NULL, NULL);</v>
      </c>
      <c r="J582" t="str">
        <f t="shared" si="19"/>
        <v>UPDATE COTACAO SET cot_id = 581, cot_blt_id = 51, cot_pap_id = 29, cot_prc_comum = NULL, cot_prc_min = NULL, cot_prc_max = NULL, cot_prc_med = NULL, cot_prc_mediana = NULL WHERE cot_id = 581;</v>
      </c>
    </row>
    <row r="583" spans="1:10" x14ac:dyDescent="0.3">
      <c r="A583">
        <v>582</v>
      </c>
      <c r="B583">
        <f>IF('Boletins Nuppa Site'!A583&lt;&gt;0,'Boletins Nuppa Site'!A583,"NULL")</f>
        <v>51</v>
      </c>
      <c r="C583">
        <v>30</v>
      </c>
      <c r="D583" t="str">
        <f>IF('Boletins Nuppa Site'!G583&lt;&gt;0,'Boletins Nuppa Site'!G583,"NULL")</f>
        <v>NULL</v>
      </c>
      <c r="E583" s="14">
        <f>IF('Boletins Nuppa Site'!H583&lt;&gt;0,'Boletins Nuppa Site'!H583,"NULL")</f>
        <v>75</v>
      </c>
      <c r="F583" s="14">
        <f>IF('Boletins Nuppa Site'!I583&lt;&gt;0,'Boletins Nuppa Site'!I583,"NULL")</f>
        <v>75</v>
      </c>
      <c r="G583" s="14">
        <f>IF('Boletins Nuppa Site'!J583&lt;&gt;0,'Boletins Nuppa Site'!J583,"NULL")</f>
        <v>75</v>
      </c>
      <c r="H583" s="14">
        <f>IF('Boletins Nuppa Site'!K583&lt;&gt;0,'Boletins Nuppa Site'!K583,"NULL")</f>
        <v>75</v>
      </c>
      <c r="I583" t="str">
        <f t="shared" si="18"/>
        <v>INSERT INTO COTACAO (cot_id, cot_blt_id, cot_pap_id, cot_prc_comum, cot_prc_min, cot_prc_max, cot_prc_med, cot_prc_mediana) VALUES (582, 51, 30, NULL, 75, 75, 75, 75);</v>
      </c>
      <c r="J583" t="str">
        <f t="shared" si="19"/>
        <v>UPDATE COTACAO SET cot_id = 582, cot_blt_id = 51, cot_pap_id = 30, cot_prc_comum = NULL, cot_prc_min = 75, cot_prc_max = 75, cot_prc_med = 75, cot_prc_mediana = 75 WHERE cot_id = 582;</v>
      </c>
    </row>
    <row r="584" spans="1:10" x14ac:dyDescent="0.3">
      <c r="A584">
        <v>583</v>
      </c>
      <c r="B584">
        <f>IF('Boletins Nuppa Site'!A584&lt;&gt;0,'Boletins Nuppa Site'!A584,"NULL")</f>
        <v>51</v>
      </c>
      <c r="C584">
        <v>31</v>
      </c>
      <c r="D584" t="str">
        <f>IF('Boletins Nuppa Site'!G584&lt;&gt;0,'Boletins Nuppa Site'!G584,"NULL")</f>
        <v>NULL</v>
      </c>
      <c r="E584" s="14">
        <f>IF('Boletins Nuppa Site'!H584&lt;&gt;0,'Boletins Nuppa Site'!H584,"NULL")</f>
        <v>60</v>
      </c>
      <c r="F584" s="14">
        <f>IF('Boletins Nuppa Site'!I584&lt;&gt;0,'Boletins Nuppa Site'!I584,"NULL")</f>
        <v>90</v>
      </c>
      <c r="G584" t="str">
        <f>IF('Boletins Nuppa Site'!J584&lt;&gt;0,'Boletins Nuppa Site'!J584,"NULL")</f>
        <v>78.75</v>
      </c>
      <c r="H584" t="str">
        <f>IF('Boletins Nuppa Site'!K584&lt;&gt;0,'Boletins Nuppa Site'!K584,"NULL")</f>
        <v>82.5</v>
      </c>
      <c r="I584" t="str">
        <f t="shared" si="18"/>
        <v>INSERT INTO COTACAO (cot_id, cot_blt_id, cot_pap_id, cot_prc_comum, cot_prc_min, cot_prc_max, cot_prc_med, cot_prc_mediana) VALUES (583, 51, 31, NULL, 60, 90, 78.75, 82.5);</v>
      </c>
      <c r="J584" t="str">
        <f t="shared" si="19"/>
        <v>UPDATE COTACAO SET cot_id = 583, cot_blt_id = 51, cot_pap_id = 31, cot_prc_comum = NULL, cot_prc_min = 60, cot_prc_max = 90, cot_prc_med = 78.75, cot_prc_mediana = 82.5 WHERE cot_id = 583;</v>
      </c>
    </row>
    <row r="585" spans="1:10" x14ac:dyDescent="0.3">
      <c r="A585">
        <v>584</v>
      </c>
      <c r="B585">
        <f>IF('Boletins Nuppa Site'!A585&lt;&gt;0,'Boletins Nuppa Site'!A585,"NULL")</f>
        <v>51</v>
      </c>
      <c r="C585">
        <v>32</v>
      </c>
      <c r="D585" t="str">
        <f>IF('Boletins Nuppa Site'!G585&lt;&gt;0,'Boletins Nuppa Site'!G585,"NULL")</f>
        <v>NULL</v>
      </c>
      <c r="E585" s="14">
        <f>IF('Boletins Nuppa Site'!H585&lt;&gt;0,'Boletins Nuppa Site'!H585,"NULL")</f>
        <v>55</v>
      </c>
      <c r="F585" s="14">
        <f>IF('Boletins Nuppa Site'!I585&lt;&gt;0,'Boletins Nuppa Site'!I585,"NULL")</f>
        <v>75</v>
      </c>
      <c r="G585" s="14">
        <f>IF('Boletins Nuppa Site'!J585&lt;&gt;0,'Boletins Nuppa Site'!J585,"NULL")</f>
        <v>65</v>
      </c>
      <c r="H585" s="14">
        <f>IF('Boletins Nuppa Site'!K585&lt;&gt;0,'Boletins Nuppa Site'!K585,"NULL")</f>
        <v>65</v>
      </c>
      <c r="I585" t="str">
        <f t="shared" si="18"/>
        <v>INSERT INTO COTACAO (cot_id, cot_blt_id, cot_pap_id, cot_prc_comum, cot_prc_min, cot_prc_max, cot_prc_med, cot_prc_mediana) VALUES (584, 51, 32, NULL, 55, 75, 65, 65);</v>
      </c>
      <c r="J585" t="str">
        <f t="shared" si="19"/>
        <v>UPDATE COTACAO SET cot_id = 584, cot_blt_id = 51, cot_pap_id = 32, cot_prc_comum = NULL, cot_prc_min = 55, cot_prc_max = 75, cot_prc_med = 65, cot_prc_mediana = 65 WHERE cot_id = 584;</v>
      </c>
    </row>
    <row r="586" spans="1:10" x14ac:dyDescent="0.3">
      <c r="A586">
        <v>585</v>
      </c>
      <c r="B586">
        <f>IF('Boletins Nuppa Site'!A586&lt;&gt;0,'Boletins Nuppa Site'!A586,"NULL")</f>
        <v>51</v>
      </c>
      <c r="C586">
        <v>33</v>
      </c>
      <c r="D586" s="14">
        <f>IF('Boletins Nuppa Site'!G586&lt;&gt;0,'Boletins Nuppa Site'!G586,"NULL")</f>
        <v>120</v>
      </c>
      <c r="E586" s="14">
        <f>IF('Boletins Nuppa Site'!H586&lt;&gt;0,'Boletins Nuppa Site'!H586,"NULL")</f>
        <v>120</v>
      </c>
      <c r="F586" s="14">
        <f>IF('Boletins Nuppa Site'!I586&lt;&gt;0,'Boletins Nuppa Site'!I586,"NULL")</f>
        <v>120</v>
      </c>
      <c r="G586" s="14">
        <f>IF('Boletins Nuppa Site'!J586&lt;&gt;0,'Boletins Nuppa Site'!J586,"NULL")</f>
        <v>120</v>
      </c>
      <c r="H586" s="14">
        <f>IF('Boletins Nuppa Site'!K586&lt;&gt;0,'Boletins Nuppa Site'!K586,"NULL")</f>
        <v>120</v>
      </c>
      <c r="I586" t="str">
        <f t="shared" si="18"/>
        <v>INSERT INTO COTACAO (cot_id, cot_blt_id, cot_pap_id, cot_prc_comum, cot_prc_min, cot_prc_max, cot_prc_med, cot_prc_mediana) VALUES (585, 51, 33, 120, 120, 120, 120, 120);</v>
      </c>
      <c r="J586" t="str">
        <f t="shared" si="19"/>
        <v>UPDATE COTACAO SET cot_id = 585, cot_blt_id = 51, cot_pap_id = 33, cot_prc_comum = 120, cot_prc_min = 120, cot_prc_max = 120, cot_prc_med = 120, cot_prc_mediana = 120 WHERE cot_id = 585;</v>
      </c>
    </row>
    <row r="587" spans="1:10" x14ac:dyDescent="0.3">
      <c r="A587">
        <v>586</v>
      </c>
      <c r="B587">
        <f>IF('Boletins Nuppa Site'!A587&lt;&gt;0,'Boletins Nuppa Site'!A587,"NULL")</f>
        <v>51</v>
      </c>
      <c r="C587">
        <v>34</v>
      </c>
      <c r="D587" t="str">
        <f>IF('Boletins Nuppa Site'!G587&lt;&gt;0,'Boletins Nuppa Site'!G587,"NULL")</f>
        <v>NULL</v>
      </c>
      <c r="E587" s="14">
        <f>IF('Boletins Nuppa Site'!H587&lt;&gt;0,'Boletins Nuppa Site'!H587,"NULL")</f>
        <v>110</v>
      </c>
      <c r="F587" s="14">
        <f>IF('Boletins Nuppa Site'!I587&lt;&gt;0,'Boletins Nuppa Site'!I587,"NULL")</f>
        <v>160</v>
      </c>
      <c r="G587" s="14">
        <f>IF('Boletins Nuppa Site'!J587&lt;&gt;0,'Boletins Nuppa Site'!J587,"NULL")</f>
        <v>140</v>
      </c>
      <c r="H587" s="14">
        <f>IF('Boletins Nuppa Site'!K587&lt;&gt;0,'Boletins Nuppa Site'!K587,"NULL")</f>
        <v>145</v>
      </c>
      <c r="I587" t="str">
        <f t="shared" si="18"/>
        <v>INSERT INTO COTACAO (cot_id, cot_blt_id, cot_pap_id, cot_prc_comum, cot_prc_min, cot_prc_max, cot_prc_med, cot_prc_mediana) VALUES (586, 51, 34, NULL, 110, 160, 140, 145);</v>
      </c>
      <c r="J587" t="str">
        <f t="shared" si="19"/>
        <v>UPDATE COTACAO SET cot_id = 586, cot_blt_id = 51, cot_pap_id = 34, cot_prc_comum = NULL, cot_prc_min = 110, cot_prc_max = 160, cot_prc_med = 140, cot_prc_mediana = 145 WHERE cot_id = 586;</v>
      </c>
    </row>
    <row r="588" spans="1:10" x14ac:dyDescent="0.3">
      <c r="A588">
        <v>587</v>
      </c>
      <c r="B588">
        <f>IF('Boletins Nuppa Site'!A588&lt;&gt;0,'Boletins Nuppa Site'!A588,"NULL")</f>
        <v>51</v>
      </c>
      <c r="C588">
        <v>35</v>
      </c>
      <c r="D588" t="str">
        <f>IF('Boletins Nuppa Site'!G588&lt;&gt;0,'Boletins Nuppa Site'!G588,"NULL")</f>
        <v>NULL</v>
      </c>
      <c r="E588" s="14">
        <f>IF('Boletins Nuppa Site'!H588&lt;&gt;0,'Boletins Nuppa Site'!H588,"NULL")</f>
        <v>110</v>
      </c>
      <c r="F588" s="14">
        <f>IF('Boletins Nuppa Site'!I588&lt;&gt;0,'Boletins Nuppa Site'!I588,"NULL")</f>
        <v>180</v>
      </c>
      <c r="G588" s="14">
        <f>IF('Boletins Nuppa Site'!J588&lt;&gt;0,'Boletins Nuppa Site'!J588,"NULL")</f>
        <v>145</v>
      </c>
      <c r="H588" s="14">
        <f>IF('Boletins Nuppa Site'!K588&lt;&gt;0,'Boletins Nuppa Site'!K588,"NULL")</f>
        <v>145</v>
      </c>
      <c r="I588" t="str">
        <f t="shared" si="18"/>
        <v>INSERT INTO COTACAO (cot_id, cot_blt_id, cot_pap_id, cot_prc_comum, cot_prc_min, cot_prc_max, cot_prc_med, cot_prc_mediana) VALUES (587, 51, 35, NULL, 110, 180, 145, 145);</v>
      </c>
      <c r="J588" t="str">
        <f t="shared" si="19"/>
        <v>UPDATE COTACAO SET cot_id = 587, cot_blt_id = 51, cot_pap_id = 35, cot_prc_comum = NULL, cot_prc_min = 110, cot_prc_max = 180, cot_prc_med = 145, cot_prc_mediana = 145 WHERE cot_id = 587;</v>
      </c>
    </row>
    <row r="589" spans="1:10" x14ac:dyDescent="0.3">
      <c r="A589">
        <v>588</v>
      </c>
      <c r="B589">
        <f>IF('Boletins Nuppa Site'!A589&lt;&gt;0,'Boletins Nuppa Site'!A589,"NULL")</f>
        <v>51</v>
      </c>
      <c r="C589">
        <v>36</v>
      </c>
      <c r="D589" t="str">
        <f>IF('Boletins Nuppa Site'!G589&lt;&gt;0,'Boletins Nuppa Site'!G589,"NULL")</f>
        <v>NULL</v>
      </c>
      <c r="E589" s="14">
        <f>IF('Boletins Nuppa Site'!H589&lt;&gt;0,'Boletins Nuppa Site'!H589,"NULL")</f>
        <v>110</v>
      </c>
      <c r="F589" s="14">
        <f>IF('Boletins Nuppa Site'!I589&lt;&gt;0,'Boletins Nuppa Site'!I589,"NULL")</f>
        <v>110</v>
      </c>
      <c r="G589" s="14">
        <f>IF('Boletins Nuppa Site'!J589&lt;&gt;0,'Boletins Nuppa Site'!J589,"NULL")</f>
        <v>110</v>
      </c>
      <c r="H589" s="14">
        <f>IF('Boletins Nuppa Site'!K589&lt;&gt;0,'Boletins Nuppa Site'!K589,"NULL")</f>
        <v>110</v>
      </c>
      <c r="I589" t="str">
        <f t="shared" si="18"/>
        <v>INSERT INTO COTACAO (cot_id, cot_blt_id, cot_pap_id, cot_prc_comum, cot_prc_min, cot_prc_max, cot_prc_med, cot_prc_mediana) VALUES (588, 51, 36, NULL, 110, 110, 110, 110);</v>
      </c>
      <c r="J589" t="str">
        <f t="shared" si="19"/>
        <v>UPDATE COTACAO SET cot_id = 588, cot_blt_id = 51, cot_pap_id = 36, cot_prc_comum = NULL, cot_prc_min = 110, cot_prc_max = 110, cot_prc_med = 110, cot_prc_mediana = 110 WHERE cot_id = 588;</v>
      </c>
    </row>
    <row r="590" spans="1:10" x14ac:dyDescent="0.3">
      <c r="A590">
        <v>589</v>
      </c>
      <c r="B590">
        <f>IF('Boletins Nuppa Site'!A590&lt;&gt;0,'Boletins Nuppa Site'!A590,"NULL")</f>
        <v>51</v>
      </c>
      <c r="C590">
        <v>37</v>
      </c>
      <c r="D590" s="14">
        <f>IF('Boletins Nuppa Site'!G590&lt;&gt;0,'Boletins Nuppa Site'!G590,"NULL")</f>
        <v>70</v>
      </c>
      <c r="E590" s="14">
        <f>IF('Boletins Nuppa Site'!H590&lt;&gt;0,'Boletins Nuppa Site'!H590,"NULL")</f>
        <v>70</v>
      </c>
      <c r="F590" s="14">
        <f>IF('Boletins Nuppa Site'!I590&lt;&gt;0,'Boletins Nuppa Site'!I590,"NULL")</f>
        <v>70</v>
      </c>
      <c r="G590" s="14">
        <f>IF('Boletins Nuppa Site'!J590&lt;&gt;0,'Boletins Nuppa Site'!J590,"NULL")</f>
        <v>70</v>
      </c>
      <c r="H590" s="14">
        <f>IF('Boletins Nuppa Site'!K590&lt;&gt;0,'Boletins Nuppa Site'!K590,"NULL")</f>
        <v>70</v>
      </c>
      <c r="I590" t="str">
        <f t="shared" si="18"/>
        <v>INSERT INTO COTACAO (cot_id, cot_blt_id, cot_pap_id, cot_prc_comum, cot_prc_min, cot_prc_max, cot_prc_med, cot_prc_mediana) VALUES (589, 51, 37, 70, 70, 70, 70, 70);</v>
      </c>
      <c r="J590" t="str">
        <f t="shared" si="19"/>
        <v>UPDATE COTACAO SET cot_id = 589, cot_blt_id = 51, cot_pap_id = 37, cot_prc_comum = 70, cot_prc_min = 70, cot_prc_max = 70, cot_prc_med = 70, cot_prc_mediana = 70 WHERE cot_id = 589;</v>
      </c>
    </row>
    <row r="591" spans="1:10" x14ac:dyDescent="0.3">
      <c r="A591">
        <v>590</v>
      </c>
      <c r="B591">
        <f>IF('Boletins Nuppa Site'!A591&lt;&gt;0,'Boletins Nuppa Site'!A591,"NULL")</f>
        <v>51</v>
      </c>
      <c r="C591">
        <v>38</v>
      </c>
      <c r="D591" t="str">
        <f>IF('Boletins Nuppa Site'!G591&lt;&gt;0,'Boletins Nuppa Site'!G591,"NULL")</f>
        <v>NULL</v>
      </c>
      <c r="E591" s="14">
        <f>IF('Boletins Nuppa Site'!H591&lt;&gt;0,'Boletins Nuppa Site'!H591,"NULL")</f>
        <v>50</v>
      </c>
      <c r="F591" s="14">
        <f>IF('Boletins Nuppa Site'!I591&lt;&gt;0,'Boletins Nuppa Site'!I591,"NULL")</f>
        <v>60</v>
      </c>
      <c r="G591" s="14">
        <f>IF('Boletins Nuppa Site'!J591&lt;&gt;0,'Boletins Nuppa Site'!J591,"NULL")</f>
        <v>55</v>
      </c>
      <c r="H591" s="14">
        <f>IF('Boletins Nuppa Site'!K591&lt;&gt;0,'Boletins Nuppa Site'!K591,"NULL")</f>
        <v>55</v>
      </c>
      <c r="I591" t="str">
        <f t="shared" si="18"/>
        <v>INSERT INTO COTACAO (cot_id, cot_blt_id, cot_pap_id, cot_prc_comum, cot_prc_min, cot_prc_max, cot_prc_med, cot_prc_mediana) VALUES (590, 51, 38, NULL, 50, 60, 55, 55);</v>
      </c>
      <c r="J591" t="str">
        <f t="shared" si="19"/>
        <v>UPDATE COTACAO SET cot_id = 590, cot_blt_id = 51, cot_pap_id = 38, cot_prc_comum = NULL, cot_prc_min = 50, cot_prc_max = 60, cot_prc_med = 55, cot_prc_mediana = 55 WHERE cot_id = 590;</v>
      </c>
    </row>
    <row r="592" spans="1:10" x14ac:dyDescent="0.3">
      <c r="A592">
        <v>591</v>
      </c>
      <c r="B592">
        <f>IF('Boletins Nuppa Site'!A592&lt;&gt;0,'Boletins Nuppa Site'!A592,"NULL")</f>
        <v>51</v>
      </c>
      <c r="C592">
        <v>39</v>
      </c>
      <c r="D592" t="str">
        <f>IF('Boletins Nuppa Site'!G592&lt;&gt;0,'Boletins Nuppa Site'!G592,"NULL")</f>
        <v>NULL</v>
      </c>
      <c r="E592" s="14">
        <f>IF('Boletins Nuppa Site'!H592&lt;&gt;0,'Boletins Nuppa Site'!H592,"NULL")</f>
        <v>55</v>
      </c>
      <c r="F592" s="14">
        <f>IF('Boletins Nuppa Site'!I592&lt;&gt;0,'Boletins Nuppa Site'!I592,"NULL")</f>
        <v>55</v>
      </c>
      <c r="G592" s="14">
        <f>IF('Boletins Nuppa Site'!J592&lt;&gt;0,'Boletins Nuppa Site'!J592,"NULL")</f>
        <v>55</v>
      </c>
      <c r="H592" s="14">
        <f>IF('Boletins Nuppa Site'!K592&lt;&gt;0,'Boletins Nuppa Site'!K592,"NULL")</f>
        <v>55</v>
      </c>
      <c r="I592" t="str">
        <f t="shared" si="18"/>
        <v>INSERT INTO COTACAO (cot_id, cot_blt_id, cot_pap_id, cot_prc_comum, cot_prc_min, cot_prc_max, cot_prc_med, cot_prc_mediana) VALUES (591, 51, 39, NULL, 55, 55, 55, 55);</v>
      </c>
      <c r="J592" t="str">
        <f t="shared" si="19"/>
        <v>UPDATE COTACAO SET cot_id = 591, cot_blt_id = 51, cot_pap_id = 39, cot_prc_comum = NULL, cot_prc_min = 55, cot_prc_max = 55, cot_prc_med = 55, cot_prc_mediana = 55 WHERE cot_id = 591;</v>
      </c>
    </row>
    <row r="593" spans="1:10" x14ac:dyDescent="0.3">
      <c r="A593">
        <v>592</v>
      </c>
      <c r="B593">
        <f>IF('Boletins Nuppa Site'!A593&lt;&gt;0,'Boletins Nuppa Site'!A593,"NULL")</f>
        <v>51</v>
      </c>
      <c r="C593">
        <v>40</v>
      </c>
      <c r="D593" t="str">
        <f>IF('Boletins Nuppa Site'!G593&lt;&gt;0,'Boletins Nuppa Site'!G593,"NULL")</f>
        <v>NULL</v>
      </c>
      <c r="E593" s="14">
        <f>IF('Boletins Nuppa Site'!H593&lt;&gt;0,'Boletins Nuppa Site'!H593,"NULL")</f>
        <v>40</v>
      </c>
      <c r="F593" s="14">
        <f>IF('Boletins Nuppa Site'!I593&lt;&gt;0,'Boletins Nuppa Site'!I593,"NULL")</f>
        <v>55</v>
      </c>
      <c r="G593" t="str">
        <f>IF('Boletins Nuppa Site'!J593&lt;&gt;0,'Boletins Nuppa Site'!J593,"NULL")</f>
        <v>47.5</v>
      </c>
      <c r="H593" t="str">
        <f>IF('Boletins Nuppa Site'!K593&lt;&gt;0,'Boletins Nuppa Site'!K593,"NULL")</f>
        <v>47.5</v>
      </c>
      <c r="I593" t="str">
        <f t="shared" si="18"/>
        <v>INSERT INTO COTACAO (cot_id, cot_blt_id, cot_pap_id, cot_prc_comum, cot_prc_min, cot_prc_max, cot_prc_med, cot_prc_mediana) VALUES (592, 51, 40, NULL, 40, 55, 47.5, 47.5);</v>
      </c>
      <c r="J593" t="str">
        <f t="shared" si="19"/>
        <v>UPDATE COTACAO SET cot_id = 592, cot_blt_id = 51, cot_pap_id = 40, cot_prc_comum = NULL, cot_prc_min = 40, cot_prc_max = 55, cot_prc_med = 47.5, cot_prc_mediana = 47.5 WHERE cot_id = 592;</v>
      </c>
    </row>
    <row r="594" spans="1:10" x14ac:dyDescent="0.3">
      <c r="A594">
        <v>593</v>
      </c>
      <c r="B594">
        <f>IF('Boletins Nuppa Site'!A594&lt;&gt;0,'Boletins Nuppa Site'!A594,"NULL")</f>
        <v>52</v>
      </c>
      <c r="C594">
        <v>1</v>
      </c>
      <c r="D594" t="str">
        <f>IF('Boletins Nuppa Site'!G594&lt;&gt;0,'Boletins Nuppa Site'!G594,"NULL")</f>
        <v>NULL</v>
      </c>
      <c r="E594" s="14">
        <f>IF('Boletins Nuppa Site'!H594&lt;&gt;0,'Boletins Nuppa Site'!H594,"NULL")</f>
        <v>60</v>
      </c>
      <c r="F594" s="14">
        <f>IF('Boletins Nuppa Site'!I594&lt;&gt;0,'Boletins Nuppa Site'!I594,"NULL")</f>
        <v>72</v>
      </c>
      <c r="G594" s="14">
        <f>IF('Boletins Nuppa Site'!J594&lt;&gt;0,'Boletins Nuppa Site'!J594,"NULL")</f>
        <v>66</v>
      </c>
      <c r="H594" s="14">
        <f>IF('Boletins Nuppa Site'!K594&lt;&gt;0,'Boletins Nuppa Site'!K594,"NULL")</f>
        <v>66</v>
      </c>
      <c r="I594" t="str">
        <f t="shared" si="18"/>
        <v>INSERT INTO COTACAO (cot_id, cot_blt_id, cot_pap_id, cot_prc_comum, cot_prc_min, cot_prc_max, cot_prc_med, cot_prc_mediana) VALUES (593, 52, 1, NULL, 60, 72, 66, 66);</v>
      </c>
      <c r="J594" t="str">
        <f t="shared" si="19"/>
        <v>UPDATE COTACAO SET cot_id = 593, cot_blt_id = 52, cot_pap_id = 1, cot_prc_comum = NULL, cot_prc_min = 60, cot_prc_max = 72, cot_prc_med = 66, cot_prc_mediana = 66 WHERE cot_id = 593;</v>
      </c>
    </row>
    <row r="595" spans="1:10" x14ac:dyDescent="0.3">
      <c r="A595">
        <v>594</v>
      </c>
      <c r="B595">
        <f>IF('Boletins Nuppa Site'!A595&lt;&gt;0,'Boletins Nuppa Site'!A595,"NULL")</f>
        <v>52</v>
      </c>
      <c r="C595">
        <v>2</v>
      </c>
      <c r="D595" s="14">
        <f>IF('Boletins Nuppa Site'!G595&lt;&gt;0,'Boletins Nuppa Site'!G595,"NULL")</f>
        <v>84</v>
      </c>
      <c r="E595" s="14">
        <f>IF('Boletins Nuppa Site'!H595&lt;&gt;0,'Boletins Nuppa Site'!H595,"NULL")</f>
        <v>72</v>
      </c>
      <c r="F595" s="14">
        <f>IF('Boletins Nuppa Site'!I595&lt;&gt;0,'Boletins Nuppa Site'!I595,"NULL")</f>
        <v>84</v>
      </c>
      <c r="G595" s="14">
        <f>IF('Boletins Nuppa Site'!J595&lt;&gt;0,'Boletins Nuppa Site'!J595,"NULL")</f>
        <v>80</v>
      </c>
      <c r="H595" s="14">
        <f>IF('Boletins Nuppa Site'!K595&lt;&gt;0,'Boletins Nuppa Site'!K595,"NULL")</f>
        <v>84</v>
      </c>
      <c r="I595" t="str">
        <f t="shared" si="18"/>
        <v>INSERT INTO COTACAO (cot_id, cot_blt_id, cot_pap_id, cot_prc_comum, cot_prc_min, cot_prc_max, cot_prc_med, cot_prc_mediana) VALUES (594, 52, 2, 84, 72, 84, 80, 84);</v>
      </c>
      <c r="J595" t="str">
        <f t="shared" si="19"/>
        <v>UPDATE COTACAO SET cot_id = 594, cot_blt_id = 52, cot_pap_id = 2, cot_prc_comum = 84, cot_prc_min = 72, cot_prc_max = 84, cot_prc_med = 80, cot_prc_mediana = 84 WHERE cot_id = 594;</v>
      </c>
    </row>
    <row r="596" spans="1:10" x14ac:dyDescent="0.3">
      <c r="A596">
        <v>595</v>
      </c>
      <c r="B596">
        <f>IF('Boletins Nuppa Site'!A596&lt;&gt;0,'Boletins Nuppa Site'!A596,"NULL")</f>
        <v>52</v>
      </c>
      <c r="C596">
        <v>3</v>
      </c>
      <c r="D596" t="str">
        <f>IF('Boletins Nuppa Site'!G596&lt;&gt;0,'Boletins Nuppa Site'!G596,"NULL")</f>
        <v>NULL</v>
      </c>
      <c r="E596" s="14">
        <f>IF('Boletins Nuppa Site'!H596&lt;&gt;0,'Boletins Nuppa Site'!H596,"NULL")</f>
        <v>42</v>
      </c>
      <c r="F596" s="14">
        <f>IF('Boletins Nuppa Site'!I596&lt;&gt;0,'Boletins Nuppa Site'!I596,"NULL")</f>
        <v>54</v>
      </c>
      <c r="G596" s="14">
        <f>IF('Boletins Nuppa Site'!J596&lt;&gt;0,'Boletins Nuppa Site'!J596,"NULL")</f>
        <v>47</v>
      </c>
      <c r="H596" s="14">
        <f>IF('Boletins Nuppa Site'!K596&lt;&gt;0,'Boletins Nuppa Site'!K596,"NULL")</f>
        <v>45</v>
      </c>
      <c r="I596" t="str">
        <f t="shared" si="18"/>
        <v>INSERT INTO COTACAO (cot_id, cot_blt_id, cot_pap_id, cot_prc_comum, cot_prc_min, cot_prc_max, cot_prc_med, cot_prc_mediana) VALUES (595, 52, 3, NULL, 42, 54, 47, 45);</v>
      </c>
      <c r="J596" t="str">
        <f t="shared" si="19"/>
        <v>UPDATE COTACAO SET cot_id = 595, cot_blt_id = 52, cot_pap_id = 3, cot_prc_comum = NULL, cot_prc_min = 42, cot_prc_max = 54, cot_prc_med = 47, cot_prc_mediana = 45 WHERE cot_id = 595;</v>
      </c>
    </row>
    <row r="597" spans="1:10" x14ac:dyDescent="0.3">
      <c r="A597">
        <v>596</v>
      </c>
      <c r="B597">
        <f>IF('Boletins Nuppa Site'!A597&lt;&gt;0,'Boletins Nuppa Site'!A597,"NULL")</f>
        <v>52</v>
      </c>
      <c r="C597">
        <v>4</v>
      </c>
      <c r="D597" s="14">
        <f>IF('Boletins Nuppa Site'!G597&lt;&gt;0,'Boletins Nuppa Site'!G597,"NULL")</f>
        <v>24</v>
      </c>
      <c r="E597" s="14">
        <f>IF('Boletins Nuppa Site'!H597&lt;&gt;0,'Boletins Nuppa Site'!H597,"NULL")</f>
        <v>20</v>
      </c>
      <c r="F597" s="14">
        <f>IF('Boletins Nuppa Site'!I597&lt;&gt;0,'Boletins Nuppa Site'!I597,"NULL")</f>
        <v>33</v>
      </c>
      <c r="G597" t="str">
        <f>IF('Boletins Nuppa Site'!J597&lt;&gt;0,'Boletins Nuppa Site'!J597,"NULL")</f>
        <v>25.25</v>
      </c>
      <c r="H597" s="14">
        <f>IF('Boletins Nuppa Site'!K597&lt;&gt;0,'Boletins Nuppa Site'!K597,"NULL")</f>
        <v>24</v>
      </c>
      <c r="I597" t="str">
        <f t="shared" si="18"/>
        <v>INSERT INTO COTACAO (cot_id, cot_blt_id, cot_pap_id, cot_prc_comum, cot_prc_min, cot_prc_max, cot_prc_med, cot_prc_mediana) VALUES (596, 52, 4, 24, 20, 33, 25.25, 24);</v>
      </c>
      <c r="J597" t="str">
        <f t="shared" si="19"/>
        <v>UPDATE COTACAO SET cot_id = 596, cot_blt_id = 52, cot_pap_id = 4, cot_prc_comum = 24, cot_prc_min = 20, cot_prc_max = 33, cot_prc_med = 25.25, cot_prc_mediana = 24 WHERE cot_id = 596;</v>
      </c>
    </row>
    <row r="598" spans="1:10" x14ac:dyDescent="0.3">
      <c r="A598">
        <v>597</v>
      </c>
      <c r="B598">
        <f>IF('Boletins Nuppa Site'!A598&lt;&gt;0,'Boletins Nuppa Site'!A598,"NULL")</f>
        <v>52</v>
      </c>
      <c r="C598">
        <v>5</v>
      </c>
      <c r="D598" t="str">
        <f>IF('Boletins Nuppa Site'!G598&lt;&gt;0,'Boletins Nuppa Site'!G598,"NULL")</f>
        <v>NULL</v>
      </c>
      <c r="E598" s="14">
        <f>IF('Boletins Nuppa Site'!H598&lt;&gt;0,'Boletins Nuppa Site'!H598,"NULL")</f>
        <v>20</v>
      </c>
      <c r="F598" s="14">
        <f>IF('Boletins Nuppa Site'!I598&lt;&gt;0,'Boletins Nuppa Site'!I598,"NULL")</f>
        <v>33</v>
      </c>
      <c r="G598" t="str">
        <f>IF('Boletins Nuppa Site'!J598&lt;&gt;0,'Boletins Nuppa Site'!J598,"NULL")</f>
        <v>25.67</v>
      </c>
      <c r="H598" s="14">
        <f>IF('Boletins Nuppa Site'!K598&lt;&gt;0,'Boletins Nuppa Site'!K598,"NULL")</f>
        <v>24</v>
      </c>
      <c r="I598" t="str">
        <f t="shared" si="18"/>
        <v>INSERT INTO COTACAO (cot_id, cot_blt_id, cot_pap_id, cot_prc_comum, cot_prc_min, cot_prc_max, cot_prc_med, cot_prc_mediana) VALUES (597, 52, 5, NULL, 20, 33, 25.67, 24);</v>
      </c>
      <c r="J598" t="str">
        <f t="shared" si="19"/>
        <v>UPDATE COTACAO SET cot_id = 597, cot_blt_id = 52, cot_pap_id = 5, cot_prc_comum = NULL, cot_prc_min = 20, cot_prc_max = 33, cot_prc_med = 25.67, cot_prc_mediana = 24 WHERE cot_id = 597;</v>
      </c>
    </row>
    <row r="599" spans="1:10" x14ac:dyDescent="0.3">
      <c r="A599">
        <v>598</v>
      </c>
      <c r="B599">
        <f>IF('Boletins Nuppa Site'!A599&lt;&gt;0,'Boletins Nuppa Site'!A599,"NULL")</f>
        <v>52</v>
      </c>
      <c r="C599">
        <v>6</v>
      </c>
      <c r="D599" s="14">
        <f>IF('Boletins Nuppa Site'!G599&lt;&gt;0,'Boletins Nuppa Site'!G599,"NULL")</f>
        <v>60</v>
      </c>
      <c r="E599" s="14">
        <f>IF('Boletins Nuppa Site'!H599&lt;&gt;0,'Boletins Nuppa Site'!H599,"NULL")</f>
        <v>60</v>
      </c>
      <c r="F599" s="14">
        <f>IF('Boletins Nuppa Site'!I599&lt;&gt;0,'Boletins Nuppa Site'!I599,"NULL")</f>
        <v>60</v>
      </c>
      <c r="G599" s="14">
        <f>IF('Boletins Nuppa Site'!J599&lt;&gt;0,'Boletins Nuppa Site'!J599,"NULL")</f>
        <v>60</v>
      </c>
      <c r="H599" s="14">
        <f>IF('Boletins Nuppa Site'!K599&lt;&gt;0,'Boletins Nuppa Site'!K599,"NULL")</f>
        <v>60</v>
      </c>
      <c r="I599" t="str">
        <f t="shared" si="18"/>
        <v>INSERT INTO COTACAO (cot_id, cot_blt_id, cot_pap_id, cot_prc_comum, cot_prc_min, cot_prc_max, cot_prc_med, cot_prc_mediana) VALUES (598, 52, 6, 60, 60, 60, 60, 60);</v>
      </c>
      <c r="J599" t="str">
        <f t="shared" si="19"/>
        <v>UPDATE COTACAO SET cot_id = 598, cot_blt_id = 52, cot_pap_id = 6, cot_prc_comum = 60, cot_prc_min = 60, cot_prc_max = 60, cot_prc_med = 60, cot_prc_mediana = 60 WHERE cot_id = 598;</v>
      </c>
    </row>
    <row r="600" spans="1:10" x14ac:dyDescent="0.3">
      <c r="A600">
        <v>599</v>
      </c>
      <c r="B600">
        <f>IF('Boletins Nuppa Site'!A600&lt;&gt;0,'Boletins Nuppa Site'!A600,"NULL")</f>
        <v>52</v>
      </c>
      <c r="C600">
        <v>7</v>
      </c>
      <c r="D600" s="14">
        <f>IF('Boletins Nuppa Site'!G600&lt;&gt;0,'Boletins Nuppa Site'!G600,"NULL")</f>
        <v>72</v>
      </c>
      <c r="E600" s="14">
        <f>IF('Boletins Nuppa Site'!H600&lt;&gt;0,'Boletins Nuppa Site'!H600,"NULL")</f>
        <v>72</v>
      </c>
      <c r="F600" s="14">
        <f>IF('Boletins Nuppa Site'!I600&lt;&gt;0,'Boletins Nuppa Site'!I600,"NULL")</f>
        <v>84</v>
      </c>
      <c r="G600" s="14">
        <f>IF('Boletins Nuppa Site'!J600&lt;&gt;0,'Boletins Nuppa Site'!J600,"NULL")</f>
        <v>76</v>
      </c>
      <c r="H600" s="14">
        <f>IF('Boletins Nuppa Site'!K600&lt;&gt;0,'Boletins Nuppa Site'!K600,"NULL")</f>
        <v>72</v>
      </c>
      <c r="I600" t="str">
        <f t="shared" si="18"/>
        <v>INSERT INTO COTACAO (cot_id, cot_blt_id, cot_pap_id, cot_prc_comum, cot_prc_min, cot_prc_max, cot_prc_med, cot_prc_mediana) VALUES (599, 52, 7, 72, 72, 84, 76, 72);</v>
      </c>
      <c r="J600" t="str">
        <f t="shared" si="19"/>
        <v>UPDATE COTACAO SET cot_id = 599, cot_blt_id = 52, cot_pap_id = 7, cot_prc_comum = 72, cot_prc_min = 72, cot_prc_max = 84, cot_prc_med = 76, cot_prc_mediana = 72 WHERE cot_id = 599;</v>
      </c>
    </row>
    <row r="601" spans="1:10" x14ac:dyDescent="0.3">
      <c r="A601">
        <v>600</v>
      </c>
      <c r="B601">
        <f>IF('Boletins Nuppa Site'!A601&lt;&gt;0,'Boletins Nuppa Site'!A601,"NULL")</f>
        <v>52</v>
      </c>
      <c r="C601">
        <v>8</v>
      </c>
      <c r="D601" t="str">
        <f>IF('Boletins Nuppa Site'!G601&lt;&gt;0,'Boletins Nuppa Site'!G601,"NULL")</f>
        <v>NULL</v>
      </c>
      <c r="E601" s="14">
        <f>IF('Boletins Nuppa Site'!H601&lt;&gt;0,'Boletins Nuppa Site'!H601,"NULL")</f>
        <v>84</v>
      </c>
      <c r="F601" s="14">
        <f>IF('Boletins Nuppa Site'!I601&lt;&gt;0,'Boletins Nuppa Site'!I601,"NULL")</f>
        <v>96</v>
      </c>
      <c r="G601" t="str">
        <f>IF('Boletins Nuppa Site'!J601&lt;&gt;0,'Boletins Nuppa Site'!J601,"NULL")</f>
        <v>91.67</v>
      </c>
      <c r="H601" s="14">
        <f>IF('Boletins Nuppa Site'!K601&lt;&gt;0,'Boletins Nuppa Site'!K601,"NULL")</f>
        <v>95</v>
      </c>
      <c r="I601" t="str">
        <f t="shared" si="18"/>
        <v>INSERT INTO COTACAO (cot_id, cot_blt_id, cot_pap_id, cot_prc_comum, cot_prc_min, cot_prc_max, cot_prc_med, cot_prc_mediana) VALUES (600, 52, 8, NULL, 84, 96, 91.67, 95);</v>
      </c>
      <c r="J601" t="str">
        <f t="shared" si="19"/>
        <v>UPDATE COTACAO SET cot_id = 600, cot_blt_id = 52, cot_pap_id = 8, cot_prc_comum = NULL, cot_prc_min = 84, cot_prc_max = 96, cot_prc_med = 91.67, cot_prc_mediana = 95 WHERE cot_id = 600;</v>
      </c>
    </row>
    <row r="602" spans="1:10" x14ac:dyDescent="0.3">
      <c r="A602">
        <v>601</v>
      </c>
      <c r="B602">
        <f>IF('Boletins Nuppa Site'!A602&lt;&gt;0,'Boletins Nuppa Site'!A602,"NULL")</f>
        <v>52</v>
      </c>
      <c r="C602">
        <v>9</v>
      </c>
      <c r="D602" s="14">
        <f>IF('Boletins Nuppa Site'!G602&lt;&gt;0,'Boletins Nuppa Site'!G602,"NULL")</f>
        <v>24</v>
      </c>
      <c r="E602" s="14">
        <f>IF('Boletins Nuppa Site'!H602&lt;&gt;0,'Boletins Nuppa Site'!H602,"NULL")</f>
        <v>6</v>
      </c>
      <c r="F602" s="14">
        <f>IF('Boletins Nuppa Site'!I602&lt;&gt;0,'Boletins Nuppa Site'!I602,"NULL")</f>
        <v>30</v>
      </c>
      <c r="G602" s="14">
        <f>IF('Boletins Nuppa Site'!J602&lt;&gt;0,'Boletins Nuppa Site'!J602,"NULL")</f>
        <v>21</v>
      </c>
      <c r="H602" s="14">
        <f>IF('Boletins Nuppa Site'!K602&lt;&gt;0,'Boletins Nuppa Site'!K602,"NULL")</f>
        <v>24</v>
      </c>
      <c r="I602" t="str">
        <f t="shared" si="18"/>
        <v>INSERT INTO COTACAO (cot_id, cot_blt_id, cot_pap_id, cot_prc_comum, cot_prc_min, cot_prc_max, cot_prc_med, cot_prc_mediana) VALUES (601, 52, 9, 24, 6, 30, 21, 24);</v>
      </c>
      <c r="J602" t="str">
        <f t="shared" si="19"/>
        <v>UPDATE COTACAO SET cot_id = 601, cot_blt_id = 52, cot_pap_id = 9, cot_prc_comum = 24, cot_prc_min = 6, cot_prc_max = 30, cot_prc_med = 21, cot_prc_mediana = 24 WHERE cot_id = 601;</v>
      </c>
    </row>
    <row r="603" spans="1:10" x14ac:dyDescent="0.3">
      <c r="A603">
        <v>602</v>
      </c>
      <c r="B603">
        <f>IF('Boletins Nuppa Site'!A603&lt;&gt;0,'Boletins Nuppa Site'!A603,"NULL")</f>
        <v>52</v>
      </c>
      <c r="C603">
        <v>10</v>
      </c>
      <c r="D603" s="14">
        <f>IF('Boletins Nuppa Site'!G603&lt;&gt;0,'Boletins Nuppa Site'!G603,"NULL")</f>
        <v>96</v>
      </c>
      <c r="E603" s="14">
        <f>IF('Boletins Nuppa Site'!H603&lt;&gt;0,'Boletins Nuppa Site'!H603,"NULL")</f>
        <v>90</v>
      </c>
      <c r="F603" s="14">
        <f>IF('Boletins Nuppa Site'!I603&lt;&gt;0,'Boletins Nuppa Site'!I603,"NULL")</f>
        <v>96</v>
      </c>
      <c r="G603" s="14">
        <f>IF('Boletins Nuppa Site'!J603&lt;&gt;0,'Boletins Nuppa Site'!J603,"NULL")</f>
        <v>94</v>
      </c>
      <c r="H603" s="14">
        <f>IF('Boletins Nuppa Site'!K603&lt;&gt;0,'Boletins Nuppa Site'!K603,"NULL")</f>
        <v>96</v>
      </c>
      <c r="I603" t="str">
        <f t="shared" si="18"/>
        <v>INSERT INTO COTACAO (cot_id, cot_blt_id, cot_pap_id, cot_prc_comum, cot_prc_min, cot_prc_max, cot_prc_med, cot_prc_mediana) VALUES (602, 52, 10, 96, 90, 96, 94, 96);</v>
      </c>
      <c r="J603" t="str">
        <f t="shared" si="19"/>
        <v>UPDATE COTACAO SET cot_id = 602, cot_blt_id = 52, cot_pap_id = 10, cot_prc_comum = 96, cot_prc_min = 90, cot_prc_max = 96, cot_prc_med = 94, cot_prc_mediana = 96 WHERE cot_id = 602;</v>
      </c>
    </row>
    <row r="604" spans="1:10" x14ac:dyDescent="0.3">
      <c r="A604">
        <v>603</v>
      </c>
      <c r="B604">
        <f>IF('Boletins Nuppa Site'!A604&lt;&gt;0,'Boletins Nuppa Site'!A604,"NULL")</f>
        <v>52</v>
      </c>
      <c r="C604">
        <v>11</v>
      </c>
      <c r="D604" t="str">
        <f>IF('Boletins Nuppa Site'!G604&lt;&gt;0,'Boletins Nuppa Site'!G604,"NULL")</f>
        <v>NULL</v>
      </c>
      <c r="E604" s="14">
        <f>IF('Boletins Nuppa Site'!H604&lt;&gt;0,'Boletins Nuppa Site'!H604,"NULL")</f>
        <v>20</v>
      </c>
      <c r="F604" s="14">
        <f>IF('Boletins Nuppa Site'!I604&lt;&gt;0,'Boletins Nuppa Site'!I604,"NULL")</f>
        <v>33</v>
      </c>
      <c r="G604" t="str">
        <f>IF('Boletins Nuppa Site'!J604&lt;&gt;0,'Boletins Nuppa Site'!J604,"NULL")</f>
        <v>27.67</v>
      </c>
      <c r="H604" s="14">
        <f>IF('Boletins Nuppa Site'!K604&lt;&gt;0,'Boletins Nuppa Site'!K604,"NULL")</f>
        <v>30</v>
      </c>
      <c r="I604" t="str">
        <f t="shared" si="18"/>
        <v>INSERT INTO COTACAO (cot_id, cot_blt_id, cot_pap_id, cot_prc_comum, cot_prc_min, cot_prc_max, cot_prc_med, cot_prc_mediana) VALUES (603, 52, 11, NULL, 20, 33, 27.67, 30);</v>
      </c>
      <c r="J604" t="str">
        <f t="shared" si="19"/>
        <v>UPDATE COTACAO SET cot_id = 603, cot_blt_id = 52, cot_pap_id = 11, cot_prc_comum = NULL, cot_prc_min = 20, cot_prc_max = 33, cot_prc_med = 27.67, cot_prc_mediana = 30 WHERE cot_id = 603;</v>
      </c>
    </row>
    <row r="605" spans="1:10" x14ac:dyDescent="0.3">
      <c r="A605">
        <v>604</v>
      </c>
      <c r="B605">
        <f>IF('Boletins Nuppa Site'!A605&lt;&gt;0,'Boletins Nuppa Site'!A605,"NULL")</f>
        <v>52</v>
      </c>
      <c r="C605">
        <v>12</v>
      </c>
      <c r="D605" s="14">
        <f>IF('Boletins Nuppa Site'!G605&lt;&gt;0,'Boletins Nuppa Site'!G605,"NULL")</f>
        <v>78</v>
      </c>
      <c r="E605" s="14">
        <f>IF('Boletins Nuppa Site'!H605&lt;&gt;0,'Boletins Nuppa Site'!H605,"NULL")</f>
        <v>78</v>
      </c>
      <c r="F605" s="14">
        <f>IF('Boletins Nuppa Site'!I605&lt;&gt;0,'Boletins Nuppa Site'!I605,"NULL")</f>
        <v>84</v>
      </c>
      <c r="G605" s="14">
        <f>IF('Boletins Nuppa Site'!J605&lt;&gt;0,'Boletins Nuppa Site'!J605,"NULL")</f>
        <v>80</v>
      </c>
      <c r="H605" s="14">
        <f>IF('Boletins Nuppa Site'!K605&lt;&gt;0,'Boletins Nuppa Site'!K605,"NULL")</f>
        <v>78</v>
      </c>
      <c r="I605" t="str">
        <f t="shared" si="18"/>
        <v>INSERT INTO COTACAO (cot_id, cot_blt_id, cot_pap_id, cot_prc_comum, cot_prc_min, cot_prc_max, cot_prc_med, cot_prc_mediana) VALUES (604, 52, 12, 78, 78, 84, 80, 78);</v>
      </c>
      <c r="J605" t="str">
        <f t="shared" si="19"/>
        <v>UPDATE COTACAO SET cot_id = 604, cot_blt_id = 52, cot_pap_id = 12, cot_prc_comum = 78, cot_prc_min = 78, cot_prc_max = 84, cot_prc_med = 80, cot_prc_mediana = 78 WHERE cot_id = 604;</v>
      </c>
    </row>
    <row r="606" spans="1:10" x14ac:dyDescent="0.3">
      <c r="A606">
        <v>605</v>
      </c>
      <c r="B606">
        <f>IF('Boletins Nuppa Site'!A606&lt;&gt;0,'Boletins Nuppa Site'!A606,"NULL")</f>
        <v>52</v>
      </c>
      <c r="C606">
        <v>13</v>
      </c>
      <c r="D606" s="14">
        <f>IF('Boletins Nuppa Site'!G606&lt;&gt;0,'Boletins Nuppa Site'!G606,"NULL")</f>
        <v>72</v>
      </c>
      <c r="E606" s="14">
        <f>IF('Boletins Nuppa Site'!H606&lt;&gt;0,'Boletins Nuppa Site'!H606,"NULL")</f>
        <v>72</v>
      </c>
      <c r="F606" s="14">
        <f>IF('Boletins Nuppa Site'!I606&lt;&gt;0,'Boletins Nuppa Site'!I606,"NULL")</f>
        <v>78</v>
      </c>
      <c r="G606" s="14">
        <f>IF('Boletins Nuppa Site'!J606&lt;&gt;0,'Boletins Nuppa Site'!J606,"NULL")</f>
        <v>74</v>
      </c>
      <c r="H606" s="14">
        <f>IF('Boletins Nuppa Site'!K606&lt;&gt;0,'Boletins Nuppa Site'!K606,"NULL")</f>
        <v>72</v>
      </c>
      <c r="I606" t="str">
        <f t="shared" si="18"/>
        <v>INSERT INTO COTACAO (cot_id, cot_blt_id, cot_pap_id, cot_prc_comum, cot_prc_min, cot_prc_max, cot_prc_med, cot_prc_mediana) VALUES (605, 52, 13, 72, 72, 78, 74, 72);</v>
      </c>
      <c r="J606" t="str">
        <f t="shared" si="19"/>
        <v>UPDATE COTACAO SET cot_id = 605, cot_blt_id = 52, cot_pap_id = 13, cot_prc_comum = 72, cot_prc_min = 72, cot_prc_max = 78, cot_prc_med = 74, cot_prc_mediana = 72 WHERE cot_id = 605;</v>
      </c>
    </row>
    <row r="607" spans="1:10" x14ac:dyDescent="0.3">
      <c r="A607">
        <v>606</v>
      </c>
      <c r="B607">
        <f>IF('Boletins Nuppa Site'!A607&lt;&gt;0,'Boletins Nuppa Site'!A607,"NULL")</f>
        <v>52</v>
      </c>
      <c r="C607">
        <v>14</v>
      </c>
      <c r="D607" t="str">
        <f>IF('Boletins Nuppa Site'!G607&lt;&gt;0,'Boletins Nuppa Site'!G607,"NULL")</f>
        <v>NULL</v>
      </c>
      <c r="E607" s="14">
        <f>IF('Boletins Nuppa Site'!H607&lt;&gt;0,'Boletins Nuppa Site'!H607,"NULL")</f>
        <v>55</v>
      </c>
      <c r="F607" s="14">
        <f>IF('Boletins Nuppa Site'!I607&lt;&gt;0,'Boletins Nuppa Site'!I607,"NULL")</f>
        <v>86</v>
      </c>
      <c r="G607" s="14">
        <f>IF('Boletins Nuppa Site'!J607&lt;&gt;0,'Boletins Nuppa Site'!J607,"NULL")</f>
        <v>75</v>
      </c>
      <c r="H607" s="14">
        <f>IF('Boletins Nuppa Site'!K607&lt;&gt;0,'Boletins Nuppa Site'!K607,"NULL")</f>
        <v>84</v>
      </c>
      <c r="I607" t="str">
        <f t="shared" si="18"/>
        <v>INSERT INTO COTACAO (cot_id, cot_blt_id, cot_pap_id, cot_prc_comum, cot_prc_min, cot_prc_max, cot_prc_med, cot_prc_mediana) VALUES (606, 52, 14, NULL, 55, 86, 75, 84);</v>
      </c>
      <c r="J607" t="str">
        <f t="shared" si="19"/>
        <v>UPDATE COTACAO SET cot_id = 606, cot_blt_id = 52, cot_pap_id = 14, cot_prc_comum = NULL, cot_prc_min = 55, cot_prc_max = 86, cot_prc_med = 75, cot_prc_mediana = 84 WHERE cot_id = 606;</v>
      </c>
    </row>
    <row r="608" spans="1:10" x14ac:dyDescent="0.3">
      <c r="A608">
        <v>607</v>
      </c>
      <c r="B608">
        <f>IF('Boletins Nuppa Site'!A608&lt;&gt;0,'Boletins Nuppa Site'!A608,"NULL")</f>
        <v>52</v>
      </c>
      <c r="C608">
        <v>15</v>
      </c>
      <c r="D608" s="14">
        <f>IF('Boletins Nuppa Site'!G608&lt;&gt;0,'Boletins Nuppa Site'!G608,"NULL")</f>
        <v>60</v>
      </c>
      <c r="E608" s="14">
        <f>IF('Boletins Nuppa Site'!H608&lt;&gt;0,'Boletins Nuppa Site'!H608,"NULL")</f>
        <v>50</v>
      </c>
      <c r="F608" s="14">
        <f>IF('Boletins Nuppa Site'!I608&lt;&gt;0,'Boletins Nuppa Site'!I608,"NULL")</f>
        <v>72</v>
      </c>
      <c r="G608" t="str">
        <f>IF('Boletins Nuppa Site'!J608&lt;&gt;0,'Boletins Nuppa Site'!J608,"NULL")</f>
        <v>60.5</v>
      </c>
      <c r="H608" s="14">
        <f>IF('Boletins Nuppa Site'!K608&lt;&gt;0,'Boletins Nuppa Site'!K608,"NULL")</f>
        <v>60</v>
      </c>
      <c r="I608" t="str">
        <f t="shared" si="18"/>
        <v>INSERT INTO COTACAO (cot_id, cot_blt_id, cot_pap_id, cot_prc_comum, cot_prc_min, cot_prc_max, cot_prc_med, cot_prc_mediana) VALUES (607, 52, 15, 60, 50, 72, 60.5, 60);</v>
      </c>
      <c r="J608" t="str">
        <f t="shared" si="19"/>
        <v>UPDATE COTACAO SET cot_id = 607, cot_blt_id = 52, cot_pap_id = 15, cot_prc_comum = 60, cot_prc_min = 50, cot_prc_max = 72, cot_prc_med = 60.5, cot_prc_mediana = 60 WHERE cot_id = 607;</v>
      </c>
    </row>
    <row r="609" spans="1:10" x14ac:dyDescent="0.3">
      <c r="A609">
        <v>608</v>
      </c>
      <c r="B609">
        <f>IF('Boletins Nuppa Site'!A609&lt;&gt;0,'Boletins Nuppa Site'!A609,"NULL")</f>
        <v>52</v>
      </c>
      <c r="C609">
        <v>16</v>
      </c>
      <c r="D609" s="14">
        <f>IF('Boletins Nuppa Site'!G609&lt;&gt;0,'Boletins Nuppa Site'!G609,"NULL")</f>
        <v>54</v>
      </c>
      <c r="E609" s="14">
        <f>IF('Boletins Nuppa Site'!H609&lt;&gt;0,'Boletins Nuppa Site'!H609,"NULL")</f>
        <v>48</v>
      </c>
      <c r="F609" s="14">
        <f>IF('Boletins Nuppa Site'!I609&lt;&gt;0,'Boletins Nuppa Site'!I609,"NULL")</f>
        <v>54</v>
      </c>
      <c r="G609" s="14">
        <f>IF('Boletins Nuppa Site'!J609&lt;&gt;0,'Boletins Nuppa Site'!J609,"NULL")</f>
        <v>52</v>
      </c>
      <c r="H609" s="14">
        <f>IF('Boletins Nuppa Site'!K609&lt;&gt;0,'Boletins Nuppa Site'!K609,"NULL")</f>
        <v>54</v>
      </c>
      <c r="I609" t="str">
        <f t="shared" si="18"/>
        <v>INSERT INTO COTACAO (cot_id, cot_blt_id, cot_pap_id, cot_prc_comum, cot_prc_min, cot_prc_max, cot_prc_med, cot_prc_mediana) VALUES (608, 52, 16, 54, 48, 54, 52, 54);</v>
      </c>
      <c r="J609" t="str">
        <f t="shared" si="19"/>
        <v>UPDATE COTACAO SET cot_id = 608, cot_blt_id = 52, cot_pap_id = 16, cot_prc_comum = 54, cot_prc_min = 48, cot_prc_max = 54, cot_prc_med = 52, cot_prc_mediana = 54 WHERE cot_id = 608;</v>
      </c>
    </row>
    <row r="610" spans="1:10" x14ac:dyDescent="0.3">
      <c r="A610">
        <v>609</v>
      </c>
      <c r="B610">
        <f>IF('Boletins Nuppa Site'!A610&lt;&gt;0,'Boletins Nuppa Site'!A610,"NULL")</f>
        <v>52</v>
      </c>
      <c r="C610">
        <v>17</v>
      </c>
      <c r="D610" s="14">
        <f>IF('Boletins Nuppa Site'!G610&lt;&gt;0,'Boletins Nuppa Site'!G610,"NULL")</f>
        <v>5</v>
      </c>
      <c r="E610" s="14">
        <f>IF('Boletins Nuppa Site'!H610&lt;&gt;0,'Boletins Nuppa Site'!H610,"NULL")</f>
        <v>5</v>
      </c>
      <c r="F610" s="14">
        <f>IF('Boletins Nuppa Site'!I610&lt;&gt;0,'Boletins Nuppa Site'!I610,"NULL")</f>
        <v>5</v>
      </c>
      <c r="G610" s="14">
        <f>IF('Boletins Nuppa Site'!J610&lt;&gt;0,'Boletins Nuppa Site'!J610,"NULL")</f>
        <v>5</v>
      </c>
      <c r="H610" s="14">
        <f>IF('Boletins Nuppa Site'!K610&lt;&gt;0,'Boletins Nuppa Site'!K610,"NULL")</f>
        <v>5</v>
      </c>
      <c r="I610" t="str">
        <f t="shared" si="18"/>
        <v>INSERT INTO COTACAO (cot_id, cot_blt_id, cot_pap_id, cot_prc_comum, cot_prc_min, cot_prc_max, cot_prc_med, cot_prc_mediana) VALUES (609, 52, 17, 5, 5, 5, 5, 5);</v>
      </c>
      <c r="J610" t="str">
        <f t="shared" si="19"/>
        <v>UPDATE COTACAO SET cot_id = 609, cot_blt_id = 52, cot_pap_id = 17, cot_prc_comum = 5, cot_prc_min = 5, cot_prc_max = 5, cot_prc_med = 5, cot_prc_mediana = 5 WHERE cot_id = 609;</v>
      </c>
    </row>
    <row r="611" spans="1:10" x14ac:dyDescent="0.3">
      <c r="A611">
        <v>610</v>
      </c>
      <c r="B611">
        <f>IF('Boletins Nuppa Site'!A611&lt;&gt;0,'Boletins Nuppa Site'!A611,"NULL")</f>
        <v>52</v>
      </c>
      <c r="C611">
        <v>18</v>
      </c>
      <c r="D611" s="14">
        <f>IF('Boletins Nuppa Site'!G611&lt;&gt;0,'Boletins Nuppa Site'!G611,"NULL")</f>
        <v>25</v>
      </c>
      <c r="E611" s="14">
        <f>IF('Boletins Nuppa Site'!H611&lt;&gt;0,'Boletins Nuppa Site'!H611,"NULL")</f>
        <v>25</v>
      </c>
      <c r="F611" s="14">
        <f>IF('Boletins Nuppa Site'!I611&lt;&gt;0,'Boletins Nuppa Site'!I611,"NULL")</f>
        <v>28</v>
      </c>
      <c r="G611" s="14">
        <f>IF('Boletins Nuppa Site'!J611&lt;&gt;0,'Boletins Nuppa Site'!J611,"NULL")</f>
        <v>26</v>
      </c>
      <c r="H611" s="14">
        <f>IF('Boletins Nuppa Site'!K611&lt;&gt;0,'Boletins Nuppa Site'!K611,"NULL")</f>
        <v>25</v>
      </c>
      <c r="I611" t="str">
        <f t="shared" si="18"/>
        <v>INSERT INTO COTACAO (cot_id, cot_blt_id, cot_pap_id, cot_prc_comum, cot_prc_min, cot_prc_max, cot_prc_med, cot_prc_mediana) VALUES (610, 52, 18, 25, 25, 28, 26, 25);</v>
      </c>
      <c r="J611" t="str">
        <f t="shared" si="19"/>
        <v>UPDATE COTACAO SET cot_id = 610, cot_blt_id = 52, cot_pap_id = 18, cot_prc_comum = 25, cot_prc_min = 25, cot_prc_max = 28, cot_prc_med = 26, cot_prc_mediana = 25 WHERE cot_id = 610;</v>
      </c>
    </row>
    <row r="612" spans="1:10" x14ac:dyDescent="0.3">
      <c r="A612">
        <v>611</v>
      </c>
      <c r="B612">
        <f>IF('Boletins Nuppa Site'!A612&lt;&gt;0,'Boletins Nuppa Site'!A612,"NULL")</f>
        <v>52</v>
      </c>
      <c r="C612">
        <v>19</v>
      </c>
      <c r="D612" s="14">
        <f>IF('Boletins Nuppa Site'!G612&lt;&gt;0,'Boletins Nuppa Site'!G612,"NULL")</f>
        <v>30</v>
      </c>
      <c r="E612" s="14">
        <f>IF('Boletins Nuppa Site'!H612&lt;&gt;0,'Boletins Nuppa Site'!H612,"NULL")</f>
        <v>30</v>
      </c>
      <c r="F612" s="14">
        <f>IF('Boletins Nuppa Site'!I612&lt;&gt;0,'Boletins Nuppa Site'!I612,"NULL")</f>
        <v>35</v>
      </c>
      <c r="G612" t="str">
        <f>IF('Boletins Nuppa Site'!J612&lt;&gt;0,'Boletins Nuppa Site'!J612,"NULL")</f>
        <v>31.67</v>
      </c>
      <c r="H612" s="14">
        <f>IF('Boletins Nuppa Site'!K612&lt;&gt;0,'Boletins Nuppa Site'!K612,"NULL")</f>
        <v>30</v>
      </c>
      <c r="I612" t="str">
        <f t="shared" si="18"/>
        <v>INSERT INTO COTACAO (cot_id, cot_blt_id, cot_pap_id, cot_prc_comum, cot_prc_min, cot_prc_max, cot_prc_med, cot_prc_mediana) VALUES (611, 52, 19, 30, 30, 35, 31.67, 30);</v>
      </c>
      <c r="J612" t="str">
        <f t="shared" si="19"/>
        <v>UPDATE COTACAO SET cot_id = 611, cot_blt_id = 52, cot_pap_id = 19, cot_prc_comum = 30, cot_prc_min = 30, cot_prc_max = 35, cot_prc_med = 31.67, cot_prc_mediana = 30 WHERE cot_id = 611;</v>
      </c>
    </row>
    <row r="613" spans="1:10" x14ac:dyDescent="0.3">
      <c r="A613">
        <v>612</v>
      </c>
      <c r="B613">
        <f>IF('Boletins Nuppa Site'!A613&lt;&gt;0,'Boletins Nuppa Site'!A613,"NULL")</f>
        <v>52</v>
      </c>
      <c r="C613">
        <v>20</v>
      </c>
      <c r="D613" t="str">
        <f>IF('Boletins Nuppa Site'!G613&lt;&gt;0,'Boletins Nuppa Site'!G613,"NULL")</f>
        <v>NULL</v>
      </c>
      <c r="E613" s="14">
        <f>IF('Boletins Nuppa Site'!H613&lt;&gt;0,'Boletins Nuppa Site'!H613,"NULL")</f>
        <v>85</v>
      </c>
      <c r="F613" s="14">
        <f>IF('Boletins Nuppa Site'!I613&lt;&gt;0,'Boletins Nuppa Site'!I613,"NULL")</f>
        <v>90</v>
      </c>
      <c r="G613" t="str">
        <f>IF('Boletins Nuppa Site'!J613&lt;&gt;0,'Boletins Nuppa Site'!J613,"NULL")</f>
        <v>87.5</v>
      </c>
      <c r="H613" t="str">
        <f>IF('Boletins Nuppa Site'!K613&lt;&gt;0,'Boletins Nuppa Site'!K613,"NULL")</f>
        <v>87.5</v>
      </c>
      <c r="I613" t="str">
        <f t="shared" si="18"/>
        <v>INSERT INTO COTACAO (cot_id, cot_blt_id, cot_pap_id, cot_prc_comum, cot_prc_min, cot_prc_max, cot_prc_med, cot_prc_mediana) VALUES (612, 52, 20, NULL, 85, 90, 87.5, 87.5);</v>
      </c>
      <c r="J613" t="str">
        <f t="shared" si="19"/>
        <v>UPDATE COTACAO SET cot_id = 612, cot_blt_id = 52, cot_pap_id = 20, cot_prc_comum = NULL, cot_prc_min = 85, cot_prc_max = 90, cot_prc_med = 87.5, cot_prc_mediana = 87.5 WHERE cot_id = 612;</v>
      </c>
    </row>
    <row r="614" spans="1:10" x14ac:dyDescent="0.3">
      <c r="A614">
        <v>613</v>
      </c>
      <c r="B614">
        <f>IF('Boletins Nuppa Site'!A614&lt;&gt;0,'Boletins Nuppa Site'!A614,"NULL")</f>
        <v>52</v>
      </c>
      <c r="C614">
        <v>21</v>
      </c>
      <c r="D614" s="14">
        <f>IF('Boletins Nuppa Site'!G614&lt;&gt;0,'Boletins Nuppa Site'!G614,"NULL")</f>
        <v>50</v>
      </c>
      <c r="E614" s="14">
        <f>IF('Boletins Nuppa Site'!H614&lt;&gt;0,'Boletins Nuppa Site'!H614,"NULL")</f>
        <v>50</v>
      </c>
      <c r="F614" s="14">
        <f>IF('Boletins Nuppa Site'!I614&lt;&gt;0,'Boletins Nuppa Site'!I614,"NULL")</f>
        <v>80</v>
      </c>
      <c r="G614" s="14">
        <f>IF('Boletins Nuppa Site'!J614&lt;&gt;0,'Boletins Nuppa Site'!J614,"NULL")</f>
        <v>60</v>
      </c>
      <c r="H614" s="14">
        <f>IF('Boletins Nuppa Site'!K614&lt;&gt;0,'Boletins Nuppa Site'!K614,"NULL")</f>
        <v>55</v>
      </c>
      <c r="I614" t="str">
        <f t="shared" si="18"/>
        <v>INSERT INTO COTACAO (cot_id, cot_blt_id, cot_pap_id, cot_prc_comum, cot_prc_min, cot_prc_max, cot_prc_med, cot_prc_mediana) VALUES (613, 52, 21, 50, 50, 80, 60, 55);</v>
      </c>
      <c r="J614" t="str">
        <f t="shared" si="19"/>
        <v>UPDATE COTACAO SET cot_id = 613, cot_blt_id = 52, cot_pap_id = 21, cot_prc_comum = 50, cot_prc_min = 50, cot_prc_max = 80, cot_prc_med = 60, cot_prc_mediana = 55 WHERE cot_id = 613;</v>
      </c>
    </row>
    <row r="615" spans="1:10" x14ac:dyDescent="0.3">
      <c r="A615">
        <v>614</v>
      </c>
      <c r="B615">
        <f>IF('Boletins Nuppa Site'!A615&lt;&gt;0,'Boletins Nuppa Site'!A615,"NULL")</f>
        <v>52</v>
      </c>
      <c r="C615">
        <v>22</v>
      </c>
      <c r="D615" s="14">
        <f>IF('Boletins Nuppa Site'!G615&lt;&gt;0,'Boletins Nuppa Site'!G615,"NULL")</f>
        <v>70</v>
      </c>
      <c r="E615" s="14">
        <f>IF('Boletins Nuppa Site'!H615&lt;&gt;0,'Boletins Nuppa Site'!H615,"NULL")</f>
        <v>45</v>
      </c>
      <c r="F615" s="14">
        <f>IF('Boletins Nuppa Site'!I615&lt;&gt;0,'Boletins Nuppa Site'!I615,"NULL")</f>
        <v>70</v>
      </c>
      <c r="G615" t="str">
        <f>IF('Boletins Nuppa Site'!J615&lt;&gt;0,'Boletins Nuppa Site'!J615,"NULL")</f>
        <v>58.75</v>
      </c>
      <c r="H615" s="14">
        <f>IF('Boletins Nuppa Site'!K615&lt;&gt;0,'Boletins Nuppa Site'!K615,"NULL")</f>
        <v>60</v>
      </c>
      <c r="I615" t="str">
        <f t="shared" si="18"/>
        <v>INSERT INTO COTACAO (cot_id, cot_blt_id, cot_pap_id, cot_prc_comum, cot_prc_min, cot_prc_max, cot_prc_med, cot_prc_mediana) VALUES (614, 52, 22, 70, 45, 70, 58.75, 60);</v>
      </c>
      <c r="J615" t="str">
        <f t="shared" si="19"/>
        <v>UPDATE COTACAO SET cot_id = 614, cot_blt_id = 52, cot_pap_id = 22, cot_prc_comum = 70, cot_prc_min = 45, cot_prc_max = 70, cot_prc_med = 58.75, cot_prc_mediana = 60 WHERE cot_id = 614;</v>
      </c>
    </row>
    <row r="616" spans="1:10" x14ac:dyDescent="0.3">
      <c r="A616">
        <v>615</v>
      </c>
      <c r="B616">
        <f>IF('Boletins Nuppa Site'!A616&lt;&gt;0,'Boletins Nuppa Site'!A616,"NULL")</f>
        <v>52</v>
      </c>
      <c r="C616">
        <v>23</v>
      </c>
      <c r="D616" t="str">
        <f>IF('Boletins Nuppa Site'!G616&lt;&gt;0,'Boletins Nuppa Site'!G616,"NULL")</f>
        <v>NULL</v>
      </c>
      <c r="E616" s="14">
        <f>IF('Boletins Nuppa Site'!H616&lt;&gt;0,'Boletins Nuppa Site'!H616,"NULL")</f>
        <v>35</v>
      </c>
      <c r="F616" s="14">
        <f>IF('Boletins Nuppa Site'!I616&lt;&gt;0,'Boletins Nuppa Site'!I616,"NULL")</f>
        <v>60</v>
      </c>
      <c r="G616" t="str">
        <f>IF('Boletins Nuppa Site'!J616&lt;&gt;0,'Boletins Nuppa Site'!J616,"NULL")</f>
        <v>47.5</v>
      </c>
      <c r="H616" t="str">
        <f>IF('Boletins Nuppa Site'!K616&lt;&gt;0,'Boletins Nuppa Site'!K616,"NULL")</f>
        <v>47.5</v>
      </c>
      <c r="I616" t="str">
        <f t="shared" si="18"/>
        <v>INSERT INTO COTACAO (cot_id, cot_blt_id, cot_pap_id, cot_prc_comum, cot_prc_min, cot_prc_max, cot_prc_med, cot_prc_mediana) VALUES (615, 52, 23, NULL, 35, 60, 47.5, 47.5);</v>
      </c>
      <c r="J616" t="str">
        <f t="shared" si="19"/>
        <v>UPDATE COTACAO SET cot_id = 615, cot_blt_id = 52, cot_pap_id = 23, cot_prc_comum = NULL, cot_prc_min = 35, cot_prc_max = 60, cot_prc_med = 47.5, cot_prc_mediana = 47.5 WHERE cot_id = 615;</v>
      </c>
    </row>
    <row r="617" spans="1:10" x14ac:dyDescent="0.3">
      <c r="A617">
        <v>616</v>
      </c>
      <c r="B617">
        <f>IF('Boletins Nuppa Site'!A617&lt;&gt;0,'Boletins Nuppa Site'!A617,"NULL")</f>
        <v>52</v>
      </c>
      <c r="C617">
        <v>24</v>
      </c>
      <c r="D617" s="14">
        <f>IF('Boletins Nuppa Site'!G617&lt;&gt;0,'Boletins Nuppa Site'!G617,"NULL")</f>
        <v>110</v>
      </c>
      <c r="E617" s="14">
        <f>IF('Boletins Nuppa Site'!H617&lt;&gt;0,'Boletins Nuppa Site'!H617,"NULL")</f>
        <v>110</v>
      </c>
      <c r="F617" s="14">
        <f>IF('Boletins Nuppa Site'!I617&lt;&gt;0,'Boletins Nuppa Site'!I617,"NULL")</f>
        <v>110</v>
      </c>
      <c r="G617" s="14">
        <f>IF('Boletins Nuppa Site'!J617&lt;&gt;0,'Boletins Nuppa Site'!J617,"NULL")</f>
        <v>110</v>
      </c>
      <c r="H617" s="14">
        <f>IF('Boletins Nuppa Site'!K617&lt;&gt;0,'Boletins Nuppa Site'!K617,"NULL")</f>
        <v>110</v>
      </c>
      <c r="I617" t="str">
        <f t="shared" si="18"/>
        <v>INSERT INTO COTACAO (cot_id, cot_blt_id, cot_pap_id, cot_prc_comum, cot_prc_min, cot_prc_max, cot_prc_med, cot_prc_mediana) VALUES (616, 52, 24, 110, 110, 110, 110, 110);</v>
      </c>
      <c r="J617" t="str">
        <f t="shared" si="19"/>
        <v>UPDATE COTACAO SET cot_id = 616, cot_blt_id = 52, cot_pap_id = 24, cot_prc_comum = 110, cot_prc_min = 110, cot_prc_max = 110, cot_prc_med = 110, cot_prc_mediana = 110 WHERE cot_id = 616;</v>
      </c>
    </row>
    <row r="618" spans="1:10" x14ac:dyDescent="0.3">
      <c r="A618">
        <v>617</v>
      </c>
      <c r="B618">
        <f>IF('Boletins Nuppa Site'!A618&lt;&gt;0,'Boletins Nuppa Site'!A618,"NULL")</f>
        <v>52</v>
      </c>
      <c r="C618">
        <v>25</v>
      </c>
      <c r="D618" t="str">
        <f>IF('Boletins Nuppa Site'!G618&lt;&gt;0,'Boletins Nuppa Site'!G618,"NULL")</f>
        <v>NULL</v>
      </c>
      <c r="E618" s="14">
        <f>IF('Boletins Nuppa Site'!H618&lt;&gt;0,'Boletins Nuppa Site'!H618,"NULL")</f>
        <v>90</v>
      </c>
      <c r="F618" s="14">
        <f>IF('Boletins Nuppa Site'!I618&lt;&gt;0,'Boletins Nuppa Site'!I618,"NULL")</f>
        <v>160</v>
      </c>
      <c r="G618" t="str">
        <f>IF('Boletins Nuppa Site'!J618&lt;&gt;0,'Boletins Nuppa Site'!J618,"NULL")</f>
        <v>127.5</v>
      </c>
      <c r="H618" s="14">
        <f>IF('Boletins Nuppa Site'!K618&lt;&gt;0,'Boletins Nuppa Site'!K618,"NULL")</f>
        <v>130</v>
      </c>
      <c r="I618" t="str">
        <f t="shared" si="18"/>
        <v>INSERT INTO COTACAO (cot_id, cot_blt_id, cot_pap_id, cot_prc_comum, cot_prc_min, cot_prc_max, cot_prc_med, cot_prc_mediana) VALUES (617, 52, 25, NULL, 90, 160, 127.5, 130);</v>
      </c>
      <c r="J618" t="str">
        <f t="shared" si="19"/>
        <v>UPDATE COTACAO SET cot_id = 617, cot_blt_id = 52, cot_pap_id = 25, cot_prc_comum = NULL, cot_prc_min = 90, cot_prc_max = 160, cot_prc_med = 127.5, cot_prc_mediana = 130 WHERE cot_id = 617;</v>
      </c>
    </row>
    <row r="619" spans="1:10" x14ac:dyDescent="0.3">
      <c r="A619">
        <v>618</v>
      </c>
      <c r="B619">
        <f>IF('Boletins Nuppa Site'!A619&lt;&gt;0,'Boletins Nuppa Site'!A619,"NULL")</f>
        <v>52</v>
      </c>
      <c r="C619">
        <v>26</v>
      </c>
      <c r="D619" t="str">
        <f>IF('Boletins Nuppa Site'!G619&lt;&gt;0,'Boletins Nuppa Site'!G619,"NULL")</f>
        <v>NULL</v>
      </c>
      <c r="E619" s="14">
        <f>IF('Boletins Nuppa Site'!H619&lt;&gt;0,'Boletins Nuppa Site'!H619,"NULL")</f>
        <v>100</v>
      </c>
      <c r="F619" s="14">
        <f>IF('Boletins Nuppa Site'!I619&lt;&gt;0,'Boletins Nuppa Site'!I619,"NULL")</f>
        <v>170</v>
      </c>
      <c r="G619" t="str">
        <f>IF('Boletins Nuppa Site'!J619&lt;&gt;0,'Boletins Nuppa Site'!J619,"NULL")</f>
        <v>137.5</v>
      </c>
      <c r="H619" s="14">
        <f>IF('Boletins Nuppa Site'!K619&lt;&gt;0,'Boletins Nuppa Site'!K619,"NULL")</f>
        <v>140</v>
      </c>
      <c r="I619" t="str">
        <f t="shared" si="18"/>
        <v>INSERT INTO COTACAO (cot_id, cot_blt_id, cot_pap_id, cot_prc_comum, cot_prc_min, cot_prc_max, cot_prc_med, cot_prc_mediana) VALUES (618, 52, 26, NULL, 100, 170, 137.5, 140);</v>
      </c>
      <c r="J619" t="str">
        <f t="shared" si="19"/>
        <v>UPDATE COTACAO SET cot_id = 618, cot_blt_id = 52, cot_pap_id = 26, cot_prc_comum = NULL, cot_prc_min = 100, cot_prc_max = 170, cot_prc_med = 137.5, cot_prc_mediana = 140 WHERE cot_id = 618;</v>
      </c>
    </row>
    <row r="620" spans="1:10" x14ac:dyDescent="0.3">
      <c r="A620">
        <v>619</v>
      </c>
      <c r="B620">
        <f>IF('Boletins Nuppa Site'!A620&lt;&gt;0,'Boletins Nuppa Site'!A620,"NULL")</f>
        <v>52</v>
      </c>
      <c r="C620">
        <v>27</v>
      </c>
      <c r="D620" s="14">
        <f>IF('Boletins Nuppa Site'!G620&lt;&gt;0,'Boletins Nuppa Site'!G620,"NULL")</f>
        <v>60</v>
      </c>
      <c r="E620" s="14">
        <f>IF('Boletins Nuppa Site'!H620&lt;&gt;0,'Boletins Nuppa Site'!H620,"NULL")</f>
        <v>50</v>
      </c>
      <c r="F620" s="14">
        <f>IF('Boletins Nuppa Site'!I620&lt;&gt;0,'Boletins Nuppa Site'!I620,"NULL")</f>
        <v>60</v>
      </c>
      <c r="G620" t="str">
        <f>IF('Boletins Nuppa Site'!J620&lt;&gt;0,'Boletins Nuppa Site'!J620,"NULL")</f>
        <v>57.5</v>
      </c>
      <c r="H620" s="14">
        <f>IF('Boletins Nuppa Site'!K620&lt;&gt;0,'Boletins Nuppa Site'!K620,"NULL")</f>
        <v>60</v>
      </c>
      <c r="I620" t="str">
        <f t="shared" si="18"/>
        <v>INSERT INTO COTACAO (cot_id, cot_blt_id, cot_pap_id, cot_prc_comum, cot_prc_min, cot_prc_max, cot_prc_med, cot_prc_mediana) VALUES (619, 52, 27, 60, 50, 60, 57.5, 60);</v>
      </c>
      <c r="J620" t="str">
        <f t="shared" si="19"/>
        <v>UPDATE COTACAO SET cot_id = 619, cot_blt_id = 52, cot_pap_id = 27, cot_prc_comum = 60, cot_prc_min = 50, cot_prc_max = 60, cot_prc_med = 57.5, cot_prc_mediana = 60 WHERE cot_id = 619;</v>
      </c>
    </row>
    <row r="621" spans="1:10" x14ac:dyDescent="0.3">
      <c r="A621">
        <v>620</v>
      </c>
      <c r="B621">
        <f>IF('Boletins Nuppa Site'!A621&lt;&gt;0,'Boletins Nuppa Site'!A621,"NULL")</f>
        <v>52</v>
      </c>
      <c r="C621">
        <v>28</v>
      </c>
      <c r="D621" t="str">
        <f>IF('Boletins Nuppa Site'!G621&lt;&gt;0,'Boletins Nuppa Site'!G621,"NULL")</f>
        <v>NULL</v>
      </c>
      <c r="E621" s="14">
        <f>IF('Boletins Nuppa Site'!H621&lt;&gt;0,'Boletins Nuppa Site'!H621,"NULL")</f>
        <v>60</v>
      </c>
      <c r="F621" s="14">
        <f>IF('Boletins Nuppa Site'!I621&lt;&gt;0,'Boletins Nuppa Site'!I621,"NULL")</f>
        <v>110</v>
      </c>
      <c r="G621" s="14">
        <f>IF('Boletins Nuppa Site'!J621&lt;&gt;0,'Boletins Nuppa Site'!J621,"NULL")</f>
        <v>90</v>
      </c>
      <c r="H621" s="14">
        <f>IF('Boletins Nuppa Site'!K621&lt;&gt;0,'Boletins Nuppa Site'!K621,"NULL")</f>
        <v>95</v>
      </c>
      <c r="I621" t="str">
        <f t="shared" si="18"/>
        <v>INSERT INTO COTACAO (cot_id, cot_blt_id, cot_pap_id, cot_prc_comum, cot_prc_min, cot_prc_max, cot_prc_med, cot_prc_mediana) VALUES (620, 52, 28, NULL, 60, 110, 90, 95);</v>
      </c>
      <c r="J621" t="str">
        <f t="shared" si="19"/>
        <v>UPDATE COTACAO SET cot_id = 620, cot_blt_id = 52, cot_pap_id = 28, cot_prc_comum = NULL, cot_prc_min = 60, cot_prc_max = 110, cot_prc_med = 90, cot_prc_mediana = 95 WHERE cot_id = 620;</v>
      </c>
    </row>
    <row r="622" spans="1:10" x14ac:dyDescent="0.3">
      <c r="A622">
        <v>621</v>
      </c>
      <c r="B622">
        <f>IF('Boletins Nuppa Site'!A622&lt;&gt;0,'Boletins Nuppa Site'!A622,"NULL")</f>
        <v>52</v>
      </c>
      <c r="C622">
        <v>29</v>
      </c>
      <c r="D622" t="str">
        <f>IF('Boletins Nuppa Site'!G622&lt;&gt;0,'Boletins Nuppa Site'!G622,"NULL")</f>
        <v>NULL</v>
      </c>
      <c r="E622" s="14">
        <f>IF('Boletins Nuppa Site'!H622&lt;&gt;0,'Boletins Nuppa Site'!H622,"NULL")</f>
        <v>80</v>
      </c>
      <c r="F622" s="14">
        <f>IF('Boletins Nuppa Site'!I622&lt;&gt;0,'Boletins Nuppa Site'!I622,"NULL")</f>
        <v>80</v>
      </c>
      <c r="G622" s="14">
        <f>IF('Boletins Nuppa Site'!J622&lt;&gt;0,'Boletins Nuppa Site'!J622,"NULL")</f>
        <v>80</v>
      </c>
      <c r="H622" s="14">
        <f>IF('Boletins Nuppa Site'!K622&lt;&gt;0,'Boletins Nuppa Site'!K622,"NULL")</f>
        <v>80</v>
      </c>
      <c r="I622" t="str">
        <f t="shared" si="18"/>
        <v>INSERT INTO COTACAO (cot_id, cot_blt_id, cot_pap_id, cot_prc_comum, cot_prc_min, cot_prc_max, cot_prc_med, cot_prc_mediana) VALUES (621, 52, 29, NULL, 80, 80, 80, 80);</v>
      </c>
      <c r="J622" t="str">
        <f t="shared" si="19"/>
        <v>UPDATE COTACAO SET cot_id = 621, cot_blt_id = 52, cot_pap_id = 29, cot_prc_comum = NULL, cot_prc_min = 80, cot_prc_max = 80, cot_prc_med = 80, cot_prc_mediana = 80 WHERE cot_id = 621;</v>
      </c>
    </row>
    <row r="623" spans="1:10" x14ac:dyDescent="0.3">
      <c r="A623">
        <v>622</v>
      </c>
      <c r="B623">
        <f>IF('Boletins Nuppa Site'!A623&lt;&gt;0,'Boletins Nuppa Site'!A623,"NULL")</f>
        <v>52</v>
      </c>
      <c r="C623">
        <v>30</v>
      </c>
      <c r="D623" s="14">
        <f>IF('Boletins Nuppa Site'!G623&lt;&gt;0,'Boletins Nuppa Site'!G623,"NULL")</f>
        <v>60</v>
      </c>
      <c r="E623" s="14">
        <f>IF('Boletins Nuppa Site'!H623&lt;&gt;0,'Boletins Nuppa Site'!H623,"NULL")</f>
        <v>60</v>
      </c>
      <c r="F623" s="14">
        <f>IF('Boletins Nuppa Site'!I623&lt;&gt;0,'Boletins Nuppa Site'!I623,"NULL")</f>
        <v>60</v>
      </c>
      <c r="G623" s="14">
        <f>IF('Boletins Nuppa Site'!J623&lt;&gt;0,'Boletins Nuppa Site'!J623,"NULL")</f>
        <v>60</v>
      </c>
      <c r="H623" s="14">
        <f>IF('Boletins Nuppa Site'!K623&lt;&gt;0,'Boletins Nuppa Site'!K623,"NULL")</f>
        <v>60</v>
      </c>
      <c r="I623" t="str">
        <f t="shared" si="18"/>
        <v>INSERT INTO COTACAO (cot_id, cot_blt_id, cot_pap_id, cot_prc_comum, cot_prc_min, cot_prc_max, cot_prc_med, cot_prc_mediana) VALUES (622, 52, 30, 60, 60, 60, 60, 60);</v>
      </c>
      <c r="J623" t="str">
        <f t="shared" si="19"/>
        <v>UPDATE COTACAO SET cot_id = 622, cot_blt_id = 52, cot_pap_id = 30, cot_prc_comum = 60, cot_prc_min = 60, cot_prc_max = 60, cot_prc_med = 60, cot_prc_mediana = 60 WHERE cot_id = 622;</v>
      </c>
    </row>
    <row r="624" spans="1:10" x14ac:dyDescent="0.3">
      <c r="A624">
        <v>623</v>
      </c>
      <c r="B624">
        <f>IF('Boletins Nuppa Site'!A624&lt;&gt;0,'Boletins Nuppa Site'!A624,"NULL")</f>
        <v>52</v>
      </c>
      <c r="C624">
        <v>31</v>
      </c>
      <c r="D624" s="14">
        <f>IF('Boletins Nuppa Site'!G624&lt;&gt;0,'Boletins Nuppa Site'!G624,"NULL")</f>
        <v>90</v>
      </c>
      <c r="E624" s="14">
        <f>IF('Boletins Nuppa Site'!H624&lt;&gt;0,'Boletins Nuppa Site'!H624,"NULL")</f>
        <v>80</v>
      </c>
      <c r="F624" s="14">
        <f>IF('Boletins Nuppa Site'!I624&lt;&gt;0,'Boletins Nuppa Site'!I624,"NULL")</f>
        <v>90</v>
      </c>
      <c r="G624" t="str">
        <f>IF('Boletins Nuppa Site'!J624&lt;&gt;0,'Boletins Nuppa Site'!J624,"NULL")</f>
        <v>87.5</v>
      </c>
      <c r="H624" s="14">
        <f>IF('Boletins Nuppa Site'!K624&lt;&gt;0,'Boletins Nuppa Site'!K624,"NULL")</f>
        <v>90</v>
      </c>
      <c r="I624" t="str">
        <f t="shared" si="18"/>
        <v>INSERT INTO COTACAO (cot_id, cot_blt_id, cot_pap_id, cot_prc_comum, cot_prc_min, cot_prc_max, cot_prc_med, cot_prc_mediana) VALUES (623, 52, 31, 90, 80, 90, 87.5, 90);</v>
      </c>
      <c r="J624" t="str">
        <f t="shared" si="19"/>
        <v>UPDATE COTACAO SET cot_id = 623, cot_blt_id = 52, cot_pap_id = 31, cot_prc_comum = 90, cot_prc_min = 80, cot_prc_max = 90, cot_prc_med = 87.5, cot_prc_mediana = 90 WHERE cot_id = 623;</v>
      </c>
    </row>
    <row r="625" spans="1:10" x14ac:dyDescent="0.3">
      <c r="A625">
        <v>624</v>
      </c>
      <c r="B625">
        <f>IF('Boletins Nuppa Site'!A625&lt;&gt;0,'Boletins Nuppa Site'!A625,"NULL")</f>
        <v>52</v>
      </c>
      <c r="C625">
        <v>32</v>
      </c>
      <c r="D625" s="14">
        <f>IF('Boletins Nuppa Site'!G625&lt;&gt;0,'Boletins Nuppa Site'!G625,"NULL")</f>
        <v>60</v>
      </c>
      <c r="E625" s="14">
        <f>IF('Boletins Nuppa Site'!H625&lt;&gt;0,'Boletins Nuppa Site'!H625,"NULL")</f>
        <v>50</v>
      </c>
      <c r="F625" s="14">
        <f>IF('Boletins Nuppa Site'!I625&lt;&gt;0,'Boletins Nuppa Site'!I625,"NULL")</f>
        <v>60</v>
      </c>
      <c r="G625" s="14">
        <f>IF('Boletins Nuppa Site'!J625&lt;&gt;0,'Boletins Nuppa Site'!J625,"NULL")</f>
        <v>55</v>
      </c>
      <c r="H625" s="14">
        <f>IF('Boletins Nuppa Site'!K625&lt;&gt;0,'Boletins Nuppa Site'!K625,"NULL")</f>
        <v>55</v>
      </c>
      <c r="I625" t="str">
        <f t="shared" si="18"/>
        <v>INSERT INTO COTACAO (cot_id, cot_blt_id, cot_pap_id, cot_prc_comum, cot_prc_min, cot_prc_max, cot_prc_med, cot_prc_mediana) VALUES (624, 52, 32, 60, 50, 60, 55, 55);</v>
      </c>
      <c r="J625" t="str">
        <f t="shared" si="19"/>
        <v>UPDATE COTACAO SET cot_id = 624, cot_blt_id = 52, cot_pap_id = 32, cot_prc_comum = 60, cot_prc_min = 50, cot_prc_max = 60, cot_prc_med = 55, cot_prc_mediana = 55 WHERE cot_id = 624;</v>
      </c>
    </row>
    <row r="626" spans="1:10" x14ac:dyDescent="0.3">
      <c r="A626">
        <v>625</v>
      </c>
      <c r="B626">
        <f>IF('Boletins Nuppa Site'!A626&lt;&gt;0,'Boletins Nuppa Site'!A626,"NULL")</f>
        <v>52</v>
      </c>
      <c r="C626">
        <v>33</v>
      </c>
      <c r="D626" s="14">
        <f>IF('Boletins Nuppa Site'!G626&lt;&gt;0,'Boletins Nuppa Site'!G626,"NULL")</f>
        <v>110</v>
      </c>
      <c r="E626" s="14">
        <f>IF('Boletins Nuppa Site'!H626&lt;&gt;0,'Boletins Nuppa Site'!H626,"NULL")</f>
        <v>90</v>
      </c>
      <c r="F626" s="14">
        <f>IF('Boletins Nuppa Site'!I626&lt;&gt;0,'Boletins Nuppa Site'!I626,"NULL")</f>
        <v>120</v>
      </c>
      <c r="G626" t="str">
        <f>IF('Boletins Nuppa Site'!J626&lt;&gt;0,'Boletins Nuppa Site'!J626,"NULL")</f>
        <v>107.5</v>
      </c>
      <c r="H626" s="14">
        <f>IF('Boletins Nuppa Site'!K626&lt;&gt;0,'Boletins Nuppa Site'!K626,"NULL")</f>
        <v>110</v>
      </c>
      <c r="I626" t="str">
        <f t="shared" si="18"/>
        <v>INSERT INTO COTACAO (cot_id, cot_blt_id, cot_pap_id, cot_prc_comum, cot_prc_min, cot_prc_max, cot_prc_med, cot_prc_mediana) VALUES (625, 52, 33, 110, 90, 120, 107.5, 110);</v>
      </c>
      <c r="J626" t="str">
        <f t="shared" si="19"/>
        <v>UPDATE COTACAO SET cot_id = 625, cot_blt_id = 52, cot_pap_id = 33, cot_prc_comum = 110, cot_prc_min = 90, cot_prc_max = 120, cot_prc_med = 107.5, cot_prc_mediana = 110 WHERE cot_id = 625;</v>
      </c>
    </row>
    <row r="627" spans="1:10" x14ac:dyDescent="0.3">
      <c r="A627">
        <v>626</v>
      </c>
      <c r="B627">
        <f>IF('Boletins Nuppa Site'!A627&lt;&gt;0,'Boletins Nuppa Site'!A627,"NULL")</f>
        <v>52</v>
      </c>
      <c r="C627">
        <v>34</v>
      </c>
      <c r="D627" t="str">
        <f>IF('Boletins Nuppa Site'!G627&lt;&gt;0,'Boletins Nuppa Site'!G627,"NULL")</f>
        <v>NULL</v>
      </c>
      <c r="E627" s="14">
        <f>IF('Boletins Nuppa Site'!H627&lt;&gt;0,'Boletins Nuppa Site'!H627,"NULL")</f>
        <v>100</v>
      </c>
      <c r="F627" s="14">
        <f>IF('Boletins Nuppa Site'!I627&lt;&gt;0,'Boletins Nuppa Site'!I627,"NULL")</f>
        <v>150</v>
      </c>
      <c r="G627" s="14">
        <f>IF('Boletins Nuppa Site'!J627&lt;&gt;0,'Boletins Nuppa Site'!J627,"NULL")</f>
        <v>125</v>
      </c>
      <c r="H627" s="14">
        <f>IF('Boletins Nuppa Site'!K627&lt;&gt;0,'Boletins Nuppa Site'!K627,"NULL")</f>
        <v>125</v>
      </c>
      <c r="I627" t="str">
        <f t="shared" si="18"/>
        <v>INSERT INTO COTACAO (cot_id, cot_blt_id, cot_pap_id, cot_prc_comum, cot_prc_min, cot_prc_max, cot_prc_med, cot_prc_mediana) VALUES (626, 52, 34, NULL, 100, 150, 125, 125);</v>
      </c>
      <c r="J627" t="str">
        <f t="shared" si="19"/>
        <v>UPDATE COTACAO SET cot_id = 626, cot_blt_id = 52, cot_pap_id = 34, cot_prc_comum = NULL, cot_prc_min = 100, cot_prc_max = 150, cot_prc_med = 125, cot_prc_mediana = 125 WHERE cot_id = 626;</v>
      </c>
    </row>
    <row r="628" spans="1:10" x14ac:dyDescent="0.3">
      <c r="A628">
        <v>627</v>
      </c>
      <c r="B628">
        <f>IF('Boletins Nuppa Site'!A628&lt;&gt;0,'Boletins Nuppa Site'!A628,"NULL")</f>
        <v>52</v>
      </c>
      <c r="C628">
        <v>35</v>
      </c>
      <c r="D628" t="str">
        <f>IF('Boletins Nuppa Site'!G628&lt;&gt;0,'Boletins Nuppa Site'!G628,"NULL")</f>
        <v>NULL</v>
      </c>
      <c r="E628" s="14">
        <f>IF('Boletins Nuppa Site'!H628&lt;&gt;0,'Boletins Nuppa Site'!H628,"NULL")</f>
        <v>180</v>
      </c>
      <c r="F628" s="14">
        <f>IF('Boletins Nuppa Site'!I628&lt;&gt;0,'Boletins Nuppa Site'!I628,"NULL")</f>
        <v>200</v>
      </c>
      <c r="G628" s="14">
        <f>IF('Boletins Nuppa Site'!J628&lt;&gt;0,'Boletins Nuppa Site'!J628,"NULL")</f>
        <v>190</v>
      </c>
      <c r="H628" s="14">
        <f>IF('Boletins Nuppa Site'!K628&lt;&gt;0,'Boletins Nuppa Site'!K628,"NULL")</f>
        <v>190</v>
      </c>
      <c r="I628" t="str">
        <f t="shared" si="18"/>
        <v>INSERT INTO COTACAO (cot_id, cot_blt_id, cot_pap_id, cot_prc_comum, cot_prc_min, cot_prc_max, cot_prc_med, cot_prc_mediana) VALUES (627, 52, 35, NULL, 180, 200, 190, 190);</v>
      </c>
      <c r="J628" t="str">
        <f t="shared" si="19"/>
        <v>UPDATE COTACAO SET cot_id = 627, cot_blt_id = 52, cot_pap_id = 35, cot_prc_comum = NULL, cot_prc_min = 180, cot_prc_max = 200, cot_prc_med = 190, cot_prc_mediana = 190 WHERE cot_id = 627;</v>
      </c>
    </row>
    <row r="629" spans="1:10" x14ac:dyDescent="0.3">
      <c r="A629">
        <v>628</v>
      </c>
      <c r="B629">
        <f>IF('Boletins Nuppa Site'!A629&lt;&gt;0,'Boletins Nuppa Site'!A629,"NULL")</f>
        <v>52</v>
      </c>
      <c r="C629">
        <v>36</v>
      </c>
      <c r="D629" t="str">
        <f>IF('Boletins Nuppa Site'!G629&lt;&gt;0,'Boletins Nuppa Site'!G629,"NULL")</f>
        <v>NULL</v>
      </c>
      <c r="E629" s="14">
        <f>IF('Boletins Nuppa Site'!H629&lt;&gt;0,'Boletins Nuppa Site'!H629,"NULL")</f>
        <v>90</v>
      </c>
      <c r="F629" s="14">
        <f>IF('Boletins Nuppa Site'!I629&lt;&gt;0,'Boletins Nuppa Site'!I629,"NULL")</f>
        <v>90</v>
      </c>
      <c r="G629" s="14">
        <f>IF('Boletins Nuppa Site'!J629&lt;&gt;0,'Boletins Nuppa Site'!J629,"NULL")</f>
        <v>90</v>
      </c>
      <c r="H629" s="14">
        <f>IF('Boletins Nuppa Site'!K629&lt;&gt;0,'Boletins Nuppa Site'!K629,"NULL")</f>
        <v>90</v>
      </c>
      <c r="I629" t="str">
        <f t="shared" si="18"/>
        <v>INSERT INTO COTACAO (cot_id, cot_blt_id, cot_pap_id, cot_prc_comum, cot_prc_min, cot_prc_max, cot_prc_med, cot_prc_mediana) VALUES (628, 52, 36, NULL, 90, 90, 90, 90);</v>
      </c>
      <c r="J629" t="str">
        <f t="shared" si="19"/>
        <v>UPDATE COTACAO SET cot_id = 628, cot_blt_id = 52, cot_pap_id = 36, cot_prc_comum = NULL, cot_prc_min = 90, cot_prc_max = 90, cot_prc_med = 90, cot_prc_mediana = 90 WHERE cot_id = 628;</v>
      </c>
    </row>
    <row r="630" spans="1:10" x14ac:dyDescent="0.3">
      <c r="A630">
        <v>629</v>
      </c>
      <c r="B630">
        <f>IF('Boletins Nuppa Site'!A630&lt;&gt;0,'Boletins Nuppa Site'!A630,"NULL")</f>
        <v>52</v>
      </c>
      <c r="C630">
        <v>37</v>
      </c>
      <c r="D630" t="str">
        <f>IF('Boletins Nuppa Site'!G630&lt;&gt;0,'Boletins Nuppa Site'!G630,"NULL")</f>
        <v>NULL</v>
      </c>
      <c r="E630" s="14">
        <f>IF('Boletins Nuppa Site'!H630&lt;&gt;0,'Boletins Nuppa Site'!H630,"NULL")</f>
        <v>70</v>
      </c>
      <c r="F630" s="14">
        <f>IF('Boletins Nuppa Site'!I630&lt;&gt;0,'Boletins Nuppa Site'!I630,"NULL")</f>
        <v>80</v>
      </c>
      <c r="G630" s="14">
        <f>IF('Boletins Nuppa Site'!J630&lt;&gt;0,'Boletins Nuppa Site'!J630,"NULL")</f>
        <v>75</v>
      </c>
      <c r="H630" s="14">
        <f>IF('Boletins Nuppa Site'!K630&lt;&gt;0,'Boletins Nuppa Site'!K630,"NULL")</f>
        <v>75</v>
      </c>
      <c r="I630" t="str">
        <f t="shared" si="18"/>
        <v>INSERT INTO COTACAO (cot_id, cot_blt_id, cot_pap_id, cot_prc_comum, cot_prc_min, cot_prc_max, cot_prc_med, cot_prc_mediana) VALUES (629, 52, 37, NULL, 70, 80, 75, 75);</v>
      </c>
      <c r="J630" t="str">
        <f t="shared" si="19"/>
        <v>UPDATE COTACAO SET cot_id = 629, cot_blt_id = 52, cot_pap_id = 37, cot_prc_comum = NULL, cot_prc_min = 70, cot_prc_max = 80, cot_prc_med = 75, cot_prc_mediana = 75 WHERE cot_id = 629;</v>
      </c>
    </row>
    <row r="631" spans="1:10" x14ac:dyDescent="0.3">
      <c r="A631">
        <v>630</v>
      </c>
      <c r="B631">
        <f>IF('Boletins Nuppa Site'!A631&lt;&gt;0,'Boletins Nuppa Site'!A631,"NULL")</f>
        <v>52</v>
      </c>
      <c r="C631">
        <v>38</v>
      </c>
      <c r="D631" t="str">
        <f>IF('Boletins Nuppa Site'!G631&lt;&gt;0,'Boletins Nuppa Site'!G631,"NULL")</f>
        <v>NULL</v>
      </c>
      <c r="E631" s="14">
        <f>IF('Boletins Nuppa Site'!H631&lt;&gt;0,'Boletins Nuppa Site'!H631,"NULL")</f>
        <v>50</v>
      </c>
      <c r="F631" s="14">
        <f>IF('Boletins Nuppa Site'!I631&lt;&gt;0,'Boletins Nuppa Site'!I631,"NULL")</f>
        <v>70</v>
      </c>
      <c r="G631" s="14">
        <f>IF('Boletins Nuppa Site'!J631&lt;&gt;0,'Boletins Nuppa Site'!J631,"NULL")</f>
        <v>60</v>
      </c>
      <c r="H631" s="14">
        <f>IF('Boletins Nuppa Site'!K631&lt;&gt;0,'Boletins Nuppa Site'!K631,"NULL")</f>
        <v>60</v>
      </c>
      <c r="I631" t="str">
        <f t="shared" si="18"/>
        <v>INSERT INTO COTACAO (cot_id, cot_blt_id, cot_pap_id, cot_prc_comum, cot_prc_min, cot_prc_max, cot_prc_med, cot_prc_mediana) VALUES (630, 52, 38, NULL, 50, 70, 60, 60);</v>
      </c>
      <c r="J631" t="str">
        <f t="shared" si="19"/>
        <v>UPDATE COTACAO SET cot_id = 630, cot_blt_id = 52, cot_pap_id = 38, cot_prc_comum = NULL, cot_prc_min = 50, cot_prc_max = 70, cot_prc_med = 60, cot_prc_mediana = 60 WHERE cot_id = 630;</v>
      </c>
    </row>
    <row r="632" spans="1:10" x14ac:dyDescent="0.3">
      <c r="A632">
        <v>631</v>
      </c>
      <c r="B632">
        <f>IF('Boletins Nuppa Site'!A632&lt;&gt;0,'Boletins Nuppa Site'!A632,"NULL")</f>
        <v>52</v>
      </c>
      <c r="C632">
        <v>39</v>
      </c>
      <c r="D632" t="str">
        <f>IF('Boletins Nuppa Site'!G632&lt;&gt;0,'Boletins Nuppa Site'!G632,"NULL")</f>
        <v>NULL</v>
      </c>
      <c r="E632" s="14">
        <f>IF('Boletins Nuppa Site'!H632&lt;&gt;0,'Boletins Nuppa Site'!H632,"NULL")</f>
        <v>55</v>
      </c>
      <c r="F632" s="14">
        <f>IF('Boletins Nuppa Site'!I632&lt;&gt;0,'Boletins Nuppa Site'!I632,"NULL")</f>
        <v>55</v>
      </c>
      <c r="G632" s="14">
        <f>IF('Boletins Nuppa Site'!J632&lt;&gt;0,'Boletins Nuppa Site'!J632,"NULL")</f>
        <v>55</v>
      </c>
      <c r="H632" s="14">
        <f>IF('Boletins Nuppa Site'!K632&lt;&gt;0,'Boletins Nuppa Site'!K632,"NULL")</f>
        <v>55</v>
      </c>
      <c r="I632" t="str">
        <f t="shared" si="18"/>
        <v>INSERT INTO COTACAO (cot_id, cot_blt_id, cot_pap_id, cot_prc_comum, cot_prc_min, cot_prc_max, cot_prc_med, cot_prc_mediana) VALUES (631, 52, 39, NULL, 55, 55, 55, 55);</v>
      </c>
      <c r="J632" t="str">
        <f t="shared" si="19"/>
        <v>UPDATE COTACAO SET cot_id = 631, cot_blt_id = 52, cot_pap_id = 39, cot_prc_comum = NULL, cot_prc_min = 55, cot_prc_max = 55, cot_prc_med = 55, cot_prc_mediana = 55 WHERE cot_id = 631;</v>
      </c>
    </row>
    <row r="633" spans="1:10" x14ac:dyDescent="0.3">
      <c r="A633">
        <v>632</v>
      </c>
      <c r="B633">
        <f>IF('Boletins Nuppa Site'!A633&lt;&gt;0,'Boletins Nuppa Site'!A633,"NULL")</f>
        <v>52</v>
      </c>
      <c r="C633">
        <v>40</v>
      </c>
      <c r="D633" t="str">
        <f>IF('Boletins Nuppa Site'!G633&lt;&gt;0,'Boletins Nuppa Site'!G633,"NULL")</f>
        <v>NULL</v>
      </c>
      <c r="E633" s="14">
        <f>IF('Boletins Nuppa Site'!H633&lt;&gt;0,'Boletins Nuppa Site'!H633,"NULL")</f>
        <v>55</v>
      </c>
      <c r="F633" s="14">
        <f>IF('Boletins Nuppa Site'!I633&lt;&gt;0,'Boletins Nuppa Site'!I633,"NULL")</f>
        <v>60</v>
      </c>
      <c r="G633" t="str">
        <f>IF('Boletins Nuppa Site'!J633&lt;&gt;0,'Boletins Nuppa Site'!J633,"NULL")</f>
        <v>57.5</v>
      </c>
      <c r="H633" t="str">
        <f>IF('Boletins Nuppa Site'!K633&lt;&gt;0,'Boletins Nuppa Site'!K633,"NULL")</f>
        <v>57.5</v>
      </c>
      <c r="I633" t="str">
        <f t="shared" si="18"/>
        <v>INSERT INTO COTACAO (cot_id, cot_blt_id, cot_pap_id, cot_prc_comum, cot_prc_min, cot_prc_max, cot_prc_med, cot_prc_mediana) VALUES (632, 52, 40, NULL, 55, 60, 57.5, 57.5);</v>
      </c>
      <c r="J633" t="str">
        <f t="shared" si="19"/>
        <v>UPDATE COTACAO SET cot_id = 632, cot_blt_id = 52, cot_pap_id = 40, cot_prc_comum = NULL, cot_prc_min = 55, cot_prc_max = 60, cot_prc_med = 57.5, cot_prc_mediana = 57.5 WHERE cot_id = 632;</v>
      </c>
    </row>
    <row r="634" spans="1:10" x14ac:dyDescent="0.3">
      <c r="A634">
        <v>633</v>
      </c>
      <c r="B634">
        <f>IF('Boletins Nuppa Site'!A634&lt;&gt;0,'Boletins Nuppa Site'!A634,"NULL")</f>
        <v>53</v>
      </c>
      <c r="C634">
        <v>1</v>
      </c>
      <c r="D634" s="14">
        <f>IF('Boletins Nuppa Site'!G634&lt;&gt;0,'Boletins Nuppa Site'!G634,"NULL")</f>
        <v>60</v>
      </c>
      <c r="E634" s="14">
        <f>IF('Boletins Nuppa Site'!H634&lt;&gt;0,'Boletins Nuppa Site'!H634,"NULL")</f>
        <v>60</v>
      </c>
      <c r="F634" s="14">
        <f>IF('Boletins Nuppa Site'!I634&lt;&gt;0,'Boletins Nuppa Site'!I634,"NULL")</f>
        <v>80</v>
      </c>
      <c r="G634" t="str">
        <f>IF('Boletins Nuppa Site'!J634&lt;&gt;0,'Boletins Nuppa Site'!J634,"NULL")</f>
        <v>66.67</v>
      </c>
      <c r="H634" s="14">
        <f>IF('Boletins Nuppa Site'!K634&lt;&gt;0,'Boletins Nuppa Site'!K634,"NULL")</f>
        <v>60</v>
      </c>
      <c r="I634" t="str">
        <f t="shared" si="18"/>
        <v>INSERT INTO COTACAO (cot_id, cot_blt_id, cot_pap_id, cot_prc_comum, cot_prc_min, cot_prc_max, cot_prc_med, cot_prc_mediana) VALUES (633, 53, 1, 60, 60, 80, 66.67, 60);</v>
      </c>
      <c r="J634" t="str">
        <f t="shared" si="19"/>
        <v>UPDATE COTACAO SET cot_id = 633, cot_blt_id = 53, cot_pap_id = 1, cot_prc_comum = 60, cot_prc_min = 60, cot_prc_max = 80, cot_prc_med = 66.67, cot_prc_mediana = 60 WHERE cot_id = 633;</v>
      </c>
    </row>
    <row r="635" spans="1:10" x14ac:dyDescent="0.3">
      <c r="A635">
        <v>634</v>
      </c>
      <c r="B635">
        <f>IF('Boletins Nuppa Site'!A635&lt;&gt;0,'Boletins Nuppa Site'!A635,"NULL")</f>
        <v>53</v>
      </c>
      <c r="C635">
        <v>2</v>
      </c>
      <c r="D635" s="14">
        <f>IF('Boletins Nuppa Site'!G635&lt;&gt;0,'Boletins Nuppa Site'!G635,"NULL")</f>
        <v>84</v>
      </c>
      <c r="E635" s="14">
        <f>IF('Boletins Nuppa Site'!H635&lt;&gt;0,'Boletins Nuppa Site'!H635,"NULL")</f>
        <v>72</v>
      </c>
      <c r="F635" s="14">
        <f>IF('Boletins Nuppa Site'!I635&lt;&gt;0,'Boletins Nuppa Site'!I635,"NULL")</f>
        <v>84</v>
      </c>
      <c r="G635" s="14">
        <f>IF('Boletins Nuppa Site'!J635&lt;&gt;0,'Boletins Nuppa Site'!J635,"NULL")</f>
        <v>80</v>
      </c>
      <c r="H635" s="14">
        <f>IF('Boletins Nuppa Site'!K635&lt;&gt;0,'Boletins Nuppa Site'!K635,"NULL")</f>
        <v>84</v>
      </c>
      <c r="I635" t="str">
        <f t="shared" si="18"/>
        <v>INSERT INTO COTACAO (cot_id, cot_blt_id, cot_pap_id, cot_prc_comum, cot_prc_min, cot_prc_max, cot_prc_med, cot_prc_mediana) VALUES (634, 53, 2, 84, 72, 84, 80, 84);</v>
      </c>
      <c r="J635" t="str">
        <f t="shared" si="19"/>
        <v>UPDATE COTACAO SET cot_id = 634, cot_blt_id = 53, cot_pap_id = 2, cot_prc_comum = 84, cot_prc_min = 72, cot_prc_max = 84, cot_prc_med = 80, cot_prc_mediana = 84 WHERE cot_id = 634;</v>
      </c>
    </row>
    <row r="636" spans="1:10" x14ac:dyDescent="0.3">
      <c r="A636">
        <v>635</v>
      </c>
      <c r="B636">
        <f>IF('Boletins Nuppa Site'!A636&lt;&gt;0,'Boletins Nuppa Site'!A636,"NULL")</f>
        <v>53</v>
      </c>
      <c r="C636">
        <v>3</v>
      </c>
      <c r="D636" t="str">
        <f>IF('Boletins Nuppa Site'!G636&lt;&gt;0,'Boletins Nuppa Site'!G636,"NULL")</f>
        <v>NULL</v>
      </c>
      <c r="E636" s="14">
        <f>IF('Boletins Nuppa Site'!H636&lt;&gt;0,'Boletins Nuppa Site'!H636,"NULL")</f>
        <v>36</v>
      </c>
      <c r="F636" s="14">
        <f>IF('Boletins Nuppa Site'!I636&lt;&gt;0,'Boletins Nuppa Site'!I636,"NULL")</f>
        <v>48</v>
      </c>
      <c r="G636" s="14">
        <f>IF('Boletins Nuppa Site'!J636&lt;&gt;0,'Boletins Nuppa Site'!J636,"NULL")</f>
        <v>42</v>
      </c>
      <c r="H636" s="14">
        <f>IF('Boletins Nuppa Site'!K636&lt;&gt;0,'Boletins Nuppa Site'!K636,"NULL")</f>
        <v>42</v>
      </c>
      <c r="I636" t="str">
        <f t="shared" si="18"/>
        <v>INSERT INTO COTACAO (cot_id, cot_blt_id, cot_pap_id, cot_prc_comum, cot_prc_min, cot_prc_max, cot_prc_med, cot_prc_mediana) VALUES (635, 53, 3, NULL, 36, 48, 42, 42);</v>
      </c>
      <c r="J636" t="str">
        <f t="shared" si="19"/>
        <v>UPDATE COTACAO SET cot_id = 635, cot_blt_id = 53, cot_pap_id = 3, cot_prc_comum = NULL, cot_prc_min = 36, cot_prc_max = 48, cot_prc_med = 42, cot_prc_mediana = 42 WHERE cot_id = 635;</v>
      </c>
    </row>
    <row r="637" spans="1:10" x14ac:dyDescent="0.3">
      <c r="A637">
        <v>636</v>
      </c>
      <c r="B637">
        <f>IF('Boletins Nuppa Site'!A637&lt;&gt;0,'Boletins Nuppa Site'!A637,"NULL")</f>
        <v>53</v>
      </c>
      <c r="C637">
        <v>4</v>
      </c>
      <c r="D637" s="14">
        <f>IF('Boletins Nuppa Site'!G637&lt;&gt;0,'Boletins Nuppa Site'!G637,"NULL")</f>
        <v>30</v>
      </c>
      <c r="E637" s="14">
        <f>IF('Boletins Nuppa Site'!H637&lt;&gt;0,'Boletins Nuppa Site'!H637,"NULL")</f>
        <v>30</v>
      </c>
      <c r="F637" s="14">
        <f>IF('Boletins Nuppa Site'!I637&lt;&gt;0,'Boletins Nuppa Site'!I637,"NULL")</f>
        <v>30</v>
      </c>
      <c r="G637" s="14">
        <f>IF('Boletins Nuppa Site'!J637&lt;&gt;0,'Boletins Nuppa Site'!J637,"NULL")</f>
        <v>30</v>
      </c>
      <c r="H637" s="14">
        <f>IF('Boletins Nuppa Site'!K637&lt;&gt;0,'Boletins Nuppa Site'!K637,"NULL")</f>
        <v>30</v>
      </c>
      <c r="I637" t="str">
        <f t="shared" si="18"/>
        <v>INSERT INTO COTACAO (cot_id, cot_blt_id, cot_pap_id, cot_prc_comum, cot_prc_min, cot_prc_max, cot_prc_med, cot_prc_mediana) VALUES (636, 53, 4, 30, 30, 30, 30, 30);</v>
      </c>
      <c r="J637" t="str">
        <f t="shared" si="19"/>
        <v>UPDATE COTACAO SET cot_id = 636, cot_blt_id = 53, cot_pap_id = 4, cot_prc_comum = 30, cot_prc_min = 30, cot_prc_max = 30, cot_prc_med = 30, cot_prc_mediana = 30 WHERE cot_id = 636;</v>
      </c>
    </row>
    <row r="638" spans="1:10" x14ac:dyDescent="0.3">
      <c r="A638">
        <v>637</v>
      </c>
      <c r="B638">
        <f>IF('Boletins Nuppa Site'!A638&lt;&gt;0,'Boletins Nuppa Site'!A638,"NULL")</f>
        <v>53</v>
      </c>
      <c r="C638">
        <v>5</v>
      </c>
      <c r="D638" s="14">
        <f>IF('Boletins Nuppa Site'!G638&lt;&gt;0,'Boletins Nuppa Site'!G638,"NULL")</f>
        <v>30</v>
      </c>
      <c r="E638" s="14">
        <f>IF('Boletins Nuppa Site'!H638&lt;&gt;0,'Boletins Nuppa Site'!H638,"NULL")</f>
        <v>24</v>
      </c>
      <c r="F638" s="14">
        <f>IF('Boletins Nuppa Site'!I638&lt;&gt;0,'Boletins Nuppa Site'!I638,"NULL")</f>
        <v>30</v>
      </c>
      <c r="G638" s="14">
        <f>IF('Boletins Nuppa Site'!J638&lt;&gt;0,'Boletins Nuppa Site'!J638,"NULL")</f>
        <v>28</v>
      </c>
      <c r="H638" s="14">
        <f>IF('Boletins Nuppa Site'!K638&lt;&gt;0,'Boletins Nuppa Site'!K638,"NULL")</f>
        <v>30</v>
      </c>
      <c r="I638" t="str">
        <f t="shared" si="18"/>
        <v>INSERT INTO COTACAO (cot_id, cot_blt_id, cot_pap_id, cot_prc_comum, cot_prc_min, cot_prc_max, cot_prc_med, cot_prc_mediana) VALUES (637, 53, 5, 30, 24, 30, 28, 30);</v>
      </c>
      <c r="J638" t="str">
        <f t="shared" si="19"/>
        <v>UPDATE COTACAO SET cot_id = 637, cot_blt_id = 53, cot_pap_id = 5, cot_prc_comum = 30, cot_prc_min = 24, cot_prc_max = 30, cot_prc_med = 28, cot_prc_mediana = 30 WHERE cot_id = 637;</v>
      </c>
    </row>
    <row r="639" spans="1:10" x14ac:dyDescent="0.3">
      <c r="A639">
        <v>638</v>
      </c>
      <c r="B639">
        <f>IF('Boletins Nuppa Site'!A639&lt;&gt;0,'Boletins Nuppa Site'!A639,"NULL")</f>
        <v>53</v>
      </c>
      <c r="C639">
        <v>6</v>
      </c>
      <c r="D639" s="14">
        <f>IF('Boletins Nuppa Site'!G639&lt;&gt;0,'Boletins Nuppa Site'!G639,"NULL")</f>
        <v>60</v>
      </c>
      <c r="E639" s="14">
        <f>IF('Boletins Nuppa Site'!H639&lt;&gt;0,'Boletins Nuppa Site'!H639,"NULL")</f>
        <v>60</v>
      </c>
      <c r="F639" s="14">
        <f>IF('Boletins Nuppa Site'!I639&lt;&gt;0,'Boletins Nuppa Site'!I639,"NULL")</f>
        <v>60</v>
      </c>
      <c r="G639" s="14">
        <f>IF('Boletins Nuppa Site'!J639&lt;&gt;0,'Boletins Nuppa Site'!J639,"NULL")</f>
        <v>60</v>
      </c>
      <c r="H639" s="14">
        <f>IF('Boletins Nuppa Site'!K639&lt;&gt;0,'Boletins Nuppa Site'!K639,"NULL")</f>
        <v>60</v>
      </c>
      <c r="I639" t="str">
        <f t="shared" si="18"/>
        <v>INSERT INTO COTACAO (cot_id, cot_blt_id, cot_pap_id, cot_prc_comum, cot_prc_min, cot_prc_max, cot_prc_med, cot_prc_mediana) VALUES (638, 53, 6, 60, 60, 60, 60, 60);</v>
      </c>
      <c r="J639" t="str">
        <f t="shared" si="19"/>
        <v>UPDATE COTACAO SET cot_id = 638, cot_blt_id = 53, cot_pap_id = 6, cot_prc_comum = 60, cot_prc_min = 60, cot_prc_max = 60, cot_prc_med = 60, cot_prc_mediana = 60 WHERE cot_id = 638;</v>
      </c>
    </row>
    <row r="640" spans="1:10" x14ac:dyDescent="0.3">
      <c r="A640">
        <v>639</v>
      </c>
      <c r="B640">
        <f>IF('Boletins Nuppa Site'!A640&lt;&gt;0,'Boletins Nuppa Site'!A640,"NULL")</f>
        <v>53</v>
      </c>
      <c r="C640">
        <v>7</v>
      </c>
      <c r="D640" s="14">
        <f>IF('Boletins Nuppa Site'!G640&lt;&gt;0,'Boletins Nuppa Site'!G640,"NULL")</f>
        <v>72</v>
      </c>
      <c r="E640" s="14">
        <f>IF('Boletins Nuppa Site'!H640&lt;&gt;0,'Boletins Nuppa Site'!H640,"NULL")</f>
        <v>72</v>
      </c>
      <c r="F640" s="14">
        <f>IF('Boletins Nuppa Site'!I640&lt;&gt;0,'Boletins Nuppa Site'!I640,"NULL")</f>
        <v>78</v>
      </c>
      <c r="G640" s="14">
        <f>IF('Boletins Nuppa Site'!J640&lt;&gt;0,'Boletins Nuppa Site'!J640,"NULL")</f>
        <v>74</v>
      </c>
      <c r="H640" s="14">
        <f>IF('Boletins Nuppa Site'!K640&lt;&gt;0,'Boletins Nuppa Site'!K640,"NULL")</f>
        <v>72</v>
      </c>
      <c r="I640" t="str">
        <f t="shared" si="18"/>
        <v>INSERT INTO COTACAO (cot_id, cot_blt_id, cot_pap_id, cot_prc_comum, cot_prc_min, cot_prc_max, cot_prc_med, cot_prc_mediana) VALUES (639, 53, 7, 72, 72, 78, 74, 72);</v>
      </c>
      <c r="J640" t="str">
        <f t="shared" si="19"/>
        <v>UPDATE COTACAO SET cot_id = 639, cot_blt_id = 53, cot_pap_id = 7, cot_prc_comum = 72, cot_prc_min = 72, cot_prc_max = 78, cot_prc_med = 74, cot_prc_mediana = 72 WHERE cot_id = 639;</v>
      </c>
    </row>
    <row r="641" spans="1:10" x14ac:dyDescent="0.3">
      <c r="A641">
        <v>640</v>
      </c>
      <c r="B641">
        <f>IF('Boletins Nuppa Site'!A641&lt;&gt;0,'Boletins Nuppa Site'!A641,"NULL")</f>
        <v>53</v>
      </c>
      <c r="C641">
        <v>8</v>
      </c>
      <c r="D641" s="14">
        <f>IF('Boletins Nuppa Site'!G641&lt;&gt;0,'Boletins Nuppa Site'!G641,"NULL")</f>
        <v>96</v>
      </c>
      <c r="E641" s="14">
        <f>IF('Boletins Nuppa Site'!H641&lt;&gt;0,'Boletins Nuppa Site'!H641,"NULL")</f>
        <v>72</v>
      </c>
      <c r="F641" s="14">
        <f>IF('Boletins Nuppa Site'!I641&lt;&gt;0,'Boletins Nuppa Site'!I641,"NULL")</f>
        <v>96</v>
      </c>
      <c r="G641" s="14">
        <f>IF('Boletins Nuppa Site'!J641&lt;&gt;0,'Boletins Nuppa Site'!J641,"NULL")</f>
        <v>88</v>
      </c>
      <c r="H641" s="14">
        <f>IF('Boletins Nuppa Site'!K641&lt;&gt;0,'Boletins Nuppa Site'!K641,"NULL")</f>
        <v>96</v>
      </c>
      <c r="I641" t="str">
        <f t="shared" si="18"/>
        <v>INSERT INTO COTACAO (cot_id, cot_blt_id, cot_pap_id, cot_prc_comum, cot_prc_min, cot_prc_max, cot_prc_med, cot_prc_mediana) VALUES (640, 53, 8, 96, 72, 96, 88, 96);</v>
      </c>
      <c r="J641" t="str">
        <f t="shared" si="19"/>
        <v>UPDATE COTACAO SET cot_id = 640, cot_blt_id = 53, cot_pap_id = 8, cot_prc_comum = 96, cot_prc_min = 72, cot_prc_max = 96, cot_prc_med = 88, cot_prc_mediana = 96 WHERE cot_id = 640;</v>
      </c>
    </row>
    <row r="642" spans="1:10" x14ac:dyDescent="0.3">
      <c r="A642">
        <v>641</v>
      </c>
      <c r="B642">
        <f>IF('Boletins Nuppa Site'!A642&lt;&gt;0,'Boletins Nuppa Site'!A642,"NULL")</f>
        <v>53</v>
      </c>
      <c r="C642">
        <v>9</v>
      </c>
      <c r="D642" s="14">
        <f>IF('Boletins Nuppa Site'!G642&lt;&gt;0,'Boletins Nuppa Site'!G642,"NULL")</f>
        <v>24</v>
      </c>
      <c r="E642" s="14">
        <f>IF('Boletins Nuppa Site'!H642&lt;&gt;0,'Boletins Nuppa Site'!H642,"NULL")</f>
        <v>24</v>
      </c>
      <c r="F642" s="14">
        <f>IF('Boletins Nuppa Site'!I642&lt;&gt;0,'Boletins Nuppa Site'!I642,"NULL")</f>
        <v>30</v>
      </c>
      <c r="G642" s="14">
        <f>IF('Boletins Nuppa Site'!J642&lt;&gt;0,'Boletins Nuppa Site'!J642,"NULL")</f>
        <v>26</v>
      </c>
      <c r="H642" s="14">
        <f>IF('Boletins Nuppa Site'!K642&lt;&gt;0,'Boletins Nuppa Site'!K642,"NULL")</f>
        <v>24</v>
      </c>
      <c r="I642" t="str">
        <f t="shared" si="18"/>
        <v>INSERT INTO COTACAO (cot_id, cot_blt_id, cot_pap_id, cot_prc_comum, cot_prc_min, cot_prc_max, cot_prc_med, cot_prc_mediana) VALUES (641, 53, 9, 24, 24, 30, 26, 24);</v>
      </c>
      <c r="J642" t="str">
        <f t="shared" si="19"/>
        <v>UPDATE COTACAO SET cot_id = 641, cot_blt_id = 53, cot_pap_id = 9, cot_prc_comum = 24, cot_prc_min = 24, cot_prc_max = 30, cot_prc_med = 26, cot_prc_mediana = 24 WHERE cot_id = 641;</v>
      </c>
    </row>
    <row r="643" spans="1:10" x14ac:dyDescent="0.3">
      <c r="A643">
        <v>642</v>
      </c>
      <c r="B643">
        <f>IF('Boletins Nuppa Site'!A643&lt;&gt;0,'Boletins Nuppa Site'!A643,"NULL")</f>
        <v>53</v>
      </c>
      <c r="C643">
        <v>10</v>
      </c>
      <c r="D643" s="14">
        <f>IF('Boletins Nuppa Site'!G643&lt;&gt;0,'Boletins Nuppa Site'!G643,"NULL")</f>
        <v>72</v>
      </c>
      <c r="E643" s="14">
        <f>IF('Boletins Nuppa Site'!H643&lt;&gt;0,'Boletins Nuppa Site'!H643,"NULL")</f>
        <v>72</v>
      </c>
      <c r="F643" s="14">
        <f>IF('Boletins Nuppa Site'!I643&lt;&gt;0,'Boletins Nuppa Site'!I643,"NULL")</f>
        <v>84</v>
      </c>
      <c r="G643" s="14">
        <f>IF('Boletins Nuppa Site'!J643&lt;&gt;0,'Boletins Nuppa Site'!J643,"NULL")</f>
        <v>76</v>
      </c>
      <c r="H643" s="14">
        <f>IF('Boletins Nuppa Site'!K643&lt;&gt;0,'Boletins Nuppa Site'!K643,"NULL")</f>
        <v>72</v>
      </c>
      <c r="I643" t="str">
        <f t="shared" ref="I643:I706" si="20">"INSERT INTO COTACAO (cot_id, cot_blt_id, cot_pap_id, cot_prc_comum, cot_prc_min, cot_prc_max, cot_prc_med, cot_prc_mediana) VALUES ("&amp;A643&amp;", "&amp;B643&amp;", "&amp;C643&amp;", "&amp;D643&amp;", "&amp;E643&amp;", "&amp;F643&amp;", "&amp;G643&amp;", "&amp;H643&amp;");"</f>
        <v>INSERT INTO COTACAO (cot_id, cot_blt_id, cot_pap_id, cot_prc_comum, cot_prc_min, cot_prc_max, cot_prc_med, cot_prc_mediana) VALUES (642, 53, 10, 72, 72, 84, 76, 72);</v>
      </c>
      <c r="J643" t="str">
        <f t="shared" ref="J643:J706" si="21">"UPDATE COTACAO SET cot_id = "&amp;A643&amp;", cot_blt_id = "&amp;B643&amp;", cot_pap_id = "&amp;C643&amp;", cot_prc_comum = "&amp;D643&amp;", cot_prc_min = "&amp;E643&amp;", cot_prc_max = "&amp;F643&amp;", cot_prc_med = "&amp;G643&amp;", cot_prc_mediana = "&amp;H643&amp;" WHERE cot_id = "&amp;A643&amp;";"</f>
        <v>UPDATE COTACAO SET cot_id = 642, cot_blt_id = 53, cot_pap_id = 10, cot_prc_comum = 72, cot_prc_min = 72, cot_prc_max = 84, cot_prc_med = 76, cot_prc_mediana = 72 WHERE cot_id = 642;</v>
      </c>
    </row>
    <row r="644" spans="1:10" x14ac:dyDescent="0.3">
      <c r="A644">
        <v>643</v>
      </c>
      <c r="B644">
        <f>IF('Boletins Nuppa Site'!A644&lt;&gt;0,'Boletins Nuppa Site'!A644,"NULL")</f>
        <v>53</v>
      </c>
      <c r="C644">
        <v>11</v>
      </c>
      <c r="D644" s="14">
        <f>IF('Boletins Nuppa Site'!G644&lt;&gt;0,'Boletins Nuppa Site'!G644,"NULL")</f>
        <v>30</v>
      </c>
      <c r="E644" s="14">
        <f>IF('Boletins Nuppa Site'!H644&lt;&gt;0,'Boletins Nuppa Site'!H644,"NULL")</f>
        <v>30</v>
      </c>
      <c r="F644" s="14">
        <f>IF('Boletins Nuppa Site'!I644&lt;&gt;0,'Boletins Nuppa Site'!I644,"NULL")</f>
        <v>30</v>
      </c>
      <c r="G644" s="14">
        <f>IF('Boletins Nuppa Site'!J644&lt;&gt;0,'Boletins Nuppa Site'!J644,"NULL")</f>
        <v>30</v>
      </c>
      <c r="H644" s="14">
        <f>IF('Boletins Nuppa Site'!K644&lt;&gt;0,'Boletins Nuppa Site'!K644,"NULL")</f>
        <v>30</v>
      </c>
      <c r="I644" t="str">
        <f t="shared" si="20"/>
        <v>INSERT INTO COTACAO (cot_id, cot_blt_id, cot_pap_id, cot_prc_comum, cot_prc_min, cot_prc_max, cot_prc_med, cot_prc_mediana) VALUES (643, 53, 11, 30, 30, 30, 30, 30);</v>
      </c>
      <c r="J644" t="str">
        <f t="shared" si="21"/>
        <v>UPDATE COTACAO SET cot_id = 643, cot_blt_id = 53, cot_pap_id = 11, cot_prc_comum = 30, cot_prc_min = 30, cot_prc_max = 30, cot_prc_med = 30, cot_prc_mediana = 30 WHERE cot_id = 643;</v>
      </c>
    </row>
    <row r="645" spans="1:10" x14ac:dyDescent="0.3">
      <c r="A645">
        <v>644</v>
      </c>
      <c r="B645">
        <f>IF('Boletins Nuppa Site'!A645&lt;&gt;0,'Boletins Nuppa Site'!A645,"NULL")</f>
        <v>53</v>
      </c>
      <c r="C645">
        <v>12</v>
      </c>
      <c r="D645" t="str">
        <f>IF('Boletins Nuppa Site'!G645&lt;&gt;0,'Boletins Nuppa Site'!G645,"NULL")</f>
        <v>NULL</v>
      </c>
      <c r="E645" s="14">
        <f>IF('Boletins Nuppa Site'!H645&lt;&gt;0,'Boletins Nuppa Site'!H645,"NULL")</f>
        <v>78</v>
      </c>
      <c r="F645" s="14">
        <f>IF('Boletins Nuppa Site'!I645&lt;&gt;0,'Boletins Nuppa Site'!I645,"NULL")</f>
        <v>96</v>
      </c>
      <c r="G645" s="14">
        <f>IF('Boletins Nuppa Site'!J645&lt;&gt;0,'Boletins Nuppa Site'!J645,"NULL")</f>
        <v>86</v>
      </c>
      <c r="H645" s="14">
        <f>IF('Boletins Nuppa Site'!K645&lt;&gt;0,'Boletins Nuppa Site'!K645,"NULL")</f>
        <v>84</v>
      </c>
      <c r="I645" t="str">
        <f t="shared" si="20"/>
        <v>INSERT INTO COTACAO (cot_id, cot_blt_id, cot_pap_id, cot_prc_comum, cot_prc_min, cot_prc_max, cot_prc_med, cot_prc_mediana) VALUES (644, 53, 12, NULL, 78, 96, 86, 84);</v>
      </c>
      <c r="J645" t="str">
        <f t="shared" si="21"/>
        <v>UPDATE COTACAO SET cot_id = 644, cot_blt_id = 53, cot_pap_id = 12, cot_prc_comum = NULL, cot_prc_min = 78, cot_prc_max = 96, cot_prc_med = 86, cot_prc_mediana = 84 WHERE cot_id = 644;</v>
      </c>
    </row>
    <row r="646" spans="1:10" x14ac:dyDescent="0.3">
      <c r="A646">
        <v>645</v>
      </c>
      <c r="B646">
        <f>IF('Boletins Nuppa Site'!A646&lt;&gt;0,'Boletins Nuppa Site'!A646,"NULL")</f>
        <v>53</v>
      </c>
      <c r="C646">
        <v>13</v>
      </c>
      <c r="D646" s="14">
        <f>IF('Boletins Nuppa Site'!G646&lt;&gt;0,'Boletins Nuppa Site'!G646,"NULL")</f>
        <v>60</v>
      </c>
      <c r="E646" s="14">
        <f>IF('Boletins Nuppa Site'!H646&lt;&gt;0,'Boletins Nuppa Site'!H646,"NULL")</f>
        <v>60</v>
      </c>
      <c r="F646" s="14">
        <f>IF('Boletins Nuppa Site'!I646&lt;&gt;0,'Boletins Nuppa Site'!I646,"NULL")</f>
        <v>78</v>
      </c>
      <c r="G646" s="14">
        <f>IF('Boletins Nuppa Site'!J646&lt;&gt;0,'Boletins Nuppa Site'!J646,"NULL")</f>
        <v>66</v>
      </c>
      <c r="H646" s="14">
        <f>IF('Boletins Nuppa Site'!K646&lt;&gt;0,'Boletins Nuppa Site'!K646,"NULL")</f>
        <v>60</v>
      </c>
      <c r="I646" t="str">
        <f t="shared" si="20"/>
        <v>INSERT INTO COTACAO (cot_id, cot_blt_id, cot_pap_id, cot_prc_comum, cot_prc_min, cot_prc_max, cot_prc_med, cot_prc_mediana) VALUES (645, 53, 13, 60, 60, 78, 66, 60);</v>
      </c>
      <c r="J646" t="str">
        <f t="shared" si="21"/>
        <v>UPDATE COTACAO SET cot_id = 645, cot_blt_id = 53, cot_pap_id = 13, cot_prc_comum = 60, cot_prc_min = 60, cot_prc_max = 78, cot_prc_med = 66, cot_prc_mediana = 60 WHERE cot_id = 645;</v>
      </c>
    </row>
    <row r="647" spans="1:10" x14ac:dyDescent="0.3">
      <c r="A647">
        <v>646</v>
      </c>
      <c r="B647">
        <f>IF('Boletins Nuppa Site'!A647&lt;&gt;0,'Boletins Nuppa Site'!A647,"NULL")</f>
        <v>53</v>
      </c>
      <c r="C647">
        <v>14</v>
      </c>
      <c r="D647" s="14">
        <f>IF('Boletins Nuppa Site'!G647&lt;&gt;0,'Boletins Nuppa Site'!G647,"NULL")</f>
        <v>84</v>
      </c>
      <c r="E647" s="14">
        <f>IF('Boletins Nuppa Site'!H647&lt;&gt;0,'Boletins Nuppa Site'!H647,"NULL")</f>
        <v>84</v>
      </c>
      <c r="F647" s="14">
        <f>IF('Boletins Nuppa Site'!I647&lt;&gt;0,'Boletins Nuppa Site'!I647,"NULL")</f>
        <v>96</v>
      </c>
      <c r="G647" s="14">
        <f>IF('Boletins Nuppa Site'!J647&lt;&gt;0,'Boletins Nuppa Site'!J647,"NULL")</f>
        <v>88</v>
      </c>
      <c r="H647" s="14">
        <f>IF('Boletins Nuppa Site'!K647&lt;&gt;0,'Boletins Nuppa Site'!K647,"NULL")</f>
        <v>84</v>
      </c>
      <c r="I647" t="str">
        <f t="shared" si="20"/>
        <v>INSERT INTO COTACAO (cot_id, cot_blt_id, cot_pap_id, cot_prc_comum, cot_prc_min, cot_prc_max, cot_prc_med, cot_prc_mediana) VALUES (646, 53, 14, 84, 84, 96, 88, 84);</v>
      </c>
      <c r="J647" t="str">
        <f t="shared" si="21"/>
        <v>UPDATE COTACAO SET cot_id = 646, cot_blt_id = 53, cot_pap_id = 14, cot_prc_comum = 84, cot_prc_min = 84, cot_prc_max = 96, cot_prc_med = 88, cot_prc_mediana = 84 WHERE cot_id = 646;</v>
      </c>
    </row>
    <row r="648" spans="1:10" x14ac:dyDescent="0.3">
      <c r="A648">
        <v>647</v>
      </c>
      <c r="B648">
        <f>IF('Boletins Nuppa Site'!A648&lt;&gt;0,'Boletins Nuppa Site'!A648,"NULL")</f>
        <v>53</v>
      </c>
      <c r="C648">
        <v>15</v>
      </c>
      <c r="D648" s="14">
        <f>IF('Boletins Nuppa Site'!G648&lt;&gt;0,'Boletins Nuppa Site'!G648,"NULL")</f>
        <v>60</v>
      </c>
      <c r="E648" s="14">
        <f>IF('Boletins Nuppa Site'!H648&lt;&gt;0,'Boletins Nuppa Site'!H648,"NULL")</f>
        <v>60</v>
      </c>
      <c r="F648" s="14">
        <f>IF('Boletins Nuppa Site'!I648&lt;&gt;0,'Boletins Nuppa Site'!I648,"NULL")</f>
        <v>70</v>
      </c>
      <c r="G648" t="str">
        <f>IF('Boletins Nuppa Site'!J648&lt;&gt;0,'Boletins Nuppa Site'!J648,"NULL")</f>
        <v>63.33</v>
      </c>
      <c r="H648" s="14">
        <f>IF('Boletins Nuppa Site'!K648&lt;&gt;0,'Boletins Nuppa Site'!K648,"NULL")</f>
        <v>60</v>
      </c>
      <c r="I648" t="str">
        <f t="shared" si="20"/>
        <v>INSERT INTO COTACAO (cot_id, cot_blt_id, cot_pap_id, cot_prc_comum, cot_prc_min, cot_prc_max, cot_prc_med, cot_prc_mediana) VALUES (647, 53, 15, 60, 60, 70, 63.33, 60);</v>
      </c>
      <c r="J648" t="str">
        <f t="shared" si="21"/>
        <v>UPDATE COTACAO SET cot_id = 647, cot_blt_id = 53, cot_pap_id = 15, cot_prc_comum = 60, cot_prc_min = 60, cot_prc_max = 70, cot_prc_med = 63.33, cot_prc_mediana = 60 WHERE cot_id = 647;</v>
      </c>
    </row>
    <row r="649" spans="1:10" x14ac:dyDescent="0.3">
      <c r="A649">
        <v>648</v>
      </c>
      <c r="B649">
        <f>IF('Boletins Nuppa Site'!A649&lt;&gt;0,'Boletins Nuppa Site'!A649,"NULL")</f>
        <v>53</v>
      </c>
      <c r="C649">
        <v>16</v>
      </c>
      <c r="D649" s="14">
        <f>IF('Boletins Nuppa Site'!G649&lt;&gt;0,'Boletins Nuppa Site'!G649,"NULL")</f>
        <v>54</v>
      </c>
      <c r="E649" s="14">
        <f>IF('Boletins Nuppa Site'!H649&lt;&gt;0,'Boletins Nuppa Site'!H649,"NULL")</f>
        <v>48</v>
      </c>
      <c r="F649" s="14">
        <f>IF('Boletins Nuppa Site'!I649&lt;&gt;0,'Boletins Nuppa Site'!I649,"NULL")</f>
        <v>54</v>
      </c>
      <c r="G649" s="14">
        <f>IF('Boletins Nuppa Site'!J649&lt;&gt;0,'Boletins Nuppa Site'!J649,"NULL")</f>
        <v>52</v>
      </c>
      <c r="H649" s="14">
        <f>IF('Boletins Nuppa Site'!K649&lt;&gt;0,'Boletins Nuppa Site'!K649,"NULL")</f>
        <v>54</v>
      </c>
      <c r="I649" t="str">
        <f t="shared" si="20"/>
        <v>INSERT INTO COTACAO (cot_id, cot_blt_id, cot_pap_id, cot_prc_comum, cot_prc_min, cot_prc_max, cot_prc_med, cot_prc_mediana) VALUES (648, 53, 16, 54, 48, 54, 52, 54);</v>
      </c>
      <c r="J649" t="str">
        <f t="shared" si="21"/>
        <v>UPDATE COTACAO SET cot_id = 648, cot_blt_id = 53, cot_pap_id = 16, cot_prc_comum = 54, cot_prc_min = 48, cot_prc_max = 54, cot_prc_med = 52, cot_prc_mediana = 54 WHERE cot_id = 648;</v>
      </c>
    </row>
    <row r="650" spans="1:10" x14ac:dyDescent="0.3">
      <c r="A650">
        <v>649</v>
      </c>
      <c r="B650">
        <f>IF('Boletins Nuppa Site'!A650&lt;&gt;0,'Boletins Nuppa Site'!A650,"NULL")</f>
        <v>53</v>
      </c>
      <c r="C650">
        <v>17</v>
      </c>
      <c r="D650" s="14">
        <f>IF('Boletins Nuppa Site'!G650&lt;&gt;0,'Boletins Nuppa Site'!G650,"NULL")</f>
        <v>5</v>
      </c>
      <c r="E650" s="14">
        <f>IF('Boletins Nuppa Site'!H650&lt;&gt;0,'Boletins Nuppa Site'!H650,"NULL")</f>
        <v>5</v>
      </c>
      <c r="F650" s="14">
        <f>IF('Boletins Nuppa Site'!I650&lt;&gt;0,'Boletins Nuppa Site'!I650,"NULL")</f>
        <v>6</v>
      </c>
      <c r="G650" t="str">
        <f>IF('Boletins Nuppa Site'!J650&lt;&gt;0,'Boletins Nuppa Site'!J650,"NULL")</f>
        <v>53.33</v>
      </c>
      <c r="H650" s="14">
        <f>IF('Boletins Nuppa Site'!K650&lt;&gt;0,'Boletins Nuppa Site'!K650,"NULL")</f>
        <v>5</v>
      </c>
      <c r="I650" t="str">
        <f t="shared" si="20"/>
        <v>INSERT INTO COTACAO (cot_id, cot_blt_id, cot_pap_id, cot_prc_comum, cot_prc_min, cot_prc_max, cot_prc_med, cot_prc_mediana) VALUES (649, 53, 17, 5, 5, 6, 53.33, 5);</v>
      </c>
      <c r="J650" t="str">
        <f t="shared" si="21"/>
        <v>UPDATE COTACAO SET cot_id = 649, cot_blt_id = 53, cot_pap_id = 17, cot_prc_comum = 5, cot_prc_min = 5, cot_prc_max = 6, cot_prc_med = 53.33, cot_prc_mediana = 5 WHERE cot_id = 649;</v>
      </c>
    </row>
    <row r="651" spans="1:10" x14ac:dyDescent="0.3">
      <c r="A651">
        <v>650</v>
      </c>
      <c r="B651">
        <f>IF('Boletins Nuppa Site'!A651&lt;&gt;0,'Boletins Nuppa Site'!A651,"NULL")</f>
        <v>53</v>
      </c>
      <c r="C651">
        <v>18</v>
      </c>
      <c r="D651" s="14">
        <f>IF('Boletins Nuppa Site'!G651&lt;&gt;0,'Boletins Nuppa Site'!G651,"NULL")</f>
        <v>25</v>
      </c>
      <c r="E651" s="14">
        <f>IF('Boletins Nuppa Site'!H651&lt;&gt;0,'Boletins Nuppa Site'!H651,"NULL")</f>
        <v>20</v>
      </c>
      <c r="F651" s="14">
        <f>IF('Boletins Nuppa Site'!I651&lt;&gt;0,'Boletins Nuppa Site'!I651,"NULL")</f>
        <v>25</v>
      </c>
      <c r="G651" t="str">
        <f>IF('Boletins Nuppa Site'!J651&lt;&gt;0,'Boletins Nuppa Site'!J651,"NULL")</f>
        <v>23.33</v>
      </c>
      <c r="H651" s="14">
        <f>IF('Boletins Nuppa Site'!K651&lt;&gt;0,'Boletins Nuppa Site'!K651,"NULL")</f>
        <v>25</v>
      </c>
      <c r="I651" t="str">
        <f t="shared" si="20"/>
        <v>INSERT INTO COTACAO (cot_id, cot_blt_id, cot_pap_id, cot_prc_comum, cot_prc_min, cot_prc_max, cot_prc_med, cot_prc_mediana) VALUES (650, 53, 18, 25, 20, 25, 23.33, 25);</v>
      </c>
      <c r="J651" t="str">
        <f t="shared" si="21"/>
        <v>UPDATE COTACAO SET cot_id = 650, cot_blt_id = 53, cot_pap_id = 18, cot_prc_comum = 25, cot_prc_min = 20, cot_prc_max = 25, cot_prc_med = 23.33, cot_prc_mediana = 25 WHERE cot_id = 650;</v>
      </c>
    </row>
    <row r="652" spans="1:10" x14ac:dyDescent="0.3">
      <c r="A652">
        <v>651</v>
      </c>
      <c r="B652">
        <f>IF('Boletins Nuppa Site'!A652&lt;&gt;0,'Boletins Nuppa Site'!A652,"NULL")</f>
        <v>53</v>
      </c>
      <c r="C652">
        <v>19</v>
      </c>
      <c r="D652" t="str">
        <f>IF('Boletins Nuppa Site'!G652&lt;&gt;0,'Boletins Nuppa Site'!G652,"NULL")</f>
        <v>NULL</v>
      </c>
      <c r="E652" s="14">
        <f>IF('Boletins Nuppa Site'!H652&lt;&gt;0,'Boletins Nuppa Site'!H652,"NULL")</f>
        <v>25</v>
      </c>
      <c r="F652" s="14">
        <f>IF('Boletins Nuppa Site'!I652&lt;&gt;0,'Boletins Nuppa Site'!I652,"NULL")</f>
        <v>32</v>
      </c>
      <c r="G652" s="14">
        <f>IF('Boletins Nuppa Site'!J652&lt;&gt;0,'Boletins Nuppa Site'!J652,"NULL")</f>
        <v>29</v>
      </c>
      <c r="H652" s="14">
        <f>IF('Boletins Nuppa Site'!K652&lt;&gt;0,'Boletins Nuppa Site'!K652,"NULL")</f>
        <v>30</v>
      </c>
      <c r="I652" t="str">
        <f t="shared" si="20"/>
        <v>INSERT INTO COTACAO (cot_id, cot_blt_id, cot_pap_id, cot_prc_comum, cot_prc_min, cot_prc_max, cot_prc_med, cot_prc_mediana) VALUES (651, 53, 19, NULL, 25, 32, 29, 30);</v>
      </c>
      <c r="J652" t="str">
        <f t="shared" si="21"/>
        <v>UPDATE COTACAO SET cot_id = 651, cot_blt_id = 53, cot_pap_id = 19, cot_prc_comum = NULL, cot_prc_min = 25, cot_prc_max = 32, cot_prc_med = 29, cot_prc_mediana = 30 WHERE cot_id = 651;</v>
      </c>
    </row>
    <row r="653" spans="1:10" x14ac:dyDescent="0.3">
      <c r="A653">
        <v>652</v>
      </c>
      <c r="B653">
        <f>IF('Boletins Nuppa Site'!A653&lt;&gt;0,'Boletins Nuppa Site'!A653,"NULL")</f>
        <v>53</v>
      </c>
      <c r="C653">
        <v>20</v>
      </c>
      <c r="D653" t="str">
        <f>IF('Boletins Nuppa Site'!G653&lt;&gt;0,'Boletins Nuppa Site'!G653,"NULL")</f>
        <v>NULL</v>
      </c>
      <c r="E653" s="14">
        <f>IF('Boletins Nuppa Site'!H653&lt;&gt;0,'Boletins Nuppa Site'!H653,"NULL")</f>
        <v>85</v>
      </c>
      <c r="F653" s="14">
        <f>IF('Boletins Nuppa Site'!I653&lt;&gt;0,'Boletins Nuppa Site'!I653,"NULL")</f>
        <v>90</v>
      </c>
      <c r="G653" t="str">
        <f>IF('Boletins Nuppa Site'!J653&lt;&gt;0,'Boletins Nuppa Site'!J653,"NULL")</f>
        <v>87.5</v>
      </c>
      <c r="H653" t="str">
        <f>IF('Boletins Nuppa Site'!K653&lt;&gt;0,'Boletins Nuppa Site'!K653,"NULL")</f>
        <v>87.5</v>
      </c>
      <c r="I653" t="str">
        <f t="shared" si="20"/>
        <v>INSERT INTO COTACAO (cot_id, cot_blt_id, cot_pap_id, cot_prc_comum, cot_prc_min, cot_prc_max, cot_prc_med, cot_prc_mediana) VALUES (652, 53, 20, NULL, 85, 90, 87.5, 87.5);</v>
      </c>
      <c r="J653" t="str">
        <f t="shared" si="21"/>
        <v>UPDATE COTACAO SET cot_id = 652, cot_blt_id = 53, cot_pap_id = 20, cot_prc_comum = NULL, cot_prc_min = 85, cot_prc_max = 90, cot_prc_med = 87.5, cot_prc_mediana = 87.5 WHERE cot_id = 652;</v>
      </c>
    </row>
    <row r="654" spans="1:10" x14ac:dyDescent="0.3">
      <c r="A654">
        <v>653</v>
      </c>
      <c r="B654">
        <f>IF('Boletins Nuppa Site'!A654&lt;&gt;0,'Boletins Nuppa Site'!A654,"NULL")</f>
        <v>53</v>
      </c>
      <c r="C654">
        <v>21</v>
      </c>
      <c r="D654" s="14">
        <f>IF('Boletins Nuppa Site'!G654&lt;&gt;0,'Boletins Nuppa Site'!G654,"NULL")</f>
        <v>70</v>
      </c>
      <c r="E654" s="14">
        <f>IF('Boletins Nuppa Site'!H654&lt;&gt;0,'Boletins Nuppa Site'!H654,"NULL")</f>
        <v>60</v>
      </c>
      <c r="F654" s="14">
        <f>IF('Boletins Nuppa Site'!I654&lt;&gt;0,'Boletins Nuppa Site'!I654,"NULL")</f>
        <v>70</v>
      </c>
      <c r="G654" t="str">
        <f>IF('Boletins Nuppa Site'!J654&lt;&gt;0,'Boletins Nuppa Site'!J654,"NULL")</f>
        <v>67.5</v>
      </c>
      <c r="H654" s="14">
        <f>IF('Boletins Nuppa Site'!K654&lt;&gt;0,'Boletins Nuppa Site'!K654,"NULL")</f>
        <v>70</v>
      </c>
      <c r="I654" t="str">
        <f t="shared" si="20"/>
        <v>INSERT INTO COTACAO (cot_id, cot_blt_id, cot_pap_id, cot_prc_comum, cot_prc_min, cot_prc_max, cot_prc_med, cot_prc_mediana) VALUES (653, 53, 21, 70, 60, 70, 67.5, 70);</v>
      </c>
      <c r="J654" t="str">
        <f t="shared" si="21"/>
        <v>UPDATE COTACAO SET cot_id = 653, cot_blt_id = 53, cot_pap_id = 21, cot_prc_comum = 70, cot_prc_min = 60, cot_prc_max = 70, cot_prc_med = 67.5, cot_prc_mediana = 70 WHERE cot_id = 653;</v>
      </c>
    </row>
    <row r="655" spans="1:10" x14ac:dyDescent="0.3">
      <c r="A655">
        <v>654</v>
      </c>
      <c r="B655">
        <f>IF('Boletins Nuppa Site'!A655&lt;&gt;0,'Boletins Nuppa Site'!A655,"NULL")</f>
        <v>53</v>
      </c>
      <c r="C655">
        <v>22</v>
      </c>
      <c r="D655" s="14">
        <f>IF('Boletins Nuppa Site'!G655&lt;&gt;0,'Boletins Nuppa Site'!G655,"NULL")</f>
        <v>65</v>
      </c>
      <c r="E655" s="14">
        <f>IF('Boletins Nuppa Site'!H655&lt;&gt;0,'Boletins Nuppa Site'!H655,"NULL")</f>
        <v>45</v>
      </c>
      <c r="F655" s="14">
        <f>IF('Boletins Nuppa Site'!I655&lt;&gt;0,'Boletins Nuppa Site'!I655,"NULL")</f>
        <v>65</v>
      </c>
      <c r="G655" t="str">
        <f>IF('Boletins Nuppa Site'!J655&lt;&gt;0,'Boletins Nuppa Site'!J655,"NULL")</f>
        <v>56.25</v>
      </c>
      <c r="H655" t="str">
        <f>IF('Boletins Nuppa Site'!K655&lt;&gt;0,'Boletins Nuppa Site'!K655,"NULL")</f>
        <v>57.5</v>
      </c>
      <c r="I655" t="str">
        <f t="shared" si="20"/>
        <v>INSERT INTO COTACAO (cot_id, cot_blt_id, cot_pap_id, cot_prc_comum, cot_prc_min, cot_prc_max, cot_prc_med, cot_prc_mediana) VALUES (654, 53, 22, 65, 45, 65, 56.25, 57.5);</v>
      </c>
      <c r="J655" t="str">
        <f t="shared" si="21"/>
        <v>UPDATE COTACAO SET cot_id = 654, cot_blt_id = 53, cot_pap_id = 22, cot_prc_comum = 65, cot_prc_min = 45, cot_prc_max = 65, cot_prc_med = 56.25, cot_prc_mediana = 57.5 WHERE cot_id = 654;</v>
      </c>
    </row>
    <row r="656" spans="1:10" x14ac:dyDescent="0.3">
      <c r="A656">
        <v>655</v>
      </c>
      <c r="B656">
        <f>IF('Boletins Nuppa Site'!A656&lt;&gt;0,'Boletins Nuppa Site'!A656,"NULL")</f>
        <v>53</v>
      </c>
      <c r="C656">
        <v>23</v>
      </c>
      <c r="D656" s="14">
        <f>IF('Boletins Nuppa Site'!G656&lt;&gt;0,'Boletins Nuppa Site'!G656,"NULL")</f>
        <v>50</v>
      </c>
      <c r="E656" s="14">
        <f>IF('Boletins Nuppa Site'!H656&lt;&gt;0,'Boletins Nuppa Site'!H656,"NULL")</f>
        <v>40</v>
      </c>
      <c r="F656" s="14">
        <f>IF('Boletins Nuppa Site'!I656&lt;&gt;0,'Boletins Nuppa Site'!I656,"NULL")</f>
        <v>50</v>
      </c>
      <c r="G656" t="str">
        <f>IF('Boletins Nuppa Site'!J656&lt;&gt;0,'Boletins Nuppa Site'!J656,"NULL")</f>
        <v>47.5</v>
      </c>
      <c r="H656" s="14">
        <f>IF('Boletins Nuppa Site'!K656&lt;&gt;0,'Boletins Nuppa Site'!K656,"NULL")</f>
        <v>50</v>
      </c>
      <c r="I656" t="str">
        <f t="shared" si="20"/>
        <v>INSERT INTO COTACAO (cot_id, cot_blt_id, cot_pap_id, cot_prc_comum, cot_prc_min, cot_prc_max, cot_prc_med, cot_prc_mediana) VALUES (655, 53, 23, 50, 40, 50, 47.5, 50);</v>
      </c>
      <c r="J656" t="str">
        <f t="shared" si="21"/>
        <v>UPDATE COTACAO SET cot_id = 655, cot_blt_id = 53, cot_pap_id = 23, cot_prc_comum = 50, cot_prc_min = 40, cot_prc_max = 50, cot_prc_med = 47.5, cot_prc_mediana = 50 WHERE cot_id = 655;</v>
      </c>
    </row>
    <row r="657" spans="1:10" x14ac:dyDescent="0.3">
      <c r="A657">
        <v>656</v>
      </c>
      <c r="B657">
        <f>IF('Boletins Nuppa Site'!A657&lt;&gt;0,'Boletins Nuppa Site'!A657,"NULL")</f>
        <v>53</v>
      </c>
      <c r="C657">
        <v>24</v>
      </c>
      <c r="D657" s="14">
        <f>IF('Boletins Nuppa Site'!G657&lt;&gt;0,'Boletins Nuppa Site'!G657,"NULL")</f>
        <v>100</v>
      </c>
      <c r="E657" s="14">
        <f>IF('Boletins Nuppa Site'!H657&lt;&gt;0,'Boletins Nuppa Site'!H657,"NULL")</f>
        <v>90</v>
      </c>
      <c r="F657" s="14">
        <f>IF('Boletins Nuppa Site'!I657&lt;&gt;0,'Boletins Nuppa Site'!I657,"NULL")</f>
        <v>100</v>
      </c>
      <c r="G657" t="str">
        <f>IF('Boletins Nuppa Site'!J657&lt;&gt;0,'Boletins Nuppa Site'!J657,"NULL")</f>
        <v>96.67</v>
      </c>
      <c r="H657" s="14">
        <f>IF('Boletins Nuppa Site'!K657&lt;&gt;0,'Boletins Nuppa Site'!K657,"NULL")</f>
        <v>100</v>
      </c>
      <c r="I657" t="str">
        <f t="shared" si="20"/>
        <v>INSERT INTO COTACAO (cot_id, cot_blt_id, cot_pap_id, cot_prc_comum, cot_prc_min, cot_prc_max, cot_prc_med, cot_prc_mediana) VALUES (656, 53, 24, 100, 90, 100, 96.67, 100);</v>
      </c>
      <c r="J657" t="str">
        <f t="shared" si="21"/>
        <v>UPDATE COTACAO SET cot_id = 656, cot_blt_id = 53, cot_pap_id = 24, cot_prc_comum = 100, cot_prc_min = 90, cot_prc_max = 100, cot_prc_med = 96.67, cot_prc_mediana = 100 WHERE cot_id = 656;</v>
      </c>
    </row>
    <row r="658" spans="1:10" x14ac:dyDescent="0.3">
      <c r="A658">
        <v>657</v>
      </c>
      <c r="B658">
        <f>IF('Boletins Nuppa Site'!A658&lt;&gt;0,'Boletins Nuppa Site'!A658,"NULL")</f>
        <v>53</v>
      </c>
      <c r="C658">
        <v>25</v>
      </c>
      <c r="D658" s="14">
        <f>IF('Boletins Nuppa Site'!G658&lt;&gt;0,'Boletins Nuppa Site'!G658,"NULL")</f>
        <v>110</v>
      </c>
      <c r="E658" s="14">
        <f>IF('Boletins Nuppa Site'!H658&lt;&gt;0,'Boletins Nuppa Site'!H658,"NULL")</f>
        <v>110</v>
      </c>
      <c r="F658" s="14">
        <f>IF('Boletins Nuppa Site'!I658&lt;&gt;0,'Boletins Nuppa Site'!I658,"NULL")</f>
        <v>150</v>
      </c>
      <c r="G658" t="str">
        <f>IF('Boletins Nuppa Site'!J658&lt;&gt;0,'Boletins Nuppa Site'!J658,"NULL")</f>
        <v>128.75</v>
      </c>
      <c r="H658" t="str">
        <f>IF('Boletins Nuppa Site'!K658&lt;&gt;0,'Boletins Nuppa Site'!K658,"NULL")</f>
        <v>127.5</v>
      </c>
      <c r="I658" t="str">
        <f t="shared" si="20"/>
        <v>INSERT INTO COTACAO (cot_id, cot_blt_id, cot_pap_id, cot_prc_comum, cot_prc_min, cot_prc_max, cot_prc_med, cot_prc_mediana) VALUES (657, 53, 25, 110, 110, 150, 128.75, 127.5);</v>
      </c>
      <c r="J658" t="str">
        <f t="shared" si="21"/>
        <v>UPDATE COTACAO SET cot_id = 657, cot_blt_id = 53, cot_pap_id = 25, cot_prc_comum = 110, cot_prc_min = 110, cot_prc_max = 150, cot_prc_med = 128.75, cot_prc_mediana = 127.5 WHERE cot_id = 657;</v>
      </c>
    </row>
    <row r="659" spans="1:10" x14ac:dyDescent="0.3">
      <c r="A659">
        <v>658</v>
      </c>
      <c r="B659">
        <f>IF('Boletins Nuppa Site'!A659&lt;&gt;0,'Boletins Nuppa Site'!A659,"NULL")</f>
        <v>53</v>
      </c>
      <c r="C659">
        <v>26</v>
      </c>
      <c r="D659" s="14">
        <f>IF('Boletins Nuppa Site'!G659&lt;&gt;0,'Boletins Nuppa Site'!G659,"NULL")</f>
        <v>170</v>
      </c>
      <c r="E659" s="14">
        <f>IF('Boletins Nuppa Site'!H659&lt;&gt;0,'Boletins Nuppa Site'!H659,"NULL")</f>
        <v>100</v>
      </c>
      <c r="F659" s="14">
        <f>IF('Boletins Nuppa Site'!I659&lt;&gt;0,'Boletins Nuppa Site'!I659,"NULL")</f>
        <v>170</v>
      </c>
      <c r="G659" s="14">
        <f>IF('Boletins Nuppa Site'!J659&lt;&gt;0,'Boletins Nuppa Site'!J659,"NULL")</f>
        <v>135</v>
      </c>
      <c r="H659" s="14">
        <f>IF('Boletins Nuppa Site'!K659&lt;&gt;0,'Boletins Nuppa Site'!K659,"NULL")</f>
        <v>135</v>
      </c>
      <c r="I659" t="str">
        <f t="shared" si="20"/>
        <v>INSERT INTO COTACAO (cot_id, cot_blt_id, cot_pap_id, cot_prc_comum, cot_prc_min, cot_prc_max, cot_prc_med, cot_prc_mediana) VALUES (658, 53, 26, 170, 100, 170, 135, 135);</v>
      </c>
      <c r="J659" t="str">
        <f t="shared" si="21"/>
        <v>UPDATE COTACAO SET cot_id = 658, cot_blt_id = 53, cot_pap_id = 26, cot_prc_comum = 170, cot_prc_min = 100, cot_prc_max = 170, cot_prc_med = 135, cot_prc_mediana = 135 WHERE cot_id = 658;</v>
      </c>
    </row>
    <row r="660" spans="1:10" x14ac:dyDescent="0.3">
      <c r="A660">
        <v>659</v>
      </c>
      <c r="B660">
        <f>IF('Boletins Nuppa Site'!A660&lt;&gt;0,'Boletins Nuppa Site'!A660,"NULL")</f>
        <v>53</v>
      </c>
      <c r="C660">
        <v>27</v>
      </c>
      <c r="D660" s="14">
        <f>IF('Boletins Nuppa Site'!G660&lt;&gt;0,'Boletins Nuppa Site'!G660,"NULL")</f>
        <v>50</v>
      </c>
      <c r="E660" s="14">
        <f>IF('Boletins Nuppa Site'!H660&lt;&gt;0,'Boletins Nuppa Site'!H660,"NULL")</f>
        <v>50</v>
      </c>
      <c r="F660" s="14">
        <f>IF('Boletins Nuppa Site'!I660&lt;&gt;0,'Boletins Nuppa Site'!I660,"NULL")</f>
        <v>60</v>
      </c>
      <c r="G660" s="14">
        <f>IF('Boletins Nuppa Site'!J660&lt;&gt;0,'Boletins Nuppa Site'!J660,"NULL")</f>
        <v>55</v>
      </c>
      <c r="H660" s="14">
        <f>IF('Boletins Nuppa Site'!K660&lt;&gt;0,'Boletins Nuppa Site'!K660,"NULL")</f>
        <v>55</v>
      </c>
      <c r="I660" t="str">
        <f t="shared" si="20"/>
        <v>INSERT INTO COTACAO (cot_id, cot_blt_id, cot_pap_id, cot_prc_comum, cot_prc_min, cot_prc_max, cot_prc_med, cot_prc_mediana) VALUES (659, 53, 27, 50, 50, 60, 55, 55);</v>
      </c>
      <c r="J660" t="str">
        <f t="shared" si="21"/>
        <v>UPDATE COTACAO SET cot_id = 659, cot_blt_id = 53, cot_pap_id = 27, cot_prc_comum = 50, cot_prc_min = 50, cot_prc_max = 60, cot_prc_med = 55, cot_prc_mediana = 55 WHERE cot_id = 659;</v>
      </c>
    </row>
    <row r="661" spans="1:10" x14ac:dyDescent="0.3">
      <c r="A661">
        <v>660</v>
      </c>
      <c r="B661">
        <f>IF('Boletins Nuppa Site'!A661&lt;&gt;0,'Boletins Nuppa Site'!A661,"NULL")</f>
        <v>53</v>
      </c>
      <c r="C661">
        <v>28</v>
      </c>
      <c r="D661" s="14">
        <f>IF('Boletins Nuppa Site'!G661&lt;&gt;0,'Boletins Nuppa Site'!G661,"NULL")</f>
        <v>90</v>
      </c>
      <c r="E661" s="14">
        <f>IF('Boletins Nuppa Site'!H661&lt;&gt;0,'Boletins Nuppa Site'!H661,"NULL")</f>
        <v>80</v>
      </c>
      <c r="F661" s="14">
        <f>IF('Boletins Nuppa Site'!I661&lt;&gt;0,'Boletins Nuppa Site'!I661,"NULL")</f>
        <v>90</v>
      </c>
      <c r="G661" t="str">
        <f>IF('Boletins Nuppa Site'!J661&lt;&gt;0,'Boletins Nuppa Site'!J661,"NULL")</f>
        <v>86.67</v>
      </c>
      <c r="H661" s="14">
        <f>IF('Boletins Nuppa Site'!K661&lt;&gt;0,'Boletins Nuppa Site'!K661,"NULL")</f>
        <v>90</v>
      </c>
      <c r="I661" t="str">
        <f t="shared" si="20"/>
        <v>INSERT INTO COTACAO (cot_id, cot_blt_id, cot_pap_id, cot_prc_comum, cot_prc_min, cot_prc_max, cot_prc_med, cot_prc_mediana) VALUES (660, 53, 28, 90, 80, 90, 86.67, 90);</v>
      </c>
      <c r="J661" t="str">
        <f t="shared" si="21"/>
        <v>UPDATE COTACAO SET cot_id = 660, cot_blt_id = 53, cot_pap_id = 28, cot_prc_comum = 90, cot_prc_min = 80, cot_prc_max = 90, cot_prc_med = 86.67, cot_prc_mediana = 90 WHERE cot_id = 660;</v>
      </c>
    </row>
    <row r="662" spans="1:10" x14ac:dyDescent="0.3">
      <c r="A662">
        <v>661</v>
      </c>
      <c r="B662">
        <f>IF('Boletins Nuppa Site'!A662&lt;&gt;0,'Boletins Nuppa Site'!A662,"NULL")</f>
        <v>53</v>
      </c>
      <c r="C662">
        <v>29</v>
      </c>
      <c r="D662" s="14">
        <f>IF('Boletins Nuppa Site'!G662&lt;&gt;0,'Boletins Nuppa Site'!G662,"NULL")</f>
        <v>75</v>
      </c>
      <c r="E662" s="14">
        <f>IF('Boletins Nuppa Site'!H662&lt;&gt;0,'Boletins Nuppa Site'!H662,"NULL")</f>
        <v>75</v>
      </c>
      <c r="F662" s="14">
        <f>IF('Boletins Nuppa Site'!I662&lt;&gt;0,'Boletins Nuppa Site'!I662,"NULL")</f>
        <v>75</v>
      </c>
      <c r="G662" s="14">
        <f>IF('Boletins Nuppa Site'!J662&lt;&gt;0,'Boletins Nuppa Site'!J662,"NULL")</f>
        <v>75</v>
      </c>
      <c r="H662" s="14">
        <f>IF('Boletins Nuppa Site'!K662&lt;&gt;0,'Boletins Nuppa Site'!K662,"NULL")</f>
        <v>75</v>
      </c>
      <c r="I662" t="str">
        <f t="shared" si="20"/>
        <v>INSERT INTO COTACAO (cot_id, cot_blt_id, cot_pap_id, cot_prc_comum, cot_prc_min, cot_prc_max, cot_prc_med, cot_prc_mediana) VALUES (661, 53, 29, 75, 75, 75, 75, 75);</v>
      </c>
      <c r="J662" t="str">
        <f t="shared" si="21"/>
        <v>UPDATE COTACAO SET cot_id = 661, cot_blt_id = 53, cot_pap_id = 29, cot_prc_comum = 75, cot_prc_min = 75, cot_prc_max = 75, cot_prc_med = 75, cot_prc_mediana = 75 WHERE cot_id = 661;</v>
      </c>
    </row>
    <row r="663" spans="1:10" x14ac:dyDescent="0.3">
      <c r="A663">
        <v>662</v>
      </c>
      <c r="B663">
        <f>IF('Boletins Nuppa Site'!A663&lt;&gt;0,'Boletins Nuppa Site'!A663,"NULL")</f>
        <v>53</v>
      </c>
      <c r="C663">
        <v>30</v>
      </c>
      <c r="D663" t="str">
        <f>IF('Boletins Nuppa Site'!G663&lt;&gt;0,'Boletins Nuppa Site'!G663,"NULL")</f>
        <v>NULL</v>
      </c>
      <c r="E663" s="14">
        <f>IF('Boletins Nuppa Site'!H663&lt;&gt;0,'Boletins Nuppa Site'!H663,"NULL")</f>
        <v>50</v>
      </c>
      <c r="F663" s="14">
        <f>IF('Boletins Nuppa Site'!I663&lt;&gt;0,'Boletins Nuppa Site'!I663,"NULL")</f>
        <v>85</v>
      </c>
      <c r="G663" t="str">
        <f>IF('Boletins Nuppa Site'!J663&lt;&gt;0,'Boletins Nuppa Site'!J663,"NULL")</f>
        <v>68.33</v>
      </c>
      <c r="H663" s="14">
        <f>IF('Boletins Nuppa Site'!K663&lt;&gt;0,'Boletins Nuppa Site'!K663,"NULL")</f>
        <v>70</v>
      </c>
      <c r="I663" t="str">
        <f t="shared" si="20"/>
        <v>INSERT INTO COTACAO (cot_id, cot_blt_id, cot_pap_id, cot_prc_comum, cot_prc_min, cot_prc_max, cot_prc_med, cot_prc_mediana) VALUES (662, 53, 30, NULL, 50, 85, 68.33, 70);</v>
      </c>
      <c r="J663" t="str">
        <f t="shared" si="21"/>
        <v>UPDATE COTACAO SET cot_id = 662, cot_blt_id = 53, cot_pap_id = 30, cot_prc_comum = NULL, cot_prc_min = 50, cot_prc_max = 85, cot_prc_med = 68.33, cot_prc_mediana = 70 WHERE cot_id = 662;</v>
      </c>
    </row>
    <row r="664" spans="1:10" x14ac:dyDescent="0.3">
      <c r="A664">
        <v>663</v>
      </c>
      <c r="B664">
        <f>IF('Boletins Nuppa Site'!A664&lt;&gt;0,'Boletins Nuppa Site'!A664,"NULL")</f>
        <v>53</v>
      </c>
      <c r="C664">
        <v>31</v>
      </c>
      <c r="D664" s="14">
        <f>IF('Boletins Nuppa Site'!G664&lt;&gt;0,'Boletins Nuppa Site'!G664,"NULL")</f>
        <v>80</v>
      </c>
      <c r="E664" s="14">
        <f>IF('Boletins Nuppa Site'!H664&lt;&gt;0,'Boletins Nuppa Site'!H664,"NULL")</f>
        <v>80</v>
      </c>
      <c r="F664" s="14">
        <f>IF('Boletins Nuppa Site'!I664&lt;&gt;0,'Boletins Nuppa Site'!I664,"NULL")</f>
        <v>150</v>
      </c>
      <c r="G664" s="14">
        <f>IF('Boletins Nuppa Site'!J664&lt;&gt;0,'Boletins Nuppa Site'!J664,"NULL")</f>
        <v>100</v>
      </c>
      <c r="H664" s="14">
        <f>IF('Boletins Nuppa Site'!K664&lt;&gt;0,'Boletins Nuppa Site'!K664,"NULL")</f>
        <v>85</v>
      </c>
      <c r="I664" t="str">
        <f t="shared" si="20"/>
        <v>INSERT INTO COTACAO (cot_id, cot_blt_id, cot_pap_id, cot_prc_comum, cot_prc_min, cot_prc_max, cot_prc_med, cot_prc_mediana) VALUES (663, 53, 31, 80, 80, 150, 100, 85);</v>
      </c>
      <c r="J664" t="str">
        <f t="shared" si="21"/>
        <v>UPDATE COTACAO SET cot_id = 663, cot_blt_id = 53, cot_pap_id = 31, cot_prc_comum = 80, cot_prc_min = 80, cot_prc_max = 150, cot_prc_med = 100, cot_prc_mediana = 85 WHERE cot_id = 663;</v>
      </c>
    </row>
    <row r="665" spans="1:10" x14ac:dyDescent="0.3">
      <c r="A665">
        <v>664</v>
      </c>
      <c r="B665">
        <f>IF('Boletins Nuppa Site'!A665&lt;&gt;0,'Boletins Nuppa Site'!A665,"NULL")</f>
        <v>53</v>
      </c>
      <c r="C665">
        <v>32</v>
      </c>
      <c r="D665" s="14">
        <f>IF('Boletins Nuppa Site'!G665&lt;&gt;0,'Boletins Nuppa Site'!G665,"NULL")</f>
        <v>50</v>
      </c>
      <c r="E665" s="14">
        <f>IF('Boletins Nuppa Site'!H665&lt;&gt;0,'Boletins Nuppa Site'!H665,"NULL")</f>
        <v>50</v>
      </c>
      <c r="F665" s="14">
        <f>IF('Boletins Nuppa Site'!I665&lt;&gt;0,'Boletins Nuppa Site'!I665,"NULL")</f>
        <v>65</v>
      </c>
      <c r="G665" s="14">
        <f>IF('Boletins Nuppa Site'!J665&lt;&gt;0,'Boletins Nuppa Site'!J665,"NULL")</f>
        <v>56</v>
      </c>
      <c r="H665" s="14">
        <f>IF('Boletins Nuppa Site'!K665&lt;&gt;0,'Boletins Nuppa Site'!K665,"NULL")</f>
        <v>55</v>
      </c>
      <c r="I665" t="str">
        <f t="shared" si="20"/>
        <v>INSERT INTO COTACAO (cot_id, cot_blt_id, cot_pap_id, cot_prc_comum, cot_prc_min, cot_prc_max, cot_prc_med, cot_prc_mediana) VALUES (664, 53, 32, 50, 50, 65, 56, 55);</v>
      </c>
      <c r="J665" t="str">
        <f t="shared" si="21"/>
        <v>UPDATE COTACAO SET cot_id = 664, cot_blt_id = 53, cot_pap_id = 32, cot_prc_comum = 50, cot_prc_min = 50, cot_prc_max = 65, cot_prc_med = 56, cot_prc_mediana = 55 WHERE cot_id = 664;</v>
      </c>
    </row>
    <row r="666" spans="1:10" x14ac:dyDescent="0.3">
      <c r="A666">
        <v>665</v>
      </c>
      <c r="B666">
        <f>IF('Boletins Nuppa Site'!A666&lt;&gt;0,'Boletins Nuppa Site'!A666,"NULL")</f>
        <v>53</v>
      </c>
      <c r="C666">
        <v>33</v>
      </c>
      <c r="D666" s="14">
        <f>IF('Boletins Nuppa Site'!G666&lt;&gt;0,'Boletins Nuppa Site'!G666,"NULL")</f>
        <v>120</v>
      </c>
      <c r="E666" s="14">
        <f>IF('Boletins Nuppa Site'!H666&lt;&gt;0,'Boletins Nuppa Site'!H666,"NULL")</f>
        <v>100</v>
      </c>
      <c r="F666" s="14">
        <f>IF('Boletins Nuppa Site'!I666&lt;&gt;0,'Boletins Nuppa Site'!I666,"NULL")</f>
        <v>120</v>
      </c>
      <c r="G666" t="str">
        <f>IF('Boletins Nuppa Site'!J666&lt;&gt;0,'Boletins Nuppa Site'!J666,"NULL")</f>
        <v>112.5</v>
      </c>
      <c r="H666" s="14">
        <f>IF('Boletins Nuppa Site'!K666&lt;&gt;0,'Boletins Nuppa Site'!K666,"NULL")</f>
        <v>115</v>
      </c>
      <c r="I666" t="str">
        <f t="shared" si="20"/>
        <v>INSERT INTO COTACAO (cot_id, cot_blt_id, cot_pap_id, cot_prc_comum, cot_prc_min, cot_prc_max, cot_prc_med, cot_prc_mediana) VALUES (665, 53, 33, 120, 100, 120, 112.5, 115);</v>
      </c>
      <c r="J666" t="str">
        <f t="shared" si="21"/>
        <v>UPDATE COTACAO SET cot_id = 665, cot_blt_id = 53, cot_pap_id = 33, cot_prc_comum = 120, cot_prc_min = 100, cot_prc_max = 120, cot_prc_med = 112.5, cot_prc_mediana = 115 WHERE cot_id = 665;</v>
      </c>
    </row>
    <row r="667" spans="1:10" x14ac:dyDescent="0.3">
      <c r="A667">
        <v>666</v>
      </c>
      <c r="B667">
        <f>IF('Boletins Nuppa Site'!A667&lt;&gt;0,'Boletins Nuppa Site'!A667,"NULL")</f>
        <v>53</v>
      </c>
      <c r="C667">
        <v>34</v>
      </c>
      <c r="D667" s="14">
        <f>IF('Boletins Nuppa Site'!G667&lt;&gt;0,'Boletins Nuppa Site'!G667,"NULL")</f>
        <v>140</v>
      </c>
      <c r="E667" s="14">
        <f>IF('Boletins Nuppa Site'!H667&lt;&gt;0,'Boletins Nuppa Site'!H667,"NULL")</f>
        <v>80</v>
      </c>
      <c r="F667" s="14">
        <f>IF('Boletins Nuppa Site'!I667&lt;&gt;0,'Boletins Nuppa Site'!I667,"NULL")</f>
        <v>140</v>
      </c>
      <c r="G667" t="str">
        <f>IF('Boletins Nuppa Site'!J667&lt;&gt;0,'Boletins Nuppa Site'!J667,"NULL")</f>
        <v>111.67</v>
      </c>
      <c r="H667" s="14">
        <f>IF('Boletins Nuppa Site'!K667&lt;&gt;0,'Boletins Nuppa Site'!K667,"NULL")</f>
        <v>105</v>
      </c>
      <c r="I667" t="str">
        <f t="shared" si="20"/>
        <v>INSERT INTO COTACAO (cot_id, cot_blt_id, cot_pap_id, cot_prc_comum, cot_prc_min, cot_prc_max, cot_prc_med, cot_prc_mediana) VALUES (666, 53, 34, 140, 80, 140, 111.67, 105);</v>
      </c>
      <c r="J667" t="str">
        <f t="shared" si="21"/>
        <v>UPDATE COTACAO SET cot_id = 666, cot_blt_id = 53, cot_pap_id = 34, cot_prc_comum = 140, cot_prc_min = 80, cot_prc_max = 140, cot_prc_med = 111.67, cot_prc_mediana = 105 WHERE cot_id = 666;</v>
      </c>
    </row>
    <row r="668" spans="1:10" x14ac:dyDescent="0.3">
      <c r="A668">
        <v>667</v>
      </c>
      <c r="B668">
        <f>IF('Boletins Nuppa Site'!A668&lt;&gt;0,'Boletins Nuppa Site'!A668,"NULL")</f>
        <v>53</v>
      </c>
      <c r="C668">
        <v>35</v>
      </c>
      <c r="D668" s="14">
        <f>IF('Boletins Nuppa Site'!G668&lt;&gt;0,'Boletins Nuppa Site'!G668,"NULL")</f>
        <v>200</v>
      </c>
      <c r="E668" s="14">
        <f>IF('Boletins Nuppa Site'!H668&lt;&gt;0,'Boletins Nuppa Site'!H668,"NULL")</f>
        <v>170</v>
      </c>
      <c r="F668" s="14">
        <f>IF('Boletins Nuppa Site'!I668&lt;&gt;0,'Boletins Nuppa Site'!I668,"NULL")</f>
        <v>200</v>
      </c>
      <c r="G668" s="14">
        <f>IF('Boletins Nuppa Site'!J668&lt;&gt;0,'Boletins Nuppa Site'!J668,"NULL")</f>
        <v>190</v>
      </c>
      <c r="H668" s="14">
        <f>IF('Boletins Nuppa Site'!K668&lt;&gt;0,'Boletins Nuppa Site'!K668,"NULL")</f>
        <v>200</v>
      </c>
      <c r="I668" t="str">
        <f t="shared" si="20"/>
        <v>INSERT INTO COTACAO (cot_id, cot_blt_id, cot_pap_id, cot_prc_comum, cot_prc_min, cot_prc_max, cot_prc_med, cot_prc_mediana) VALUES (667, 53, 35, 200, 170, 200, 190, 200);</v>
      </c>
      <c r="J668" t="str">
        <f t="shared" si="21"/>
        <v>UPDATE COTACAO SET cot_id = 667, cot_blt_id = 53, cot_pap_id = 35, cot_prc_comum = 200, cot_prc_min = 170, cot_prc_max = 200, cot_prc_med = 190, cot_prc_mediana = 200 WHERE cot_id = 667;</v>
      </c>
    </row>
    <row r="669" spans="1:10" x14ac:dyDescent="0.3">
      <c r="A669">
        <v>668</v>
      </c>
      <c r="B669">
        <f>IF('Boletins Nuppa Site'!A669&lt;&gt;0,'Boletins Nuppa Site'!A669,"NULL")</f>
        <v>53</v>
      </c>
      <c r="C669">
        <v>36</v>
      </c>
      <c r="D669" t="str">
        <f>IF('Boletins Nuppa Site'!G669&lt;&gt;0,'Boletins Nuppa Site'!G669,"NULL")</f>
        <v>NULL</v>
      </c>
      <c r="E669" s="14">
        <f>IF('Boletins Nuppa Site'!H669&lt;&gt;0,'Boletins Nuppa Site'!H669,"NULL")</f>
        <v>170</v>
      </c>
      <c r="F669" s="14">
        <f>IF('Boletins Nuppa Site'!I669&lt;&gt;0,'Boletins Nuppa Site'!I669,"NULL")</f>
        <v>170</v>
      </c>
      <c r="G669" s="14">
        <f>IF('Boletins Nuppa Site'!J669&lt;&gt;0,'Boletins Nuppa Site'!J669,"NULL")</f>
        <v>170</v>
      </c>
      <c r="H669" s="14">
        <f>IF('Boletins Nuppa Site'!K669&lt;&gt;0,'Boletins Nuppa Site'!K669,"NULL")</f>
        <v>170</v>
      </c>
      <c r="I669" t="str">
        <f t="shared" si="20"/>
        <v>INSERT INTO COTACAO (cot_id, cot_blt_id, cot_pap_id, cot_prc_comum, cot_prc_min, cot_prc_max, cot_prc_med, cot_prc_mediana) VALUES (668, 53, 36, NULL, 170, 170, 170, 170);</v>
      </c>
      <c r="J669" t="str">
        <f t="shared" si="21"/>
        <v>UPDATE COTACAO SET cot_id = 668, cot_blt_id = 53, cot_pap_id = 36, cot_prc_comum = NULL, cot_prc_min = 170, cot_prc_max = 170, cot_prc_med = 170, cot_prc_mediana = 170 WHERE cot_id = 668;</v>
      </c>
    </row>
    <row r="670" spans="1:10" x14ac:dyDescent="0.3">
      <c r="A670">
        <v>669</v>
      </c>
      <c r="B670">
        <f>IF('Boletins Nuppa Site'!A670&lt;&gt;0,'Boletins Nuppa Site'!A670,"NULL")</f>
        <v>53</v>
      </c>
      <c r="C670">
        <v>37</v>
      </c>
      <c r="D670" t="str">
        <f>IF('Boletins Nuppa Site'!G670&lt;&gt;0,'Boletins Nuppa Site'!G670,"NULL")</f>
        <v>NULL</v>
      </c>
      <c r="E670" s="14">
        <f>IF('Boletins Nuppa Site'!H670&lt;&gt;0,'Boletins Nuppa Site'!H670,"NULL")</f>
        <v>75</v>
      </c>
      <c r="F670" s="14">
        <f>IF('Boletins Nuppa Site'!I670&lt;&gt;0,'Boletins Nuppa Site'!I670,"NULL")</f>
        <v>75</v>
      </c>
      <c r="G670" s="14">
        <f>IF('Boletins Nuppa Site'!J670&lt;&gt;0,'Boletins Nuppa Site'!J670,"NULL")</f>
        <v>75</v>
      </c>
      <c r="H670" s="14">
        <f>IF('Boletins Nuppa Site'!K670&lt;&gt;0,'Boletins Nuppa Site'!K670,"NULL")</f>
        <v>75</v>
      </c>
      <c r="I670" t="str">
        <f t="shared" si="20"/>
        <v>INSERT INTO COTACAO (cot_id, cot_blt_id, cot_pap_id, cot_prc_comum, cot_prc_min, cot_prc_max, cot_prc_med, cot_prc_mediana) VALUES (669, 53, 37, NULL, 75, 75, 75, 75);</v>
      </c>
      <c r="J670" t="str">
        <f t="shared" si="21"/>
        <v>UPDATE COTACAO SET cot_id = 669, cot_blt_id = 53, cot_pap_id = 37, cot_prc_comum = NULL, cot_prc_min = 75, cot_prc_max = 75, cot_prc_med = 75, cot_prc_mediana = 75 WHERE cot_id = 669;</v>
      </c>
    </row>
    <row r="671" spans="1:10" x14ac:dyDescent="0.3">
      <c r="A671">
        <v>670</v>
      </c>
      <c r="B671">
        <f>IF('Boletins Nuppa Site'!A671&lt;&gt;0,'Boletins Nuppa Site'!A671,"NULL")</f>
        <v>53</v>
      </c>
      <c r="C671">
        <v>38</v>
      </c>
      <c r="D671" t="str">
        <f>IF('Boletins Nuppa Site'!G671&lt;&gt;0,'Boletins Nuppa Site'!G671,"NULL")</f>
        <v>NULL</v>
      </c>
      <c r="E671" t="str">
        <f>IF('Boletins Nuppa Site'!H671&lt;&gt;0,'Boletins Nuppa Site'!H671,"NULL")</f>
        <v>NULL</v>
      </c>
      <c r="F671" t="str">
        <f>IF('Boletins Nuppa Site'!I671&lt;&gt;0,'Boletins Nuppa Site'!I671,"NULL")</f>
        <v>NULL</v>
      </c>
      <c r="G671" t="str">
        <f>IF('Boletins Nuppa Site'!J671&lt;&gt;0,'Boletins Nuppa Site'!J671,"NULL")</f>
        <v>NULL</v>
      </c>
      <c r="H671" t="str">
        <f>IF('Boletins Nuppa Site'!K671&lt;&gt;0,'Boletins Nuppa Site'!K671,"NULL")</f>
        <v>NULL</v>
      </c>
      <c r="I671" t="str">
        <f t="shared" si="20"/>
        <v>INSERT INTO COTACAO (cot_id, cot_blt_id, cot_pap_id, cot_prc_comum, cot_prc_min, cot_prc_max, cot_prc_med, cot_prc_mediana) VALUES (670, 53, 38, NULL, NULL, NULL, NULL, NULL);</v>
      </c>
      <c r="J671" t="str">
        <f t="shared" si="21"/>
        <v>UPDATE COTACAO SET cot_id = 670, cot_blt_id = 53, cot_pap_id = 38, cot_prc_comum = NULL, cot_prc_min = NULL, cot_prc_max = NULL, cot_prc_med = NULL, cot_prc_mediana = NULL WHERE cot_id = 670;</v>
      </c>
    </row>
    <row r="672" spans="1:10" x14ac:dyDescent="0.3">
      <c r="A672">
        <v>671</v>
      </c>
      <c r="B672">
        <f>IF('Boletins Nuppa Site'!A672&lt;&gt;0,'Boletins Nuppa Site'!A672,"NULL")</f>
        <v>53</v>
      </c>
      <c r="C672">
        <v>39</v>
      </c>
      <c r="D672" t="str">
        <f>IF('Boletins Nuppa Site'!G672&lt;&gt;0,'Boletins Nuppa Site'!G672,"NULL")</f>
        <v>NULL</v>
      </c>
      <c r="E672" s="14">
        <f>IF('Boletins Nuppa Site'!H672&lt;&gt;0,'Boletins Nuppa Site'!H672,"NULL")</f>
        <v>50</v>
      </c>
      <c r="F672" s="14">
        <f>IF('Boletins Nuppa Site'!I672&lt;&gt;0,'Boletins Nuppa Site'!I672,"NULL")</f>
        <v>50</v>
      </c>
      <c r="G672" s="14">
        <f>IF('Boletins Nuppa Site'!J672&lt;&gt;0,'Boletins Nuppa Site'!J672,"NULL")</f>
        <v>50</v>
      </c>
      <c r="H672" s="14">
        <f>IF('Boletins Nuppa Site'!K672&lt;&gt;0,'Boletins Nuppa Site'!K672,"NULL")</f>
        <v>50</v>
      </c>
      <c r="I672" t="str">
        <f t="shared" si="20"/>
        <v>INSERT INTO COTACAO (cot_id, cot_blt_id, cot_pap_id, cot_prc_comum, cot_prc_min, cot_prc_max, cot_prc_med, cot_prc_mediana) VALUES (671, 53, 39, NULL, 50, 50, 50, 50);</v>
      </c>
      <c r="J672" t="str">
        <f t="shared" si="21"/>
        <v>UPDATE COTACAO SET cot_id = 671, cot_blt_id = 53, cot_pap_id = 39, cot_prc_comum = NULL, cot_prc_min = 50, cot_prc_max = 50, cot_prc_med = 50, cot_prc_mediana = 50 WHERE cot_id = 671;</v>
      </c>
    </row>
    <row r="673" spans="1:10" x14ac:dyDescent="0.3">
      <c r="A673">
        <v>672</v>
      </c>
      <c r="B673">
        <f>IF('Boletins Nuppa Site'!A673&lt;&gt;0,'Boletins Nuppa Site'!A673,"NULL")</f>
        <v>53</v>
      </c>
      <c r="C673">
        <v>40</v>
      </c>
      <c r="D673" t="str">
        <f>IF('Boletins Nuppa Site'!G673&lt;&gt;0,'Boletins Nuppa Site'!G673,"NULL")</f>
        <v>NULL</v>
      </c>
      <c r="E673" s="14">
        <f>IF('Boletins Nuppa Site'!H673&lt;&gt;0,'Boletins Nuppa Site'!H673,"NULL")</f>
        <v>50</v>
      </c>
      <c r="F673" s="14">
        <f>IF('Boletins Nuppa Site'!I673&lt;&gt;0,'Boletins Nuppa Site'!I673,"NULL")</f>
        <v>60</v>
      </c>
      <c r="G673" s="14">
        <f>IF('Boletins Nuppa Site'!J673&lt;&gt;0,'Boletins Nuppa Site'!J673,"NULL")</f>
        <v>55</v>
      </c>
      <c r="H673" s="14">
        <f>IF('Boletins Nuppa Site'!K673&lt;&gt;0,'Boletins Nuppa Site'!K673,"NULL")</f>
        <v>55</v>
      </c>
      <c r="I673" t="str">
        <f t="shared" si="20"/>
        <v>INSERT INTO COTACAO (cot_id, cot_blt_id, cot_pap_id, cot_prc_comum, cot_prc_min, cot_prc_max, cot_prc_med, cot_prc_mediana) VALUES (672, 53, 40, NULL, 50, 60, 55, 55);</v>
      </c>
      <c r="J673" t="str">
        <f t="shared" si="21"/>
        <v>UPDATE COTACAO SET cot_id = 672, cot_blt_id = 53, cot_pap_id = 40, cot_prc_comum = NULL, cot_prc_min = 50, cot_prc_max = 60, cot_prc_med = 55, cot_prc_mediana = 55 WHERE cot_id = 672;</v>
      </c>
    </row>
    <row r="674" spans="1:10" x14ac:dyDescent="0.3">
      <c r="A674">
        <v>673</v>
      </c>
      <c r="B674">
        <f>IF('Boletins Nuppa Site'!A674&lt;&gt;0,'Boletins Nuppa Site'!A674,"NULL")</f>
        <v>54</v>
      </c>
      <c r="C674">
        <v>1</v>
      </c>
      <c r="D674" s="14">
        <f>IF('Boletins Nuppa Site'!G674&lt;&gt;0,'Boletins Nuppa Site'!G674,"NULL")</f>
        <v>60</v>
      </c>
      <c r="E674" s="14">
        <f>IF('Boletins Nuppa Site'!H674&lt;&gt;0,'Boletins Nuppa Site'!H674,"NULL")</f>
        <v>48</v>
      </c>
      <c r="F674" s="14">
        <f>IF('Boletins Nuppa Site'!I674&lt;&gt;0,'Boletins Nuppa Site'!I674,"NULL")</f>
        <v>66</v>
      </c>
      <c r="G674" t="str">
        <f>IF('Boletins Nuppa Site'!J674&lt;&gt;0,'Boletins Nuppa Site'!J674,"NULL")</f>
        <v>58.5</v>
      </c>
      <c r="H674" s="14">
        <f>IF('Boletins Nuppa Site'!K674&lt;&gt;0,'Boletins Nuppa Site'!K674,"NULL")</f>
        <v>60</v>
      </c>
      <c r="I674" t="str">
        <f t="shared" si="20"/>
        <v>INSERT INTO COTACAO (cot_id, cot_blt_id, cot_pap_id, cot_prc_comum, cot_prc_min, cot_prc_max, cot_prc_med, cot_prc_mediana) VALUES (673, 54, 1, 60, 48, 66, 58.5, 60);</v>
      </c>
      <c r="J674" t="str">
        <f t="shared" si="21"/>
        <v>UPDATE COTACAO SET cot_id = 673, cot_blt_id = 54, cot_pap_id = 1, cot_prc_comum = 60, cot_prc_min = 48, cot_prc_max = 66, cot_prc_med = 58.5, cot_prc_mediana = 60 WHERE cot_id = 673;</v>
      </c>
    </row>
    <row r="675" spans="1:10" x14ac:dyDescent="0.3">
      <c r="A675">
        <v>674</v>
      </c>
      <c r="B675">
        <f>IF('Boletins Nuppa Site'!A675&lt;&gt;0,'Boletins Nuppa Site'!A675,"NULL")</f>
        <v>54</v>
      </c>
      <c r="C675">
        <v>2</v>
      </c>
      <c r="D675" s="14">
        <f>IF('Boletins Nuppa Site'!G675&lt;&gt;0,'Boletins Nuppa Site'!G675,"NULL")</f>
        <v>84</v>
      </c>
      <c r="E675" s="14">
        <f>IF('Boletins Nuppa Site'!H675&lt;&gt;0,'Boletins Nuppa Site'!H675,"NULL")</f>
        <v>60</v>
      </c>
      <c r="F675" s="14">
        <f>IF('Boletins Nuppa Site'!I675&lt;&gt;0,'Boletins Nuppa Site'!I675,"NULL")</f>
        <v>84</v>
      </c>
      <c r="G675" s="14">
        <f>IF('Boletins Nuppa Site'!J675&lt;&gt;0,'Boletins Nuppa Site'!J675,"NULL")</f>
        <v>78</v>
      </c>
      <c r="H675" s="14">
        <f>IF('Boletins Nuppa Site'!K675&lt;&gt;0,'Boletins Nuppa Site'!K675,"NULL")</f>
        <v>84</v>
      </c>
      <c r="I675" t="str">
        <f t="shared" si="20"/>
        <v>INSERT INTO COTACAO (cot_id, cot_blt_id, cot_pap_id, cot_prc_comum, cot_prc_min, cot_prc_max, cot_prc_med, cot_prc_mediana) VALUES (674, 54, 2, 84, 60, 84, 78, 84);</v>
      </c>
      <c r="J675" t="str">
        <f t="shared" si="21"/>
        <v>UPDATE COTACAO SET cot_id = 674, cot_blt_id = 54, cot_pap_id = 2, cot_prc_comum = 84, cot_prc_min = 60, cot_prc_max = 84, cot_prc_med = 78, cot_prc_mediana = 84 WHERE cot_id = 674;</v>
      </c>
    </row>
    <row r="676" spans="1:10" x14ac:dyDescent="0.3">
      <c r="A676">
        <v>675</v>
      </c>
      <c r="B676">
        <f>IF('Boletins Nuppa Site'!A676&lt;&gt;0,'Boletins Nuppa Site'!A676,"NULL")</f>
        <v>54</v>
      </c>
      <c r="C676">
        <v>3</v>
      </c>
      <c r="D676" t="str">
        <f>IF('Boletins Nuppa Site'!G676&lt;&gt;0,'Boletins Nuppa Site'!G676,"NULL")</f>
        <v>NULL</v>
      </c>
      <c r="E676" s="14">
        <f>IF('Boletins Nuppa Site'!H676&lt;&gt;0,'Boletins Nuppa Site'!H676,"NULL")</f>
        <v>36</v>
      </c>
      <c r="F676" s="14">
        <f>IF('Boletins Nuppa Site'!I676&lt;&gt;0,'Boletins Nuppa Site'!I676,"NULL")</f>
        <v>54</v>
      </c>
      <c r="G676" t="str">
        <f>IF('Boletins Nuppa Site'!J676&lt;&gt;0,'Boletins Nuppa Site'!J676,"NULL")</f>
        <v>44.5</v>
      </c>
      <c r="H676" s="14">
        <f>IF('Boletins Nuppa Site'!K676&lt;&gt;0,'Boletins Nuppa Site'!K676,"NULL")</f>
        <v>44</v>
      </c>
      <c r="I676" t="str">
        <f t="shared" si="20"/>
        <v>INSERT INTO COTACAO (cot_id, cot_blt_id, cot_pap_id, cot_prc_comum, cot_prc_min, cot_prc_max, cot_prc_med, cot_prc_mediana) VALUES (675, 54, 3, NULL, 36, 54, 44.5, 44);</v>
      </c>
      <c r="J676" t="str">
        <f t="shared" si="21"/>
        <v>UPDATE COTACAO SET cot_id = 675, cot_blt_id = 54, cot_pap_id = 3, cot_prc_comum = NULL, cot_prc_min = 36, cot_prc_max = 54, cot_prc_med = 44.5, cot_prc_mediana = 44 WHERE cot_id = 675;</v>
      </c>
    </row>
    <row r="677" spans="1:10" x14ac:dyDescent="0.3">
      <c r="A677">
        <v>676</v>
      </c>
      <c r="B677">
        <f>IF('Boletins Nuppa Site'!A677&lt;&gt;0,'Boletins Nuppa Site'!A677,"NULL")</f>
        <v>54</v>
      </c>
      <c r="C677">
        <v>4</v>
      </c>
      <c r="D677" s="14">
        <f>IF('Boletins Nuppa Site'!G677&lt;&gt;0,'Boletins Nuppa Site'!G677,"NULL")</f>
        <v>24</v>
      </c>
      <c r="E677" s="14">
        <f>IF('Boletins Nuppa Site'!H677&lt;&gt;0,'Boletins Nuppa Site'!H677,"NULL")</f>
        <v>24</v>
      </c>
      <c r="F677" s="14">
        <f>IF('Boletins Nuppa Site'!I677&lt;&gt;0,'Boletins Nuppa Site'!I677,"NULL")</f>
        <v>30</v>
      </c>
      <c r="G677" s="14">
        <f>IF('Boletins Nuppa Site'!J677&lt;&gt;0,'Boletins Nuppa Site'!J677,"NULL")</f>
        <v>27</v>
      </c>
      <c r="H677" s="14">
        <f>IF('Boletins Nuppa Site'!K677&lt;&gt;0,'Boletins Nuppa Site'!K677,"NULL")</f>
        <v>27</v>
      </c>
      <c r="I677" t="str">
        <f t="shared" si="20"/>
        <v>INSERT INTO COTACAO (cot_id, cot_blt_id, cot_pap_id, cot_prc_comum, cot_prc_min, cot_prc_max, cot_prc_med, cot_prc_mediana) VALUES (676, 54, 4, 24, 24, 30, 27, 27);</v>
      </c>
      <c r="J677" t="str">
        <f t="shared" si="21"/>
        <v>UPDATE COTACAO SET cot_id = 676, cot_blt_id = 54, cot_pap_id = 4, cot_prc_comum = 24, cot_prc_min = 24, cot_prc_max = 30, cot_prc_med = 27, cot_prc_mediana = 27 WHERE cot_id = 676;</v>
      </c>
    </row>
    <row r="678" spans="1:10" x14ac:dyDescent="0.3">
      <c r="A678">
        <v>677</v>
      </c>
      <c r="B678">
        <f>IF('Boletins Nuppa Site'!A678&lt;&gt;0,'Boletins Nuppa Site'!A678,"NULL")</f>
        <v>54</v>
      </c>
      <c r="C678">
        <v>5</v>
      </c>
      <c r="D678" s="14">
        <f>IF('Boletins Nuppa Site'!G678&lt;&gt;0,'Boletins Nuppa Site'!G678,"NULL")</f>
        <v>24</v>
      </c>
      <c r="E678" s="14">
        <f>IF('Boletins Nuppa Site'!H678&lt;&gt;0,'Boletins Nuppa Site'!H678,"NULL")</f>
        <v>24</v>
      </c>
      <c r="F678" s="14">
        <f>IF('Boletins Nuppa Site'!I678&lt;&gt;0,'Boletins Nuppa Site'!I678,"NULL")</f>
        <v>30</v>
      </c>
      <c r="G678" s="14">
        <f>IF('Boletins Nuppa Site'!J678&lt;&gt;0,'Boletins Nuppa Site'!J678,"NULL")</f>
        <v>27</v>
      </c>
      <c r="H678" s="14">
        <f>IF('Boletins Nuppa Site'!K678&lt;&gt;0,'Boletins Nuppa Site'!K678,"NULL")</f>
        <v>27</v>
      </c>
      <c r="I678" t="str">
        <f t="shared" si="20"/>
        <v>INSERT INTO COTACAO (cot_id, cot_blt_id, cot_pap_id, cot_prc_comum, cot_prc_min, cot_prc_max, cot_prc_med, cot_prc_mediana) VALUES (677, 54, 5, 24, 24, 30, 27, 27);</v>
      </c>
      <c r="J678" t="str">
        <f t="shared" si="21"/>
        <v>UPDATE COTACAO SET cot_id = 677, cot_blt_id = 54, cot_pap_id = 5, cot_prc_comum = 24, cot_prc_min = 24, cot_prc_max = 30, cot_prc_med = 27, cot_prc_mediana = 27 WHERE cot_id = 677;</v>
      </c>
    </row>
    <row r="679" spans="1:10" x14ac:dyDescent="0.3">
      <c r="A679">
        <v>678</v>
      </c>
      <c r="B679">
        <f>IF('Boletins Nuppa Site'!A679&lt;&gt;0,'Boletins Nuppa Site'!A679,"NULL")</f>
        <v>54</v>
      </c>
      <c r="C679">
        <v>6</v>
      </c>
      <c r="D679" s="14">
        <f>IF('Boletins Nuppa Site'!G679&lt;&gt;0,'Boletins Nuppa Site'!G679,"NULL")</f>
        <v>50</v>
      </c>
      <c r="E679" s="14">
        <f>IF('Boletins Nuppa Site'!H679&lt;&gt;0,'Boletins Nuppa Site'!H679,"NULL")</f>
        <v>48</v>
      </c>
      <c r="F679" s="14">
        <f>IF('Boletins Nuppa Site'!I679&lt;&gt;0,'Boletins Nuppa Site'!I679,"NULL")</f>
        <v>60</v>
      </c>
      <c r="G679" s="14">
        <f>IF('Boletins Nuppa Site'!J679&lt;&gt;0,'Boletins Nuppa Site'!J679,"NULL")</f>
        <v>52</v>
      </c>
      <c r="H679" s="14">
        <f>IF('Boletins Nuppa Site'!K679&lt;&gt;0,'Boletins Nuppa Site'!K679,"NULL")</f>
        <v>50</v>
      </c>
      <c r="I679" t="str">
        <f t="shared" si="20"/>
        <v>INSERT INTO COTACAO (cot_id, cot_blt_id, cot_pap_id, cot_prc_comum, cot_prc_min, cot_prc_max, cot_prc_med, cot_prc_mediana) VALUES (678, 54, 6, 50, 48, 60, 52, 50);</v>
      </c>
      <c r="J679" t="str">
        <f t="shared" si="21"/>
        <v>UPDATE COTACAO SET cot_id = 678, cot_blt_id = 54, cot_pap_id = 6, cot_prc_comum = 50, cot_prc_min = 48, cot_prc_max = 60, cot_prc_med = 52, cot_prc_mediana = 50 WHERE cot_id = 678;</v>
      </c>
    </row>
    <row r="680" spans="1:10" x14ac:dyDescent="0.3">
      <c r="A680">
        <v>679</v>
      </c>
      <c r="B680">
        <f>IF('Boletins Nuppa Site'!A680&lt;&gt;0,'Boletins Nuppa Site'!A680,"NULL")</f>
        <v>54</v>
      </c>
      <c r="C680">
        <v>7</v>
      </c>
      <c r="D680" s="14">
        <f>IF('Boletins Nuppa Site'!G680&lt;&gt;0,'Boletins Nuppa Site'!G680,"NULL")</f>
        <v>84</v>
      </c>
      <c r="E680" s="14">
        <f>IF('Boletins Nuppa Site'!H680&lt;&gt;0,'Boletins Nuppa Site'!H680,"NULL")</f>
        <v>84</v>
      </c>
      <c r="F680" s="14">
        <f>IF('Boletins Nuppa Site'!I680&lt;&gt;0,'Boletins Nuppa Site'!I680,"NULL")</f>
        <v>96</v>
      </c>
      <c r="G680" s="14">
        <f>IF('Boletins Nuppa Site'!J680&lt;&gt;0,'Boletins Nuppa Site'!J680,"NULL")</f>
        <v>90</v>
      </c>
      <c r="H680" s="14">
        <f>IF('Boletins Nuppa Site'!K680&lt;&gt;0,'Boletins Nuppa Site'!K680,"NULL")</f>
        <v>90</v>
      </c>
      <c r="I680" t="str">
        <f t="shared" si="20"/>
        <v>INSERT INTO COTACAO (cot_id, cot_blt_id, cot_pap_id, cot_prc_comum, cot_prc_min, cot_prc_max, cot_prc_med, cot_prc_mediana) VALUES (679, 54, 7, 84, 84, 96, 90, 90);</v>
      </c>
      <c r="J680" t="str">
        <f t="shared" si="21"/>
        <v>UPDATE COTACAO SET cot_id = 679, cot_blt_id = 54, cot_pap_id = 7, cot_prc_comum = 84, cot_prc_min = 84, cot_prc_max = 96, cot_prc_med = 90, cot_prc_mediana = 90 WHERE cot_id = 679;</v>
      </c>
    </row>
    <row r="681" spans="1:10" x14ac:dyDescent="0.3">
      <c r="A681">
        <v>680</v>
      </c>
      <c r="B681">
        <f>IF('Boletins Nuppa Site'!A681&lt;&gt;0,'Boletins Nuppa Site'!A681,"NULL")</f>
        <v>54</v>
      </c>
      <c r="C681">
        <v>8</v>
      </c>
      <c r="D681" s="14">
        <f>IF('Boletins Nuppa Site'!G681&lt;&gt;0,'Boletins Nuppa Site'!G681,"NULL")</f>
        <v>96</v>
      </c>
      <c r="E681" s="14">
        <f>IF('Boletins Nuppa Site'!H681&lt;&gt;0,'Boletins Nuppa Site'!H681,"NULL")</f>
        <v>84</v>
      </c>
      <c r="F681" s="14">
        <f>IF('Boletins Nuppa Site'!I681&lt;&gt;0,'Boletins Nuppa Site'!I681,"NULL")</f>
        <v>96</v>
      </c>
      <c r="G681" s="14">
        <f>IF('Boletins Nuppa Site'!J681&lt;&gt;0,'Boletins Nuppa Site'!J681,"NULL")</f>
        <v>93</v>
      </c>
      <c r="H681" s="14">
        <f>IF('Boletins Nuppa Site'!K681&lt;&gt;0,'Boletins Nuppa Site'!K681,"NULL")</f>
        <v>96</v>
      </c>
      <c r="I681" t="str">
        <f t="shared" si="20"/>
        <v>INSERT INTO COTACAO (cot_id, cot_blt_id, cot_pap_id, cot_prc_comum, cot_prc_min, cot_prc_max, cot_prc_med, cot_prc_mediana) VALUES (680, 54, 8, 96, 84, 96, 93, 96);</v>
      </c>
      <c r="J681" t="str">
        <f t="shared" si="21"/>
        <v>UPDATE COTACAO SET cot_id = 680, cot_blt_id = 54, cot_pap_id = 8, cot_prc_comum = 96, cot_prc_min = 84, cot_prc_max = 96, cot_prc_med = 93, cot_prc_mediana = 96 WHERE cot_id = 680;</v>
      </c>
    </row>
    <row r="682" spans="1:10" x14ac:dyDescent="0.3">
      <c r="A682">
        <v>681</v>
      </c>
      <c r="B682">
        <f>IF('Boletins Nuppa Site'!A682&lt;&gt;0,'Boletins Nuppa Site'!A682,"NULL")</f>
        <v>54</v>
      </c>
      <c r="C682">
        <v>9</v>
      </c>
      <c r="D682" s="14">
        <f>IF('Boletins Nuppa Site'!G682&lt;&gt;0,'Boletins Nuppa Site'!G682,"NULL")</f>
        <v>24</v>
      </c>
      <c r="E682" s="14">
        <f>IF('Boletins Nuppa Site'!H682&lt;&gt;0,'Boletins Nuppa Site'!H682,"NULL")</f>
        <v>24</v>
      </c>
      <c r="F682" s="14">
        <f>IF('Boletins Nuppa Site'!I682&lt;&gt;0,'Boletins Nuppa Site'!I682,"NULL")</f>
        <v>30</v>
      </c>
      <c r="G682" s="14">
        <f>IF('Boletins Nuppa Site'!J682&lt;&gt;0,'Boletins Nuppa Site'!J682,"NULL")</f>
        <v>27</v>
      </c>
      <c r="H682" s="14">
        <f>IF('Boletins Nuppa Site'!K682&lt;&gt;0,'Boletins Nuppa Site'!K682,"NULL")</f>
        <v>27</v>
      </c>
      <c r="I682" t="str">
        <f t="shared" si="20"/>
        <v>INSERT INTO COTACAO (cot_id, cot_blt_id, cot_pap_id, cot_prc_comum, cot_prc_min, cot_prc_max, cot_prc_med, cot_prc_mediana) VALUES (681, 54, 9, 24, 24, 30, 27, 27);</v>
      </c>
      <c r="J682" t="str">
        <f t="shared" si="21"/>
        <v>UPDATE COTACAO SET cot_id = 681, cot_blt_id = 54, cot_pap_id = 9, cot_prc_comum = 24, cot_prc_min = 24, cot_prc_max = 30, cot_prc_med = 27, cot_prc_mediana = 27 WHERE cot_id = 681;</v>
      </c>
    </row>
    <row r="683" spans="1:10" x14ac:dyDescent="0.3">
      <c r="A683">
        <v>682</v>
      </c>
      <c r="B683">
        <f>IF('Boletins Nuppa Site'!A683&lt;&gt;0,'Boletins Nuppa Site'!A683,"NULL")</f>
        <v>54</v>
      </c>
      <c r="C683">
        <v>10</v>
      </c>
      <c r="D683" s="14">
        <f>IF('Boletins Nuppa Site'!G683&lt;&gt;0,'Boletins Nuppa Site'!G683,"NULL")</f>
        <v>96</v>
      </c>
      <c r="E683" s="14">
        <f>IF('Boletins Nuppa Site'!H683&lt;&gt;0,'Boletins Nuppa Site'!H683,"NULL")</f>
        <v>96</v>
      </c>
      <c r="F683" s="14">
        <f>IF('Boletins Nuppa Site'!I683&lt;&gt;0,'Boletins Nuppa Site'!I683,"NULL")</f>
        <v>120</v>
      </c>
      <c r="G683" s="14">
        <f>IF('Boletins Nuppa Site'!J683&lt;&gt;0,'Boletins Nuppa Site'!J683,"NULL")</f>
        <v>102</v>
      </c>
      <c r="H683" s="14">
        <f>IF('Boletins Nuppa Site'!K683&lt;&gt;0,'Boletins Nuppa Site'!K683,"NULL")</f>
        <v>96</v>
      </c>
      <c r="I683" t="str">
        <f t="shared" si="20"/>
        <v>INSERT INTO COTACAO (cot_id, cot_blt_id, cot_pap_id, cot_prc_comum, cot_prc_min, cot_prc_max, cot_prc_med, cot_prc_mediana) VALUES (682, 54, 10, 96, 96, 120, 102, 96);</v>
      </c>
      <c r="J683" t="str">
        <f t="shared" si="21"/>
        <v>UPDATE COTACAO SET cot_id = 682, cot_blt_id = 54, cot_pap_id = 10, cot_prc_comum = 96, cot_prc_min = 96, cot_prc_max = 120, cot_prc_med = 102, cot_prc_mediana = 96 WHERE cot_id = 682;</v>
      </c>
    </row>
    <row r="684" spans="1:10" x14ac:dyDescent="0.3">
      <c r="A684">
        <v>683</v>
      </c>
      <c r="B684">
        <f>IF('Boletins Nuppa Site'!A684&lt;&gt;0,'Boletins Nuppa Site'!A684,"NULL")</f>
        <v>54</v>
      </c>
      <c r="C684">
        <v>11</v>
      </c>
      <c r="D684" s="14">
        <f>IF('Boletins Nuppa Site'!G684&lt;&gt;0,'Boletins Nuppa Site'!G684,"NULL")</f>
        <v>24</v>
      </c>
      <c r="E684" s="14">
        <f>IF('Boletins Nuppa Site'!H684&lt;&gt;0,'Boletins Nuppa Site'!H684,"NULL")</f>
        <v>24</v>
      </c>
      <c r="F684" s="14">
        <f>IF('Boletins Nuppa Site'!I684&lt;&gt;0,'Boletins Nuppa Site'!I684,"NULL")</f>
        <v>30</v>
      </c>
      <c r="G684" s="14">
        <f>IF('Boletins Nuppa Site'!J684&lt;&gt;0,'Boletins Nuppa Site'!J684,"NULL")</f>
        <v>27</v>
      </c>
      <c r="H684" s="14">
        <f>IF('Boletins Nuppa Site'!K684&lt;&gt;0,'Boletins Nuppa Site'!K684,"NULL")</f>
        <v>27</v>
      </c>
      <c r="I684" t="str">
        <f t="shared" si="20"/>
        <v>INSERT INTO COTACAO (cot_id, cot_blt_id, cot_pap_id, cot_prc_comum, cot_prc_min, cot_prc_max, cot_prc_med, cot_prc_mediana) VALUES (683, 54, 11, 24, 24, 30, 27, 27);</v>
      </c>
      <c r="J684" t="str">
        <f t="shared" si="21"/>
        <v>UPDATE COTACAO SET cot_id = 683, cot_blt_id = 54, cot_pap_id = 11, cot_prc_comum = 24, cot_prc_min = 24, cot_prc_max = 30, cot_prc_med = 27, cot_prc_mediana = 27 WHERE cot_id = 683;</v>
      </c>
    </row>
    <row r="685" spans="1:10" x14ac:dyDescent="0.3">
      <c r="A685">
        <v>684</v>
      </c>
      <c r="B685">
        <f>IF('Boletins Nuppa Site'!A685&lt;&gt;0,'Boletins Nuppa Site'!A685,"NULL")</f>
        <v>54</v>
      </c>
      <c r="C685">
        <v>12</v>
      </c>
      <c r="D685" t="str">
        <f>IF('Boletins Nuppa Site'!G685&lt;&gt;0,'Boletins Nuppa Site'!G685,"NULL")</f>
        <v>NULL</v>
      </c>
      <c r="E685" s="14">
        <f>IF('Boletins Nuppa Site'!H685&lt;&gt;0,'Boletins Nuppa Site'!H685,"NULL")</f>
        <v>66</v>
      </c>
      <c r="F685" s="14">
        <f>IF('Boletins Nuppa Site'!I685&lt;&gt;0,'Boletins Nuppa Site'!I685,"NULL")</f>
        <v>86</v>
      </c>
      <c r="G685" t="str">
        <f>IF('Boletins Nuppa Site'!J685&lt;&gt;0,'Boletins Nuppa Site'!J685,"NULL")</f>
        <v>75.5</v>
      </c>
      <c r="H685" s="14">
        <f>IF('Boletins Nuppa Site'!K685&lt;&gt;0,'Boletins Nuppa Site'!K685,"NULL")</f>
        <v>75</v>
      </c>
      <c r="I685" t="str">
        <f t="shared" si="20"/>
        <v>INSERT INTO COTACAO (cot_id, cot_blt_id, cot_pap_id, cot_prc_comum, cot_prc_min, cot_prc_max, cot_prc_med, cot_prc_mediana) VALUES (684, 54, 12, NULL, 66, 86, 75.5, 75);</v>
      </c>
      <c r="J685" t="str">
        <f t="shared" si="21"/>
        <v>UPDATE COTACAO SET cot_id = 684, cot_blt_id = 54, cot_pap_id = 12, cot_prc_comum = NULL, cot_prc_min = 66, cot_prc_max = 86, cot_prc_med = 75.5, cot_prc_mediana = 75 WHERE cot_id = 684;</v>
      </c>
    </row>
    <row r="686" spans="1:10" x14ac:dyDescent="0.3">
      <c r="A686">
        <v>685</v>
      </c>
      <c r="B686">
        <f>IF('Boletins Nuppa Site'!A686&lt;&gt;0,'Boletins Nuppa Site'!A686,"NULL")</f>
        <v>54</v>
      </c>
      <c r="C686">
        <v>13</v>
      </c>
      <c r="D686" s="14">
        <f>IF('Boletins Nuppa Site'!G686&lt;&gt;0,'Boletins Nuppa Site'!G686,"NULL")</f>
        <v>48</v>
      </c>
      <c r="E686" s="14">
        <f>IF('Boletins Nuppa Site'!H686&lt;&gt;0,'Boletins Nuppa Site'!H686,"NULL")</f>
        <v>48</v>
      </c>
      <c r="F686" s="14">
        <f>IF('Boletins Nuppa Site'!I686&lt;&gt;0,'Boletins Nuppa Site'!I686,"NULL")</f>
        <v>72</v>
      </c>
      <c r="G686" s="14">
        <f>IF('Boletins Nuppa Site'!J686&lt;&gt;0,'Boletins Nuppa Site'!J686,"NULL")</f>
        <v>57</v>
      </c>
      <c r="H686" s="14">
        <f>IF('Boletins Nuppa Site'!K686&lt;&gt;0,'Boletins Nuppa Site'!K686,"NULL")</f>
        <v>54</v>
      </c>
      <c r="I686" t="str">
        <f t="shared" si="20"/>
        <v>INSERT INTO COTACAO (cot_id, cot_blt_id, cot_pap_id, cot_prc_comum, cot_prc_min, cot_prc_max, cot_prc_med, cot_prc_mediana) VALUES (685, 54, 13, 48, 48, 72, 57, 54);</v>
      </c>
      <c r="J686" t="str">
        <f t="shared" si="21"/>
        <v>UPDATE COTACAO SET cot_id = 685, cot_blt_id = 54, cot_pap_id = 13, cot_prc_comum = 48, cot_prc_min = 48, cot_prc_max = 72, cot_prc_med = 57, cot_prc_mediana = 54 WHERE cot_id = 685;</v>
      </c>
    </row>
    <row r="687" spans="1:10" x14ac:dyDescent="0.3">
      <c r="A687">
        <v>686</v>
      </c>
      <c r="B687">
        <f>IF('Boletins Nuppa Site'!A687&lt;&gt;0,'Boletins Nuppa Site'!A687,"NULL")</f>
        <v>54</v>
      </c>
      <c r="C687">
        <v>14</v>
      </c>
      <c r="D687" t="str">
        <f>IF('Boletins Nuppa Site'!G687&lt;&gt;0,'Boletins Nuppa Site'!G687,"NULL")</f>
        <v>NULL</v>
      </c>
      <c r="E687" s="14">
        <f>IF('Boletins Nuppa Site'!H687&lt;&gt;0,'Boletins Nuppa Site'!H687,"NULL")</f>
        <v>60</v>
      </c>
      <c r="F687" s="14">
        <f>IF('Boletins Nuppa Site'!I687&lt;&gt;0,'Boletins Nuppa Site'!I687,"NULL")</f>
        <v>96</v>
      </c>
      <c r="G687" s="14">
        <f>IF('Boletins Nuppa Site'!J687&lt;&gt;0,'Boletins Nuppa Site'!J687,"NULL")</f>
        <v>78</v>
      </c>
      <c r="H687" s="14">
        <f>IF('Boletins Nuppa Site'!K687&lt;&gt;0,'Boletins Nuppa Site'!K687,"NULL")</f>
        <v>78</v>
      </c>
      <c r="I687" t="str">
        <f t="shared" si="20"/>
        <v>INSERT INTO COTACAO (cot_id, cot_blt_id, cot_pap_id, cot_prc_comum, cot_prc_min, cot_prc_max, cot_prc_med, cot_prc_mediana) VALUES (686, 54, 14, NULL, 60, 96, 78, 78);</v>
      </c>
      <c r="J687" t="str">
        <f t="shared" si="21"/>
        <v>UPDATE COTACAO SET cot_id = 686, cot_blt_id = 54, cot_pap_id = 14, cot_prc_comum = NULL, cot_prc_min = 60, cot_prc_max = 96, cot_prc_med = 78, cot_prc_mediana = 78 WHERE cot_id = 686;</v>
      </c>
    </row>
    <row r="688" spans="1:10" x14ac:dyDescent="0.3">
      <c r="A688">
        <v>687</v>
      </c>
      <c r="B688">
        <f>IF('Boletins Nuppa Site'!A688&lt;&gt;0,'Boletins Nuppa Site'!A688,"NULL")</f>
        <v>54</v>
      </c>
      <c r="C688">
        <v>15</v>
      </c>
      <c r="D688" s="14">
        <f>IF('Boletins Nuppa Site'!G688&lt;&gt;0,'Boletins Nuppa Site'!G688,"NULL")</f>
        <v>48</v>
      </c>
      <c r="E688" s="14">
        <f>IF('Boletins Nuppa Site'!H688&lt;&gt;0,'Boletins Nuppa Site'!H688,"NULL")</f>
        <v>48</v>
      </c>
      <c r="F688" s="14">
        <f>IF('Boletins Nuppa Site'!I688&lt;&gt;0,'Boletins Nuppa Site'!I688,"NULL")</f>
        <v>72</v>
      </c>
      <c r="G688" t="str">
        <f>IF('Boletins Nuppa Site'!J688&lt;&gt;0,'Boletins Nuppa Site'!J688,"NULL")</f>
        <v>55.6</v>
      </c>
      <c r="H688" s="14">
        <f>IF('Boletins Nuppa Site'!K688&lt;&gt;0,'Boletins Nuppa Site'!K688,"NULL")</f>
        <v>50</v>
      </c>
      <c r="I688" t="str">
        <f t="shared" si="20"/>
        <v>INSERT INTO COTACAO (cot_id, cot_blt_id, cot_pap_id, cot_prc_comum, cot_prc_min, cot_prc_max, cot_prc_med, cot_prc_mediana) VALUES (687, 54, 15, 48, 48, 72, 55.6, 50);</v>
      </c>
      <c r="J688" t="str">
        <f t="shared" si="21"/>
        <v>UPDATE COTACAO SET cot_id = 687, cot_blt_id = 54, cot_pap_id = 15, cot_prc_comum = 48, cot_prc_min = 48, cot_prc_max = 72, cot_prc_med = 55.6, cot_prc_mediana = 50 WHERE cot_id = 687;</v>
      </c>
    </row>
    <row r="689" spans="1:10" x14ac:dyDescent="0.3">
      <c r="A689">
        <v>688</v>
      </c>
      <c r="B689">
        <f>IF('Boletins Nuppa Site'!A689&lt;&gt;0,'Boletins Nuppa Site'!A689,"NULL")</f>
        <v>54</v>
      </c>
      <c r="C689">
        <v>16</v>
      </c>
      <c r="D689" s="14">
        <f>IF('Boletins Nuppa Site'!G689&lt;&gt;0,'Boletins Nuppa Site'!G689,"NULL")</f>
        <v>54</v>
      </c>
      <c r="E689" s="14">
        <f>IF('Boletins Nuppa Site'!H689&lt;&gt;0,'Boletins Nuppa Site'!H689,"NULL")</f>
        <v>48</v>
      </c>
      <c r="F689" s="14">
        <f>IF('Boletins Nuppa Site'!I689&lt;&gt;0,'Boletins Nuppa Site'!I689,"NULL")</f>
        <v>60</v>
      </c>
      <c r="G689" s="14">
        <f>IF('Boletins Nuppa Site'!J689&lt;&gt;0,'Boletins Nuppa Site'!J689,"NULL")</f>
        <v>54</v>
      </c>
      <c r="H689" s="14">
        <f>IF('Boletins Nuppa Site'!K689&lt;&gt;0,'Boletins Nuppa Site'!K689,"NULL")</f>
        <v>54</v>
      </c>
      <c r="I689" t="str">
        <f t="shared" si="20"/>
        <v>INSERT INTO COTACAO (cot_id, cot_blt_id, cot_pap_id, cot_prc_comum, cot_prc_min, cot_prc_max, cot_prc_med, cot_prc_mediana) VALUES (688, 54, 16, 54, 48, 60, 54, 54);</v>
      </c>
      <c r="J689" t="str">
        <f t="shared" si="21"/>
        <v>UPDATE COTACAO SET cot_id = 688, cot_blt_id = 54, cot_pap_id = 16, cot_prc_comum = 54, cot_prc_min = 48, cot_prc_max = 60, cot_prc_med = 54, cot_prc_mediana = 54 WHERE cot_id = 688;</v>
      </c>
    </row>
    <row r="690" spans="1:10" x14ac:dyDescent="0.3">
      <c r="A690">
        <v>689</v>
      </c>
      <c r="B690">
        <f>IF('Boletins Nuppa Site'!A690&lt;&gt;0,'Boletins Nuppa Site'!A690,"NULL")</f>
        <v>54</v>
      </c>
      <c r="C690">
        <v>17</v>
      </c>
      <c r="D690" s="14">
        <f>IF('Boletins Nuppa Site'!G690&lt;&gt;0,'Boletins Nuppa Site'!G690,"NULL")</f>
        <v>5</v>
      </c>
      <c r="E690" s="14">
        <f>IF('Boletins Nuppa Site'!H690&lt;&gt;0,'Boletins Nuppa Site'!H690,"NULL")</f>
        <v>5</v>
      </c>
      <c r="F690" s="14">
        <f>IF('Boletins Nuppa Site'!I690&lt;&gt;0,'Boletins Nuppa Site'!I690,"NULL")</f>
        <v>6</v>
      </c>
      <c r="G690" t="str">
        <f>IF('Boletins Nuppa Site'!J690&lt;&gt;0,'Boletins Nuppa Site'!J690,"NULL")</f>
        <v>5.25</v>
      </c>
      <c r="H690" s="14">
        <f>IF('Boletins Nuppa Site'!K690&lt;&gt;0,'Boletins Nuppa Site'!K690,"NULL")</f>
        <v>5</v>
      </c>
      <c r="I690" t="str">
        <f t="shared" si="20"/>
        <v>INSERT INTO COTACAO (cot_id, cot_blt_id, cot_pap_id, cot_prc_comum, cot_prc_min, cot_prc_max, cot_prc_med, cot_prc_mediana) VALUES (689, 54, 17, 5, 5, 6, 5.25, 5);</v>
      </c>
      <c r="J690" t="str">
        <f t="shared" si="21"/>
        <v>UPDATE COTACAO SET cot_id = 689, cot_blt_id = 54, cot_pap_id = 17, cot_prc_comum = 5, cot_prc_min = 5, cot_prc_max = 6, cot_prc_med = 5.25, cot_prc_mediana = 5 WHERE cot_id = 689;</v>
      </c>
    </row>
    <row r="691" spans="1:10" x14ac:dyDescent="0.3">
      <c r="A691">
        <v>690</v>
      </c>
      <c r="B691">
        <f>IF('Boletins Nuppa Site'!A691&lt;&gt;0,'Boletins Nuppa Site'!A691,"NULL")</f>
        <v>54</v>
      </c>
      <c r="C691">
        <v>18</v>
      </c>
      <c r="D691" s="14">
        <f>IF('Boletins Nuppa Site'!G691&lt;&gt;0,'Boletins Nuppa Site'!G691,"NULL")</f>
        <v>20</v>
      </c>
      <c r="E691" s="14">
        <f>IF('Boletins Nuppa Site'!H691&lt;&gt;0,'Boletins Nuppa Site'!H691,"NULL")</f>
        <v>15</v>
      </c>
      <c r="F691" s="14">
        <f>IF('Boletins Nuppa Site'!I691&lt;&gt;0,'Boletins Nuppa Site'!I691,"NULL")</f>
        <v>25</v>
      </c>
      <c r="G691" s="14">
        <f>IF('Boletins Nuppa Site'!J691&lt;&gt;0,'Boletins Nuppa Site'!J691,"NULL")</f>
        <v>20</v>
      </c>
      <c r="H691" s="14">
        <f>IF('Boletins Nuppa Site'!K691&lt;&gt;0,'Boletins Nuppa Site'!K691,"NULL")</f>
        <v>20</v>
      </c>
      <c r="I691" t="str">
        <f t="shared" si="20"/>
        <v>INSERT INTO COTACAO (cot_id, cot_blt_id, cot_pap_id, cot_prc_comum, cot_prc_min, cot_prc_max, cot_prc_med, cot_prc_mediana) VALUES (690, 54, 18, 20, 15, 25, 20, 20);</v>
      </c>
      <c r="J691" t="str">
        <f t="shared" si="21"/>
        <v>UPDATE COTACAO SET cot_id = 690, cot_blt_id = 54, cot_pap_id = 18, cot_prc_comum = 20, cot_prc_min = 15, cot_prc_max = 25, cot_prc_med = 20, cot_prc_mediana = 20 WHERE cot_id = 690;</v>
      </c>
    </row>
    <row r="692" spans="1:10" x14ac:dyDescent="0.3">
      <c r="A692">
        <v>691</v>
      </c>
      <c r="B692">
        <f>IF('Boletins Nuppa Site'!A692&lt;&gt;0,'Boletins Nuppa Site'!A692,"NULL")</f>
        <v>54</v>
      </c>
      <c r="C692">
        <v>19</v>
      </c>
      <c r="D692" s="14">
        <f>IF('Boletins Nuppa Site'!G692&lt;&gt;0,'Boletins Nuppa Site'!G692,"NULL")</f>
        <v>25</v>
      </c>
      <c r="E692" s="14">
        <f>IF('Boletins Nuppa Site'!H692&lt;&gt;0,'Boletins Nuppa Site'!H692,"NULL")</f>
        <v>25</v>
      </c>
      <c r="F692" s="14">
        <f>IF('Boletins Nuppa Site'!I692&lt;&gt;0,'Boletins Nuppa Site'!I692,"NULL")</f>
        <v>35</v>
      </c>
      <c r="G692" s="14">
        <f>IF('Boletins Nuppa Site'!J692&lt;&gt;0,'Boletins Nuppa Site'!J692,"NULL")</f>
        <v>30</v>
      </c>
      <c r="H692" s="14">
        <f>IF('Boletins Nuppa Site'!K692&lt;&gt;0,'Boletins Nuppa Site'!K692,"NULL")</f>
        <v>30</v>
      </c>
      <c r="I692" t="str">
        <f t="shared" si="20"/>
        <v>INSERT INTO COTACAO (cot_id, cot_blt_id, cot_pap_id, cot_prc_comum, cot_prc_min, cot_prc_max, cot_prc_med, cot_prc_mediana) VALUES (691, 54, 19, 25, 25, 35, 30, 30);</v>
      </c>
      <c r="J692" t="str">
        <f t="shared" si="21"/>
        <v>UPDATE COTACAO SET cot_id = 691, cot_blt_id = 54, cot_pap_id = 19, cot_prc_comum = 25, cot_prc_min = 25, cot_prc_max = 35, cot_prc_med = 30, cot_prc_mediana = 30 WHERE cot_id = 691;</v>
      </c>
    </row>
    <row r="693" spans="1:10" x14ac:dyDescent="0.3">
      <c r="A693">
        <v>692</v>
      </c>
      <c r="B693">
        <f>IF('Boletins Nuppa Site'!A693&lt;&gt;0,'Boletins Nuppa Site'!A693,"NULL")</f>
        <v>54</v>
      </c>
      <c r="C693">
        <v>20</v>
      </c>
      <c r="D693" t="str">
        <f>IF('Boletins Nuppa Site'!G693&lt;&gt;0,'Boletins Nuppa Site'!G693,"NULL")</f>
        <v>NULL</v>
      </c>
      <c r="E693" s="14">
        <f>IF('Boletins Nuppa Site'!H693&lt;&gt;0,'Boletins Nuppa Site'!H693,"NULL")</f>
        <v>85</v>
      </c>
      <c r="F693" s="14">
        <f>IF('Boletins Nuppa Site'!I693&lt;&gt;0,'Boletins Nuppa Site'!I693,"NULL")</f>
        <v>85</v>
      </c>
      <c r="G693" s="14">
        <f>IF('Boletins Nuppa Site'!J693&lt;&gt;0,'Boletins Nuppa Site'!J693,"NULL")</f>
        <v>85</v>
      </c>
      <c r="H693" s="14">
        <f>IF('Boletins Nuppa Site'!K693&lt;&gt;0,'Boletins Nuppa Site'!K693,"NULL")</f>
        <v>85</v>
      </c>
      <c r="I693" t="str">
        <f t="shared" si="20"/>
        <v>INSERT INTO COTACAO (cot_id, cot_blt_id, cot_pap_id, cot_prc_comum, cot_prc_min, cot_prc_max, cot_prc_med, cot_prc_mediana) VALUES (692, 54, 20, NULL, 85, 85, 85, 85);</v>
      </c>
      <c r="J693" t="str">
        <f t="shared" si="21"/>
        <v>UPDATE COTACAO SET cot_id = 692, cot_blt_id = 54, cot_pap_id = 20, cot_prc_comum = NULL, cot_prc_min = 85, cot_prc_max = 85, cot_prc_med = 85, cot_prc_mediana = 85 WHERE cot_id = 692;</v>
      </c>
    </row>
    <row r="694" spans="1:10" x14ac:dyDescent="0.3">
      <c r="A694">
        <v>693</v>
      </c>
      <c r="B694">
        <f>IF('Boletins Nuppa Site'!A694&lt;&gt;0,'Boletins Nuppa Site'!A694,"NULL")</f>
        <v>54</v>
      </c>
      <c r="C694">
        <v>21</v>
      </c>
      <c r="D694" s="14">
        <f>IF('Boletins Nuppa Site'!G694&lt;&gt;0,'Boletins Nuppa Site'!G694,"NULL")</f>
        <v>100</v>
      </c>
      <c r="E694" s="14">
        <f>IF('Boletins Nuppa Site'!H694&lt;&gt;0,'Boletins Nuppa Site'!H694,"NULL")</f>
        <v>80</v>
      </c>
      <c r="F694" s="14">
        <f>IF('Boletins Nuppa Site'!I694&lt;&gt;0,'Boletins Nuppa Site'!I694,"NULL")</f>
        <v>100</v>
      </c>
      <c r="G694" t="str">
        <f>IF('Boletins Nuppa Site'!J694&lt;&gt;0,'Boletins Nuppa Site'!J694,"NULL")</f>
        <v>93.33</v>
      </c>
      <c r="H694" s="14">
        <f>IF('Boletins Nuppa Site'!K694&lt;&gt;0,'Boletins Nuppa Site'!K694,"NULL")</f>
        <v>100</v>
      </c>
      <c r="I694" t="str">
        <f t="shared" si="20"/>
        <v>INSERT INTO COTACAO (cot_id, cot_blt_id, cot_pap_id, cot_prc_comum, cot_prc_min, cot_prc_max, cot_prc_med, cot_prc_mediana) VALUES (693, 54, 21, 100, 80, 100, 93.33, 100);</v>
      </c>
      <c r="J694" t="str">
        <f t="shared" si="21"/>
        <v>UPDATE COTACAO SET cot_id = 693, cot_blt_id = 54, cot_pap_id = 21, cot_prc_comum = 100, cot_prc_min = 80, cot_prc_max = 100, cot_prc_med = 93.33, cot_prc_mediana = 100 WHERE cot_id = 693;</v>
      </c>
    </row>
    <row r="695" spans="1:10" x14ac:dyDescent="0.3">
      <c r="A695">
        <v>694</v>
      </c>
      <c r="B695">
        <f>IF('Boletins Nuppa Site'!A695&lt;&gt;0,'Boletins Nuppa Site'!A695,"NULL")</f>
        <v>54</v>
      </c>
      <c r="C695">
        <v>22</v>
      </c>
      <c r="D695" s="14">
        <f>IF('Boletins Nuppa Site'!G695&lt;&gt;0,'Boletins Nuppa Site'!G695,"NULL")</f>
        <v>50</v>
      </c>
      <c r="E695" s="14">
        <f>IF('Boletins Nuppa Site'!H695&lt;&gt;0,'Boletins Nuppa Site'!H695,"NULL")</f>
        <v>50</v>
      </c>
      <c r="F695" s="14">
        <f>IF('Boletins Nuppa Site'!I695&lt;&gt;0,'Boletins Nuppa Site'!I695,"NULL")</f>
        <v>70</v>
      </c>
      <c r="G695" s="14">
        <f>IF('Boletins Nuppa Site'!J695&lt;&gt;0,'Boletins Nuppa Site'!J695,"NULL")</f>
        <v>60</v>
      </c>
      <c r="H695" s="14">
        <f>IF('Boletins Nuppa Site'!K695&lt;&gt;0,'Boletins Nuppa Site'!K695,"NULL")</f>
        <v>60</v>
      </c>
      <c r="I695" t="str">
        <f t="shared" si="20"/>
        <v>INSERT INTO COTACAO (cot_id, cot_blt_id, cot_pap_id, cot_prc_comum, cot_prc_min, cot_prc_max, cot_prc_med, cot_prc_mediana) VALUES (694, 54, 22, 50, 50, 70, 60, 60);</v>
      </c>
      <c r="J695" t="str">
        <f t="shared" si="21"/>
        <v>UPDATE COTACAO SET cot_id = 694, cot_blt_id = 54, cot_pap_id = 22, cot_prc_comum = 50, cot_prc_min = 50, cot_prc_max = 70, cot_prc_med = 60, cot_prc_mediana = 60 WHERE cot_id = 694;</v>
      </c>
    </row>
    <row r="696" spans="1:10" x14ac:dyDescent="0.3">
      <c r="A696">
        <v>695</v>
      </c>
      <c r="B696">
        <f>IF('Boletins Nuppa Site'!A696&lt;&gt;0,'Boletins Nuppa Site'!A696,"NULL")</f>
        <v>54</v>
      </c>
      <c r="C696">
        <v>23</v>
      </c>
      <c r="D696" t="str">
        <f>IF('Boletins Nuppa Site'!G696&lt;&gt;0,'Boletins Nuppa Site'!G696,"NULL")</f>
        <v>NULL</v>
      </c>
      <c r="E696" s="14">
        <f>IF('Boletins Nuppa Site'!H696&lt;&gt;0,'Boletins Nuppa Site'!H696,"NULL")</f>
        <v>40</v>
      </c>
      <c r="F696" s="14">
        <f>IF('Boletins Nuppa Site'!I696&lt;&gt;0,'Boletins Nuppa Site'!I696,"NULL")</f>
        <v>50</v>
      </c>
      <c r="G696" s="14">
        <f>IF('Boletins Nuppa Site'!J696&lt;&gt;0,'Boletins Nuppa Site'!J696,"NULL")</f>
        <v>45</v>
      </c>
      <c r="H696" s="14">
        <f>IF('Boletins Nuppa Site'!K696&lt;&gt;0,'Boletins Nuppa Site'!K696,"NULL")</f>
        <v>45</v>
      </c>
      <c r="I696" t="str">
        <f t="shared" si="20"/>
        <v>INSERT INTO COTACAO (cot_id, cot_blt_id, cot_pap_id, cot_prc_comum, cot_prc_min, cot_prc_max, cot_prc_med, cot_prc_mediana) VALUES (695, 54, 23, NULL, 40, 50, 45, 45);</v>
      </c>
      <c r="J696" t="str">
        <f t="shared" si="21"/>
        <v>UPDATE COTACAO SET cot_id = 695, cot_blt_id = 54, cot_pap_id = 23, cot_prc_comum = NULL, cot_prc_min = 40, cot_prc_max = 50, cot_prc_med = 45, cot_prc_mediana = 45 WHERE cot_id = 695;</v>
      </c>
    </row>
    <row r="697" spans="1:10" x14ac:dyDescent="0.3">
      <c r="A697">
        <v>696</v>
      </c>
      <c r="B697">
        <f>IF('Boletins Nuppa Site'!A697&lt;&gt;0,'Boletins Nuppa Site'!A697,"NULL")</f>
        <v>54</v>
      </c>
      <c r="C697">
        <v>24</v>
      </c>
      <c r="D697" t="str">
        <f>IF('Boletins Nuppa Site'!G697&lt;&gt;0,'Boletins Nuppa Site'!G697,"NULL")</f>
        <v>NULL</v>
      </c>
      <c r="E697" s="14">
        <f>IF('Boletins Nuppa Site'!H697&lt;&gt;0,'Boletins Nuppa Site'!H697,"NULL")</f>
        <v>100</v>
      </c>
      <c r="F697" s="14">
        <f>IF('Boletins Nuppa Site'!I697&lt;&gt;0,'Boletins Nuppa Site'!I697,"NULL")</f>
        <v>100</v>
      </c>
      <c r="G697" s="14">
        <f>IF('Boletins Nuppa Site'!J697&lt;&gt;0,'Boletins Nuppa Site'!J697,"NULL")</f>
        <v>100</v>
      </c>
      <c r="H697" s="14">
        <f>IF('Boletins Nuppa Site'!K697&lt;&gt;0,'Boletins Nuppa Site'!K697,"NULL")</f>
        <v>100</v>
      </c>
      <c r="I697" t="str">
        <f t="shared" si="20"/>
        <v>INSERT INTO COTACAO (cot_id, cot_blt_id, cot_pap_id, cot_prc_comum, cot_prc_min, cot_prc_max, cot_prc_med, cot_prc_mediana) VALUES (696, 54, 24, NULL, 100, 100, 100, 100);</v>
      </c>
      <c r="J697" t="str">
        <f t="shared" si="21"/>
        <v>UPDATE COTACAO SET cot_id = 696, cot_blt_id = 54, cot_pap_id = 24, cot_prc_comum = NULL, cot_prc_min = 100, cot_prc_max = 100, cot_prc_med = 100, cot_prc_mediana = 100 WHERE cot_id = 696;</v>
      </c>
    </row>
    <row r="698" spans="1:10" x14ac:dyDescent="0.3">
      <c r="A698">
        <v>697</v>
      </c>
      <c r="B698">
        <f>IF('Boletins Nuppa Site'!A698&lt;&gt;0,'Boletins Nuppa Site'!A698,"NULL")</f>
        <v>54</v>
      </c>
      <c r="C698">
        <v>25</v>
      </c>
      <c r="D698" s="14">
        <f>IF('Boletins Nuppa Site'!G698&lt;&gt;0,'Boletins Nuppa Site'!G698,"NULL")</f>
        <v>110</v>
      </c>
      <c r="E698" s="14">
        <f>IF('Boletins Nuppa Site'!H698&lt;&gt;0,'Boletins Nuppa Site'!H698,"NULL")</f>
        <v>110</v>
      </c>
      <c r="F698" s="14">
        <f>IF('Boletins Nuppa Site'!I698&lt;&gt;0,'Boletins Nuppa Site'!I698,"NULL")</f>
        <v>140</v>
      </c>
      <c r="G698" s="14">
        <f>IF('Boletins Nuppa Site'!J698&lt;&gt;0,'Boletins Nuppa Site'!J698,"NULL")</f>
        <v>120</v>
      </c>
      <c r="H698" s="14">
        <f>IF('Boletins Nuppa Site'!K698&lt;&gt;0,'Boletins Nuppa Site'!K698,"NULL")</f>
        <v>110</v>
      </c>
      <c r="I698" t="str">
        <f t="shared" si="20"/>
        <v>INSERT INTO COTACAO (cot_id, cot_blt_id, cot_pap_id, cot_prc_comum, cot_prc_min, cot_prc_max, cot_prc_med, cot_prc_mediana) VALUES (697, 54, 25, 110, 110, 140, 120, 110);</v>
      </c>
      <c r="J698" t="str">
        <f t="shared" si="21"/>
        <v>UPDATE COTACAO SET cot_id = 697, cot_blt_id = 54, cot_pap_id = 25, cot_prc_comum = 110, cot_prc_min = 110, cot_prc_max = 140, cot_prc_med = 120, cot_prc_mediana = 110 WHERE cot_id = 697;</v>
      </c>
    </row>
    <row r="699" spans="1:10" x14ac:dyDescent="0.3">
      <c r="A699">
        <v>698</v>
      </c>
      <c r="B699">
        <f>IF('Boletins Nuppa Site'!A699&lt;&gt;0,'Boletins Nuppa Site'!A699,"NULL")</f>
        <v>54</v>
      </c>
      <c r="C699">
        <v>26</v>
      </c>
      <c r="D699" t="str">
        <f>IF('Boletins Nuppa Site'!G699&lt;&gt;0,'Boletins Nuppa Site'!G699,"NULL")</f>
        <v>NULL</v>
      </c>
      <c r="E699" s="14">
        <f>IF('Boletins Nuppa Site'!H699&lt;&gt;0,'Boletins Nuppa Site'!H699,"NULL")</f>
        <v>100</v>
      </c>
      <c r="F699" s="14">
        <f>IF('Boletins Nuppa Site'!I699&lt;&gt;0,'Boletins Nuppa Site'!I699,"NULL")</f>
        <v>170</v>
      </c>
      <c r="G699" t="str">
        <f>IF('Boletins Nuppa Site'!J699&lt;&gt;0,'Boletins Nuppa Site'!J699,"NULL")</f>
        <v>132.5</v>
      </c>
      <c r="H699" s="14">
        <f>IF('Boletins Nuppa Site'!K699&lt;&gt;0,'Boletins Nuppa Site'!K699,"NULL")</f>
        <v>130</v>
      </c>
      <c r="I699" t="str">
        <f t="shared" si="20"/>
        <v>INSERT INTO COTACAO (cot_id, cot_blt_id, cot_pap_id, cot_prc_comum, cot_prc_min, cot_prc_max, cot_prc_med, cot_prc_mediana) VALUES (698, 54, 26, NULL, 100, 170, 132.5, 130);</v>
      </c>
      <c r="J699" t="str">
        <f t="shared" si="21"/>
        <v>UPDATE COTACAO SET cot_id = 698, cot_blt_id = 54, cot_pap_id = 26, cot_prc_comum = NULL, cot_prc_min = 100, cot_prc_max = 170, cot_prc_med = 132.5, cot_prc_mediana = 130 WHERE cot_id = 698;</v>
      </c>
    </row>
    <row r="700" spans="1:10" x14ac:dyDescent="0.3">
      <c r="A700">
        <v>699</v>
      </c>
      <c r="B700">
        <f>IF('Boletins Nuppa Site'!A700&lt;&gt;0,'Boletins Nuppa Site'!A700,"NULL")</f>
        <v>54</v>
      </c>
      <c r="C700">
        <v>27</v>
      </c>
      <c r="D700" s="14">
        <f>IF('Boletins Nuppa Site'!G700&lt;&gt;0,'Boletins Nuppa Site'!G700,"NULL")</f>
        <v>70</v>
      </c>
      <c r="E700" s="14">
        <f>IF('Boletins Nuppa Site'!H700&lt;&gt;0,'Boletins Nuppa Site'!H700,"NULL")</f>
        <v>60</v>
      </c>
      <c r="F700" s="14">
        <f>IF('Boletins Nuppa Site'!I700&lt;&gt;0,'Boletins Nuppa Site'!I700,"NULL")</f>
        <v>70</v>
      </c>
      <c r="G700" t="str">
        <f>IF('Boletins Nuppa Site'!J700&lt;&gt;0,'Boletins Nuppa Site'!J700,"NULL")</f>
        <v>66.67</v>
      </c>
      <c r="H700" s="14">
        <f>IF('Boletins Nuppa Site'!K700&lt;&gt;0,'Boletins Nuppa Site'!K700,"NULL")</f>
        <v>70</v>
      </c>
      <c r="I700" t="str">
        <f t="shared" si="20"/>
        <v>INSERT INTO COTACAO (cot_id, cot_blt_id, cot_pap_id, cot_prc_comum, cot_prc_min, cot_prc_max, cot_prc_med, cot_prc_mediana) VALUES (699, 54, 27, 70, 60, 70, 66.67, 70);</v>
      </c>
      <c r="J700" t="str">
        <f t="shared" si="21"/>
        <v>UPDATE COTACAO SET cot_id = 699, cot_blt_id = 54, cot_pap_id = 27, cot_prc_comum = 70, cot_prc_min = 60, cot_prc_max = 70, cot_prc_med = 66.67, cot_prc_mediana = 70 WHERE cot_id = 699;</v>
      </c>
    </row>
    <row r="701" spans="1:10" x14ac:dyDescent="0.3">
      <c r="A701">
        <v>700</v>
      </c>
      <c r="B701">
        <f>IF('Boletins Nuppa Site'!A701&lt;&gt;0,'Boletins Nuppa Site'!A701,"NULL")</f>
        <v>54</v>
      </c>
      <c r="C701">
        <v>28</v>
      </c>
      <c r="D701" t="str">
        <f>IF('Boletins Nuppa Site'!G701&lt;&gt;0,'Boletins Nuppa Site'!G701,"NULL")</f>
        <v>NULL</v>
      </c>
      <c r="E701" s="14">
        <f>IF('Boletins Nuppa Site'!H701&lt;&gt;0,'Boletins Nuppa Site'!H701,"NULL")</f>
        <v>110</v>
      </c>
      <c r="F701" s="14">
        <f>IF('Boletins Nuppa Site'!I701&lt;&gt;0,'Boletins Nuppa Site'!I701,"NULL")</f>
        <v>120</v>
      </c>
      <c r="G701" s="14">
        <f>IF('Boletins Nuppa Site'!J701&lt;&gt;0,'Boletins Nuppa Site'!J701,"NULL")</f>
        <v>115</v>
      </c>
      <c r="H701" s="14">
        <f>IF('Boletins Nuppa Site'!K701&lt;&gt;0,'Boletins Nuppa Site'!K701,"NULL")</f>
        <v>115</v>
      </c>
      <c r="I701" t="str">
        <f t="shared" si="20"/>
        <v>INSERT INTO COTACAO (cot_id, cot_blt_id, cot_pap_id, cot_prc_comum, cot_prc_min, cot_prc_max, cot_prc_med, cot_prc_mediana) VALUES (700, 54, 28, NULL, 110, 120, 115, 115);</v>
      </c>
      <c r="J701" t="str">
        <f t="shared" si="21"/>
        <v>UPDATE COTACAO SET cot_id = 700, cot_blt_id = 54, cot_pap_id = 28, cot_prc_comum = NULL, cot_prc_min = 110, cot_prc_max = 120, cot_prc_med = 115, cot_prc_mediana = 115 WHERE cot_id = 700;</v>
      </c>
    </row>
    <row r="702" spans="1:10" x14ac:dyDescent="0.3">
      <c r="A702">
        <v>701</v>
      </c>
      <c r="B702">
        <f>IF('Boletins Nuppa Site'!A702&lt;&gt;0,'Boletins Nuppa Site'!A702,"NULL")</f>
        <v>54</v>
      </c>
      <c r="C702">
        <v>29</v>
      </c>
      <c r="D702" t="str">
        <f>IF('Boletins Nuppa Site'!G702&lt;&gt;0,'Boletins Nuppa Site'!G702,"NULL")</f>
        <v>NULL</v>
      </c>
      <c r="E702" s="14">
        <f>IF('Boletins Nuppa Site'!H702&lt;&gt;0,'Boletins Nuppa Site'!H702,"NULL")</f>
        <v>75</v>
      </c>
      <c r="F702" s="14">
        <f>IF('Boletins Nuppa Site'!I702&lt;&gt;0,'Boletins Nuppa Site'!I702,"NULL")</f>
        <v>75</v>
      </c>
      <c r="G702" s="14">
        <f>IF('Boletins Nuppa Site'!J702&lt;&gt;0,'Boletins Nuppa Site'!J702,"NULL")</f>
        <v>75</v>
      </c>
      <c r="H702" s="14">
        <f>IF('Boletins Nuppa Site'!K702&lt;&gt;0,'Boletins Nuppa Site'!K702,"NULL")</f>
        <v>75</v>
      </c>
      <c r="I702" t="str">
        <f t="shared" si="20"/>
        <v>INSERT INTO COTACAO (cot_id, cot_blt_id, cot_pap_id, cot_prc_comum, cot_prc_min, cot_prc_max, cot_prc_med, cot_prc_mediana) VALUES (701, 54, 29, NULL, 75, 75, 75, 75);</v>
      </c>
      <c r="J702" t="str">
        <f t="shared" si="21"/>
        <v>UPDATE COTACAO SET cot_id = 701, cot_blt_id = 54, cot_pap_id = 29, cot_prc_comum = NULL, cot_prc_min = 75, cot_prc_max = 75, cot_prc_med = 75, cot_prc_mediana = 75 WHERE cot_id = 701;</v>
      </c>
    </row>
    <row r="703" spans="1:10" x14ac:dyDescent="0.3">
      <c r="A703">
        <v>702</v>
      </c>
      <c r="B703">
        <f>IF('Boletins Nuppa Site'!A703&lt;&gt;0,'Boletins Nuppa Site'!A703,"NULL")</f>
        <v>54</v>
      </c>
      <c r="C703">
        <v>30</v>
      </c>
      <c r="D703" t="str">
        <f>IF('Boletins Nuppa Site'!G703&lt;&gt;0,'Boletins Nuppa Site'!G703,"NULL")</f>
        <v>NULL</v>
      </c>
      <c r="E703" s="14">
        <f>IF('Boletins Nuppa Site'!H703&lt;&gt;0,'Boletins Nuppa Site'!H703,"NULL")</f>
        <v>80</v>
      </c>
      <c r="F703" s="14">
        <f>IF('Boletins Nuppa Site'!I703&lt;&gt;0,'Boletins Nuppa Site'!I703,"NULL")</f>
        <v>80</v>
      </c>
      <c r="G703" s="14">
        <f>IF('Boletins Nuppa Site'!J703&lt;&gt;0,'Boletins Nuppa Site'!J703,"NULL")</f>
        <v>80</v>
      </c>
      <c r="H703" s="14">
        <f>IF('Boletins Nuppa Site'!K703&lt;&gt;0,'Boletins Nuppa Site'!K703,"NULL")</f>
        <v>80</v>
      </c>
      <c r="I703" t="str">
        <f t="shared" si="20"/>
        <v>INSERT INTO COTACAO (cot_id, cot_blt_id, cot_pap_id, cot_prc_comum, cot_prc_min, cot_prc_max, cot_prc_med, cot_prc_mediana) VALUES (702, 54, 30, NULL, 80, 80, 80, 80);</v>
      </c>
      <c r="J703" t="str">
        <f t="shared" si="21"/>
        <v>UPDATE COTACAO SET cot_id = 702, cot_blt_id = 54, cot_pap_id = 30, cot_prc_comum = NULL, cot_prc_min = 80, cot_prc_max = 80, cot_prc_med = 80, cot_prc_mediana = 80 WHERE cot_id = 702;</v>
      </c>
    </row>
    <row r="704" spans="1:10" x14ac:dyDescent="0.3">
      <c r="A704">
        <v>703</v>
      </c>
      <c r="B704">
        <f>IF('Boletins Nuppa Site'!A704&lt;&gt;0,'Boletins Nuppa Site'!A704,"NULL")</f>
        <v>54</v>
      </c>
      <c r="C704">
        <v>31</v>
      </c>
      <c r="D704" t="str">
        <f>IF('Boletins Nuppa Site'!G704&lt;&gt;0,'Boletins Nuppa Site'!G704,"NULL")</f>
        <v>NULL</v>
      </c>
      <c r="E704" s="14">
        <f>IF('Boletins Nuppa Site'!H704&lt;&gt;0,'Boletins Nuppa Site'!H704,"NULL")</f>
        <v>60</v>
      </c>
      <c r="F704" s="14">
        <f>IF('Boletins Nuppa Site'!I704&lt;&gt;0,'Boletins Nuppa Site'!I704,"NULL")</f>
        <v>100</v>
      </c>
      <c r="G704" t="str">
        <f>IF('Boletins Nuppa Site'!J704&lt;&gt;0,'Boletins Nuppa Site'!J704,"NULL")</f>
        <v>78.75</v>
      </c>
      <c r="H704" t="str">
        <f>IF('Boletins Nuppa Site'!K704&lt;&gt;0,'Boletins Nuppa Site'!K704,"NULL")</f>
        <v>77.5</v>
      </c>
      <c r="I704" t="str">
        <f t="shared" si="20"/>
        <v>INSERT INTO COTACAO (cot_id, cot_blt_id, cot_pap_id, cot_prc_comum, cot_prc_min, cot_prc_max, cot_prc_med, cot_prc_mediana) VALUES (703, 54, 31, NULL, 60, 100, 78.75, 77.5);</v>
      </c>
      <c r="J704" t="str">
        <f t="shared" si="21"/>
        <v>UPDATE COTACAO SET cot_id = 703, cot_blt_id = 54, cot_pap_id = 31, cot_prc_comum = NULL, cot_prc_min = 60, cot_prc_max = 100, cot_prc_med = 78.75, cot_prc_mediana = 77.5 WHERE cot_id = 703;</v>
      </c>
    </row>
    <row r="705" spans="1:10" x14ac:dyDescent="0.3">
      <c r="A705">
        <v>704</v>
      </c>
      <c r="B705">
        <f>IF('Boletins Nuppa Site'!A705&lt;&gt;0,'Boletins Nuppa Site'!A705,"NULL")</f>
        <v>54</v>
      </c>
      <c r="C705">
        <v>32</v>
      </c>
      <c r="D705" s="14">
        <f>IF('Boletins Nuppa Site'!G705&lt;&gt;0,'Boletins Nuppa Site'!G705,"NULL")</f>
        <v>60</v>
      </c>
      <c r="E705" s="14">
        <f>IF('Boletins Nuppa Site'!H705&lt;&gt;0,'Boletins Nuppa Site'!H705,"NULL")</f>
        <v>50</v>
      </c>
      <c r="F705" s="14">
        <f>IF('Boletins Nuppa Site'!I705&lt;&gt;0,'Boletins Nuppa Site'!I705,"NULL")</f>
        <v>60</v>
      </c>
      <c r="G705" t="str">
        <f>IF('Boletins Nuppa Site'!J705&lt;&gt;0,'Boletins Nuppa Site'!J705,"NULL")</f>
        <v>56.25</v>
      </c>
      <c r="H705" t="str">
        <f>IF('Boletins Nuppa Site'!K705&lt;&gt;0,'Boletins Nuppa Site'!K705,"NULL")</f>
        <v>57.5</v>
      </c>
      <c r="I705" t="str">
        <f t="shared" si="20"/>
        <v>INSERT INTO COTACAO (cot_id, cot_blt_id, cot_pap_id, cot_prc_comum, cot_prc_min, cot_prc_max, cot_prc_med, cot_prc_mediana) VALUES (704, 54, 32, 60, 50, 60, 56.25, 57.5);</v>
      </c>
      <c r="J705" t="str">
        <f t="shared" si="21"/>
        <v>UPDATE COTACAO SET cot_id = 704, cot_blt_id = 54, cot_pap_id = 32, cot_prc_comum = 60, cot_prc_min = 50, cot_prc_max = 60, cot_prc_med = 56.25, cot_prc_mediana = 57.5 WHERE cot_id = 704;</v>
      </c>
    </row>
    <row r="706" spans="1:10" x14ac:dyDescent="0.3">
      <c r="A706">
        <v>705</v>
      </c>
      <c r="B706">
        <f>IF('Boletins Nuppa Site'!A706&lt;&gt;0,'Boletins Nuppa Site'!A706,"NULL")</f>
        <v>54</v>
      </c>
      <c r="C706">
        <v>33</v>
      </c>
      <c r="D706" t="str">
        <f>IF('Boletins Nuppa Site'!G706&lt;&gt;0,'Boletins Nuppa Site'!G706,"NULL")</f>
        <v>NULL</v>
      </c>
      <c r="E706" s="14">
        <f>IF('Boletins Nuppa Site'!H706&lt;&gt;0,'Boletins Nuppa Site'!H706,"NULL")</f>
        <v>140</v>
      </c>
      <c r="F706" s="14">
        <f>IF('Boletins Nuppa Site'!I706&lt;&gt;0,'Boletins Nuppa Site'!I706,"NULL")</f>
        <v>150</v>
      </c>
      <c r="G706" s="14">
        <f>IF('Boletins Nuppa Site'!J706&lt;&gt;0,'Boletins Nuppa Site'!J706,"NULL")</f>
        <v>145</v>
      </c>
      <c r="H706" s="14">
        <f>IF('Boletins Nuppa Site'!K706&lt;&gt;0,'Boletins Nuppa Site'!K706,"NULL")</f>
        <v>145</v>
      </c>
      <c r="I706" t="str">
        <f t="shared" si="20"/>
        <v>INSERT INTO COTACAO (cot_id, cot_blt_id, cot_pap_id, cot_prc_comum, cot_prc_min, cot_prc_max, cot_prc_med, cot_prc_mediana) VALUES (705, 54, 33, NULL, 140, 150, 145, 145);</v>
      </c>
      <c r="J706" t="str">
        <f t="shared" si="21"/>
        <v>UPDATE COTACAO SET cot_id = 705, cot_blt_id = 54, cot_pap_id = 33, cot_prc_comum = NULL, cot_prc_min = 140, cot_prc_max = 150, cot_prc_med = 145, cot_prc_mediana = 145 WHERE cot_id = 705;</v>
      </c>
    </row>
    <row r="707" spans="1:10" x14ac:dyDescent="0.3">
      <c r="A707">
        <v>706</v>
      </c>
      <c r="B707">
        <f>IF('Boletins Nuppa Site'!A707&lt;&gt;0,'Boletins Nuppa Site'!A707,"NULL")</f>
        <v>54</v>
      </c>
      <c r="C707">
        <v>34</v>
      </c>
      <c r="D707" t="str">
        <f>IF('Boletins Nuppa Site'!G707&lt;&gt;0,'Boletins Nuppa Site'!G707,"NULL")</f>
        <v>NULL</v>
      </c>
      <c r="E707" s="14">
        <f>IF('Boletins Nuppa Site'!H707&lt;&gt;0,'Boletins Nuppa Site'!H707,"NULL")</f>
        <v>100</v>
      </c>
      <c r="F707" s="14">
        <f>IF('Boletins Nuppa Site'!I707&lt;&gt;0,'Boletins Nuppa Site'!I707,"NULL")</f>
        <v>150</v>
      </c>
      <c r="G707" t="str">
        <f>IF('Boletins Nuppa Site'!J707&lt;&gt;0,'Boletins Nuppa Site'!J707,"NULL")</f>
        <v>123.33</v>
      </c>
      <c r="H707" s="14">
        <f>IF('Boletins Nuppa Site'!K707&lt;&gt;0,'Boletins Nuppa Site'!K707,"NULL")</f>
        <v>120</v>
      </c>
      <c r="I707" t="str">
        <f t="shared" ref="I707:I770" si="22">"INSERT INTO COTACAO (cot_id, cot_blt_id, cot_pap_id, cot_prc_comum, cot_prc_min, cot_prc_max, cot_prc_med, cot_prc_mediana) VALUES ("&amp;A707&amp;", "&amp;B707&amp;", "&amp;C707&amp;", "&amp;D707&amp;", "&amp;E707&amp;", "&amp;F707&amp;", "&amp;G707&amp;", "&amp;H707&amp;");"</f>
        <v>INSERT INTO COTACAO (cot_id, cot_blt_id, cot_pap_id, cot_prc_comum, cot_prc_min, cot_prc_max, cot_prc_med, cot_prc_mediana) VALUES (706, 54, 34, NULL, 100, 150, 123.33, 120);</v>
      </c>
      <c r="J707" t="str">
        <f t="shared" ref="J707:J770" si="23">"UPDATE COTACAO SET cot_id = "&amp;A707&amp;", cot_blt_id = "&amp;B707&amp;", cot_pap_id = "&amp;C707&amp;", cot_prc_comum = "&amp;D707&amp;", cot_prc_min = "&amp;E707&amp;", cot_prc_max = "&amp;F707&amp;", cot_prc_med = "&amp;G707&amp;", cot_prc_mediana = "&amp;H707&amp;" WHERE cot_id = "&amp;A707&amp;";"</f>
        <v>UPDATE COTACAO SET cot_id = 706, cot_blt_id = 54, cot_pap_id = 34, cot_prc_comum = NULL, cot_prc_min = 100, cot_prc_max = 150, cot_prc_med = 123.33, cot_prc_mediana = 120 WHERE cot_id = 706;</v>
      </c>
    </row>
    <row r="708" spans="1:10" x14ac:dyDescent="0.3">
      <c r="A708">
        <v>707</v>
      </c>
      <c r="B708">
        <f>IF('Boletins Nuppa Site'!A708&lt;&gt;0,'Boletins Nuppa Site'!A708,"NULL")</f>
        <v>54</v>
      </c>
      <c r="C708">
        <v>35</v>
      </c>
      <c r="D708" s="14">
        <f>IF('Boletins Nuppa Site'!G708&lt;&gt;0,'Boletins Nuppa Site'!G708,"NULL")</f>
        <v>200</v>
      </c>
      <c r="E708" s="14">
        <f>IF('Boletins Nuppa Site'!H708&lt;&gt;0,'Boletins Nuppa Site'!H708,"NULL")</f>
        <v>200</v>
      </c>
      <c r="F708" s="14">
        <f>IF('Boletins Nuppa Site'!I708&lt;&gt;0,'Boletins Nuppa Site'!I708,"NULL")</f>
        <v>200</v>
      </c>
      <c r="G708" s="14">
        <f>IF('Boletins Nuppa Site'!J708&lt;&gt;0,'Boletins Nuppa Site'!J708,"NULL")</f>
        <v>200</v>
      </c>
      <c r="H708" s="14">
        <f>IF('Boletins Nuppa Site'!K708&lt;&gt;0,'Boletins Nuppa Site'!K708,"NULL")</f>
        <v>200</v>
      </c>
      <c r="I708" t="str">
        <f t="shared" si="22"/>
        <v>INSERT INTO COTACAO (cot_id, cot_blt_id, cot_pap_id, cot_prc_comum, cot_prc_min, cot_prc_max, cot_prc_med, cot_prc_mediana) VALUES (707, 54, 35, 200, 200, 200, 200, 200);</v>
      </c>
      <c r="J708" t="str">
        <f t="shared" si="23"/>
        <v>UPDATE COTACAO SET cot_id = 707, cot_blt_id = 54, cot_pap_id = 35, cot_prc_comum = 200, cot_prc_min = 200, cot_prc_max = 200, cot_prc_med = 200, cot_prc_mediana = 200 WHERE cot_id = 707;</v>
      </c>
    </row>
    <row r="709" spans="1:10" x14ac:dyDescent="0.3">
      <c r="A709">
        <v>708</v>
      </c>
      <c r="B709">
        <f>IF('Boletins Nuppa Site'!A709&lt;&gt;0,'Boletins Nuppa Site'!A709,"NULL")</f>
        <v>54</v>
      </c>
      <c r="C709">
        <v>36</v>
      </c>
      <c r="D709" t="str">
        <f>IF('Boletins Nuppa Site'!G709&lt;&gt;0,'Boletins Nuppa Site'!G709,"NULL")</f>
        <v>NULL</v>
      </c>
      <c r="E709" s="14">
        <f>IF('Boletins Nuppa Site'!H709&lt;&gt;0,'Boletins Nuppa Site'!H709,"NULL")</f>
        <v>100</v>
      </c>
      <c r="F709" s="14">
        <f>IF('Boletins Nuppa Site'!I709&lt;&gt;0,'Boletins Nuppa Site'!I709,"NULL")</f>
        <v>100</v>
      </c>
      <c r="G709" s="14">
        <f>IF('Boletins Nuppa Site'!J709&lt;&gt;0,'Boletins Nuppa Site'!J709,"NULL")</f>
        <v>100</v>
      </c>
      <c r="H709" s="14">
        <f>IF('Boletins Nuppa Site'!K709&lt;&gt;0,'Boletins Nuppa Site'!K709,"NULL")</f>
        <v>100</v>
      </c>
      <c r="I709" t="str">
        <f t="shared" si="22"/>
        <v>INSERT INTO COTACAO (cot_id, cot_blt_id, cot_pap_id, cot_prc_comum, cot_prc_min, cot_prc_max, cot_prc_med, cot_prc_mediana) VALUES (708, 54, 36, NULL, 100, 100, 100, 100);</v>
      </c>
      <c r="J709" t="str">
        <f t="shared" si="23"/>
        <v>UPDATE COTACAO SET cot_id = 708, cot_blt_id = 54, cot_pap_id = 36, cot_prc_comum = NULL, cot_prc_min = 100, cot_prc_max = 100, cot_prc_med = 100, cot_prc_mediana = 100 WHERE cot_id = 708;</v>
      </c>
    </row>
    <row r="710" spans="1:10" x14ac:dyDescent="0.3">
      <c r="A710">
        <v>709</v>
      </c>
      <c r="B710">
        <f>IF('Boletins Nuppa Site'!A710&lt;&gt;0,'Boletins Nuppa Site'!A710,"NULL")</f>
        <v>54</v>
      </c>
      <c r="C710">
        <v>37</v>
      </c>
      <c r="D710" t="str">
        <f>IF('Boletins Nuppa Site'!G710&lt;&gt;0,'Boletins Nuppa Site'!G710,"NULL")</f>
        <v>NULL</v>
      </c>
      <c r="E710" s="14">
        <f>IF('Boletins Nuppa Site'!H710&lt;&gt;0,'Boletins Nuppa Site'!H710,"NULL")</f>
        <v>75</v>
      </c>
      <c r="F710" s="14">
        <f>IF('Boletins Nuppa Site'!I710&lt;&gt;0,'Boletins Nuppa Site'!I710,"NULL")</f>
        <v>75</v>
      </c>
      <c r="G710" s="14">
        <f>IF('Boletins Nuppa Site'!J710&lt;&gt;0,'Boletins Nuppa Site'!J710,"NULL")</f>
        <v>75</v>
      </c>
      <c r="H710" s="14">
        <f>IF('Boletins Nuppa Site'!K710&lt;&gt;0,'Boletins Nuppa Site'!K710,"NULL")</f>
        <v>75</v>
      </c>
      <c r="I710" t="str">
        <f t="shared" si="22"/>
        <v>INSERT INTO COTACAO (cot_id, cot_blt_id, cot_pap_id, cot_prc_comum, cot_prc_min, cot_prc_max, cot_prc_med, cot_prc_mediana) VALUES (709, 54, 37, NULL, 75, 75, 75, 75);</v>
      </c>
      <c r="J710" t="str">
        <f t="shared" si="23"/>
        <v>UPDATE COTACAO SET cot_id = 709, cot_blt_id = 54, cot_pap_id = 37, cot_prc_comum = NULL, cot_prc_min = 75, cot_prc_max = 75, cot_prc_med = 75, cot_prc_mediana = 75 WHERE cot_id = 709;</v>
      </c>
    </row>
    <row r="711" spans="1:10" x14ac:dyDescent="0.3">
      <c r="A711">
        <v>710</v>
      </c>
      <c r="B711">
        <f>IF('Boletins Nuppa Site'!A711&lt;&gt;0,'Boletins Nuppa Site'!A711,"NULL")</f>
        <v>54</v>
      </c>
      <c r="C711">
        <v>38</v>
      </c>
      <c r="D711" t="str">
        <f>IF('Boletins Nuppa Site'!G711&lt;&gt;0,'Boletins Nuppa Site'!G711,"NULL")</f>
        <v>NULL</v>
      </c>
      <c r="E711" t="str">
        <f>IF('Boletins Nuppa Site'!H711&lt;&gt;0,'Boletins Nuppa Site'!H711,"NULL")</f>
        <v>NULL</v>
      </c>
      <c r="F711" t="str">
        <f>IF('Boletins Nuppa Site'!I711&lt;&gt;0,'Boletins Nuppa Site'!I711,"NULL")</f>
        <v>NULL</v>
      </c>
      <c r="G711" t="str">
        <f>IF('Boletins Nuppa Site'!J711&lt;&gt;0,'Boletins Nuppa Site'!J711,"NULL")</f>
        <v>NULL</v>
      </c>
      <c r="H711" t="str">
        <f>IF('Boletins Nuppa Site'!K711&lt;&gt;0,'Boletins Nuppa Site'!K711,"NULL")</f>
        <v>NULL</v>
      </c>
      <c r="I711" t="str">
        <f t="shared" si="22"/>
        <v>INSERT INTO COTACAO (cot_id, cot_blt_id, cot_pap_id, cot_prc_comum, cot_prc_min, cot_prc_max, cot_prc_med, cot_prc_mediana) VALUES (710, 54, 38, NULL, NULL, NULL, NULL, NULL);</v>
      </c>
      <c r="J711" t="str">
        <f t="shared" si="23"/>
        <v>UPDATE COTACAO SET cot_id = 710, cot_blt_id = 54, cot_pap_id = 38, cot_prc_comum = NULL, cot_prc_min = NULL, cot_prc_max = NULL, cot_prc_med = NULL, cot_prc_mediana = NULL WHERE cot_id = 710;</v>
      </c>
    </row>
    <row r="712" spans="1:10" x14ac:dyDescent="0.3">
      <c r="A712">
        <v>711</v>
      </c>
      <c r="B712">
        <f>IF('Boletins Nuppa Site'!A712&lt;&gt;0,'Boletins Nuppa Site'!A712,"NULL")</f>
        <v>54</v>
      </c>
      <c r="C712">
        <v>39</v>
      </c>
      <c r="D712" t="str">
        <f>IF('Boletins Nuppa Site'!G712&lt;&gt;0,'Boletins Nuppa Site'!G712,"NULL")</f>
        <v>NULL</v>
      </c>
      <c r="E712" s="14">
        <f>IF('Boletins Nuppa Site'!H712&lt;&gt;0,'Boletins Nuppa Site'!H712,"NULL")</f>
        <v>40</v>
      </c>
      <c r="F712" s="14">
        <f>IF('Boletins Nuppa Site'!I712&lt;&gt;0,'Boletins Nuppa Site'!I712,"NULL")</f>
        <v>40</v>
      </c>
      <c r="G712" s="14">
        <f>IF('Boletins Nuppa Site'!J712&lt;&gt;0,'Boletins Nuppa Site'!J712,"NULL")</f>
        <v>40</v>
      </c>
      <c r="H712" s="14">
        <f>IF('Boletins Nuppa Site'!K712&lt;&gt;0,'Boletins Nuppa Site'!K712,"NULL")</f>
        <v>40</v>
      </c>
      <c r="I712" t="str">
        <f t="shared" si="22"/>
        <v>INSERT INTO COTACAO (cot_id, cot_blt_id, cot_pap_id, cot_prc_comum, cot_prc_min, cot_prc_max, cot_prc_med, cot_prc_mediana) VALUES (711, 54, 39, NULL, 40, 40, 40, 40);</v>
      </c>
      <c r="J712" t="str">
        <f t="shared" si="23"/>
        <v>UPDATE COTACAO SET cot_id = 711, cot_blt_id = 54, cot_pap_id = 39, cot_prc_comum = NULL, cot_prc_min = 40, cot_prc_max = 40, cot_prc_med = 40, cot_prc_mediana = 40 WHERE cot_id = 711;</v>
      </c>
    </row>
    <row r="713" spans="1:10" x14ac:dyDescent="0.3">
      <c r="A713">
        <v>712</v>
      </c>
      <c r="B713">
        <f>IF('Boletins Nuppa Site'!A713&lt;&gt;0,'Boletins Nuppa Site'!A713,"NULL")</f>
        <v>54</v>
      </c>
      <c r="C713">
        <v>40</v>
      </c>
      <c r="D713" t="str">
        <f>IF('Boletins Nuppa Site'!G713&lt;&gt;0,'Boletins Nuppa Site'!G713,"NULL")</f>
        <v>NULL</v>
      </c>
      <c r="E713" s="14">
        <f>IF('Boletins Nuppa Site'!H713&lt;&gt;0,'Boletins Nuppa Site'!H713,"NULL")</f>
        <v>55</v>
      </c>
      <c r="F713" s="14">
        <f>IF('Boletins Nuppa Site'!I713&lt;&gt;0,'Boletins Nuppa Site'!I713,"NULL")</f>
        <v>55</v>
      </c>
      <c r="G713" s="14">
        <f>IF('Boletins Nuppa Site'!J713&lt;&gt;0,'Boletins Nuppa Site'!J713,"NULL")</f>
        <v>55</v>
      </c>
      <c r="H713" s="14">
        <f>IF('Boletins Nuppa Site'!K713&lt;&gt;0,'Boletins Nuppa Site'!K713,"NULL")</f>
        <v>55</v>
      </c>
      <c r="I713" t="str">
        <f t="shared" si="22"/>
        <v>INSERT INTO COTACAO (cot_id, cot_blt_id, cot_pap_id, cot_prc_comum, cot_prc_min, cot_prc_max, cot_prc_med, cot_prc_mediana) VALUES (712, 54, 40, NULL, 55, 55, 55, 55);</v>
      </c>
      <c r="J713" t="str">
        <f t="shared" si="23"/>
        <v>UPDATE COTACAO SET cot_id = 712, cot_blt_id = 54, cot_pap_id = 40, cot_prc_comum = NULL, cot_prc_min = 55, cot_prc_max = 55, cot_prc_med = 55, cot_prc_mediana = 55 WHERE cot_id = 712;</v>
      </c>
    </row>
    <row r="714" spans="1:10" x14ac:dyDescent="0.3">
      <c r="A714">
        <v>713</v>
      </c>
      <c r="B714">
        <f>IF('Boletins Nuppa Site'!A714&lt;&gt;0,'Boletins Nuppa Site'!A714,"NULL")</f>
        <v>55</v>
      </c>
      <c r="C714">
        <v>1</v>
      </c>
      <c r="D714" s="14">
        <f>IF('Boletins Nuppa Site'!G714&lt;&gt;0,'Boletins Nuppa Site'!G714,"NULL")</f>
        <v>72</v>
      </c>
      <c r="E714" s="14">
        <f>IF('Boletins Nuppa Site'!H714&lt;&gt;0,'Boletins Nuppa Site'!H714,"NULL")</f>
        <v>48</v>
      </c>
      <c r="F714" s="14">
        <f>IF('Boletins Nuppa Site'!I714&lt;&gt;0,'Boletins Nuppa Site'!I714,"NULL")</f>
        <v>72</v>
      </c>
      <c r="G714" s="14">
        <f>IF('Boletins Nuppa Site'!J714&lt;&gt;0,'Boletins Nuppa Site'!J714,"NULL")</f>
        <v>64</v>
      </c>
      <c r="H714" s="14">
        <f>IF('Boletins Nuppa Site'!K714&lt;&gt;0,'Boletins Nuppa Site'!K714,"NULL")</f>
        <v>72</v>
      </c>
      <c r="I714" t="str">
        <f t="shared" si="22"/>
        <v>INSERT INTO COTACAO (cot_id, cot_blt_id, cot_pap_id, cot_prc_comum, cot_prc_min, cot_prc_max, cot_prc_med, cot_prc_mediana) VALUES (713, 55, 1, 72, 48, 72, 64, 72);</v>
      </c>
      <c r="J714" t="str">
        <f t="shared" si="23"/>
        <v>UPDATE COTACAO SET cot_id = 713, cot_blt_id = 55, cot_pap_id = 1, cot_prc_comum = 72, cot_prc_min = 48, cot_prc_max = 72, cot_prc_med = 64, cot_prc_mediana = 72 WHERE cot_id = 713;</v>
      </c>
    </row>
    <row r="715" spans="1:10" x14ac:dyDescent="0.3">
      <c r="A715">
        <v>714</v>
      </c>
      <c r="B715">
        <f>IF('Boletins Nuppa Site'!A715&lt;&gt;0,'Boletins Nuppa Site'!A715,"NULL")</f>
        <v>55</v>
      </c>
      <c r="C715">
        <v>2</v>
      </c>
      <c r="D715" s="14">
        <f>IF('Boletins Nuppa Site'!G715&lt;&gt;0,'Boletins Nuppa Site'!G715,"NULL")</f>
        <v>84</v>
      </c>
      <c r="E715" s="14">
        <f>IF('Boletins Nuppa Site'!H715&lt;&gt;0,'Boletins Nuppa Site'!H715,"NULL")</f>
        <v>72</v>
      </c>
      <c r="F715" s="14">
        <f>IF('Boletins Nuppa Site'!I715&lt;&gt;0,'Boletins Nuppa Site'!I715,"NULL")</f>
        <v>84</v>
      </c>
      <c r="G715" s="14">
        <f>IF('Boletins Nuppa Site'!J715&lt;&gt;0,'Boletins Nuppa Site'!J715,"NULL")</f>
        <v>80</v>
      </c>
      <c r="H715" s="14">
        <f>IF('Boletins Nuppa Site'!K715&lt;&gt;0,'Boletins Nuppa Site'!K715,"NULL")</f>
        <v>84</v>
      </c>
      <c r="I715" t="str">
        <f t="shared" si="22"/>
        <v>INSERT INTO COTACAO (cot_id, cot_blt_id, cot_pap_id, cot_prc_comum, cot_prc_min, cot_prc_max, cot_prc_med, cot_prc_mediana) VALUES (714, 55, 2, 84, 72, 84, 80, 84);</v>
      </c>
      <c r="J715" t="str">
        <f t="shared" si="23"/>
        <v>UPDATE COTACAO SET cot_id = 714, cot_blt_id = 55, cot_pap_id = 2, cot_prc_comum = 84, cot_prc_min = 72, cot_prc_max = 84, cot_prc_med = 80, cot_prc_mediana = 84 WHERE cot_id = 714;</v>
      </c>
    </row>
    <row r="716" spans="1:10" x14ac:dyDescent="0.3">
      <c r="A716">
        <v>715</v>
      </c>
      <c r="B716">
        <f>IF('Boletins Nuppa Site'!A716&lt;&gt;0,'Boletins Nuppa Site'!A716,"NULL")</f>
        <v>55</v>
      </c>
      <c r="C716">
        <v>3</v>
      </c>
      <c r="D716" t="str">
        <f>IF('Boletins Nuppa Site'!G716&lt;&gt;0,'Boletins Nuppa Site'!G716,"NULL")</f>
        <v>NULL</v>
      </c>
      <c r="E716" s="14">
        <f>IF('Boletins Nuppa Site'!H716&lt;&gt;0,'Boletins Nuppa Site'!H716,"NULL")</f>
        <v>36</v>
      </c>
      <c r="F716" s="14">
        <f>IF('Boletins Nuppa Site'!I716&lt;&gt;0,'Boletins Nuppa Site'!I716,"NULL")</f>
        <v>54</v>
      </c>
      <c r="G716" s="14">
        <f>IF('Boletins Nuppa Site'!J716&lt;&gt;0,'Boletins Nuppa Site'!J716,"NULL")</f>
        <v>44</v>
      </c>
      <c r="H716" s="14">
        <f>IF('Boletins Nuppa Site'!K716&lt;&gt;0,'Boletins Nuppa Site'!K716,"NULL")</f>
        <v>42</v>
      </c>
      <c r="I716" t="str">
        <f t="shared" si="22"/>
        <v>INSERT INTO COTACAO (cot_id, cot_blt_id, cot_pap_id, cot_prc_comum, cot_prc_min, cot_prc_max, cot_prc_med, cot_prc_mediana) VALUES (715, 55, 3, NULL, 36, 54, 44, 42);</v>
      </c>
      <c r="J716" t="str">
        <f t="shared" si="23"/>
        <v>UPDATE COTACAO SET cot_id = 715, cot_blt_id = 55, cot_pap_id = 3, cot_prc_comum = NULL, cot_prc_min = 36, cot_prc_max = 54, cot_prc_med = 44, cot_prc_mediana = 42 WHERE cot_id = 715;</v>
      </c>
    </row>
    <row r="717" spans="1:10" x14ac:dyDescent="0.3">
      <c r="A717">
        <v>716</v>
      </c>
      <c r="B717">
        <f>IF('Boletins Nuppa Site'!A717&lt;&gt;0,'Boletins Nuppa Site'!A717,"NULL")</f>
        <v>55</v>
      </c>
      <c r="C717">
        <v>4</v>
      </c>
      <c r="D717" s="14">
        <f>IF('Boletins Nuppa Site'!G717&lt;&gt;0,'Boletins Nuppa Site'!G717,"NULL")</f>
        <v>30</v>
      </c>
      <c r="E717" s="14">
        <f>IF('Boletins Nuppa Site'!H717&lt;&gt;0,'Boletins Nuppa Site'!H717,"NULL")</f>
        <v>24</v>
      </c>
      <c r="F717" s="14">
        <f>IF('Boletins Nuppa Site'!I717&lt;&gt;0,'Boletins Nuppa Site'!I717,"NULL")</f>
        <v>30</v>
      </c>
      <c r="G717" s="14">
        <f>IF('Boletins Nuppa Site'!J717&lt;&gt;0,'Boletins Nuppa Site'!J717,"NULL")</f>
        <v>28</v>
      </c>
      <c r="H717" s="14">
        <f>IF('Boletins Nuppa Site'!K717&lt;&gt;0,'Boletins Nuppa Site'!K717,"NULL")</f>
        <v>30</v>
      </c>
      <c r="I717" t="str">
        <f t="shared" si="22"/>
        <v>INSERT INTO COTACAO (cot_id, cot_blt_id, cot_pap_id, cot_prc_comum, cot_prc_min, cot_prc_max, cot_prc_med, cot_prc_mediana) VALUES (716, 55, 4, 30, 24, 30, 28, 30);</v>
      </c>
      <c r="J717" t="str">
        <f t="shared" si="23"/>
        <v>UPDATE COTACAO SET cot_id = 716, cot_blt_id = 55, cot_pap_id = 4, cot_prc_comum = 30, cot_prc_min = 24, cot_prc_max = 30, cot_prc_med = 28, cot_prc_mediana = 30 WHERE cot_id = 716;</v>
      </c>
    </row>
    <row r="718" spans="1:10" x14ac:dyDescent="0.3">
      <c r="A718">
        <v>717</v>
      </c>
      <c r="B718">
        <f>IF('Boletins Nuppa Site'!A718&lt;&gt;0,'Boletins Nuppa Site'!A718,"NULL")</f>
        <v>55</v>
      </c>
      <c r="C718">
        <v>5</v>
      </c>
      <c r="D718" s="14">
        <f>IF('Boletins Nuppa Site'!G718&lt;&gt;0,'Boletins Nuppa Site'!G718,"NULL")</f>
        <v>30</v>
      </c>
      <c r="E718" s="14">
        <f>IF('Boletins Nuppa Site'!H718&lt;&gt;0,'Boletins Nuppa Site'!H718,"NULL")</f>
        <v>24</v>
      </c>
      <c r="F718" s="14">
        <f>IF('Boletins Nuppa Site'!I718&lt;&gt;0,'Boletins Nuppa Site'!I718,"NULL")</f>
        <v>30</v>
      </c>
      <c r="G718" s="14">
        <f>IF('Boletins Nuppa Site'!J718&lt;&gt;0,'Boletins Nuppa Site'!J718,"NULL")</f>
        <v>28</v>
      </c>
      <c r="H718" s="14">
        <f>IF('Boletins Nuppa Site'!K718&lt;&gt;0,'Boletins Nuppa Site'!K718,"NULL")</f>
        <v>30</v>
      </c>
      <c r="I718" t="str">
        <f t="shared" si="22"/>
        <v>INSERT INTO COTACAO (cot_id, cot_blt_id, cot_pap_id, cot_prc_comum, cot_prc_min, cot_prc_max, cot_prc_med, cot_prc_mediana) VALUES (717, 55, 5, 30, 24, 30, 28, 30);</v>
      </c>
      <c r="J718" t="str">
        <f t="shared" si="23"/>
        <v>UPDATE COTACAO SET cot_id = 717, cot_blt_id = 55, cot_pap_id = 5, cot_prc_comum = 30, cot_prc_min = 24, cot_prc_max = 30, cot_prc_med = 28, cot_prc_mediana = 30 WHERE cot_id = 717;</v>
      </c>
    </row>
    <row r="719" spans="1:10" x14ac:dyDescent="0.3">
      <c r="A719">
        <v>718</v>
      </c>
      <c r="B719">
        <f>IF('Boletins Nuppa Site'!A719&lt;&gt;0,'Boletins Nuppa Site'!A719,"NULL")</f>
        <v>55</v>
      </c>
      <c r="C719">
        <v>6</v>
      </c>
      <c r="D719" s="14">
        <f>IF('Boletins Nuppa Site'!G719&lt;&gt;0,'Boletins Nuppa Site'!G719,"NULL")</f>
        <v>60</v>
      </c>
      <c r="E719" s="14">
        <f>IF('Boletins Nuppa Site'!H719&lt;&gt;0,'Boletins Nuppa Site'!H719,"NULL")</f>
        <v>60</v>
      </c>
      <c r="F719" s="14">
        <f>IF('Boletins Nuppa Site'!I719&lt;&gt;0,'Boletins Nuppa Site'!I719,"NULL")</f>
        <v>60</v>
      </c>
      <c r="G719" s="14">
        <f>IF('Boletins Nuppa Site'!J719&lt;&gt;0,'Boletins Nuppa Site'!J719,"NULL")</f>
        <v>60</v>
      </c>
      <c r="H719" s="14">
        <f>IF('Boletins Nuppa Site'!K719&lt;&gt;0,'Boletins Nuppa Site'!K719,"NULL")</f>
        <v>60</v>
      </c>
      <c r="I719" t="str">
        <f t="shared" si="22"/>
        <v>INSERT INTO COTACAO (cot_id, cot_blt_id, cot_pap_id, cot_prc_comum, cot_prc_min, cot_prc_max, cot_prc_med, cot_prc_mediana) VALUES (718, 55, 6, 60, 60, 60, 60, 60);</v>
      </c>
      <c r="J719" t="str">
        <f t="shared" si="23"/>
        <v>UPDATE COTACAO SET cot_id = 718, cot_blt_id = 55, cot_pap_id = 6, cot_prc_comum = 60, cot_prc_min = 60, cot_prc_max = 60, cot_prc_med = 60, cot_prc_mediana = 60 WHERE cot_id = 718;</v>
      </c>
    </row>
    <row r="720" spans="1:10" x14ac:dyDescent="0.3">
      <c r="A720">
        <v>719</v>
      </c>
      <c r="B720">
        <f>IF('Boletins Nuppa Site'!A720&lt;&gt;0,'Boletins Nuppa Site'!A720,"NULL")</f>
        <v>55</v>
      </c>
      <c r="C720">
        <v>7</v>
      </c>
      <c r="D720" s="14">
        <f>IF('Boletins Nuppa Site'!G720&lt;&gt;0,'Boletins Nuppa Site'!G720,"NULL")</f>
        <v>96</v>
      </c>
      <c r="E720" s="14">
        <f>IF('Boletins Nuppa Site'!H720&lt;&gt;0,'Boletins Nuppa Site'!H720,"NULL")</f>
        <v>96</v>
      </c>
      <c r="F720" s="14">
        <f>IF('Boletins Nuppa Site'!I720&lt;&gt;0,'Boletins Nuppa Site'!I720,"NULL")</f>
        <v>120</v>
      </c>
      <c r="G720" s="14">
        <f>IF('Boletins Nuppa Site'!J720&lt;&gt;0,'Boletins Nuppa Site'!J720,"NULL")</f>
        <v>104</v>
      </c>
      <c r="H720" s="14">
        <f>IF('Boletins Nuppa Site'!K720&lt;&gt;0,'Boletins Nuppa Site'!K720,"NULL")</f>
        <v>96</v>
      </c>
      <c r="I720" t="str">
        <f t="shared" si="22"/>
        <v>INSERT INTO COTACAO (cot_id, cot_blt_id, cot_pap_id, cot_prc_comum, cot_prc_min, cot_prc_max, cot_prc_med, cot_prc_mediana) VALUES (719, 55, 7, 96, 96, 120, 104, 96);</v>
      </c>
      <c r="J720" t="str">
        <f t="shared" si="23"/>
        <v>UPDATE COTACAO SET cot_id = 719, cot_blt_id = 55, cot_pap_id = 7, cot_prc_comum = 96, cot_prc_min = 96, cot_prc_max = 120, cot_prc_med = 104, cot_prc_mediana = 96 WHERE cot_id = 719;</v>
      </c>
    </row>
    <row r="721" spans="1:10" x14ac:dyDescent="0.3">
      <c r="A721">
        <v>720</v>
      </c>
      <c r="B721">
        <f>IF('Boletins Nuppa Site'!A721&lt;&gt;0,'Boletins Nuppa Site'!A721,"NULL")</f>
        <v>55</v>
      </c>
      <c r="C721">
        <v>8</v>
      </c>
      <c r="D721" t="str">
        <f>IF('Boletins Nuppa Site'!G721&lt;&gt;0,'Boletins Nuppa Site'!G721,"NULL")</f>
        <v>NULL</v>
      </c>
      <c r="E721" s="14">
        <f>IF('Boletins Nuppa Site'!H721&lt;&gt;0,'Boletins Nuppa Site'!H721,"NULL")</f>
        <v>84</v>
      </c>
      <c r="F721" s="14">
        <f>IF('Boletins Nuppa Site'!I721&lt;&gt;0,'Boletins Nuppa Site'!I721,"NULL")</f>
        <v>120</v>
      </c>
      <c r="G721" s="14">
        <f>IF('Boletins Nuppa Site'!J721&lt;&gt;0,'Boletins Nuppa Site'!J721,"NULL")</f>
        <v>100</v>
      </c>
      <c r="H721" s="14">
        <f>IF('Boletins Nuppa Site'!K721&lt;&gt;0,'Boletins Nuppa Site'!K721,"NULL")</f>
        <v>96</v>
      </c>
      <c r="I721" t="str">
        <f t="shared" si="22"/>
        <v>INSERT INTO COTACAO (cot_id, cot_blt_id, cot_pap_id, cot_prc_comum, cot_prc_min, cot_prc_max, cot_prc_med, cot_prc_mediana) VALUES (720, 55, 8, NULL, 84, 120, 100, 96);</v>
      </c>
      <c r="J721" t="str">
        <f t="shared" si="23"/>
        <v>UPDATE COTACAO SET cot_id = 720, cot_blt_id = 55, cot_pap_id = 8, cot_prc_comum = NULL, cot_prc_min = 84, cot_prc_max = 120, cot_prc_med = 100, cot_prc_mediana = 96 WHERE cot_id = 720;</v>
      </c>
    </row>
    <row r="722" spans="1:10" x14ac:dyDescent="0.3">
      <c r="A722">
        <v>721</v>
      </c>
      <c r="B722">
        <f>IF('Boletins Nuppa Site'!A722&lt;&gt;0,'Boletins Nuppa Site'!A722,"NULL")</f>
        <v>55</v>
      </c>
      <c r="C722">
        <v>9</v>
      </c>
      <c r="D722" s="14">
        <f>IF('Boletins Nuppa Site'!G722&lt;&gt;0,'Boletins Nuppa Site'!G722,"NULL")</f>
        <v>24</v>
      </c>
      <c r="E722" s="14">
        <f>IF('Boletins Nuppa Site'!H722&lt;&gt;0,'Boletins Nuppa Site'!H722,"NULL")</f>
        <v>24</v>
      </c>
      <c r="F722" s="14">
        <f>IF('Boletins Nuppa Site'!I722&lt;&gt;0,'Boletins Nuppa Site'!I722,"NULL")</f>
        <v>30</v>
      </c>
      <c r="G722" s="14">
        <f>IF('Boletins Nuppa Site'!J722&lt;&gt;0,'Boletins Nuppa Site'!J722,"NULL")</f>
        <v>26</v>
      </c>
      <c r="H722" s="14">
        <f>IF('Boletins Nuppa Site'!K722&lt;&gt;0,'Boletins Nuppa Site'!K722,"NULL")</f>
        <v>24</v>
      </c>
      <c r="I722" t="str">
        <f t="shared" si="22"/>
        <v>INSERT INTO COTACAO (cot_id, cot_blt_id, cot_pap_id, cot_prc_comum, cot_prc_min, cot_prc_max, cot_prc_med, cot_prc_mediana) VALUES (721, 55, 9, 24, 24, 30, 26, 24);</v>
      </c>
      <c r="J722" t="str">
        <f t="shared" si="23"/>
        <v>UPDATE COTACAO SET cot_id = 721, cot_blt_id = 55, cot_pap_id = 9, cot_prc_comum = 24, cot_prc_min = 24, cot_prc_max = 30, cot_prc_med = 26, cot_prc_mediana = 24 WHERE cot_id = 721;</v>
      </c>
    </row>
    <row r="723" spans="1:10" x14ac:dyDescent="0.3">
      <c r="A723">
        <v>722</v>
      </c>
      <c r="B723">
        <f>IF('Boletins Nuppa Site'!A723&lt;&gt;0,'Boletins Nuppa Site'!A723,"NULL")</f>
        <v>55</v>
      </c>
      <c r="C723">
        <v>10</v>
      </c>
      <c r="D723" t="str">
        <f>IF('Boletins Nuppa Site'!G723&lt;&gt;0,'Boletins Nuppa Site'!G723,"NULL")</f>
        <v>NULL</v>
      </c>
      <c r="E723" s="14">
        <f>IF('Boletins Nuppa Site'!H723&lt;&gt;0,'Boletins Nuppa Site'!H723,"NULL")</f>
        <v>96</v>
      </c>
      <c r="F723" s="14">
        <f>IF('Boletins Nuppa Site'!I723&lt;&gt;0,'Boletins Nuppa Site'!I723,"NULL")</f>
        <v>120</v>
      </c>
      <c r="G723" s="14">
        <f>IF('Boletins Nuppa Site'!J723&lt;&gt;0,'Boletins Nuppa Site'!J723,"NULL")</f>
        <v>106</v>
      </c>
      <c r="H723" s="14">
        <f>IF('Boletins Nuppa Site'!K723&lt;&gt;0,'Boletins Nuppa Site'!K723,"NULL")</f>
        <v>102</v>
      </c>
      <c r="I723" t="str">
        <f t="shared" si="22"/>
        <v>INSERT INTO COTACAO (cot_id, cot_blt_id, cot_pap_id, cot_prc_comum, cot_prc_min, cot_prc_max, cot_prc_med, cot_prc_mediana) VALUES (722, 55, 10, NULL, 96, 120, 106, 102);</v>
      </c>
      <c r="J723" t="str">
        <f t="shared" si="23"/>
        <v>UPDATE COTACAO SET cot_id = 722, cot_blt_id = 55, cot_pap_id = 10, cot_prc_comum = NULL, cot_prc_min = 96, cot_prc_max = 120, cot_prc_med = 106, cot_prc_mediana = 102 WHERE cot_id = 722;</v>
      </c>
    </row>
    <row r="724" spans="1:10" x14ac:dyDescent="0.3">
      <c r="A724">
        <v>723</v>
      </c>
      <c r="B724">
        <f>IF('Boletins Nuppa Site'!A724&lt;&gt;0,'Boletins Nuppa Site'!A724,"NULL")</f>
        <v>55</v>
      </c>
      <c r="C724">
        <v>11</v>
      </c>
      <c r="D724" s="14">
        <f>IF('Boletins Nuppa Site'!G724&lt;&gt;0,'Boletins Nuppa Site'!G724,"NULL")</f>
        <v>30</v>
      </c>
      <c r="E724" s="14">
        <f>IF('Boletins Nuppa Site'!H724&lt;&gt;0,'Boletins Nuppa Site'!H724,"NULL")</f>
        <v>24</v>
      </c>
      <c r="F724" s="14">
        <f>IF('Boletins Nuppa Site'!I724&lt;&gt;0,'Boletins Nuppa Site'!I724,"NULL")</f>
        <v>30</v>
      </c>
      <c r="G724" s="14">
        <f>IF('Boletins Nuppa Site'!J724&lt;&gt;0,'Boletins Nuppa Site'!J724,"NULL")</f>
        <v>28</v>
      </c>
      <c r="H724" s="14">
        <f>IF('Boletins Nuppa Site'!K724&lt;&gt;0,'Boletins Nuppa Site'!K724,"NULL")</f>
        <v>30</v>
      </c>
      <c r="I724" t="str">
        <f t="shared" si="22"/>
        <v>INSERT INTO COTACAO (cot_id, cot_blt_id, cot_pap_id, cot_prc_comum, cot_prc_min, cot_prc_max, cot_prc_med, cot_prc_mediana) VALUES (723, 55, 11, 30, 24, 30, 28, 30);</v>
      </c>
      <c r="J724" t="str">
        <f t="shared" si="23"/>
        <v>UPDATE COTACAO SET cot_id = 723, cot_blt_id = 55, cot_pap_id = 11, cot_prc_comum = 30, cot_prc_min = 24, cot_prc_max = 30, cot_prc_med = 28, cot_prc_mediana = 30 WHERE cot_id = 723;</v>
      </c>
    </row>
    <row r="725" spans="1:10" x14ac:dyDescent="0.3">
      <c r="A725">
        <v>724</v>
      </c>
      <c r="B725">
        <f>IF('Boletins Nuppa Site'!A725&lt;&gt;0,'Boletins Nuppa Site'!A725,"NULL")</f>
        <v>55</v>
      </c>
      <c r="C725">
        <v>12</v>
      </c>
      <c r="D725" s="14">
        <f>IF('Boletins Nuppa Site'!G725&lt;&gt;0,'Boletins Nuppa Site'!G725,"NULL")</f>
        <v>60</v>
      </c>
      <c r="E725" s="14">
        <f>IF('Boletins Nuppa Site'!H725&lt;&gt;0,'Boletins Nuppa Site'!H725,"NULL")</f>
        <v>60</v>
      </c>
      <c r="F725" s="14">
        <f>IF('Boletins Nuppa Site'!I725&lt;&gt;0,'Boletins Nuppa Site'!I725,"NULL")</f>
        <v>84</v>
      </c>
      <c r="G725" s="14">
        <f>IF('Boletins Nuppa Site'!J725&lt;&gt;0,'Boletins Nuppa Site'!J725,"NULL")</f>
        <v>68</v>
      </c>
      <c r="H725" s="14">
        <f>IF('Boletins Nuppa Site'!K725&lt;&gt;0,'Boletins Nuppa Site'!K725,"NULL")</f>
        <v>60</v>
      </c>
      <c r="I725" t="str">
        <f t="shared" si="22"/>
        <v>INSERT INTO COTACAO (cot_id, cot_blt_id, cot_pap_id, cot_prc_comum, cot_prc_min, cot_prc_max, cot_prc_med, cot_prc_mediana) VALUES (724, 55, 12, 60, 60, 84, 68, 60);</v>
      </c>
      <c r="J725" t="str">
        <f t="shared" si="23"/>
        <v>UPDATE COTACAO SET cot_id = 724, cot_blt_id = 55, cot_pap_id = 12, cot_prc_comum = 60, cot_prc_min = 60, cot_prc_max = 84, cot_prc_med = 68, cot_prc_mediana = 60 WHERE cot_id = 724;</v>
      </c>
    </row>
    <row r="726" spans="1:10" x14ac:dyDescent="0.3">
      <c r="A726">
        <v>725</v>
      </c>
      <c r="B726">
        <f>IF('Boletins Nuppa Site'!A726&lt;&gt;0,'Boletins Nuppa Site'!A726,"NULL")</f>
        <v>55</v>
      </c>
      <c r="C726">
        <v>13</v>
      </c>
      <c r="D726" s="14">
        <f>IF('Boletins Nuppa Site'!G726&lt;&gt;0,'Boletins Nuppa Site'!G726,"NULL")</f>
        <v>60</v>
      </c>
      <c r="E726" s="14">
        <f>IF('Boletins Nuppa Site'!H726&lt;&gt;0,'Boletins Nuppa Site'!H726,"NULL")</f>
        <v>60</v>
      </c>
      <c r="F726" s="14">
        <f>IF('Boletins Nuppa Site'!I726&lt;&gt;0,'Boletins Nuppa Site'!I726,"NULL")</f>
        <v>78</v>
      </c>
      <c r="G726" s="14">
        <f>IF('Boletins Nuppa Site'!J726&lt;&gt;0,'Boletins Nuppa Site'!J726,"NULL")</f>
        <v>66</v>
      </c>
      <c r="H726" s="14">
        <f>IF('Boletins Nuppa Site'!K726&lt;&gt;0,'Boletins Nuppa Site'!K726,"NULL")</f>
        <v>60</v>
      </c>
      <c r="I726" t="str">
        <f t="shared" si="22"/>
        <v>INSERT INTO COTACAO (cot_id, cot_blt_id, cot_pap_id, cot_prc_comum, cot_prc_min, cot_prc_max, cot_prc_med, cot_prc_mediana) VALUES (725, 55, 13, 60, 60, 78, 66, 60);</v>
      </c>
      <c r="J726" t="str">
        <f t="shared" si="23"/>
        <v>UPDATE COTACAO SET cot_id = 725, cot_blt_id = 55, cot_pap_id = 13, cot_prc_comum = 60, cot_prc_min = 60, cot_prc_max = 78, cot_prc_med = 66, cot_prc_mediana = 60 WHERE cot_id = 725;</v>
      </c>
    </row>
    <row r="727" spans="1:10" x14ac:dyDescent="0.3">
      <c r="A727">
        <v>726</v>
      </c>
      <c r="B727">
        <f>IF('Boletins Nuppa Site'!A727&lt;&gt;0,'Boletins Nuppa Site'!A727,"NULL")</f>
        <v>55</v>
      </c>
      <c r="C727">
        <v>14</v>
      </c>
      <c r="D727" t="str">
        <f>IF('Boletins Nuppa Site'!G727&lt;&gt;0,'Boletins Nuppa Site'!G727,"NULL")</f>
        <v>NULL</v>
      </c>
      <c r="E727" s="14">
        <f>IF('Boletins Nuppa Site'!H727&lt;&gt;0,'Boletins Nuppa Site'!H727,"NULL")</f>
        <v>72</v>
      </c>
      <c r="F727" s="14">
        <f>IF('Boletins Nuppa Site'!I727&lt;&gt;0,'Boletins Nuppa Site'!I727,"NULL")</f>
        <v>100</v>
      </c>
      <c r="G727" t="str">
        <f>IF('Boletins Nuppa Site'!J727&lt;&gt;0,'Boletins Nuppa Site'!J727,"NULL")</f>
        <v>85.33</v>
      </c>
      <c r="H727" s="14">
        <f>IF('Boletins Nuppa Site'!K727&lt;&gt;0,'Boletins Nuppa Site'!K727,"NULL")</f>
        <v>84</v>
      </c>
      <c r="I727" t="str">
        <f t="shared" si="22"/>
        <v>INSERT INTO COTACAO (cot_id, cot_blt_id, cot_pap_id, cot_prc_comum, cot_prc_min, cot_prc_max, cot_prc_med, cot_prc_mediana) VALUES (726, 55, 14, NULL, 72, 100, 85.33, 84);</v>
      </c>
      <c r="J727" t="str">
        <f t="shared" si="23"/>
        <v>UPDATE COTACAO SET cot_id = 726, cot_blt_id = 55, cot_pap_id = 14, cot_prc_comum = NULL, cot_prc_min = 72, cot_prc_max = 100, cot_prc_med = 85.33, cot_prc_mediana = 84 WHERE cot_id = 726;</v>
      </c>
    </row>
    <row r="728" spans="1:10" x14ac:dyDescent="0.3">
      <c r="A728">
        <v>727</v>
      </c>
      <c r="B728">
        <f>IF('Boletins Nuppa Site'!A728&lt;&gt;0,'Boletins Nuppa Site'!A728,"NULL")</f>
        <v>55</v>
      </c>
      <c r="C728">
        <v>15</v>
      </c>
      <c r="D728" t="str">
        <f>IF('Boletins Nuppa Site'!G728&lt;&gt;0,'Boletins Nuppa Site'!G728,"NULL")</f>
        <v>NULL</v>
      </c>
      <c r="E728" s="14">
        <f>IF('Boletins Nuppa Site'!H728&lt;&gt;0,'Boletins Nuppa Site'!H728,"NULL")</f>
        <v>48</v>
      </c>
      <c r="F728" s="14">
        <f>IF('Boletins Nuppa Site'!I728&lt;&gt;0,'Boletins Nuppa Site'!I728,"NULL")</f>
        <v>80</v>
      </c>
      <c r="G728" s="14">
        <f>IF('Boletins Nuppa Site'!J728&lt;&gt;0,'Boletins Nuppa Site'!J728,"NULL")</f>
        <v>61</v>
      </c>
      <c r="H728" s="14">
        <f>IF('Boletins Nuppa Site'!K728&lt;&gt;0,'Boletins Nuppa Site'!K728,"NULL")</f>
        <v>55</v>
      </c>
      <c r="I728" t="str">
        <f t="shared" si="22"/>
        <v>INSERT INTO COTACAO (cot_id, cot_blt_id, cot_pap_id, cot_prc_comum, cot_prc_min, cot_prc_max, cot_prc_med, cot_prc_mediana) VALUES (727, 55, 15, NULL, 48, 80, 61, 55);</v>
      </c>
      <c r="J728" t="str">
        <f t="shared" si="23"/>
        <v>UPDATE COTACAO SET cot_id = 727, cot_blt_id = 55, cot_pap_id = 15, cot_prc_comum = NULL, cot_prc_min = 48, cot_prc_max = 80, cot_prc_med = 61, cot_prc_mediana = 55 WHERE cot_id = 727;</v>
      </c>
    </row>
    <row r="729" spans="1:10" x14ac:dyDescent="0.3">
      <c r="A729">
        <v>728</v>
      </c>
      <c r="B729">
        <f>IF('Boletins Nuppa Site'!A729&lt;&gt;0,'Boletins Nuppa Site'!A729,"NULL")</f>
        <v>55</v>
      </c>
      <c r="C729">
        <v>16</v>
      </c>
      <c r="D729" s="14">
        <f>IF('Boletins Nuppa Site'!G729&lt;&gt;0,'Boletins Nuppa Site'!G729,"NULL")</f>
        <v>54</v>
      </c>
      <c r="E729" s="14">
        <f>IF('Boletins Nuppa Site'!H729&lt;&gt;0,'Boletins Nuppa Site'!H729,"NULL")</f>
        <v>48</v>
      </c>
      <c r="F729" s="14">
        <f>IF('Boletins Nuppa Site'!I729&lt;&gt;0,'Boletins Nuppa Site'!I729,"NULL")</f>
        <v>54</v>
      </c>
      <c r="G729" s="14">
        <f>IF('Boletins Nuppa Site'!J729&lt;&gt;0,'Boletins Nuppa Site'!J729,"NULL")</f>
        <v>52</v>
      </c>
      <c r="H729" s="14">
        <f>IF('Boletins Nuppa Site'!K729&lt;&gt;0,'Boletins Nuppa Site'!K729,"NULL")</f>
        <v>54</v>
      </c>
      <c r="I729" t="str">
        <f t="shared" si="22"/>
        <v>INSERT INTO COTACAO (cot_id, cot_blt_id, cot_pap_id, cot_prc_comum, cot_prc_min, cot_prc_max, cot_prc_med, cot_prc_mediana) VALUES (728, 55, 16, 54, 48, 54, 52, 54);</v>
      </c>
      <c r="J729" t="str">
        <f t="shared" si="23"/>
        <v>UPDATE COTACAO SET cot_id = 728, cot_blt_id = 55, cot_pap_id = 16, cot_prc_comum = 54, cot_prc_min = 48, cot_prc_max = 54, cot_prc_med = 52, cot_prc_mediana = 54 WHERE cot_id = 728;</v>
      </c>
    </row>
    <row r="730" spans="1:10" x14ac:dyDescent="0.3">
      <c r="A730">
        <v>729</v>
      </c>
      <c r="B730">
        <f>IF('Boletins Nuppa Site'!A730&lt;&gt;0,'Boletins Nuppa Site'!A730,"NULL")</f>
        <v>55</v>
      </c>
      <c r="C730">
        <v>17</v>
      </c>
      <c r="D730" s="14">
        <f>IF('Boletins Nuppa Site'!G730&lt;&gt;0,'Boletins Nuppa Site'!G730,"NULL")</f>
        <v>5</v>
      </c>
      <c r="E730" s="14">
        <f>IF('Boletins Nuppa Site'!H730&lt;&gt;0,'Boletins Nuppa Site'!H730,"NULL")</f>
        <v>5</v>
      </c>
      <c r="F730" s="14">
        <f>IF('Boletins Nuppa Site'!I730&lt;&gt;0,'Boletins Nuppa Site'!I730,"NULL")</f>
        <v>6</v>
      </c>
      <c r="G730" t="str">
        <f>IF('Boletins Nuppa Site'!J730&lt;&gt;0,'Boletins Nuppa Site'!J730,"NULL")</f>
        <v>5.33</v>
      </c>
      <c r="H730" s="14">
        <f>IF('Boletins Nuppa Site'!K730&lt;&gt;0,'Boletins Nuppa Site'!K730,"NULL")</f>
        <v>5</v>
      </c>
      <c r="I730" t="str">
        <f t="shared" si="22"/>
        <v>INSERT INTO COTACAO (cot_id, cot_blt_id, cot_pap_id, cot_prc_comum, cot_prc_min, cot_prc_max, cot_prc_med, cot_prc_mediana) VALUES (729, 55, 17, 5, 5, 6, 5.33, 5);</v>
      </c>
      <c r="J730" t="str">
        <f t="shared" si="23"/>
        <v>UPDATE COTACAO SET cot_id = 729, cot_blt_id = 55, cot_pap_id = 17, cot_prc_comum = 5, cot_prc_min = 5, cot_prc_max = 6, cot_prc_med = 5.33, cot_prc_mediana = 5 WHERE cot_id = 729;</v>
      </c>
    </row>
    <row r="731" spans="1:10" x14ac:dyDescent="0.3">
      <c r="A731">
        <v>730</v>
      </c>
      <c r="B731">
        <f>IF('Boletins Nuppa Site'!A731&lt;&gt;0,'Boletins Nuppa Site'!A731,"NULL")</f>
        <v>55</v>
      </c>
      <c r="C731">
        <v>18</v>
      </c>
      <c r="D731" s="14">
        <f>IF('Boletins Nuppa Site'!G731&lt;&gt;0,'Boletins Nuppa Site'!G731,"NULL")</f>
        <v>20</v>
      </c>
      <c r="E731" s="14">
        <f>IF('Boletins Nuppa Site'!H731&lt;&gt;0,'Boletins Nuppa Site'!H731,"NULL")</f>
        <v>20</v>
      </c>
      <c r="F731" s="14">
        <f>IF('Boletins Nuppa Site'!I731&lt;&gt;0,'Boletins Nuppa Site'!I731,"NULL")</f>
        <v>20</v>
      </c>
      <c r="G731" s="14">
        <f>IF('Boletins Nuppa Site'!J731&lt;&gt;0,'Boletins Nuppa Site'!J731,"NULL")</f>
        <v>20</v>
      </c>
      <c r="H731" s="14">
        <f>IF('Boletins Nuppa Site'!K731&lt;&gt;0,'Boletins Nuppa Site'!K731,"NULL")</f>
        <v>20</v>
      </c>
      <c r="I731" t="str">
        <f t="shared" si="22"/>
        <v>INSERT INTO COTACAO (cot_id, cot_blt_id, cot_pap_id, cot_prc_comum, cot_prc_min, cot_prc_max, cot_prc_med, cot_prc_mediana) VALUES (730, 55, 18, 20, 20, 20, 20, 20);</v>
      </c>
      <c r="J731" t="str">
        <f t="shared" si="23"/>
        <v>UPDATE COTACAO SET cot_id = 730, cot_blt_id = 55, cot_pap_id = 18, cot_prc_comum = 20, cot_prc_min = 20, cot_prc_max = 20, cot_prc_med = 20, cot_prc_mediana = 20 WHERE cot_id = 730;</v>
      </c>
    </row>
    <row r="732" spans="1:10" x14ac:dyDescent="0.3">
      <c r="A732">
        <v>731</v>
      </c>
      <c r="B732">
        <f>IF('Boletins Nuppa Site'!A732&lt;&gt;0,'Boletins Nuppa Site'!A732,"NULL")</f>
        <v>55</v>
      </c>
      <c r="C732">
        <v>19</v>
      </c>
      <c r="D732" t="str">
        <f>IF('Boletins Nuppa Site'!G732&lt;&gt;0,'Boletins Nuppa Site'!G732,"NULL")</f>
        <v>NULL</v>
      </c>
      <c r="E732" s="14">
        <f>IF('Boletins Nuppa Site'!H732&lt;&gt;0,'Boletins Nuppa Site'!H732,"NULL")</f>
        <v>25</v>
      </c>
      <c r="F732" s="14">
        <f>IF('Boletins Nuppa Site'!I732&lt;&gt;0,'Boletins Nuppa Site'!I732,"NULL")</f>
        <v>35</v>
      </c>
      <c r="G732" s="14">
        <f>IF('Boletins Nuppa Site'!J732&lt;&gt;0,'Boletins Nuppa Site'!J732,"NULL")</f>
        <v>30</v>
      </c>
      <c r="H732" s="14">
        <f>IF('Boletins Nuppa Site'!K732&lt;&gt;0,'Boletins Nuppa Site'!K732,"NULL")</f>
        <v>30</v>
      </c>
      <c r="I732" t="str">
        <f t="shared" si="22"/>
        <v>INSERT INTO COTACAO (cot_id, cot_blt_id, cot_pap_id, cot_prc_comum, cot_prc_min, cot_prc_max, cot_prc_med, cot_prc_mediana) VALUES (731, 55, 19, NULL, 25, 35, 30, 30);</v>
      </c>
      <c r="J732" t="str">
        <f t="shared" si="23"/>
        <v>UPDATE COTACAO SET cot_id = 731, cot_blt_id = 55, cot_pap_id = 19, cot_prc_comum = NULL, cot_prc_min = 25, cot_prc_max = 35, cot_prc_med = 30, cot_prc_mediana = 30 WHERE cot_id = 731;</v>
      </c>
    </row>
    <row r="733" spans="1:10" x14ac:dyDescent="0.3">
      <c r="A733">
        <v>732</v>
      </c>
      <c r="B733">
        <f>IF('Boletins Nuppa Site'!A733&lt;&gt;0,'Boletins Nuppa Site'!A733,"NULL")</f>
        <v>55</v>
      </c>
      <c r="C733">
        <v>20</v>
      </c>
      <c r="D733" t="str">
        <f>IF('Boletins Nuppa Site'!G733&lt;&gt;0,'Boletins Nuppa Site'!G733,"NULL")</f>
        <v>NULL</v>
      </c>
      <c r="E733" s="14">
        <f>IF('Boletins Nuppa Site'!H733&lt;&gt;0,'Boletins Nuppa Site'!H733,"NULL")</f>
        <v>85</v>
      </c>
      <c r="F733" s="14">
        <f>IF('Boletins Nuppa Site'!I733&lt;&gt;0,'Boletins Nuppa Site'!I733,"NULL")</f>
        <v>95</v>
      </c>
      <c r="G733" s="14">
        <f>IF('Boletins Nuppa Site'!J733&lt;&gt;0,'Boletins Nuppa Site'!J733,"NULL")</f>
        <v>90</v>
      </c>
      <c r="H733" s="14">
        <f>IF('Boletins Nuppa Site'!K733&lt;&gt;0,'Boletins Nuppa Site'!K733,"NULL")</f>
        <v>90</v>
      </c>
      <c r="I733" t="str">
        <f t="shared" si="22"/>
        <v>INSERT INTO COTACAO (cot_id, cot_blt_id, cot_pap_id, cot_prc_comum, cot_prc_min, cot_prc_max, cot_prc_med, cot_prc_mediana) VALUES (732, 55, 20, NULL, 85, 95, 90, 90);</v>
      </c>
      <c r="J733" t="str">
        <f t="shared" si="23"/>
        <v>UPDATE COTACAO SET cot_id = 732, cot_blt_id = 55, cot_pap_id = 20, cot_prc_comum = NULL, cot_prc_min = 85, cot_prc_max = 95, cot_prc_med = 90, cot_prc_mediana = 90 WHERE cot_id = 732;</v>
      </c>
    </row>
    <row r="734" spans="1:10" x14ac:dyDescent="0.3">
      <c r="A734">
        <v>733</v>
      </c>
      <c r="B734">
        <f>IF('Boletins Nuppa Site'!A734&lt;&gt;0,'Boletins Nuppa Site'!A734,"NULL")</f>
        <v>55</v>
      </c>
      <c r="C734">
        <v>21</v>
      </c>
      <c r="D734" s="14">
        <f>IF('Boletins Nuppa Site'!G734&lt;&gt;0,'Boletins Nuppa Site'!G734,"NULL")</f>
        <v>120</v>
      </c>
      <c r="E734" s="14">
        <f>IF('Boletins Nuppa Site'!H734&lt;&gt;0,'Boletins Nuppa Site'!H734,"NULL")</f>
        <v>100</v>
      </c>
      <c r="F734" s="14">
        <f>IF('Boletins Nuppa Site'!I734&lt;&gt;0,'Boletins Nuppa Site'!I734,"NULL")</f>
        <v>120</v>
      </c>
      <c r="G734" s="14">
        <f>IF('Boletins Nuppa Site'!J734&lt;&gt;0,'Boletins Nuppa Site'!J734,"NULL")</f>
        <v>116</v>
      </c>
      <c r="H734" s="14">
        <f>IF('Boletins Nuppa Site'!K734&lt;&gt;0,'Boletins Nuppa Site'!K734,"NULL")</f>
        <v>120</v>
      </c>
      <c r="I734" t="str">
        <f t="shared" si="22"/>
        <v>INSERT INTO COTACAO (cot_id, cot_blt_id, cot_pap_id, cot_prc_comum, cot_prc_min, cot_prc_max, cot_prc_med, cot_prc_mediana) VALUES (733, 55, 21, 120, 100, 120, 116, 120);</v>
      </c>
      <c r="J734" t="str">
        <f t="shared" si="23"/>
        <v>UPDATE COTACAO SET cot_id = 733, cot_blt_id = 55, cot_pap_id = 21, cot_prc_comum = 120, cot_prc_min = 100, cot_prc_max = 120, cot_prc_med = 116, cot_prc_mediana = 120 WHERE cot_id = 733;</v>
      </c>
    </row>
    <row r="735" spans="1:10" x14ac:dyDescent="0.3">
      <c r="A735">
        <v>734</v>
      </c>
      <c r="B735">
        <f>IF('Boletins Nuppa Site'!A735&lt;&gt;0,'Boletins Nuppa Site'!A735,"NULL")</f>
        <v>55</v>
      </c>
      <c r="C735">
        <v>22</v>
      </c>
      <c r="D735" s="14">
        <f>IF('Boletins Nuppa Site'!G735&lt;&gt;0,'Boletins Nuppa Site'!G735,"NULL")</f>
        <v>60</v>
      </c>
      <c r="E735" s="14">
        <f>IF('Boletins Nuppa Site'!H735&lt;&gt;0,'Boletins Nuppa Site'!H735,"NULL")</f>
        <v>40</v>
      </c>
      <c r="F735" s="14">
        <f>IF('Boletins Nuppa Site'!I735&lt;&gt;0,'Boletins Nuppa Site'!I735,"NULL")</f>
        <v>70</v>
      </c>
      <c r="G735" t="str">
        <f>IF('Boletins Nuppa Site'!J735&lt;&gt;0,'Boletins Nuppa Site'!J735,"NULL")</f>
        <v>57.5</v>
      </c>
      <c r="H735" s="14">
        <f>IF('Boletins Nuppa Site'!K735&lt;&gt;0,'Boletins Nuppa Site'!K735,"NULL")</f>
        <v>60</v>
      </c>
      <c r="I735" t="str">
        <f t="shared" si="22"/>
        <v>INSERT INTO COTACAO (cot_id, cot_blt_id, cot_pap_id, cot_prc_comum, cot_prc_min, cot_prc_max, cot_prc_med, cot_prc_mediana) VALUES (734, 55, 22, 60, 40, 70, 57.5, 60);</v>
      </c>
      <c r="J735" t="str">
        <f t="shared" si="23"/>
        <v>UPDATE COTACAO SET cot_id = 734, cot_blt_id = 55, cot_pap_id = 22, cot_prc_comum = 60, cot_prc_min = 40, cot_prc_max = 70, cot_prc_med = 57.5, cot_prc_mediana = 60 WHERE cot_id = 734;</v>
      </c>
    </row>
    <row r="736" spans="1:10" x14ac:dyDescent="0.3">
      <c r="A736">
        <v>735</v>
      </c>
      <c r="B736">
        <f>IF('Boletins Nuppa Site'!A736&lt;&gt;0,'Boletins Nuppa Site'!A736,"NULL")</f>
        <v>55</v>
      </c>
      <c r="C736">
        <v>23</v>
      </c>
      <c r="D736" s="14">
        <f>IF('Boletins Nuppa Site'!G736&lt;&gt;0,'Boletins Nuppa Site'!G736,"NULL")</f>
        <v>40</v>
      </c>
      <c r="E736" s="14">
        <f>IF('Boletins Nuppa Site'!H736&lt;&gt;0,'Boletins Nuppa Site'!H736,"NULL")</f>
        <v>35</v>
      </c>
      <c r="F736" s="14">
        <f>IF('Boletins Nuppa Site'!I736&lt;&gt;0,'Boletins Nuppa Site'!I736,"NULL")</f>
        <v>55</v>
      </c>
      <c r="G736" t="str">
        <f>IF('Boletins Nuppa Site'!J736&lt;&gt;0,'Boletins Nuppa Site'!J736,"NULL")</f>
        <v>42.5</v>
      </c>
      <c r="H736" s="14">
        <f>IF('Boletins Nuppa Site'!K736&lt;&gt;0,'Boletins Nuppa Site'!K736,"NULL")</f>
        <v>40</v>
      </c>
      <c r="I736" t="str">
        <f t="shared" si="22"/>
        <v>INSERT INTO COTACAO (cot_id, cot_blt_id, cot_pap_id, cot_prc_comum, cot_prc_min, cot_prc_max, cot_prc_med, cot_prc_mediana) VALUES (735, 55, 23, 40, 35, 55, 42.5, 40);</v>
      </c>
      <c r="J736" t="str">
        <f t="shared" si="23"/>
        <v>UPDATE COTACAO SET cot_id = 735, cot_blt_id = 55, cot_pap_id = 23, cot_prc_comum = 40, cot_prc_min = 35, cot_prc_max = 55, cot_prc_med = 42.5, cot_prc_mediana = 40 WHERE cot_id = 735;</v>
      </c>
    </row>
    <row r="737" spans="1:10" x14ac:dyDescent="0.3">
      <c r="A737">
        <v>736</v>
      </c>
      <c r="B737">
        <f>IF('Boletins Nuppa Site'!A737&lt;&gt;0,'Boletins Nuppa Site'!A737,"NULL")</f>
        <v>55</v>
      </c>
      <c r="C737">
        <v>24</v>
      </c>
      <c r="D737" t="str">
        <f>IF('Boletins Nuppa Site'!G737&lt;&gt;0,'Boletins Nuppa Site'!G737,"NULL")</f>
        <v>NULL</v>
      </c>
      <c r="E737" s="14">
        <f>IF('Boletins Nuppa Site'!H737&lt;&gt;0,'Boletins Nuppa Site'!H737,"NULL")</f>
        <v>90</v>
      </c>
      <c r="F737" s="14">
        <f>IF('Boletins Nuppa Site'!I737&lt;&gt;0,'Boletins Nuppa Site'!I737,"NULL")</f>
        <v>110</v>
      </c>
      <c r="G737" s="14">
        <f>IF('Boletins Nuppa Site'!J737&lt;&gt;0,'Boletins Nuppa Site'!J737,"NULL")</f>
        <v>100</v>
      </c>
      <c r="H737" s="14">
        <f>IF('Boletins Nuppa Site'!K737&lt;&gt;0,'Boletins Nuppa Site'!K737,"NULL")</f>
        <v>100</v>
      </c>
      <c r="I737" t="str">
        <f t="shared" si="22"/>
        <v>INSERT INTO COTACAO (cot_id, cot_blt_id, cot_pap_id, cot_prc_comum, cot_prc_min, cot_prc_max, cot_prc_med, cot_prc_mediana) VALUES (736, 55, 24, NULL, 90, 110, 100, 100);</v>
      </c>
      <c r="J737" t="str">
        <f t="shared" si="23"/>
        <v>UPDATE COTACAO SET cot_id = 736, cot_blt_id = 55, cot_pap_id = 24, cot_prc_comum = NULL, cot_prc_min = 90, cot_prc_max = 110, cot_prc_med = 100, cot_prc_mediana = 100 WHERE cot_id = 736;</v>
      </c>
    </row>
    <row r="738" spans="1:10" x14ac:dyDescent="0.3">
      <c r="A738">
        <v>737</v>
      </c>
      <c r="B738">
        <f>IF('Boletins Nuppa Site'!A738&lt;&gt;0,'Boletins Nuppa Site'!A738,"NULL")</f>
        <v>55</v>
      </c>
      <c r="C738">
        <v>25</v>
      </c>
      <c r="D738" s="14">
        <f>IF('Boletins Nuppa Site'!G738&lt;&gt;0,'Boletins Nuppa Site'!G738,"NULL")</f>
        <v>120</v>
      </c>
      <c r="E738" s="14">
        <f>IF('Boletins Nuppa Site'!H738&lt;&gt;0,'Boletins Nuppa Site'!H738,"NULL")</f>
        <v>80</v>
      </c>
      <c r="F738" s="14">
        <f>IF('Boletins Nuppa Site'!I738&lt;&gt;0,'Boletins Nuppa Site'!I738,"NULL")</f>
        <v>120</v>
      </c>
      <c r="G738" s="14">
        <f>IF('Boletins Nuppa Site'!J738&lt;&gt;0,'Boletins Nuppa Site'!J738,"NULL")</f>
        <v>110</v>
      </c>
      <c r="H738" s="14">
        <f>IF('Boletins Nuppa Site'!K738&lt;&gt;0,'Boletins Nuppa Site'!K738,"NULL")</f>
        <v>120</v>
      </c>
      <c r="I738" t="str">
        <f t="shared" si="22"/>
        <v>INSERT INTO COTACAO (cot_id, cot_blt_id, cot_pap_id, cot_prc_comum, cot_prc_min, cot_prc_max, cot_prc_med, cot_prc_mediana) VALUES (737, 55, 25, 120, 80, 120, 110, 120);</v>
      </c>
      <c r="J738" t="str">
        <f t="shared" si="23"/>
        <v>UPDATE COTACAO SET cot_id = 737, cot_blt_id = 55, cot_pap_id = 25, cot_prc_comum = 120, cot_prc_min = 80, cot_prc_max = 120, cot_prc_med = 110, cot_prc_mediana = 120 WHERE cot_id = 737;</v>
      </c>
    </row>
    <row r="739" spans="1:10" x14ac:dyDescent="0.3">
      <c r="A739">
        <v>738</v>
      </c>
      <c r="B739">
        <f>IF('Boletins Nuppa Site'!A739&lt;&gt;0,'Boletins Nuppa Site'!A739,"NULL")</f>
        <v>55</v>
      </c>
      <c r="C739">
        <v>26</v>
      </c>
      <c r="D739" t="str">
        <f>IF('Boletins Nuppa Site'!G739&lt;&gt;0,'Boletins Nuppa Site'!G739,"NULL")</f>
        <v>NULL</v>
      </c>
      <c r="E739" s="14">
        <f>IF('Boletins Nuppa Site'!H739&lt;&gt;0,'Boletins Nuppa Site'!H739,"NULL")</f>
        <v>60</v>
      </c>
      <c r="F739" s="14">
        <f>IF('Boletins Nuppa Site'!I739&lt;&gt;0,'Boletins Nuppa Site'!I739,"NULL")</f>
        <v>160</v>
      </c>
      <c r="G739" s="14">
        <f>IF('Boletins Nuppa Site'!J739&lt;&gt;0,'Boletins Nuppa Site'!J739,"NULL")</f>
        <v>118</v>
      </c>
      <c r="H739" s="14">
        <f>IF('Boletins Nuppa Site'!K739&lt;&gt;0,'Boletins Nuppa Site'!K739,"NULL")</f>
        <v>130</v>
      </c>
      <c r="I739" t="str">
        <f t="shared" si="22"/>
        <v>INSERT INTO COTACAO (cot_id, cot_blt_id, cot_pap_id, cot_prc_comum, cot_prc_min, cot_prc_max, cot_prc_med, cot_prc_mediana) VALUES (738, 55, 26, NULL, 60, 160, 118, 130);</v>
      </c>
      <c r="J739" t="str">
        <f t="shared" si="23"/>
        <v>UPDATE COTACAO SET cot_id = 738, cot_blt_id = 55, cot_pap_id = 26, cot_prc_comum = NULL, cot_prc_min = 60, cot_prc_max = 160, cot_prc_med = 118, cot_prc_mediana = 130 WHERE cot_id = 738;</v>
      </c>
    </row>
    <row r="740" spans="1:10" x14ac:dyDescent="0.3">
      <c r="A740">
        <v>739</v>
      </c>
      <c r="B740">
        <f>IF('Boletins Nuppa Site'!A740&lt;&gt;0,'Boletins Nuppa Site'!A740,"NULL")</f>
        <v>55</v>
      </c>
      <c r="C740">
        <v>27</v>
      </c>
      <c r="D740" s="14">
        <f>IF('Boletins Nuppa Site'!G740&lt;&gt;0,'Boletins Nuppa Site'!G740,"NULL")</f>
        <v>80</v>
      </c>
      <c r="E740" s="14">
        <f>IF('Boletins Nuppa Site'!H740&lt;&gt;0,'Boletins Nuppa Site'!H740,"NULL")</f>
        <v>75</v>
      </c>
      <c r="F740" s="14">
        <f>IF('Boletins Nuppa Site'!I740&lt;&gt;0,'Boletins Nuppa Site'!I740,"NULL")</f>
        <v>110</v>
      </c>
      <c r="G740" s="14">
        <f>IF('Boletins Nuppa Site'!J740&lt;&gt;0,'Boletins Nuppa Site'!J740,"NULL")</f>
        <v>90</v>
      </c>
      <c r="H740" s="14">
        <f>IF('Boletins Nuppa Site'!K740&lt;&gt;0,'Boletins Nuppa Site'!K740,"NULL")</f>
        <v>80</v>
      </c>
      <c r="I740" t="str">
        <f t="shared" si="22"/>
        <v>INSERT INTO COTACAO (cot_id, cot_blt_id, cot_pap_id, cot_prc_comum, cot_prc_min, cot_prc_max, cot_prc_med, cot_prc_mediana) VALUES (739, 55, 27, 80, 75, 110, 90, 80);</v>
      </c>
      <c r="J740" t="str">
        <f t="shared" si="23"/>
        <v>UPDATE COTACAO SET cot_id = 739, cot_blt_id = 55, cot_pap_id = 27, cot_prc_comum = 80, cot_prc_min = 75, cot_prc_max = 110, cot_prc_med = 90, cot_prc_mediana = 80 WHERE cot_id = 739;</v>
      </c>
    </row>
    <row r="741" spans="1:10" x14ac:dyDescent="0.3">
      <c r="A741">
        <v>740</v>
      </c>
      <c r="B741">
        <f>IF('Boletins Nuppa Site'!A741&lt;&gt;0,'Boletins Nuppa Site'!A741,"NULL")</f>
        <v>55</v>
      </c>
      <c r="C741">
        <v>28</v>
      </c>
      <c r="D741" s="14">
        <f>IF('Boletins Nuppa Site'!G741&lt;&gt;0,'Boletins Nuppa Site'!G741,"NULL")</f>
        <v>100</v>
      </c>
      <c r="E741" s="14">
        <f>IF('Boletins Nuppa Site'!H741&lt;&gt;0,'Boletins Nuppa Site'!H741,"NULL")</f>
        <v>70</v>
      </c>
      <c r="F741" s="14">
        <f>IF('Boletins Nuppa Site'!I741&lt;&gt;0,'Boletins Nuppa Site'!I741,"NULL")</f>
        <v>100</v>
      </c>
      <c r="G741" t="str">
        <f>IF('Boletins Nuppa Site'!J741&lt;&gt;0,'Boletins Nuppa Site'!J741,"NULL")</f>
        <v>87.5</v>
      </c>
      <c r="H741" s="14">
        <f>IF('Boletins Nuppa Site'!K741&lt;&gt;0,'Boletins Nuppa Site'!K741,"NULL")</f>
        <v>90</v>
      </c>
      <c r="I741" t="str">
        <f t="shared" si="22"/>
        <v>INSERT INTO COTACAO (cot_id, cot_blt_id, cot_pap_id, cot_prc_comum, cot_prc_min, cot_prc_max, cot_prc_med, cot_prc_mediana) VALUES (740, 55, 28, 100, 70, 100, 87.5, 90);</v>
      </c>
      <c r="J741" t="str">
        <f t="shared" si="23"/>
        <v>UPDATE COTACAO SET cot_id = 740, cot_blt_id = 55, cot_pap_id = 28, cot_prc_comum = 100, cot_prc_min = 70, cot_prc_max = 100, cot_prc_med = 87.5, cot_prc_mediana = 90 WHERE cot_id = 740;</v>
      </c>
    </row>
    <row r="742" spans="1:10" x14ac:dyDescent="0.3">
      <c r="A742">
        <v>741</v>
      </c>
      <c r="B742">
        <f>IF('Boletins Nuppa Site'!A742&lt;&gt;0,'Boletins Nuppa Site'!A742,"NULL")</f>
        <v>55</v>
      </c>
      <c r="C742">
        <v>29</v>
      </c>
      <c r="D742" t="str">
        <f>IF('Boletins Nuppa Site'!G742&lt;&gt;0,'Boletins Nuppa Site'!G742,"NULL")</f>
        <v>NULL</v>
      </c>
      <c r="E742" s="14">
        <f>IF('Boletins Nuppa Site'!H742&lt;&gt;0,'Boletins Nuppa Site'!H742,"NULL")</f>
        <v>40</v>
      </c>
      <c r="F742" s="14">
        <f>IF('Boletins Nuppa Site'!I742&lt;&gt;0,'Boletins Nuppa Site'!I742,"NULL")</f>
        <v>60</v>
      </c>
      <c r="G742" t="str">
        <f>IF('Boletins Nuppa Site'!J742&lt;&gt;0,'Boletins Nuppa Site'!J742,"NULL")</f>
        <v>51.25</v>
      </c>
      <c r="H742" t="str">
        <f>IF('Boletins Nuppa Site'!K742&lt;&gt;0,'Boletins Nuppa Site'!K742,"NULL")</f>
        <v>52.5</v>
      </c>
      <c r="I742" t="str">
        <f t="shared" si="22"/>
        <v>INSERT INTO COTACAO (cot_id, cot_blt_id, cot_pap_id, cot_prc_comum, cot_prc_min, cot_prc_max, cot_prc_med, cot_prc_mediana) VALUES (741, 55, 29, NULL, 40, 60, 51.25, 52.5);</v>
      </c>
      <c r="J742" t="str">
        <f t="shared" si="23"/>
        <v>UPDATE COTACAO SET cot_id = 741, cot_blt_id = 55, cot_pap_id = 29, cot_prc_comum = NULL, cot_prc_min = 40, cot_prc_max = 60, cot_prc_med = 51.25, cot_prc_mediana = 52.5 WHERE cot_id = 741;</v>
      </c>
    </row>
    <row r="743" spans="1:10" x14ac:dyDescent="0.3">
      <c r="A743">
        <v>742</v>
      </c>
      <c r="B743">
        <f>IF('Boletins Nuppa Site'!A743&lt;&gt;0,'Boletins Nuppa Site'!A743,"NULL")</f>
        <v>55</v>
      </c>
      <c r="C743">
        <v>30</v>
      </c>
      <c r="D743" s="14">
        <f>IF('Boletins Nuppa Site'!G743&lt;&gt;0,'Boletins Nuppa Site'!G743,"NULL")</f>
        <v>70</v>
      </c>
      <c r="E743" s="14">
        <f>IF('Boletins Nuppa Site'!H743&lt;&gt;0,'Boletins Nuppa Site'!H743,"NULL")</f>
        <v>65</v>
      </c>
      <c r="F743" s="14">
        <f>IF('Boletins Nuppa Site'!I743&lt;&gt;0,'Boletins Nuppa Site'!I743,"NULL")</f>
        <v>70</v>
      </c>
      <c r="G743" t="str">
        <f>IF('Boletins Nuppa Site'!J743&lt;&gt;0,'Boletins Nuppa Site'!J743,"NULL")</f>
        <v>68.75</v>
      </c>
      <c r="H743" s="14">
        <f>IF('Boletins Nuppa Site'!K743&lt;&gt;0,'Boletins Nuppa Site'!K743,"NULL")</f>
        <v>70</v>
      </c>
      <c r="I743" t="str">
        <f t="shared" si="22"/>
        <v>INSERT INTO COTACAO (cot_id, cot_blt_id, cot_pap_id, cot_prc_comum, cot_prc_min, cot_prc_max, cot_prc_med, cot_prc_mediana) VALUES (742, 55, 30, 70, 65, 70, 68.75, 70);</v>
      </c>
      <c r="J743" t="str">
        <f t="shared" si="23"/>
        <v>UPDATE COTACAO SET cot_id = 742, cot_blt_id = 55, cot_pap_id = 30, cot_prc_comum = 70, cot_prc_min = 65, cot_prc_max = 70, cot_prc_med = 68.75, cot_prc_mediana = 70 WHERE cot_id = 742;</v>
      </c>
    </row>
    <row r="744" spans="1:10" x14ac:dyDescent="0.3">
      <c r="A744">
        <v>743</v>
      </c>
      <c r="B744">
        <f>IF('Boletins Nuppa Site'!A744&lt;&gt;0,'Boletins Nuppa Site'!A744,"NULL")</f>
        <v>55</v>
      </c>
      <c r="C744">
        <v>31</v>
      </c>
      <c r="D744" s="14">
        <f>IF('Boletins Nuppa Site'!G744&lt;&gt;0,'Boletins Nuppa Site'!G744,"NULL")</f>
        <v>120</v>
      </c>
      <c r="E744" s="14">
        <f>IF('Boletins Nuppa Site'!H744&lt;&gt;0,'Boletins Nuppa Site'!H744,"NULL")</f>
        <v>100</v>
      </c>
      <c r="F744" s="14">
        <f>IF('Boletins Nuppa Site'!I744&lt;&gt;0,'Boletins Nuppa Site'!I744,"NULL")</f>
        <v>125</v>
      </c>
      <c r="G744" t="str">
        <f>IF('Boletins Nuppa Site'!J744&lt;&gt;0,'Boletins Nuppa Site'!J744,"NULL")</f>
        <v>116.25</v>
      </c>
      <c r="H744" s="14">
        <f>IF('Boletins Nuppa Site'!K744&lt;&gt;0,'Boletins Nuppa Site'!K744,"NULL")</f>
        <v>120</v>
      </c>
      <c r="I744" t="str">
        <f t="shared" si="22"/>
        <v>INSERT INTO COTACAO (cot_id, cot_blt_id, cot_pap_id, cot_prc_comum, cot_prc_min, cot_prc_max, cot_prc_med, cot_prc_mediana) VALUES (743, 55, 31, 120, 100, 125, 116.25, 120);</v>
      </c>
      <c r="J744" t="str">
        <f t="shared" si="23"/>
        <v>UPDATE COTACAO SET cot_id = 743, cot_blt_id = 55, cot_pap_id = 31, cot_prc_comum = 120, cot_prc_min = 100, cot_prc_max = 125, cot_prc_med = 116.25, cot_prc_mediana = 120 WHERE cot_id = 743;</v>
      </c>
    </row>
    <row r="745" spans="1:10" x14ac:dyDescent="0.3">
      <c r="A745">
        <v>744</v>
      </c>
      <c r="B745">
        <f>IF('Boletins Nuppa Site'!A745&lt;&gt;0,'Boletins Nuppa Site'!A745,"NULL")</f>
        <v>55</v>
      </c>
      <c r="C745">
        <v>32</v>
      </c>
      <c r="D745" s="14">
        <f>IF('Boletins Nuppa Site'!G745&lt;&gt;0,'Boletins Nuppa Site'!G745,"NULL")</f>
        <v>50</v>
      </c>
      <c r="E745" s="14">
        <f>IF('Boletins Nuppa Site'!H745&lt;&gt;0,'Boletins Nuppa Site'!H745,"NULL")</f>
        <v>40</v>
      </c>
      <c r="F745" s="14">
        <f>IF('Boletins Nuppa Site'!I745&lt;&gt;0,'Boletins Nuppa Site'!I745,"NULL")</f>
        <v>80</v>
      </c>
      <c r="G745" t="str">
        <f>IF('Boletins Nuppa Site'!J745&lt;&gt;0,'Boletins Nuppa Site'!J745,"NULL")</f>
        <v>53.33</v>
      </c>
      <c r="H745" s="14">
        <f>IF('Boletins Nuppa Site'!K745&lt;&gt;0,'Boletins Nuppa Site'!K745,"NULL")</f>
        <v>50</v>
      </c>
      <c r="I745" t="str">
        <f t="shared" si="22"/>
        <v>INSERT INTO COTACAO (cot_id, cot_blt_id, cot_pap_id, cot_prc_comum, cot_prc_min, cot_prc_max, cot_prc_med, cot_prc_mediana) VALUES (744, 55, 32, 50, 40, 80, 53.33, 50);</v>
      </c>
      <c r="J745" t="str">
        <f t="shared" si="23"/>
        <v>UPDATE COTACAO SET cot_id = 744, cot_blt_id = 55, cot_pap_id = 32, cot_prc_comum = 50, cot_prc_min = 40, cot_prc_max = 80, cot_prc_med = 53.33, cot_prc_mediana = 50 WHERE cot_id = 744;</v>
      </c>
    </row>
    <row r="746" spans="1:10" x14ac:dyDescent="0.3">
      <c r="A746">
        <v>745</v>
      </c>
      <c r="B746">
        <f>IF('Boletins Nuppa Site'!A746&lt;&gt;0,'Boletins Nuppa Site'!A746,"NULL")</f>
        <v>55</v>
      </c>
      <c r="C746">
        <v>33</v>
      </c>
      <c r="D746" t="str">
        <f>IF('Boletins Nuppa Site'!G746&lt;&gt;0,'Boletins Nuppa Site'!G746,"NULL")</f>
        <v>NULL</v>
      </c>
      <c r="E746" s="14">
        <f>IF('Boletins Nuppa Site'!H746&lt;&gt;0,'Boletins Nuppa Site'!H746,"NULL")</f>
        <v>120</v>
      </c>
      <c r="F746" s="14">
        <f>IF('Boletins Nuppa Site'!I746&lt;&gt;0,'Boletins Nuppa Site'!I746,"NULL")</f>
        <v>200</v>
      </c>
      <c r="G746" s="14">
        <f>IF('Boletins Nuppa Site'!J746&lt;&gt;0,'Boletins Nuppa Site'!J746,"NULL")</f>
        <v>160</v>
      </c>
      <c r="H746" s="14">
        <f>IF('Boletins Nuppa Site'!K746&lt;&gt;0,'Boletins Nuppa Site'!K746,"NULL")</f>
        <v>160</v>
      </c>
      <c r="I746" t="str">
        <f t="shared" si="22"/>
        <v>INSERT INTO COTACAO (cot_id, cot_blt_id, cot_pap_id, cot_prc_comum, cot_prc_min, cot_prc_max, cot_prc_med, cot_prc_mediana) VALUES (745, 55, 33, NULL, 120, 200, 160, 160);</v>
      </c>
      <c r="J746" t="str">
        <f t="shared" si="23"/>
        <v>UPDATE COTACAO SET cot_id = 745, cot_blt_id = 55, cot_pap_id = 33, cot_prc_comum = NULL, cot_prc_min = 120, cot_prc_max = 200, cot_prc_med = 160, cot_prc_mediana = 160 WHERE cot_id = 745;</v>
      </c>
    </row>
    <row r="747" spans="1:10" x14ac:dyDescent="0.3">
      <c r="A747">
        <v>746</v>
      </c>
      <c r="B747">
        <f>IF('Boletins Nuppa Site'!A747&lt;&gt;0,'Boletins Nuppa Site'!A747,"NULL")</f>
        <v>55</v>
      </c>
      <c r="C747">
        <v>34</v>
      </c>
      <c r="D747" s="14">
        <f>IF('Boletins Nuppa Site'!G747&lt;&gt;0,'Boletins Nuppa Site'!G747,"NULL")</f>
        <v>130</v>
      </c>
      <c r="E747" s="14">
        <f>IF('Boletins Nuppa Site'!H747&lt;&gt;0,'Boletins Nuppa Site'!H747,"NULL")</f>
        <v>100</v>
      </c>
      <c r="F747" s="14">
        <f>IF('Boletins Nuppa Site'!I747&lt;&gt;0,'Boletins Nuppa Site'!I747,"NULL")</f>
        <v>170</v>
      </c>
      <c r="G747" s="14">
        <f>IF('Boletins Nuppa Site'!J747&lt;&gt;0,'Boletins Nuppa Site'!J747,"NULL")</f>
        <v>140</v>
      </c>
      <c r="H747" s="14">
        <f>IF('Boletins Nuppa Site'!K747&lt;&gt;0,'Boletins Nuppa Site'!K747,"NULL")</f>
        <v>140</v>
      </c>
      <c r="I747" t="str">
        <f t="shared" si="22"/>
        <v>INSERT INTO COTACAO (cot_id, cot_blt_id, cot_pap_id, cot_prc_comum, cot_prc_min, cot_prc_max, cot_prc_med, cot_prc_mediana) VALUES (746, 55, 34, 130, 100, 170, 140, 140);</v>
      </c>
      <c r="J747" t="str">
        <f t="shared" si="23"/>
        <v>UPDATE COTACAO SET cot_id = 746, cot_blt_id = 55, cot_pap_id = 34, cot_prc_comum = 130, cot_prc_min = 100, cot_prc_max = 170, cot_prc_med = 140, cot_prc_mediana = 140 WHERE cot_id = 746;</v>
      </c>
    </row>
    <row r="748" spans="1:10" x14ac:dyDescent="0.3">
      <c r="A748">
        <v>747</v>
      </c>
      <c r="B748">
        <f>IF('Boletins Nuppa Site'!A748&lt;&gt;0,'Boletins Nuppa Site'!A748,"NULL")</f>
        <v>55</v>
      </c>
      <c r="C748">
        <v>35</v>
      </c>
      <c r="D748" t="str">
        <f>IF('Boletins Nuppa Site'!G748&lt;&gt;0,'Boletins Nuppa Site'!G748,"NULL")</f>
        <v>NULL</v>
      </c>
      <c r="E748" s="14">
        <f>IF('Boletins Nuppa Site'!H748&lt;&gt;0,'Boletins Nuppa Site'!H748,"NULL")</f>
        <v>120</v>
      </c>
      <c r="F748" s="14">
        <f>IF('Boletins Nuppa Site'!I748&lt;&gt;0,'Boletins Nuppa Site'!I748,"NULL")</f>
        <v>235</v>
      </c>
      <c r="G748" t="str">
        <f>IF('Boletins Nuppa Site'!J748&lt;&gt;0,'Boletins Nuppa Site'!J748,"NULL")</f>
        <v>193.75</v>
      </c>
      <c r="H748" s="14">
        <f>IF('Boletins Nuppa Site'!K748&lt;&gt;0,'Boletins Nuppa Site'!K748,"NULL")</f>
        <v>210</v>
      </c>
      <c r="I748" t="str">
        <f t="shared" si="22"/>
        <v>INSERT INTO COTACAO (cot_id, cot_blt_id, cot_pap_id, cot_prc_comum, cot_prc_min, cot_prc_max, cot_prc_med, cot_prc_mediana) VALUES (747, 55, 35, NULL, 120, 235, 193.75, 210);</v>
      </c>
      <c r="J748" t="str">
        <f t="shared" si="23"/>
        <v>UPDATE COTACAO SET cot_id = 747, cot_blt_id = 55, cot_pap_id = 35, cot_prc_comum = NULL, cot_prc_min = 120, cot_prc_max = 235, cot_prc_med = 193.75, cot_prc_mediana = 210 WHERE cot_id = 747;</v>
      </c>
    </row>
    <row r="749" spans="1:10" x14ac:dyDescent="0.3">
      <c r="A749">
        <v>748</v>
      </c>
      <c r="B749">
        <f>IF('Boletins Nuppa Site'!A749&lt;&gt;0,'Boletins Nuppa Site'!A749,"NULL")</f>
        <v>55</v>
      </c>
      <c r="C749">
        <v>36</v>
      </c>
      <c r="D749" t="str">
        <f>IF('Boletins Nuppa Site'!G749&lt;&gt;0,'Boletins Nuppa Site'!G749,"NULL")</f>
        <v>NULL</v>
      </c>
      <c r="E749" t="str">
        <f>IF('Boletins Nuppa Site'!H749&lt;&gt;0,'Boletins Nuppa Site'!H749,"NULL")</f>
        <v>NULL</v>
      </c>
      <c r="F749" t="str">
        <f>IF('Boletins Nuppa Site'!I749&lt;&gt;0,'Boletins Nuppa Site'!I749,"NULL")</f>
        <v>NULL</v>
      </c>
      <c r="G749" t="str">
        <f>IF('Boletins Nuppa Site'!J749&lt;&gt;0,'Boletins Nuppa Site'!J749,"NULL")</f>
        <v>NULL</v>
      </c>
      <c r="H749" t="str">
        <f>IF('Boletins Nuppa Site'!K749&lt;&gt;0,'Boletins Nuppa Site'!K749,"NULL")</f>
        <v>NULL</v>
      </c>
      <c r="I749" t="str">
        <f t="shared" si="22"/>
        <v>INSERT INTO COTACAO (cot_id, cot_blt_id, cot_pap_id, cot_prc_comum, cot_prc_min, cot_prc_max, cot_prc_med, cot_prc_mediana) VALUES (748, 55, 36, NULL, NULL, NULL, NULL, NULL);</v>
      </c>
      <c r="J749" t="str">
        <f t="shared" si="23"/>
        <v>UPDATE COTACAO SET cot_id = 748, cot_blt_id = 55, cot_pap_id = 36, cot_prc_comum = NULL, cot_prc_min = NULL, cot_prc_max = NULL, cot_prc_med = NULL, cot_prc_mediana = NULL WHERE cot_id = 748;</v>
      </c>
    </row>
    <row r="750" spans="1:10" x14ac:dyDescent="0.3">
      <c r="A750">
        <v>749</v>
      </c>
      <c r="B750">
        <f>IF('Boletins Nuppa Site'!A750&lt;&gt;0,'Boletins Nuppa Site'!A750,"NULL")</f>
        <v>55</v>
      </c>
      <c r="C750">
        <v>37</v>
      </c>
      <c r="D750" t="str">
        <f>IF('Boletins Nuppa Site'!G750&lt;&gt;0,'Boletins Nuppa Site'!G750,"NULL")</f>
        <v>NULL</v>
      </c>
      <c r="E750" t="str">
        <f>IF('Boletins Nuppa Site'!H750&lt;&gt;0,'Boletins Nuppa Site'!H750,"NULL")</f>
        <v>NULL</v>
      </c>
      <c r="F750" t="str">
        <f>IF('Boletins Nuppa Site'!I750&lt;&gt;0,'Boletins Nuppa Site'!I750,"NULL")</f>
        <v>NULL</v>
      </c>
      <c r="G750" t="str">
        <f>IF('Boletins Nuppa Site'!J750&lt;&gt;0,'Boletins Nuppa Site'!J750,"NULL")</f>
        <v>NULL</v>
      </c>
      <c r="H750" t="str">
        <f>IF('Boletins Nuppa Site'!K750&lt;&gt;0,'Boletins Nuppa Site'!K750,"NULL")</f>
        <v>NULL</v>
      </c>
      <c r="I750" t="str">
        <f t="shared" si="22"/>
        <v>INSERT INTO COTACAO (cot_id, cot_blt_id, cot_pap_id, cot_prc_comum, cot_prc_min, cot_prc_max, cot_prc_med, cot_prc_mediana) VALUES (749, 55, 37, NULL, NULL, NULL, NULL, NULL);</v>
      </c>
      <c r="J750" t="str">
        <f t="shared" si="23"/>
        <v>UPDATE COTACAO SET cot_id = 749, cot_blt_id = 55, cot_pap_id = 37, cot_prc_comum = NULL, cot_prc_min = NULL, cot_prc_max = NULL, cot_prc_med = NULL, cot_prc_mediana = NULL WHERE cot_id = 749;</v>
      </c>
    </row>
    <row r="751" spans="1:10" x14ac:dyDescent="0.3">
      <c r="A751">
        <v>750</v>
      </c>
      <c r="B751">
        <f>IF('Boletins Nuppa Site'!A751&lt;&gt;0,'Boletins Nuppa Site'!A751,"NULL")</f>
        <v>55</v>
      </c>
      <c r="C751">
        <v>38</v>
      </c>
      <c r="D751" t="str">
        <f>IF('Boletins Nuppa Site'!G751&lt;&gt;0,'Boletins Nuppa Site'!G751,"NULL")</f>
        <v>NULL</v>
      </c>
      <c r="E751" t="str">
        <f>IF('Boletins Nuppa Site'!H751&lt;&gt;0,'Boletins Nuppa Site'!H751,"NULL")</f>
        <v>NULL</v>
      </c>
      <c r="F751" t="str">
        <f>IF('Boletins Nuppa Site'!I751&lt;&gt;0,'Boletins Nuppa Site'!I751,"NULL")</f>
        <v>NULL</v>
      </c>
      <c r="G751" t="str">
        <f>IF('Boletins Nuppa Site'!J751&lt;&gt;0,'Boletins Nuppa Site'!J751,"NULL")</f>
        <v>NULL</v>
      </c>
      <c r="H751" t="str">
        <f>IF('Boletins Nuppa Site'!K751&lt;&gt;0,'Boletins Nuppa Site'!K751,"NULL")</f>
        <v>NULL</v>
      </c>
      <c r="I751" t="str">
        <f t="shared" si="22"/>
        <v>INSERT INTO COTACAO (cot_id, cot_blt_id, cot_pap_id, cot_prc_comum, cot_prc_min, cot_prc_max, cot_prc_med, cot_prc_mediana) VALUES (750, 55, 38, NULL, NULL, NULL, NULL, NULL);</v>
      </c>
      <c r="J751" t="str">
        <f t="shared" si="23"/>
        <v>UPDATE COTACAO SET cot_id = 750, cot_blt_id = 55, cot_pap_id = 38, cot_prc_comum = NULL, cot_prc_min = NULL, cot_prc_max = NULL, cot_prc_med = NULL, cot_prc_mediana = NULL WHERE cot_id = 750;</v>
      </c>
    </row>
    <row r="752" spans="1:10" x14ac:dyDescent="0.3">
      <c r="A752">
        <v>751</v>
      </c>
      <c r="B752">
        <f>IF('Boletins Nuppa Site'!A752&lt;&gt;0,'Boletins Nuppa Site'!A752,"NULL")</f>
        <v>55</v>
      </c>
      <c r="C752">
        <v>39</v>
      </c>
      <c r="D752" t="str">
        <f>IF('Boletins Nuppa Site'!G752&lt;&gt;0,'Boletins Nuppa Site'!G752,"NULL")</f>
        <v>NULL</v>
      </c>
      <c r="E752" s="14">
        <f>IF('Boletins Nuppa Site'!H752&lt;&gt;0,'Boletins Nuppa Site'!H752,"NULL")</f>
        <v>50</v>
      </c>
      <c r="F752" s="14">
        <f>IF('Boletins Nuppa Site'!I752&lt;&gt;0,'Boletins Nuppa Site'!I752,"NULL")</f>
        <v>50</v>
      </c>
      <c r="G752" s="14">
        <f>IF('Boletins Nuppa Site'!J752&lt;&gt;0,'Boletins Nuppa Site'!J752,"NULL")</f>
        <v>50</v>
      </c>
      <c r="H752" s="14">
        <f>IF('Boletins Nuppa Site'!K752&lt;&gt;0,'Boletins Nuppa Site'!K752,"NULL")</f>
        <v>50</v>
      </c>
      <c r="I752" t="str">
        <f t="shared" si="22"/>
        <v>INSERT INTO COTACAO (cot_id, cot_blt_id, cot_pap_id, cot_prc_comum, cot_prc_min, cot_prc_max, cot_prc_med, cot_prc_mediana) VALUES (751, 55, 39, NULL, 50, 50, 50, 50);</v>
      </c>
      <c r="J752" t="str">
        <f t="shared" si="23"/>
        <v>UPDATE COTACAO SET cot_id = 751, cot_blt_id = 55, cot_pap_id = 39, cot_prc_comum = NULL, cot_prc_min = 50, cot_prc_max = 50, cot_prc_med = 50, cot_prc_mediana = 50 WHERE cot_id = 751;</v>
      </c>
    </row>
    <row r="753" spans="1:10" x14ac:dyDescent="0.3">
      <c r="A753">
        <v>752</v>
      </c>
      <c r="B753">
        <f>IF('Boletins Nuppa Site'!A753&lt;&gt;0,'Boletins Nuppa Site'!A753,"NULL")</f>
        <v>55</v>
      </c>
      <c r="C753">
        <v>40</v>
      </c>
      <c r="D753" s="14">
        <f>IF('Boletins Nuppa Site'!G753&lt;&gt;0,'Boletins Nuppa Site'!G753,"NULL")</f>
        <v>60</v>
      </c>
      <c r="E753" s="14">
        <f>IF('Boletins Nuppa Site'!H753&lt;&gt;0,'Boletins Nuppa Site'!H753,"NULL")</f>
        <v>60</v>
      </c>
      <c r="F753" s="14">
        <f>IF('Boletins Nuppa Site'!I753&lt;&gt;0,'Boletins Nuppa Site'!I753,"NULL")</f>
        <v>60</v>
      </c>
      <c r="G753" s="14">
        <f>IF('Boletins Nuppa Site'!J753&lt;&gt;0,'Boletins Nuppa Site'!J753,"NULL")</f>
        <v>60</v>
      </c>
      <c r="H753" s="14">
        <f>IF('Boletins Nuppa Site'!K753&lt;&gt;0,'Boletins Nuppa Site'!K753,"NULL")</f>
        <v>60</v>
      </c>
      <c r="I753" t="str">
        <f t="shared" si="22"/>
        <v>INSERT INTO COTACAO (cot_id, cot_blt_id, cot_pap_id, cot_prc_comum, cot_prc_min, cot_prc_max, cot_prc_med, cot_prc_mediana) VALUES (752, 55, 40, 60, 60, 60, 60, 60);</v>
      </c>
      <c r="J753" t="str">
        <f t="shared" si="23"/>
        <v>UPDATE COTACAO SET cot_id = 752, cot_blt_id = 55, cot_pap_id = 40, cot_prc_comum = 60, cot_prc_min = 60, cot_prc_max = 60, cot_prc_med = 60, cot_prc_mediana = 60 WHERE cot_id = 752;</v>
      </c>
    </row>
    <row r="754" spans="1:10" x14ac:dyDescent="0.3">
      <c r="A754">
        <v>753</v>
      </c>
      <c r="B754">
        <f>IF('Boletins Nuppa Site'!A754&lt;&gt;0,'Boletins Nuppa Site'!A754,"NULL")</f>
        <v>56</v>
      </c>
      <c r="C754">
        <v>1</v>
      </c>
      <c r="D754" t="str">
        <f>IF('Boletins Nuppa Site'!G754&lt;&gt;0,'Boletins Nuppa Site'!G754,"NULL")</f>
        <v>NULL</v>
      </c>
      <c r="E754" t="str">
        <f>IF('Boletins Nuppa Site'!H754&lt;&gt;0,'Boletins Nuppa Site'!H754,"NULL")</f>
        <v>NULL</v>
      </c>
      <c r="F754" t="str">
        <f>IF('Boletins Nuppa Site'!I754&lt;&gt;0,'Boletins Nuppa Site'!I754,"NULL")</f>
        <v>NULL</v>
      </c>
      <c r="G754" t="str">
        <f>IF('Boletins Nuppa Site'!J754&lt;&gt;0,'Boletins Nuppa Site'!J754,"NULL")</f>
        <v>NULL</v>
      </c>
      <c r="H754" t="str">
        <f>IF('Boletins Nuppa Site'!K754&lt;&gt;0,'Boletins Nuppa Site'!K754,"NULL")</f>
        <v>NULL</v>
      </c>
      <c r="I754" t="str">
        <f t="shared" si="22"/>
        <v>INSERT INTO COTACAO (cot_id, cot_blt_id, cot_pap_id, cot_prc_comum, cot_prc_min, cot_prc_max, cot_prc_med, cot_prc_mediana) VALUES (753, 56, 1, NULL, NULL, NULL, NULL, NULL);</v>
      </c>
      <c r="J754" t="str">
        <f t="shared" si="23"/>
        <v>UPDATE COTACAO SET cot_id = 753, cot_blt_id = 56, cot_pap_id = 1, cot_prc_comum = NULL, cot_prc_min = NULL, cot_prc_max = NULL, cot_prc_med = NULL, cot_prc_mediana = NULL WHERE cot_id = 753;</v>
      </c>
    </row>
    <row r="755" spans="1:10" x14ac:dyDescent="0.3">
      <c r="A755">
        <v>754</v>
      </c>
      <c r="B755">
        <f>IF('Boletins Nuppa Site'!A755&lt;&gt;0,'Boletins Nuppa Site'!A755,"NULL")</f>
        <v>56</v>
      </c>
      <c r="C755">
        <v>2</v>
      </c>
      <c r="D755" t="str">
        <f>IF('Boletins Nuppa Site'!G755&lt;&gt;0,'Boletins Nuppa Site'!G755,"NULL")</f>
        <v>NULL</v>
      </c>
      <c r="E755" s="14">
        <f>IF('Boletins Nuppa Site'!H755&lt;&gt;0,'Boletins Nuppa Site'!H755,"NULL")</f>
        <v>60</v>
      </c>
      <c r="F755" s="14">
        <f>IF('Boletins Nuppa Site'!I755&lt;&gt;0,'Boletins Nuppa Site'!I755,"NULL")</f>
        <v>72</v>
      </c>
      <c r="G755" s="14">
        <f>IF('Boletins Nuppa Site'!J755&lt;&gt;0,'Boletins Nuppa Site'!J755,"NULL")</f>
        <v>66</v>
      </c>
      <c r="H755" s="14">
        <f>IF('Boletins Nuppa Site'!K755&lt;&gt;0,'Boletins Nuppa Site'!K755,"NULL")</f>
        <v>66</v>
      </c>
      <c r="I755" t="str">
        <f t="shared" si="22"/>
        <v>INSERT INTO COTACAO (cot_id, cot_blt_id, cot_pap_id, cot_prc_comum, cot_prc_min, cot_prc_max, cot_prc_med, cot_prc_mediana) VALUES (754, 56, 2, NULL, 60, 72, 66, 66);</v>
      </c>
      <c r="J755" t="str">
        <f t="shared" si="23"/>
        <v>UPDATE COTACAO SET cot_id = 754, cot_blt_id = 56, cot_pap_id = 2, cot_prc_comum = NULL, cot_prc_min = 60, cot_prc_max = 72, cot_prc_med = 66, cot_prc_mediana = 66 WHERE cot_id = 754;</v>
      </c>
    </row>
    <row r="756" spans="1:10" x14ac:dyDescent="0.3">
      <c r="A756">
        <v>755</v>
      </c>
      <c r="B756">
        <f>IF('Boletins Nuppa Site'!A756&lt;&gt;0,'Boletins Nuppa Site'!A756,"NULL")</f>
        <v>56</v>
      </c>
      <c r="C756">
        <v>3</v>
      </c>
      <c r="D756" t="str">
        <f>IF('Boletins Nuppa Site'!G756&lt;&gt;0,'Boletins Nuppa Site'!G756,"NULL")</f>
        <v>NULL</v>
      </c>
      <c r="E756" s="14">
        <f>IF('Boletins Nuppa Site'!H756&lt;&gt;0,'Boletins Nuppa Site'!H756,"NULL")</f>
        <v>72</v>
      </c>
      <c r="F756" s="14">
        <f>IF('Boletins Nuppa Site'!I756&lt;&gt;0,'Boletins Nuppa Site'!I756,"NULL")</f>
        <v>84</v>
      </c>
      <c r="G756" s="14">
        <f>IF('Boletins Nuppa Site'!J756&lt;&gt;0,'Boletins Nuppa Site'!J756,"NULL")</f>
        <v>78</v>
      </c>
      <c r="H756" s="14">
        <f>IF('Boletins Nuppa Site'!K756&lt;&gt;0,'Boletins Nuppa Site'!K756,"NULL")</f>
        <v>78</v>
      </c>
      <c r="I756" t="str">
        <f t="shared" si="22"/>
        <v>INSERT INTO COTACAO (cot_id, cot_blt_id, cot_pap_id, cot_prc_comum, cot_prc_min, cot_prc_max, cot_prc_med, cot_prc_mediana) VALUES (755, 56, 3, NULL, 72, 84, 78, 78);</v>
      </c>
      <c r="J756" t="str">
        <f t="shared" si="23"/>
        <v>UPDATE COTACAO SET cot_id = 755, cot_blt_id = 56, cot_pap_id = 3, cot_prc_comum = NULL, cot_prc_min = 72, cot_prc_max = 84, cot_prc_med = 78, cot_prc_mediana = 78 WHERE cot_id = 755;</v>
      </c>
    </row>
    <row r="757" spans="1:10" x14ac:dyDescent="0.3">
      <c r="A757">
        <v>756</v>
      </c>
      <c r="B757">
        <f>IF('Boletins Nuppa Site'!A757&lt;&gt;0,'Boletins Nuppa Site'!A757,"NULL")</f>
        <v>56</v>
      </c>
      <c r="C757">
        <v>4</v>
      </c>
      <c r="D757" t="str">
        <f>IF('Boletins Nuppa Site'!G757&lt;&gt;0,'Boletins Nuppa Site'!G757,"NULL")</f>
        <v>NULL</v>
      </c>
      <c r="E757" s="14">
        <f>IF('Boletins Nuppa Site'!H757&lt;&gt;0,'Boletins Nuppa Site'!H757,"NULL")</f>
        <v>42</v>
      </c>
      <c r="F757" s="14">
        <f>IF('Boletins Nuppa Site'!I757&lt;&gt;0,'Boletins Nuppa Site'!I757,"NULL")</f>
        <v>54</v>
      </c>
      <c r="G757" s="14">
        <f>IF('Boletins Nuppa Site'!J757&lt;&gt;0,'Boletins Nuppa Site'!J757,"NULL")</f>
        <v>48</v>
      </c>
      <c r="H757" s="14">
        <f>IF('Boletins Nuppa Site'!K757&lt;&gt;0,'Boletins Nuppa Site'!K757,"NULL")</f>
        <v>48</v>
      </c>
      <c r="I757" t="str">
        <f t="shared" si="22"/>
        <v>INSERT INTO COTACAO (cot_id, cot_blt_id, cot_pap_id, cot_prc_comum, cot_prc_min, cot_prc_max, cot_prc_med, cot_prc_mediana) VALUES (756, 56, 4, NULL, 42, 54, 48, 48);</v>
      </c>
      <c r="J757" t="str">
        <f t="shared" si="23"/>
        <v>UPDATE COTACAO SET cot_id = 756, cot_blt_id = 56, cot_pap_id = 4, cot_prc_comum = NULL, cot_prc_min = 42, cot_prc_max = 54, cot_prc_med = 48, cot_prc_mediana = 48 WHERE cot_id = 756;</v>
      </c>
    </row>
    <row r="758" spans="1:10" x14ac:dyDescent="0.3">
      <c r="A758">
        <v>757</v>
      </c>
      <c r="B758">
        <f>IF('Boletins Nuppa Site'!A758&lt;&gt;0,'Boletins Nuppa Site'!A758,"NULL")</f>
        <v>56</v>
      </c>
      <c r="C758">
        <v>5</v>
      </c>
      <c r="D758" s="14">
        <f>IF('Boletins Nuppa Site'!G758&lt;&gt;0,'Boletins Nuppa Site'!G758,"NULL")</f>
        <v>30</v>
      </c>
      <c r="E758" s="14">
        <f>IF('Boletins Nuppa Site'!H758&lt;&gt;0,'Boletins Nuppa Site'!H758,"NULL")</f>
        <v>30</v>
      </c>
      <c r="F758" s="14">
        <f>IF('Boletins Nuppa Site'!I758&lt;&gt;0,'Boletins Nuppa Site'!I758,"NULL")</f>
        <v>30</v>
      </c>
      <c r="G758" s="14">
        <f>IF('Boletins Nuppa Site'!J758&lt;&gt;0,'Boletins Nuppa Site'!J758,"NULL")</f>
        <v>30</v>
      </c>
      <c r="H758" s="14">
        <f>IF('Boletins Nuppa Site'!K758&lt;&gt;0,'Boletins Nuppa Site'!K758,"NULL")</f>
        <v>30</v>
      </c>
      <c r="I758" t="str">
        <f t="shared" si="22"/>
        <v>INSERT INTO COTACAO (cot_id, cot_blt_id, cot_pap_id, cot_prc_comum, cot_prc_min, cot_prc_max, cot_prc_med, cot_prc_mediana) VALUES (757, 56, 5, 30, 30, 30, 30, 30);</v>
      </c>
      <c r="J758" t="str">
        <f t="shared" si="23"/>
        <v>UPDATE COTACAO SET cot_id = 757, cot_blt_id = 56, cot_pap_id = 5, cot_prc_comum = 30, cot_prc_min = 30, cot_prc_max = 30, cot_prc_med = 30, cot_prc_mediana = 30 WHERE cot_id = 757;</v>
      </c>
    </row>
    <row r="759" spans="1:10" x14ac:dyDescent="0.3">
      <c r="A759">
        <v>758</v>
      </c>
      <c r="B759">
        <f>IF('Boletins Nuppa Site'!A759&lt;&gt;0,'Boletins Nuppa Site'!A759,"NULL")</f>
        <v>56</v>
      </c>
      <c r="C759">
        <v>6</v>
      </c>
      <c r="D759" s="14">
        <f>IF('Boletins Nuppa Site'!G759&lt;&gt;0,'Boletins Nuppa Site'!G759,"NULL")</f>
        <v>30</v>
      </c>
      <c r="E759" s="14">
        <f>IF('Boletins Nuppa Site'!H759&lt;&gt;0,'Boletins Nuppa Site'!H759,"NULL")</f>
        <v>30</v>
      </c>
      <c r="F759" s="14">
        <f>IF('Boletins Nuppa Site'!I759&lt;&gt;0,'Boletins Nuppa Site'!I759,"NULL")</f>
        <v>30</v>
      </c>
      <c r="G759" s="14">
        <f>IF('Boletins Nuppa Site'!J759&lt;&gt;0,'Boletins Nuppa Site'!J759,"NULL")</f>
        <v>30</v>
      </c>
      <c r="H759" s="14">
        <f>IF('Boletins Nuppa Site'!K759&lt;&gt;0,'Boletins Nuppa Site'!K759,"NULL")</f>
        <v>30</v>
      </c>
      <c r="I759" t="str">
        <f t="shared" si="22"/>
        <v>INSERT INTO COTACAO (cot_id, cot_blt_id, cot_pap_id, cot_prc_comum, cot_prc_min, cot_prc_max, cot_prc_med, cot_prc_mediana) VALUES (758, 56, 6, 30, 30, 30, 30, 30);</v>
      </c>
      <c r="J759" t="str">
        <f t="shared" si="23"/>
        <v>UPDATE COTACAO SET cot_id = 758, cot_blt_id = 56, cot_pap_id = 6, cot_prc_comum = 30, cot_prc_min = 30, cot_prc_max = 30, cot_prc_med = 30, cot_prc_mediana = 30 WHERE cot_id = 758;</v>
      </c>
    </row>
    <row r="760" spans="1:10" x14ac:dyDescent="0.3">
      <c r="A760">
        <v>759</v>
      </c>
      <c r="B760">
        <f>IF('Boletins Nuppa Site'!A760&lt;&gt;0,'Boletins Nuppa Site'!A760,"NULL")</f>
        <v>56</v>
      </c>
      <c r="C760">
        <v>7</v>
      </c>
      <c r="D760" s="14">
        <f>IF('Boletins Nuppa Site'!G760&lt;&gt;0,'Boletins Nuppa Site'!G760,"NULL")</f>
        <v>60</v>
      </c>
      <c r="E760" s="14">
        <f>IF('Boletins Nuppa Site'!H760&lt;&gt;0,'Boletins Nuppa Site'!H760,"NULL")</f>
        <v>60</v>
      </c>
      <c r="F760" s="14">
        <f>IF('Boletins Nuppa Site'!I760&lt;&gt;0,'Boletins Nuppa Site'!I760,"NULL")</f>
        <v>60</v>
      </c>
      <c r="G760" s="14">
        <f>IF('Boletins Nuppa Site'!J760&lt;&gt;0,'Boletins Nuppa Site'!J760,"NULL")</f>
        <v>60</v>
      </c>
      <c r="H760" s="14">
        <f>IF('Boletins Nuppa Site'!K760&lt;&gt;0,'Boletins Nuppa Site'!K760,"NULL")</f>
        <v>60</v>
      </c>
      <c r="I760" t="str">
        <f t="shared" si="22"/>
        <v>INSERT INTO COTACAO (cot_id, cot_blt_id, cot_pap_id, cot_prc_comum, cot_prc_min, cot_prc_max, cot_prc_med, cot_prc_mediana) VALUES (759, 56, 7, 60, 60, 60, 60, 60);</v>
      </c>
      <c r="J760" t="str">
        <f t="shared" si="23"/>
        <v>UPDATE COTACAO SET cot_id = 759, cot_blt_id = 56, cot_pap_id = 7, cot_prc_comum = 60, cot_prc_min = 60, cot_prc_max = 60, cot_prc_med = 60, cot_prc_mediana = 60 WHERE cot_id = 759;</v>
      </c>
    </row>
    <row r="761" spans="1:10" x14ac:dyDescent="0.3">
      <c r="A761">
        <v>760</v>
      </c>
      <c r="B761">
        <f>IF('Boletins Nuppa Site'!A761&lt;&gt;0,'Boletins Nuppa Site'!A761,"NULL")</f>
        <v>56</v>
      </c>
      <c r="C761">
        <v>8</v>
      </c>
      <c r="D761" s="14">
        <f>IF('Boletins Nuppa Site'!G761&lt;&gt;0,'Boletins Nuppa Site'!G761,"NULL")</f>
        <v>96</v>
      </c>
      <c r="E761" s="14">
        <f>IF('Boletins Nuppa Site'!H761&lt;&gt;0,'Boletins Nuppa Site'!H761,"NULL")</f>
        <v>96</v>
      </c>
      <c r="F761" s="14">
        <f>IF('Boletins Nuppa Site'!I761&lt;&gt;0,'Boletins Nuppa Site'!I761,"NULL")</f>
        <v>96</v>
      </c>
      <c r="G761" s="14">
        <f>IF('Boletins Nuppa Site'!J761&lt;&gt;0,'Boletins Nuppa Site'!J761,"NULL")</f>
        <v>96</v>
      </c>
      <c r="H761" s="14">
        <f>IF('Boletins Nuppa Site'!K761&lt;&gt;0,'Boletins Nuppa Site'!K761,"NULL")</f>
        <v>96</v>
      </c>
      <c r="I761" t="str">
        <f t="shared" si="22"/>
        <v>INSERT INTO COTACAO (cot_id, cot_blt_id, cot_pap_id, cot_prc_comum, cot_prc_min, cot_prc_max, cot_prc_med, cot_prc_mediana) VALUES (760, 56, 8, 96, 96, 96, 96, 96);</v>
      </c>
      <c r="J761" t="str">
        <f t="shared" si="23"/>
        <v>UPDATE COTACAO SET cot_id = 760, cot_blt_id = 56, cot_pap_id = 8, cot_prc_comum = 96, cot_prc_min = 96, cot_prc_max = 96, cot_prc_med = 96, cot_prc_mediana = 96 WHERE cot_id = 760;</v>
      </c>
    </row>
    <row r="762" spans="1:10" x14ac:dyDescent="0.3">
      <c r="A762">
        <v>761</v>
      </c>
      <c r="B762">
        <f>IF('Boletins Nuppa Site'!A762&lt;&gt;0,'Boletins Nuppa Site'!A762,"NULL")</f>
        <v>56</v>
      </c>
      <c r="C762">
        <v>9</v>
      </c>
      <c r="D762" t="str">
        <f>IF('Boletins Nuppa Site'!G762&lt;&gt;0,'Boletins Nuppa Site'!G762,"NULL")</f>
        <v>NULL</v>
      </c>
      <c r="E762" s="14">
        <f>IF('Boletins Nuppa Site'!H762&lt;&gt;0,'Boletins Nuppa Site'!H762,"NULL")</f>
        <v>80</v>
      </c>
      <c r="F762" s="14">
        <f>IF('Boletins Nuppa Site'!I762&lt;&gt;0,'Boletins Nuppa Site'!I762,"NULL")</f>
        <v>84</v>
      </c>
      <c r="G762" s="14">
        <f>IF('Boletins Nuppa Site'!J762&lt;&gt;0,'Boletins Nuppa Site'!J762,"NULL")</f>
        <v>82</v>
      </c>
      <c r="H762" s="14">
        <f>IF('Boletins Nuppa Site'!K762&lt;&gt;0,'Boletins Nuppa Site'!K762,"NULL")</f>
        <v>82</v>
      </c>
      <c r="I762" t="str">
        <f t="shared" si="22"/>
        <v>INSERT INTO COTACAO (cot_id, cot_blt_id, cot_pap_id, cot_prc_comum, cot_prc_min, cot_prc_max, cot_prc_med, cot_prc_mediana) VALUES (761, 56, 9, NULL, 80, 84, 82, 82);</v>
      </c>
      <c r="J762" t="str">
        <f t="shared" si="23"/>
        <v>UPDATE COTACAO SET cot_id = 761, cot_blt_id = 56, cot_pap_id = 9, cot_prc_comum = NULL, cot_prc_min = 80, cot_prc_max = 84, cot_prc_med = 82, cot_prc_mediana = 82 WHERE cot_id = 761;</v>
      </c>
    </row>
    <row r="763" spans="1:10" x14ac:dyDescent="0.3">
      <c r="A763">
        <v>762</v>
      </c>
      <c r="B763">
        <f>IF('Boletins Nuppa Site'!A763&lt;&gt;0,'Boletins Nuppa Site'!A763,"NULL")</f>
        <v>56</v>
      </c>
      <c r="C763">
        <v>10</v>
      </c>
      <c r="D763" t="str">
        <f>IF('Boletins Nuppa Site'!G763&lt;&gt;0,'Boletins Nuppa Site'!G763,"NULL")</f>
        <v>NULL</v>
      </c>
      <c r="E763" s="14">
        <f>IF('Boletins Nuppa Site'!H763&lt;&gt;0,'Boletins Nuppa Site'!H763,"NULL")</f>
        <v>25</v>
      </c>
      <c r="F763" s="14">
        <f>IF('Boletins Nuppa Site'!I763&lt;&gt;0,'Boletins Nuppa Site'!I763,"NULL")</f>
        <v>30</v>
      </c>
      <c r="G763" t="str">
        <f>IF('Boletins Nuppa Site'!J763&lt;&gt;0,'Boletins Nuppa Site'!J763,"NULL")</f>
        <v>27.5</v>
      </c>
      <c r="H763" t="str">
        <f>IF('Boletins Nuppa Site'!K763&lt;&gt;0,'Boletins Nuppa Site'!K763,"NULL")</f>
        <v>27.5</v>
      </c>
      <c r="I763" t="str">
        <f t="shared" si="22"/>
        <v>INSERT INTO COTACAO (cot_id, cot_blt_id, cot_pap_id, cot_prc_comum, cot_prc_min, cot_prc_max, cot_prc_med, cot_prc_mediana) VALUES (762, 56, 10, NULL, 25, 30, 27.5, 27.5);</v>
      </c>
      <c r="J763" t="str">
        <f t="shared" si="23"/>
        <v>UPDATE COTACAO SET cot_id = 762, cot_blt_id = 56, cot_pap_id = 10, cot_prc_comum = NULL, cot_prc_min = 25, cot_prc_max = 30, cot_prc_med = 27.5, cot_prc_mediana = 27.5 WHERE cot_id = 762;</v>
      </c>
    </row>
    <row r="764" spans="1:10" x14ac:dyDescent="0.3">
      <c r="A764">
        <v>763</v>
      </c>
      <c r="B764">
        <f>IF('Boletins Nuppa Site'!A764&lt;&gt;0,'Boletins Nuppa Site'!A764,"NULL")</f>
        <v>56</v>
      </c>
      <c r="C764">
        <v>11</v>
      </c>
      <c r="D764" t="str">
        <f>IF('Boletins Nuppa Site'!G764&lt;&gt;0,'Boletins Nuppa Site'!G764,"NULL")</f>
        <v>NULL</v>
      </c>
      <c r="E764" s="14">
        <f>IF('Boletins Nuppa Site'!H764&lt;&gt;0,'Boletins Nuppa Site'!H764,"NULL")</f>
        <v>100</v>
      </c>
      <c r="F764" s="14">
        <f>IF('Boletins Nuppa Site'!I764&lt;&gt;0,'Boletins Nuppa Site'!I764,"NULL")</f>
        <v>108</v>
      </c>
      <c r="G764" s="14">
        <f>IF('Boletins Nuppa Site'!J764&lt;&gt;0,'Boletins Nuppa Site'!J764,"NULL")</f>
        <v>104</v>
      </c>
      <c r="H764" s="14">
        <f>IF('Boletins Nuppa Site'!K764&lt;&gt;0,'Boletins Nuppa Site'!K764,"NULL")</f>
        <v>104</v>
      </c>
      <c r="I764" t="str">
        <f t="shared" si="22"/>
        <v>INSERT INTO COTACAO (cot_id, cot_blt_id, cot_pap_id, cot_prc_comum, cot_prc_min, cot_prc_max, cot_prc_med, cot_prc_mediana) VALUES (763, 56, 11, NULL, 100, 108, 104, 104);</v>
      </c>
      <c r="J764" t="str">
        <f t="shared" si="23"/>
        <v>UPDATE COTACAO SET cot_id = 763, cot_blt_id = 56, cot_pap_id = 11, cot_prc_comum = NULL, cot_prc_min = 100, cot_prc_max = 108, cot_prc_med = 104, cot_prc_mediana = 104 WHERE cot_id = 763;</v>
      </c>
    </row>
    <row r="765" spans="1:10" x14ac:dyDescent="0.3">
      <c r="A765">
        <v>764</v>
      </c>
      <c r="B765">
        <f>IF('Boletins Nuppa Site'!A765&lt;&gt;0,'Boletins Nuppa Site'!A765,"NULL")</f>
        <v>56</v>
      </c>
      <c r="C765">
        <v>12</v>
      </c>
      <c r="D765" s="14">
        <f>IF('Boletins Nuppa Site'!G765&lt;&gt;0,'Boletins Nuppa Site'!G765,"NULL")</f>
        <v>30</v>
      </c>
      <c r="E765" s="14">
        <f>IF('Boletins Nuppa Site'!H765&lt;&gt;0,'Boletins Nuppa Site'!H765,"NULL")</f>
        <v>30</v>
      </c>
      <c r="F765" s="14">
        <f>IF('Boletins Nuppa Site'!I765&lt;&gt;0,'Boletins Nuppa Site'!I765,"NULL")</f>
        <v>30</v>
      </c>
      <c r="G765" s="14">
        <f>IF('Boletins Nuppa Site'!J765&lt;&gt;0,'Boletins Nuppa Site'!J765,"NULL")</f>
        <v>30</v>
      </c>
      <c r="H765" s="14">
        <f>IF('Boletins Nuppa Site'!K765&lt;&gt;0,'Boletins Nuppa Site'!K765,"NULL")</f>
        <v>30</v>
      </c>
      <c r="I765" t="str">
        <f t="shared" si="22"/>
        <v>INSERT INTO COTACAO (cot_id, cot_blt_id, cot_pap_id, cot_prc_comum, cot_prc_min, cot_prc_max, cot_prc_med, cot_prc_mediana) VALUES (764, 56, 12, 30, 30, 30, 30, 30);</v>
      </c>
      <c r="J765" t="str">
        <f t="shared" si="23"/>
        <v>UPDATE COTACAO SET cot_id = 764, cot_blt_id = 56, cot_pap_id = 12, cot_prc_comum = 30, cot_prc_min = 30, cot_prc_max = 30, cot_prc_med = 30, cot_prc_mediana = 30 WHERE cot_id = 764;</v>
      </c>
    </row>
    <row r="766" spans="1:10" x14ac:dyDescent="0.3">
      <c r="A766">
        <v>765</v>
      </c>
      <c r="B766">
        <f>IF('Boletins Nuppa Site'!A766&lt;&gt;0,'Boletins Nuppa Site'!A766,"NULL")</f>
        <v>56</v>
      </c>
      <c r="C766">
        <v>13</v>
      </c>
      <c r="D766" s="14">
        <f>IF('Boletins Nuppa Site'!G766&lt;&gt;0,'Boletins Nuppa Site'!G766,"NULL")</f>
        <v>72</v>
      </c>
      <c r="E766" s="14">
        <f>IF('Boletins Nuppa Site'!H766&lt;&gt;0,'Boletins Nuppa Site'!H766,"NULL")</f>
        <v>72</v>
      </c>
      <c r="F766" s="14">
        <f>IF('Boletins Nuppa Site'!I766&lt;&gt;0,'Boletins Nuppa Site'!I766,"NULL")</f>
        <v>72</v>
      </c>
      <c r="G766" s="14">
        <f>IF('Boletins Nuppa Site'!J766&lt;&gt;0,'Boletins Nuppa Site'!J766,"NULL")</f>
        <v>72</v>
      </c>
      <c r="H766" s="14">
        <f>IF('Boletins Nuppa Site'!K766&lt;&gt;0,'Boletins Nuppa Site'!K766,"NULL")</f>
        <v>72</v>
      </c>
      <c r="I766" t="str">
        <f t="shared" si="22"/>
        <v>INSERT INTO COTACAO (cot_id, cot_blt_id, cot_pap_id, cot_prc_comum, cot_prc_min, cot_prc_max, cot_prc_med, cot_prc_mediana) VALUES (765, 56, 13, 72, 72, 72, 72, 72);</v>
      </c>
      <c r="J766" t="str">
        <f t="shared" si="23"/>
        <v>UPDATE COTACAO SET cot_id = 765, cot_blt_id = 56, cot_pap_id = 13, cot_prc_comum = 72, cot_prc_min = 72, cot_prc_max = 72, cot_prc_med = 72, cot_prc_mediana = 72 WHERE cot_id = 765;</v>
      </c>
    </row>
    <row r="767" spans="1:10" x14ac:dyDescent="0.3">
      <c r="A767">
        <v>766</v>
      </c>
      <c r="B767">
        <f>IF('Boletins Nuppa Site'!A767&lt;&gt;0,'Boletins Nuppa Site'!A767,"NULL")</f>
        <v>56</v>
      </c>
      <c r="C767">
        <v>14</v>
      </c>
      <c r="D767" t="str">
        <f>IF('Boletins Nuppa Site'!G767&lt;&gt;0,'Boletins Nuppa Site'!G767,"NULL")</f>
        <v>NULL</v>
      </c>
      <c r="E767" s="14">
        <f>IF('Boletins Nuppa Site'!H767&lt;&gt;0,'Boletins Nuppa Site'!H767,"NULL")</f>
        <v>60</v>
      </c>
      <c r="F767" s="14">
        <f>IF('Boletins Nuppa Site'!I767&lt;&gt;0,'Boletins Nuppa Site'!I767,"NULL")</f>
        <v>72</v>
      </c>
      <c r="G767" s="14">
        <f>IF('Boletins Nuppa Site'!J767&lt;&gt;0,'Boletins Nuppa Site'!J767,"NULL")</f>
        <v>66</v>
      </c>
      <c r="H767" s="14">
        <f>IF('Boletins Nuppa Site'!K767&lt;&gt;0,'Boletins Nuppa Site'!K767,"NULL")</f>
        <v>66</v>
      </c>
      <c r="I767" t="str">
        <f t="shared" si="22"/>
        <v>INSERT INTO COTACAO (cot_id, cot_blt_id, cot_pap_id, cot_prc_comum, cot_prc_min, cot_prc_max, cot_prc_med, cot_prc_mediana) VALUES (766, 56, 14, NULL, 60, 72, 66, 66);</v>
      </c>
      <c r="J767" t="str">
        <f t="shared" si="23"/>
        <v>UPDATE COTACAO SET cot_id = 766, cot_blt_id = 56, cot_pap_id = 14, cot_prc_comum = NULL, cot_prc_min = 60, cot_prc_max = 72, cot_prc_med = 66, cot_prc_mediana = 66 WHERE cot_id = 766;</v>
      </c>
    </row>
    <row r="768" spans="1:10" x14ac:dyDescent="0.3">
      <c r="A768">
        <v>767</v>
      </c>
      <c r="B768">
        <f>IF('Boletins Nuppa Site'!A768&lt;&gt;0,'Boletins Nuppa Site'!A768,"NULL")</f>
        <v>56</v>
      </c>
      <c r="C768">
        <v>15</v>
      </c>
      <c r="D768" s="14">
        <f>IF('Boletins Nuppa Site'!G768&lt;&gt;0,'Boletins Nuppa Site'!G768,"NULL")</f>
        <v>96</v>
      </c>
      <c r="E768" s="14">
        <f>IF('Boletins Nuppa Site'!H768&lt;&gt;0,'Boletins Nuppa Site'!H768,"NULL")</f>
        <v>60</v>
      </c>
      <c r="F768" s="14">
        <f>IF('Boletins Nuppa Site'!I768&lt;&gt;0,'Boletins Nuppa Site'!I768,"NULL")</f>
        <v>96</v>
      </c>
      <c r="G768" s="14">
        <f>IF('Boletins Nuppa Site'!J768&lt;&gt;0,'Boletins Nuppa Site'!J768,"NULL")</f>
        <v>84</v>
      </c>
      <c r="H768" s="14">
        <f>IF('Boletins Nuppa Site'!K768&lt;&gt;0,'Boletins Nuppa Site'!K768,"NULL")</f>
        <v>96</v>
      </c>
      <c r="I768" t="str">
        <f t="shared" si="22"/>
        <v>INSERT INTO COTACAO (cot_id, cot_blt_id, cot_pap_id, cot_prc_comum, cot_prc_min, cot_prc_max, cot_prc_med, cot_prc_mediana) VALUES (767, 56, 15, 96, 60, 96, 84, 96);</v>
      </c>
      <c r="J768" t="str">
        <f t="shared" si="23"/>
        <v>UPDATE COTACAO SET cot_id = 767, cot_blt_id = 56, cot_pap_id = 15, cot_prc_comum = 96, cot_prc_min = 60, cot_prc_max = 96, cot_prc_med = 84, cot_prc_mediana = 96 WHERE cot_id = 767;</v>
      </c>
    </row>
    <row r="769" spans="1:10" x14ac:dyDescent="0.3">
      <c r="A769">
        <v>768</v>
      </c>
      <c r="B769">
        <f>IF('Boletins Nuppa Site'!A769&lt;&gt;0,'Boletins Nuppa Site'!A769,"NULL")</f>
        <v>56</v>
      </c>
      <c r="C769">
        <v>16</v>
      </c>
      <c r="D769" t="str">
        <f>IF('Boletins Nuppa Site'!G769&lt;&gt;0,'Boletins Nuppa Site'!G769,"NULL")</f>
        <v>NULL</v>
      </c>
      <c r="E769" s="14">
        <f>IF('Boletins Nuppa Site'!H769&lt;&gt;0,'Boletins Nuppa Site'!H769,"NULL")</f>
        <v>50</v>
      </c>
      <c r="F769" s="14">
        <f>IF('Boletins Nuppa Site'!I769&lt;&gt;0,'Boletins Nuppa Site'!I769,"NULL")</f>
        <v>65</v>
      </c>
      <c r="G769" t="str">
        <f>IF('Boletins Nuppa Site'!J769&lt;&gt;0,'Boletins Nuppa Site'!J769,"NULL")</f>
        <v>58.33</v>
      </c>
      <c r="H769" s="14">
        <f>IF('Boletins Nuppa Site'!K769&lt;&gt;0,'Boletins Nuppa Site'!K769,"NULL")</f>
        <v>60</v>
      </c>
      <c r="I769" t="str">
        <f t="shared" si="22"/>
        <v>INSERT INTO COTACAO (cot_id, cot_blt_id, cot_pap_id, cot_prc_comum, cot_prc_min, cot_prc_max, cot_prc_med, cot_prc_mediana) VALUES (768, 56, 16, NULL, 50, 65, 58.33, 60);</v>
      </c>
      <c r="J769" t="str">
        <f t="shared" si="23"/>
        <v>UPDATE COTACAO SET cot_id = 768, cot_blt_id = 56, cot_pap_id = 16, cot_prc_comum = NULL, cot_prc_min = 50, cot_prc_max = 65, cot_prc_med = 58.33, cot_prc_mediana = 60 WHERE cot_id = 768;</v>
      </c>
    </row>
    <row r="770" spans="1:10" x14ac:dyDescent="0.3">
      <c r="A770">
        <v>769</v>
      </c>
      <c r="B770">
        <f>IF('Boletins Nuppa Site'!A770&lt;&gt;0,'Boletins Nuppa Site'!A770,"NULL")</f>
        <v>56</v>
      </c>
      <c r="C770">
        <v>17</v>
      </c>
      <c r="D770" s="14">
        <f>IF('Boletins Nuppa Site'!G770&lt;&gt;0,'Boletins Nuppa Site'!G770,"NULL")</f>
        <v>5</v>
      </c>
      <c r="E770" s="14">
        <f>IF('Boletins Nuppa Site'!H770&lt;&gt;0,'Boletins Nuppa Site'!H770,"NULL")</f>
        <v>5</v>
      </c>
      <c r="F770" s="14">
        <f>IF('Boletins Nuppa Site'!I770&lt;&gt;0,'Boletins Nuppa Site'!I770,"NULL")</f>
        <v>5</v>
      </c>
      <c r="G770" s="14">
        <f>IF('Boletins Nuppa Site'!J770&lt;&gt;0,'Boletins Nuppa Site'!J770,"NULL")</f>
        <v>5</v>
      </c>
      <c r="H770" s="14">
        <f>IF('Boletins Nuppa Site'!K770&lt;&gt;0,'Boletins Nuppa Site'!K770,"NULL")</f>
        <v>5</v>
      </c>
      <c r="I770" t="str">
        <f t="shared" si="22"/>
        <v>INSERT INTO COTACAO (cot_id, cot_blt_id, cot_pap_id, cot_prc_comum, cot_prc_min, cot_prc_max, cot_prc_med, cot_prc_mediana) VALUES (769, 56, 17, 5, 5, 5, 5, 5);</v>
      </c>
      <c r="J770" t="str">
        <f t="shared" si="23"/>
        <v>UPDATE COTACAO SET cot_id = 769, cot_blt_id = 56, cot_pap_id = 17, cot_prc_comum = 5, cot_prc_min = 5, cot_prc_max = 5, cot_prc_med = 5, cot_prc_mediana = 5 WHERE cot_id = 769;</v>
      </c>
    </row>
    <row r="771" spans="1:10" x14ac:dyDescent="0.3">
      <c r="A771">
        <v>770</v>
      </c>
      <c r="B771">
        <f>IF('Boletins Nuppa Site'!A771&lt;&gt;0,'Boletins Nuppa Site'!A771,"NULL")</f>
        <v>56</v>
      </c>
      <c r="C771">
        <v>18</v>
      </c>
      <c r="D771" s="14">
        <f>IF('Boletins Nuppa Site'!G771&lt;&gt;0,'Boletins Nuppa Site'!G771,"NULL")</f>
        <v>25</v>
      </c>
      <c r="E771" s="14">
        <f>IF('Boletins Nuppa Site'!H771&lt;&gt;0,'Boletins Nuppa Site'!H771,"NULL")</f>
        <v>25</v>
      </c>
      <c r="F771" s="14">
        <f>IF('Boletins Nuppa Site'!I771&lt;&gt;0,'Boletins Nuppa Site'!I771,"NULL")</f>
        <v>25</v>
      </c>
      <c r="G771" s="14">
        <f>IF('Boletins Nuppa Site'!J771&lt;&gt;0,'Boletins Nuppa Site'!J771,"NULL")</f>
        <v>25</v>
      </c>
      <c r="H771" s="14">
        <f>IF('Boletins Nuppa Site'!K771&lt;&gt;0,'Boletins Nuppa Site'!K771,"NULL")</f>
        <v>25</v>
      </c>
      <c r="I771" t="str">
        <f t="shared" ref="I771:I834" si="24">"INSERT INTO COTACAO (cot_id, cot_blt_id, cot_pap_id, cot_prc_comum, cot_prc_min, cot_prc_max, cot_prc_med, cot_prc_mediana) VALUES ("&amp;A771&amp;", "&amp;B771&amp;", "&amp;C771&amp;", "&amp;D771&amp;", "&amp;E771&amp;", "&amp;F771&amp;", "&amp;G771&amp;", "&amp;H771&amp;");"</f>
        <v>INSERT INTO COTACAO (cot_id, cot_blt_id, cot_pap_id, cot_prc_comum, cot_prc_min, cot_prc_max, cot_prc_med, cot_prc_mediana) VALUES (770, 56, 18, 25, 25, 25, 25, 25);</v>
      </c>
      <c r="J771" t="str">
        <f t="shared" ref="J771:J834" si="25">"UPDATE COTACAO SET cot_id = "&amp;A771&amp;", cot_blt_id = "&amp;B771&amp;", cot_pap_id = "&amp;C771&amp;", cot_prc_comum = "&amp;D771&amp;", cot_prc_min = "&amp;E771&amp;", cot_prc_max = "&amp;F771&amp;", cot_prc_med = "&amp;G771&amp;", cot_prc_mediana = "&amp;H771&amp;" WHERE cot_id = "&amp;A771&amp;";"</f>
        <v>UPDATE COTACAO SET cot_id = 770, cot_blt_id = 56, cot_pap_id = 18, cot_prc_comum = 25, cot_prc_min = 25, cot_prc_max = 25, cot_prc_med = 25, cot_prc_mediana = 25 WHERE cot_id = 770;</v>
      </c>
    </row>
    <row r="772" spans="1:10" x14ac:dyDescent="0.3">
      <c r="A772">
        <v>771</v>
      </c>
      <c r="B772">
        <f>IF('Boletins Nuppa Site'!A772&lt;&gt;0,'Boletins Nuppa Site'!A772,"NULL")</f>
        <v>56</v>
      </c>
      <c r="C772">
        <v>19</v>
      </c>
      <c r="D772" s="14">
        <f>IF('Boletins Nuppa Site'!G772&lt;&gt;0,'Boletins Nuppa Site'!G772,"NULL")</f>
        <v>30</v>
      </c>
      <c r="E772" s="14">
        <f>IF('Boletins Nuppa Site'!H772&lt;&gt;0,'Boletins Nuppa Site'!H772,"NULL")</f>
        <v>30</v>
      </c>
      <c r="F772" s="14">
        <f>IF('Boletins Nuppa Site'!I772&lt;&gt;0,'Boletins Nuppa Site'!I772,"NULL")</f>
        <v>30</v>
      </c>
      <c r="G772" s="14">
        <f>IF('Boletins Nuppa Site'!J772&lt;&gt;0,'Boletins Nuppa Site'!J772,"NULL")</f>
        <v>30</v>
      </c>
      <c r="H772" s="14">
        <f>IF('Boletins Nuppa Site'!K772&lt;&gt;0,'Boletins Nuppa Site'!K772,"NULL")</f>
        <v>30</v>
      </c>
      <c r="I772" t="str">
        <f t="shared" si="24"/>
        <v>INSERT INTO COTACAO (cot_id, cot_blt_id, cot_pap_id, cot_prc_comum, cot_prc_min, cot_prc_max, cot_prc_med, cot_prc_mediana) VALUES (771, 56, 19, 30, 30, 30, 30, 30);</v>
      </c>
      <c r="J772" t="str">
        <f t="shared" si="25"/>
        <v>UPDATE COTACAO SET cot_id = 771, cot_blt_id = 56, cot_pap_id = 19, cot_prc_comum = 30, cot_prc_min = 30, cot_prc_max = 30, cot_prc_med = 30, cot_prc_mediana = 30 WHERE cot_id = 771;</v>
      </c>
    </row>
    <row r="773" spans="1:10" x14ac:dyDescent="0.3">
      <c r="A773">
        <v>772</v>
      </c>
      <c r="B773">
        <f>IF('Boletins Nuppa Site'!A773&lt;&gt;0,'Boletins Nuppa Site'!A773,"NULL")</f>
        <v>56</v>
      </c>
      <c r="C773">
        <v>20</v>
      </c>
      <c r="D773" t="str">
        <f>IF('Boletins Nuppa Site'!G773&lt;&gt;0,'Boletins Nuppa Site'!G773,"NULL")</f>
        <v>NULL</v>
      </c>
      <c r="E773" s="14">
        <f>IF('Boletins Nuppa Site'!H773&lt;&gt;0,'Boletins Nuppa Site'!H773,"NULL")</f>
        <v>90</v>
      </c>
      <c r="F773" s="14">
        <f>IF('Boletins Nuppa Site'!I773&lt;&gt;0,'Boletins Nuppa Site'!I773,"NULL")</f>
        <v>110</v>
      </c>
      <c r="G773" t="str">
        <f>IF('Boletins Nuppa Site'!J773&lt;&gt;0,'Boletins Nuppa Site'!J773,"NULL")</f>
        <v>98.33</v>
      </c>
      <c r="H773" s="14">
        <f>IF('Boletins Nuppa Site'!K773&lt;&gt;0,'Boletins Nuppa Site'!K773,"NULL")</f>
        <v>95</v>
      </c>
      <c r="I773" t="str">
        <f t="shared" si="24"/>
        <v>INSERT INTO COTACAO (cot_id, cot_blt_id, cot_pap_id, cot_prc_comum, cot_prc_min, cot_prc_max, cot_prc_med, cot_prc_mediana) VALUES (772, 56, 20, NULL, 90, 110, 98.33, 95);</v>
      </c>
      <c r="J773" t="str">
        <f t="shared" si="25"/>
        <v>UPDATE COTACAO SET cot_id = 772, cot_blt_id = 56, cot_pap_id = 20, cot_prc_comum = NULL, cot_prc_min = 90, cot_prc_max = 110, cot_prc_med = 98.33, cot_prc_mediana = 95 WHERE cot_id = 772;</v>
      </c>
    </row>
    <row r="774" spans="1:10" x14ac:dyDescent="0.3">
      <c r="A774">
        <v>773</v>
      </c>
      <c r="B774">
        <f>IF('Boletins Nuppa Site'!A774&lt;&gt;0,'Boletins Nuppa Site'!A774,"NULL")</f>
        <v>56</v>
      </c>
      <c r="C774">
        <v>21</v>
      </c>
      <c r="D774" s="14">
        <f>IF('Boletins Nuppa Site'!G774&lt;&gt;0,'Boletins Nuppa Site'!G774,"NULL")</f>
        <v>90</v>
      </c>
      <c r="E774" s="14">
        <f>IF('Boletins Nuppa Site'!H774&lt;&gt;0,'Boletins Nuppa Site'!H774,"NULL")</f>
        <v>80</v>
      </c>
      <c r="F774" s="14">
        <f>IF('Boletins Nuppa Site'!I774&lt;&gt;0,'Boletins Nuppa Site'!I774,"NULL")</f>
        <v>100</v>
      </c>
      <c r="G774" s="14">
        <f>IF('Boletins Nuppa Site'!J774&lt;&gt;0,'Boletins Nuppa Site'!J774,"NULL")</f>
        <v>92</v>
      </c>
      <c r="H774" s="14">
        <f>IF('Boletins Nuppa Site'!K774&lt;&gt;0,'Boletins Nuppa Site'!K774,"NULL")</f>
        <v>90</v>
      </c>
      <c r="I774" t="str">
        <f t="shared" si="24"/>
        <v>INSERT INTO COTACAO (cot_id, cot_blt_id, cot_pap_id, cot_prc_comum, cot_prc_min, cot_prc_max, cot_prc_med, cot_prc_mediana) VALUES (773, 56, 21, 90, 80, 100, 92, 90);</v>
      </c>
      <c r="J774" t="str">
        <f t="shared" si="25"/>
        <v>UPDATE COTACAO SET cot_id = 773, cot_blt_id = 56, cot_pap_id = 21, cot_prc_comum = 90, cot_prc_min = 80, cot_prc_max = 100, cot_prc_med = 92, cot_prc_mediana = 90 WHERE cot_id = 773;</v>
      </c>
    </row>
    <row r="775" spans="1:10" x14ac:dyDescent="0.3">
      <c r="A775">
        <v>774</v>
      </c>
      <c r="B775">
        <f>IF('Boletins Nuppa Site'!A775&lt;&gt;0,'Boletins Nuppa Site'!A775,"NULL")</f>
        <v>56</v>
      </c>
      <c r="C775">
        <v>22</v>
      </c>
      <c r="D775" s="14">
        <f>IF('Boletins Nuppa Site'!G775&lt;&gt;0,'Boletins Nuppa Site'!G775,"NULL")</f>
        <v>65</v>
      </c>
      <c r="E775" s="14">
        <f>IF('Boletins Nuppa Site'!H775&lt;&gt;0,'Boletins Nuppa Site'!H775,"NULL")</f>
        <v>48</v>
      </c>
      <c r="F775" s="14">
        <f>IF('Boletins Nuppa Site'!I775&lt;&gt;0,'Boletins Nuppa Site'!I775,"NULL")</f>
        <v>70</v>
      </c>
      <c r="G775" s="14">
        <f>IF('Boletins Nuppa Site'!J775&lt;&gt;0,'Boletins Nuppa Site'!J775,"NULL")</f>
        <v>63</v>
      </c>
      <c r="H775" s="14">
        <f>IF('Boletins Nuppa Site'!K775&lt;&gt;0,'Boletins Nuppa Site'!K775,"NULL")</f>
        <v>65</v>
      </c>
      <c r="I775" t="str">
        <f t="shared" si="24"/>
        <v>INSERT INTO COTACAO (cot_id, cot_blt_id, cot_pap_id, cot_prc_comum, cot_prc_min, cot_prc_max, cot_prc_med, cot_prc_mediana) VALUES (774, 56, 22, 65, 48, 70, 63, 65);</v>
      </c>
      <c r="J775" t="str">
        <f t="shared" si="25"/>
        <v>UPDATE COTACAO SET cot_id = 774, cot_blt_id = 56, cot_pap_id = 22, cot_prc_comum = 65, cot_prc_min = 48, cot_prc_max = 70, cot_prc_med = 63, cot_prc_mediana = 65 WHERE cot_id = 774;</v>
      </c>
    </row>
    <row r="776" spans="1:10" x14ac:dyDescent="0.3">
      <c r="A776">
        <v>775</v>
      </c>
      <c r="B776">
        <f>IF('Boletins Nuppa Site'!A776&lt;&gt;0,'Boletins Nuppa Site'!A776,"NULL")</f>
        <v>56</v>
      </c>
      <c r="C776">
        <v>23</v>
      </c>
      <c r="D776" s="14">
        <f>IF('Boletins Nuppa Site'!G776&lt;&gt;0,'Boletins Nuppa Site'!G776,"NULL")</f>
        <v>40</v>
      </c>
      <c r="E776" s="14">
        <f>IF('Boletins Nuppa Site'!H776&lt;&gt;0,'Boletins Nuppa Site'!H776,"NULL")</f>
        <v>35</v>
      </c>
      <c r="F776" s="14">
        <f>IF('Boletins Nuppa Site'!I776&lt;&gt;0,'Boletins Nuppa Site'!I776,"NULL")</f>
        <v>60</v>
      </c>
      <c r="G776" s="14">
        <f>IF('Boletins Nuppa Site'!J776&lt;&gt;0,'Boletins Nuppa Site'!J776,"NULL")</f>
        <v>45</v>
      </c>
      <c r="H776" t="str">
        <f>IF('Boletins Nuppa Site'!K776&lt;&gt;0,'Boletins Nuppa Site'!K776,"NULL")</f>
        <v>42.5</v>
      </c>
      <c r="I776" t="str">
        <f t="shared" si="24"/>
        <v>INSERT INTO COTACAO (cot_id, cot_blt_id, cot_pap_id, cot_prc_comum, cot_prc_min, cot_prc_max, cot_prc_med, cot_prc_mediana) VALUES (775, 56, 23, 40, 35, 60, 45, 42.5);</v>
      </c>
      <c r="J776" t="str">
        <f t="shared" si="25"/>
        <v>UPDATE COTACAO SET cot_id = 775, cot_blt_id = 56, cot_pap_id = 23, cot_prc_comum = 40, cot_prc_min = 35, cot_prc_max = 60, cot_prc_med = 45, cot_prc_mediana = 42.5 WHERE cot_id = 775;</v>
      </c>
    </row>
    <row r="777" spans="1:10" x14ac:dyDescent="0.3">
      <c r="A777">
        <v>776</v>
      </c>
      <c r="B777">
        <f>IF('Boletins Nuppa Site'!A777&lt;&gt;0,'Boletins Nuppa Site'!A777,"NULL")</f>
        <v>56</v>
      </c>
      <c r="C777">
        <v>24</v>
      </c>
      <c r="D777" t="str">
        <f>IF('Boletins Nuppa Site'!G777&lt;&gt;0,'Boletins Nuppa Site'!G777,"NULL")</f>
        <v>NULL</v>
      </c>
      <c r="E777" s="14">
        <f>IF('Boletins Nuppa Site'!H777&lt;&gt;0,'Boletins Nuppa Site'!H777,"NULL")</f>
        <v>100</v>
      </c>
      <c r="F777" s="14">
        <f>IF('Boletins Nuppa Site'!I777&lt;&gt;0,'Boletins Nuppa Site'!I777,"NULL")</f>
        <v>115</v>
      </c>
      <c r="G777" t="str">
        <f>IF('Boletins Nuppa Site'!J777&lt;&gt;0,'Boletins Nuppa Site'!J777,"NULL")</f>
        <v>108.33</v>
      </c>
      <c r="H777" s="14">
        <f>IF('Boletins Nuppa Site'!K777&lt;&gt;0,'Boletins Nuppa Site'!K777,"NULL")</f>
        <v>110</v>
      </c>
      <c r="I777" t="str">
        <f t="shared" si="24"/>
        <v>INSERT INTO COTACAO (cot_id, cot_blt_id, cot_pap_id, cot_prc_comum, cot_prc_min, cot_prc_max, cot_prc_med, cot_prc_mediana) VALUES (776, 56, 24, NULL, 100, 115, 108.33, 110);</v>
      </c>
      <c r="J777" t="str">
        <f t="shared" si="25"/>
        <v>UPDATE COTACAO SET cot_id = 776, cot_blt_id = 56, cot_pap_id = 24, cot_prc_comum = NULL, cot_prc_min = 100, cot_prc_max = 115, cot_prc_med = 108.33, cot_prc_mediana = 110 WHERE cot_id = 776;</v>
      </c>
    </row>
    <row r="778" spans="1:10" x14ac:dyDescent="0.3">
      <c r="A778">
        <v>777</v>
      </c>
      <c r="B778">
        <f>IF('Boletins Nuppa Site'!A778&lt;&gt;0,'Boletins Nuppa Site'!A778,"NULL")</f>
        <v>56</v>
      </c>
      <c r="C778">
        <v>25</v>
      </c>
      <c r="D778" s="14">
        <f>IF('Boletins Nuppa Site'!G778&lt;&gt;0,'Boletins Nuppa Site'!G778,"NULL")</f>
        <v>120</v>
      </c>
      <c r="E778" s="14">
        <f>IF('Boletins Nuppa Site'!H778&lt;&gt;0,'Boletins Nuppa Site'!H778,"NULL")</f>
        <v>100</v>
      </c>
      <c r="F778" s="14">
        <f>IF('Boletins Nuppa Site'!I778&lt;&gt;0,'Boletins Nuppa Site'!I778,"NULL")</f>
        <v>120</v>
      </c>
      <c r="G778" s="14">
        <f>IF('Boletins Nuppa Site'!J778&lt;&gt;0,'Boletins Nuppa Site'!J778,"NULL")</f>
        <v>110</v>
      </c>
      <c r="H778" s="14">
        <f>IF('Boletins Nuppa Site'!K778&lt;&gt;0,'Boletins Nuppa Site'!K778,"NULL")</f>
        <v>110</v>
      </c>
      <c r="I778" t="str">
        <f t="shared" si="24"/>
        <v>INSERT INTO COTACAO (cot_id, cot_blt_id, cot_pap_id, cot_prc_comum, cot_prc_min, cot_prc_max, cot_prc_med, cot_prc_mediana) VALUES (777, 56, 25, 120, 100, 120, 110, 110);</v>
      </c>
      <c r="J778" t="str">
        <f t="shared" si="25"/>
        <v>UPDATE COTACAO SET cot_id = 777, cot_blt_id = 56, cot_pap_id = 25, cot_prc_comum = 120, cot_prc_min = 100, cot_prc_max = 120, cot_prc_med = 110, cot_prc_mediana = 110 WHERE cot_id = 777;</v>
      </c>
    </row>
    <row r="779" spans="1:10" x14ac:dyDescent="0.3">
      <c r="A779">
        <v>778</v>
      </c>
      <c r="B779">
        <f>IF('Boletins Nuppa Site'!A779&lt;&gt;0,'Boletins Nuppa Site'!A779,"NULL")</f>
        <v>56</v>
      </c>
      <c r="C779">
        <v>26</v>
      </c>
      <c r="D779" t="str">
        <f>IF('Boletins Nuppa Site'!G779&lt;&gt;0,'Boletins Nuppa Site'!G779,"NULL")</f>
        <v>NULL</v>
      </c>
      <c r="E779" s="14">
        <f>IF('Boletins Nuppa Site'!H779&lt;&gt;0,'Boletins Nuppa Site'!H779,"NULL")</f>
        <v>90</v>
      </c>
      <c r="F779" s="14">
        <f>IF('Boletins Nuppa Site'!I779&lt;&gt;0,'Boletins Nuppa Site'!I779,"NULL")</f>
        <v>145</v>
      </c>
      <c r="G779" t="str">
        <f>IF('Boletins Nuppa Site'!J779&lt;&gt;0,'Boletins Nuppa Site'!J779,"NULL")</f>
        <v>120.83</v>
      </c>
      <c r="H779" s="14">
        <f>IF('Boletins Nuppa Site'!K779&lt;&gt;0,'Boletins Nuppa Site'!K779,"NULL")</f>
        <v>125</v>
      </c>
      <c r="I779" t="str">
        <f t="shared" si="24"/>
        <v>INSERT INTO COTACAO (cot_id, cot_blt_id, cot_pap_id, cot_prc_comum, cot_prc_min, cot_prc_max, cot_prc_med, cot_prc_mediana) VALUES (778, 56, 26, NULL, 90, 145, 120.83, 125);</v>
      </c>
      <c r="J779" t="str">
        <f t="shared" si="25"/>
        <v>UPDATE COTACAO SET cot_id = 778, cot_blt_id = 56, cot_pap_id = 26, cot_prc_comum = NULL, cot_prc_min = 90, cot_prc_max = 145, cot_prc_med = 120.83, cot_prc_mediana = 125 WHERE cot_id = 778;</v>
      </c>
    </row>
    <row r="780" spans="1:10" x14ac:dyDescent="0.3">
      <c r="A780">
        <v>779</v>
      </c>
      <c r="B780">
        <f>IF('Boletins Nuppa Site'!A780&lt;&gt;0,'Boletins Nuppa Site'!A780,"NULL")</f>
        <v>56</v>
      </c>
      <c r="C780">
        <v>27</v>
      </c>
      <c r="D780" s="14">
        <f>IF('Boletins Nuppa Site'!G780&lt;&gt;0,'Boletins Nuppa Site'!G780,"NULL")</f>
        <v>80</v>
      </c>
      <c r="E780" s="14">
        <f>IF('Boletins Nuppa Site'!H780&lt;&gt;0,'Boletins Nuppa Site'!H780,"NULL")</f>
        <v>60</v>
      </c>
      <c r="F780" s="14">
        <f>IF('Boletins Nuppa Site'!I780&lt;&gt;0,'Boletins Nuppa Site'!I780,"NULL")</f>
        <v>80</v>
      </c>
      <c r="G780" s="14">
        <f>IF('Boletins Nuppa Site'!J780&lt;&gt;0,'Boletins Nuppa Site'!J780,"NULL")</f>
        <v>74</v>
      </c>
      <c r="H780" s="14">
        <f>IF('Boletins Nuppa Site'!K780&lt;&gt;0,'Boletins Nuppa Site'!K780,"NULL")</f>
        <v>75</v>
      </c>
      <c r="I780" t="str">
        <f t="shared" si="24"/>
        <v>INSERT INTO COTACAO (cot_id, cot_blt_id, cot_pap_id, cot_prc_comum, cot_prc_min, cot_prc_max, cot_prc_med, cot_prc_mediana) VALUES (779, 56, 27, 80, 60, 80, 74, 75);</v>
      </c>
      <c r="J780" t="str">
        <f t="shared" si="25"/>
        <v>UPDATE COTACAO SET cot_id = 779, cot_blt_id = 56, cot_pap_id = 27, cot_prc_comum = 80, cot_prc_min = 60, cot_prc_max = 80, cot_prc_med = 74, cot_prc_mediana = 75 WHERE cot_id = 779;</v>
      </c>
    </row>
    <row r="781" spans="1:10" x14ac:dyDescent="0.3">
      <c r="A781">
        <v>780</v>
      </c>
      <c r="B781">
        <f>IF('Boletins Nuppa Site'!A781&lt;&gt;0,'Boletins Nuppa Site'!A781,"NULL")</f>
        <v>56</v>
      </c>
      <c r="C781">
        <v>28</v>
      </c>
      <c r="D781" t="str">
        <f>IF('Boletins Nuppa Site'!G781&lt;&gt;0,'Boletins Nuppa Site'!G781,"NULL")</f>
        <v>NULL</v>
      </c>
      <c r="E781" s="14">
        <f>IF('Boletins Nuppa Site'!H781&lt;&gt;0,'Boletins Nuppa Site'!H781,"NULL")</f>
        <v>90</v>
      </c>
      <c r="F781" s="14">
        <f>IF('Boletins Nuppa Site'!I781&lt;&gt;0,'Boletins Nuppa Site'!I781,"NULL")</f>
        <v>130</v>
      </c>
      <c r="G781" s="14">
        <f>IF('Boletins Nuppa Site'!J781&lt;&gt;0,'Boletins Nuppa Site'!J781,"NULL")</f>
        <v>110</v>
      </c>
      <c r="H781" s="14">
        <f>IF('Boletins Nuppa Site'!K781&lt;&gt;0,'Boletins Nuppa Site'!K781,"NULL")</f>
        <v>110</v>
      </c>
      <c r="I781" t="str">
        <f t="shared" si="24"/>
        <v>INSERT INTO COTACAO (cot_id, cot_blt_id, cot_pap_id, cot_prc_comum, cot_prc_min, cot_prc_max, cot_prc_med, cot_prc_mediana) VALUES (780, 56, 28, NULL, 90, 130, 110, 110);</v>
      </c>
      <c r="J781" t="str">
        <f t="shared" si="25"/>
        <v>UPDATE COTACAO SET cot_id = 780, cot_blt_id = 56, cot_pap_id = 28, cot_prc_comum = NULL, cot_prc_min = 90, cot_prc_max = 130, cot_prc_med = 110, cot_prc_mediana = 110 WHERE cot_id = 780;</v>
      </c>
    </row>
    <row r="782" spans="1:10" x14ac:dyDescent="0.3">
      <c r="A782">
        <v>781</v>
      </c>
      <c r="B782">
        <f>IF('Boletins Nuppa Site'!A782&lt;&gt;0,'Boletins Nuppa Site'!A782,"NULL")</f>
        <v>56</v>
      </c>
      <c r="C782">
        <v>29</v>
      </c>
      <c r="D782" s="14">
        <f>IF('Boletins Nuppa Site'!G782&lt;&gt;0,'Boletins Nuppa Site'!G782,"NULL")</f>
        <v>70</v>
      </c>
      <c r="E782" s="14">
        <f>IF('Boletins Nuppa Site'!H782&lt;&gt;0,'Boletins Nuppa Site'!H782,"NULL")</f>
        <v>35</v>
      </c>
      <c r="F782" s="14">
        <f>IF('Boletins Nuppa Site'!I782&lt;&gt;0,'Boletins Nuppa Site'!I782,"NULL")</f>
        <v>70</v>
      </c>
      <c r="G782" t="str">
        <f>IF('Boletins Nuppa Site'!J782&lt;&gt;0,'Boletins Nuppa Site'!J782,"NULL")</f>
        <v>53.75</v>
      </c>
      <c r="H782" s="14">
        <f>IF('Boletins Nuppa Site'!K782&lt;&gt;0,'Boletins Nuppa Site'!K782,"NULL")</f>
        <v>55</v>
      </c>
      <c r="I782" t="str">
        <f t="shared" si="24"/>
        <v>INSERT INTO COTACAO (cot_id, cot_blt_id, cot_pap_id, cot_prc_comum, cot_prc_min, cot_prc_max, cot_prc_med, cot_prc_mediana) VALUES (781, 56, 29, 70, 35, 70, 53.75, 55);</v>
      </c>
      <c r="J782" t="str">
        <f t="shared" si="25"/>
        <v>UPDATE COTACAO SET cot_id = 781, cot_blt_id = 56, cot_pap_id = 29, cot_prc_comum = 70, cot_prc_min = 35, cot_prc_max = 70, cot_prc_med = 53.75, cot_prc_mediana = 55 WHERE cot_id = 781;</v>
      </c>
    </row>
    <row r="783" spans="1:10" x14ac:dyDescent="0.3">
      <c r="A783">
        <v>782</v>
      </c>
      <c r="B783">
        <f>IF('Boletins Nuppa Site'!A783&lt;&gt;0,'Boletins Nuppa Site'!A783,"NULL")</f>
        <v>56</v>
      </c>
      <c r="C783">
        <v>30</v>
      </c>
      <c r="D783" t="str">
        <f>IF('Boletins Nuppa Site'!G783&lt;&gt;0,'Boletins Nuppa Site'!G783,"NULL")</f>
        <v>NULL</v>
      </c>
      <c r="E783" s="14">
        <f>IF('Boletins Nuppa Site'!H783&lt;&gt;0,'Boletins Nuppa Site'!H783,"NULL")</f>
        <v>70</v>
      </c>
      <c r="F783" s="14">
        <f>IF('Boletins Nuppa Site'!I783&lt;&gt;0,'Boletins Nuppa Site'!I783,"NULL")</f>
        <v>90</v>
      </c>
      <c r="G783" t="str">
        <f>IF('Boletins Nuppa Site'!J783&lt;&gt;0,'Boletins Nuppa Site'!J783,"NULL")</f>
        <v>78.33</v>
      </c>
      <c r="H783" s="14">
        <f>IF('Boletins Nuppa Site'!K783&lt;&gt;0,'Boletins Nuppa Site'!K783,"NULL")</f>
        <v>75</v>
      </c>
      <c r="I783" t="str">
        <f t="shared" si="24"/>
        <v>INSERT INTO COTACAO (cot_id, cot_blt_id, cot_pap_id, cot_prc_comum, cot_prc_min, cot_prc_max, cot_prc_med, cot_prc_mediana) VALUES (782, 56, 30, NULL, 70, 90, 78.33, 75);</v>
      </c>
      <c r="J783" t="str">
        <f t="shared" si="25"/>
        <v>UPDATE COTACAO SET cot_id = 782, cot_blt_id = 56, cot_pap_id = 30, cot_prc_comum = NULL, cot_prc_min = 70, cot_prc_max = 90, cot_prc_med = 78.33, cot_prc_mediana = 75 WHERE cot_id = 782;</v>
      </c>
    </row>
    <row r="784" spans="1:10" x14ac:dyDescent="0.3">
      <c r="A784">
        <v>783</v>
      </c>
      <c r="B784">
        <f>IF('Boletins Nuppa Site'!A784&lt;&gt;0,'Boletins Nuppa Site'!A784,"NULL")</f>
        <v>56</v>
      </c>
      <c r="C784">
        <v>31</v>
      </c>
      <c r="D784" s="14">
        <f>IF('Boletins Nuppa Site'!G784&lt;&gt;0,'Boletins Nuppa Site'!G784,"NULL")</f>
        <v>110</v>
      </c>
      <c r="E784" s="14">
        <f>IF('Boletins Nuppa Site'!H784&lt;&gt;0,'Boletins Nuppa Site'!H784,"NULL")</f>
        <v>90</v>
      </c>
      <c r="F784" s="14">
        <f>IF('Boletins Nuppa Site'!I784&lt;&gt;0,'Boletins Nuppa Site'!I784,"NULL")</f>
        <v>130</v>
      </c>
      <c r="G784" t="str">
        <f>IF('Boletins Nuppa Site'!J784&lt;&gt;0,'Boletins Nuppa Site'!J784,"NULL")</f>
        <v>106.67</v>
      </c>
      <c r="H784" s="14">
        <f>IF('Boletins Nuppa Site'!K784&lt;&gt;0,'Boletins Nuppa Site'!K784,"NULL")</f>
        <v>105</v>
      </c>
      <c r="I784" t="str">
        <f t="shared" si="24"/>
        <v>INSERT INTO COTACAO (cot_id, cot_blt_id, cot_pap_id, cot_prc_comum, cot_prc_min, cot_prc_max, cot_prc_med, cot_prc_mediana) VALUES (783, 56, 31, 110, 90, 130, 106.67, 105);</v>
      </c>
      <c r="J784" t="str">
        <f t="shared" si="25"/>
        <v>UPDATE COTACAO SET cot_id = 783, cot_blt_id = 56, cot_pap_id = 31, cot_prc_comum = 110, cot_prc_min = 90, cot_prc_max = 130, cot_prc_med = 106.67, cot_prc_mediana = 105 WHERE cot_id = 783;</v>
      </c>
    </row>
    <row r="785" spans="1:10" x14ac:dyDescent="0.3">
      <c r="A785">
        <v>784</v>
      </c>
      <c r="B785">
        <f>IF('Boletins Nuppa Site'!A785&lt;&gt;0,'Boletins Nuppa Site'!A785,"NULL")</f>
        <v>56</v>
      </c>
      <c r="C785">
        <v>32</v>
      </c>
      <c r="D785" s="14">
        <f>IF('Boletins Nuppa Site'!G785&lt;&gt;0,'Boletins Nuppa Site'!G785,"NULL")</f>
        <v>60</v>
      </c>
      <c r="E785" s="14">
        <f>IF('Boletins Nuppa Site'!H785&lt;&gt;0,'Boletins Nuppa Site'!H785,"NULL")</f>
        <v>45</v>
      </c>
      <c r="F785" s="14">
        <f>IF('Boletins Nuppa Site'!I785&lt;&gt;0,'Boletins Nuppa Site'!I785,"NULL")</f>
        <v>60</v>
      </c>
      <c r="G785" s="14">
        <f>IF('Boletins Nuppa Site'!J785&lt;&gt;0,'Boletins Nuppa Site'!J785,"NULL")</f>
        <v>54</v>
      </c>
      <c r="H785" s="14">
        <f>IF('Boletins Nuppa Site'!K785&lt;&gt;0,'Boletins Nuppa Site'!K785,"NULL")</f>
        <v>55</v>
      </c>
      <c r="I785" t="str">
        <f t="shared" si="24"/>
        <v>INSERT INTO COTACAO (cot_id, cot_blt_id, cot_pap_id, cot_prc_comum, cot_prc_min, cot_prc_max, cot_prc_med, cot_prc_mediana) VALUES (784, 56, 32, 60, 45, 60, 54, 55);</v>
      </c>
      <c r="J785" t="str">
        <f t="shared" si="25"/>
        <v>UPDATE COTACAO SET cot_id = 784, cot_blt_id = 56, cot_pap_id = 32, cot_prc_comum = 60, cot_prc_min = 45, cot_prc_max = 60, cot_prc_med = 54, cot_prc_mediana = 55 WHERE cot_id = 784;</v>
      </c>
    </row>
    <row r="786" spans="1:10" x14ac:dyDescent="0.3">
      <c r="A786">
        <v>785</v>
      </c>
      <c r="B786">
        <f>IF('Boletins Nuppa Site'!A786&lt;&gt;0,'Boletins Nuppa Site'!A786,"NULL")</f>
        <v>56</v>
      </c>
      <c r="C786">
        <v>33</v>
      </c>
      <c r="D786" s="14">
        <f>IF('Boletins Nuppa Site'!G786&lt;&gt;0,'Boletins Nuppa Site'!G786,"NULL")</f>
        <v>200</v>
      </c>
      <c r="E786" s="14">
        <f>IF('Boletins Nuppa Site'!H786&lt;&gt;0,'Boletins Nuppa Site'!H786,"NULL")</f>
        <v>100</v>
      </c>
      <c r="F786" s="14">
        <f>IF('Boletins Nuppa Site'!I786&lt;&gt;0,'Boletins Nuppa Site'!I786,"NULL")</f>
        <v>200</v>
      </c>
      <c r="G786" s="14">
        <f>IF('Boletins Nuppa Site'!J786&lt;&gt;0,'Boletins Nuppa Site'!J786,"NULL")</f>
        <v>160</v>
      </c>
      <c r="H786" s="14">
        <f>IF('Boletins Nuppa Site'!K786&lt;&gt;0,'Boletins Nuppa Site'!K786,"NULL")</f>
        <v>160</v>
      </c>
      <c r="I786" t="str">
        <f t="shared" si="24"/>
        <v>INSERT INTO COTACAO (cot_id, cot_blt_id, cot_pap_id, cot_prc_comum, cot_prc_min, cot_prc_max, cot_prc_med, cot_prc_mediana) VALUES (785, 56, 33, 200, 100, 200, 160, 160);</v>
      </c>
      <c r="J786" t="str">
        <f t="shared" si="25"/>
        <v>UPDATE COTACAO SET cot_id = 785, cot_blt_id = 56, cot_pap_id = 33, cot_prc_comum = 200, cot_prc_min = 100, cot_prc_max = 200, cot_prc_med = 160, cot_prc_mediana = 160 WHERE cot_id = 785;</v>
      </c>
    </row>
    <row r="787" spans="1:10" x14ac:dyDescent="0.3">
      <c r="A787">
        <v>786</v>
      </c>
      <c r="B787">
        <f>IF('Boletins Nuppa Site'!A787&lt;&gt;0,'Boletins Nuppa Site'!A787,"NULL")</f>
        <v>56</v>
      </c>
      <c r="C787">
        <v>34</v>
      </c>
      <c r="D787" s="14">
        <f>IF('Boletins Nuppa Site'!G787&lt;&gt;0,'Boletins Nuppa Site'!G787,"NULL")</f>
        <v>180</v>
      </c>
      <c r="E787" s="14">
        <f>IF('Boletins Nuppa Site'!H787&lt;&gt;0,'Boletins Nuppa Site'!H787,"NULL")</f>
        <v>120</v>
      </c>
      <c r="F787" s="14">
        <f>IF('Boletins Nuppa Site'!I787&lt;&gt;0,'Boletins Nuppa Site'!I787,"NULL")</f>
        <v>180</v>
      </c>
      <c r="G787" s="14">
        <f>IF('Boletins Nuppa Site'!J787&lt;&gt;0,'Boletins Nuppa Site'!J787,"NULL")</f>
        <v>158</v>
      </c>
      <c r="H787" s="14">
        <f>IF('Boletins Nuppa Site'!K787&lt;&gt;0,'Boletins Nuppa Site'!K787,"NULL")</f>
        <v>160</v>
      </c>
      <c r="I787" t="str">
        <f t="shared" si="24"/>
        <v>INSERT INTO COTACAO (cot_id, cot_blt_id, cot_pap_id, cot_prc_comum, cot_prc_min, cot_prc_max, cot_prc_med, cot_prc_mediana) VALUES (786, 56, 34, 180, 120, 180, 158, 160);</v>
      </c>
      <c r="J787" t="str">
        <f t="shared" si="25"/>
        <v>UPDATE COTACAO SET cot_id = 786, cot_blt_id = 56, cot_pap_id = 34, cot_prc_comum = 180, cot_prc_min = 120, cot_prc_max = 180, cot_prc_med = 158, cot_prc_mediana = 160 WHERE cot_id = 786;</v>
      </c>
    </row>
    <row r="788" spans="1:10" x14ac:dyDescent="0.3">
      <c r="A788">
        <v>787</v>
      </c>
      <c r="B788">
        <f>IF('Boletins Nuppa Site'!A788&lt;&gt;0,'Boletins Nuppa Site'!A788,"NULL")</f>
        <v>56</v>
      </c>
      <c r="C788">
        <v>35</v>
      </c>
      <c r="D788" t="str">
        <f>IF('Boletins Nuppa Site'!G788&lt;&gt;0,'Boletins Nuppa Site'!G788,"NULL")</f>
        <v>NULL</v>
      </c>
      <c r="E788" s="14">
        <f>IF('Boletins Nuppa Site'!H788&lt;&gt;0,'Boletins Nuppa Site'!H788,"NULL")</f>
        <v>200</v>
      </c>
      <c r="F788" s="14">
        <f>IF('Boletins Nuppa Site'!I788&lt;&gt;0,'Boletins Nuppa Site'!I788,"NULL")</f>
        <v>250</v>
      </c>
      <c r="G788" t="str">
        <f>IF('Boletins Nuppa Site'!J788&lt;&gt;0,'Boletins Nuppa Site'!J788,"NULL")</f>
        <v>223.33</v>
      </c>
      <c r="H788" s="14">
        <f>IF('Boletins Nuppa Site'!K788&lt;&gt;0,'Boletins Nuppa Site'!K788,"NULL")</f>
        <v>220</v>
      </c>
      <c r="I788" t="str">
        <f t="shared" si="24"/>
        <v>INSERT INTO COTACAO (cot_id, cot_blt_id, cot_pap_id, cot_prc_comum, cot_prc_min, cot_prc_max, cot_prc_med, cot_prc_mediana) VALUES (787, 56, 35, NULL, 200, 250, 223.33, 220);</v>
      </c>
      <c r="J788" t="str">
        <f t="shared" si="25"/>
        <v>UPDATE COTACAO SET cot_id = 787, cot_blt_id = 56, cot_pap_id = 35, cot_prc_comum = NULL, cot_prc_min = 200, cot_prc_max = 250, cot_prc_med = 223.33, cot_prc_mediana = 220 WHERE cot_id = 787;</v>
      </c>
    </row>
    <row r="789" spans="1:10" x14ac:dyDescent="0.3">
      <c r="A789">
        <v>788</v>
      </c>
      <c r="B789">
        <f>IF('Boletins Nuppa Site'!A789&lt;&gt;0,'Boletins Nuppa Site'!A789,"NULL")</f>
        <v>56</v>
      </c>
      <c r="C789">
        <v>36</v>
      </c>
      <c r="D789" t="str">
        <f>IF('Boletins Nuppa Site'!G789&lt;&gt;0,'Boletins Nuppa Site'!G789,"NULL")</f>
        <v>NULL</v>
      </c>
      <c r="E789" s="14">
        <f>IF('Boletins Nuppa Site'!H789&lt;&gt;0,'Boletins Nuppa Site'!H789,"NULL")</f>
        <v>110</v>
      </c>
      <c r="F789" s="14">
        <f>IF('Boletins Nuppa Site'!I789&lt;&gt;0,'Boletins Nuppa Site'!I789,"NULL")</f>
        <v>110</v>
      </c>
      <c r="G789" s="14">
        <f>IF('Boletins Nuppa Site'!J789&lt;&gt;0,'Boletins Nuppa Site'!J789,"NULL")</f>
        <v>110</v>
      </c>
      <c r="H789" s="14">
        <f>IF('Boletins Nuppa Site'!K789&lt;&gt;0,'Boletins Nuppa Site'!K789,"NULL")</f>
        <v>110</v>
      </c>
      <c r="I789" t="str">
        <f t="shared" si="24"/>
        <v>INSERT INTO COTACAO (cot_id, cot_blt_id, cot_pap_id, cot_prc_comum, cot_prc_min, cot_prc_max, cot_prc_med, cot_prc_mediana) VALUES (788, 56, 36, NULL, 110, 110, 110, 110);</v>
      </c>
      <c r="J789" t="str">
        <f t="shared" si="25"/>
        <v>UPDATE COTACAO SET cot_id = 788, cot_blt_id = 56, cot_pap_id = 36, cot_prc_comum = NULL, cot_prc_min = 110, cot_prc_max = 110, cot_prc_med = 110, cot_prc_mediana = 110 WHERE cot_id = 788;</v>
      </c>
    </row>
    <row r="790" spans="1:10" x14ac:dyDescent="0.3">
      <c r="A790">
        <v>789</v>
      </c>
      <c r="B790">
        <f>IF('Boletins Nuppa Site'!A790&lt;&gt;0,'Boletins Nuppa Site'!A790,"NULL")</f>
        <v>56</v>
      </c>
      <c r="C790">
        <v>37</v>
      </c>
      <c r="D790" t="str">
        <f>IF('Boletins Nuppa Site'!G790&lt;&gt;0,'Boletins Nuppa Site'!G790,"NULL")</f>
        <v>NULL</v>
      </c>
      <c r="E790" s="14">
        <f>IF('Boletins Nuppa Site'!H790&lt;&gt;0,'Boletins Nuppa Site'!H790,"NULL")</f>
        <v>110</v>
      </c>
      <c r="F790" s="14">
        <f>IF('Boletins Nuppa Site'!I790&lt;&gt;0,'Boletins Nuppa Site'!I790,"NULL")</f>
        <v>110</v>
      </c>
      <c r="G790" s="14">
        <f>IF('Boletins Nuppa Site'!J790&lt;&gt;0,'Boletins Nuppa Site'!J790,"NULL")</f>
        <v>110</v>
      </c>
      <c r="H790" s="14">
        <f>IF('Boletins Nuppa Site'!K790&lt;&gt;0,'Boletins Nuppa Site'!K790,"NULL")</f>
        <v>110</v>
      </c>
      <c r="I790" t="str">
        <f t="shared" si="24"/>
        <v>INSERT INTO COTACAO (cot_id, cot_blt_id, cot_pap_id, cot_prc_comum, cot_prc_min, cot_prc_max, cot_prc_med, cot_prc_mediana) VALUES (789, 56, 37, NULL, 110, 110, 110, 110);</v>
      </c>
      <c r="J790" t="str">
        <f t="shared" si="25"/>
        <v>UPDATE COTACAO SET cot_id = 789, cot_blt_id = 56, cot_pap_id = 37, cot_prc_comum = NULL, cot_prc_min = 110, cot_prc_max = 110, cot_prc_med = 110, cot_prc_mediana = 110 WHERE cot_id = 789;</v>
      </c>
    </row>
    <row r="791" spans="1:10" x14ac:dyDescent="0.3">
      <c r="A791">
        <v>790</v>
      </c>
      <c r="B791">
        <f>IF('Boletins Nuppa Site'!A791&lt;&gt;0,'Boletins Nuppa Site'!A791,"NULL")</f>
        <v>56</v>
      </c>
      <c r="C791">
        <v>38</v>
      </c>
      <c r="D791" t="str">
        <f>IF('Boletins Nuppa Site'!G791&lt;&gt;0,'Boletins Nuppa Site'!G791,"NULL")</f>
        <v>NULL</v>
      </c>
      <c r="E791" t="str">
        <f>IF('Boletins Nuppa Site'!H791&lt;&gt;0,'Boletins Nuppa Site'!H791,"NULL")</f>
        <v>NULL</v>
      </c>
      <c r="F791" t="str">
        <f>IF('Boletins Nuppa Site'!I791&lt;&gt;0,'Boletins Nuppa Site'!I791,"NULL")</f>
        <v>NULL</v>
      </c>
      <c r="G791" t="str">
        <f>IF('Boletins Nuppa Site'!J791&lt;&gt;0,'Boletins Nuppa Site'!J791,"NULL")</f>
        <v>NULL</v>
      </c>
      <c r="H791" t="str">
        <f>IF('Boletins Nuppa Site'!K791&lt;&gt;0,'Boletins Nuppa Site'!K791,"NULL")</f>
        <v>NULL</v>
      </c>
      <c r="I791" t="str">
        <f t="shared" si="24"/>
        <v>INSERT INTO COTACAO (cot_id, cot_blt_id, cot_pap_id, cot_prc_comum, cot_prc_min, cot_prc_max, cot_prc_med, cot_prc_mediana) VALUES (790, 56, 38, NULL, NULL, NULL, NULL, NULL);</v>
      </c>
      <c r="J791" t="str">
        <f t="shared" si="25"/>
        <v>UPDATE COTACAO SET cot_id = 790, cot_blt_id = 56, cot_pap_id = 38, cot_prc_comum = NULL, cot_prc_min = NULL, cot_prc_max = NULL, cot_prc_med = NULL, cot_prc_mediana = NULL WHERE cot_id = 790;</v>
      </c>
    </row>
    <row r="792" spans="1:10" x14ac:dyDescent="0.3">
      <c r="A792">
        <v>791</v>
      </c>
      <c r="B792">
        <f>IF('Boletins Nuppa Site'!A792&lt;&gt;0,'Boletins Nuppa Site'!A792,"NULL")</f>
        <v>56</v>
      </c>
      <c r="C792">
        <v>39</v>
      </c>
      <c r="D792" t="str">
        <f>IF('Boletins Nuppa Site'!G792&lt;&gt;0,'Boletins Nuppa Site'!G792,"NULL")</f>
        <v>NULL</v>
      </c>
      <c r="E792" s="14">
        <f>IF('Boletins Nuppa Site'!H792&lt;&gt;0,'Boletins Nuppa Site'!H792,"NULL")</f>
        <v>48</v>
      </c>
      <c r="F792" s="14">
        <f>IF('Boletins Nuppa Site'!I792&lt;&gt;0,'Boletins Nuppa Site'!I792,"NULL")</f>
        <v>48</v>
      </c>
      <c r="G792" s="14">
        <f>IF('Boletins Nuppa Site'!J792&lt;&gt;0,'Boletins Nuppa Site'!J792,"NULL")</f>
        <v>48</v>
      </c>
      <c r="H792" s="14">
        <f>IF('Boletins Nuppa Site'!K792&lt;&gt;0,'Boletins Nuppa Site'!K792,"NULL")</f>
        <v>48</v>
      </c>
      <c r="I792" t="str">
        <f t="shared" si="24"/>
        <v>INSERT INTO COTACAO (cot_id, cot_blt_id, cot_pap_id, cot_prc_comum, cot_prc_min, cot_prc_max, cot_prc_med, cot_prc_mediana) VALUES (791, 56, 39, NULL, 48, 48, 48, 48);</v>
      </c>
      <c r="J792" t="str">
        <f t="shared" si="25"/>
        <v>UPDATE COTACAO SET cot_id = 791, cot_blt_id = 56, cot_pap_id = 39, cot_prc_comum = NULL, cot_prc_min = 48, cot_prc_max = 48, cot_prc_med = 48, cot_prc_mediana = 48 WHERE cot_id = 791;</v>
      </c>
    </row>
    <row r="793" spans="1:10" x14ac:dyDescent="0.3">
      <c r="A793">
        <v>792</v>
      </c>
      <c r="B793">
        <f>IF('Boletins Nuppa Site'!A793&lt;&gt;0,'Boletins Nuppa Site'!A793,"NULL")</f>
        <v>56</v>
      </c>
      <c r="C793">
        <v>40</v>
      </c>
      <c r="D793" t="str">
        <f>IF('Boletins Nuppa Site'!G793&lt;&gt;0,'Boletins Nuppa Site'!G793,"NULL")</f>
        <v>NULL</v>
      </c>
      <c r="E793" s="14">
        <f>IF('Boletins Nuppa Site'!H793&lt;&gt;0,'Boletins Nuppa Site'!H793,"NULL")</f>
        <v>65</v>
      </c>
      <c r="F793" s="14">
        <f>IF('Boletins Nuppa Site'!I793&lt;&gt;0,'Boletins Nuppa Site'!I793,"NULL")</f>
        <v>65</v>
      </c>
      <c r="G793" s="14">
        <f>IF('Boletins Nuppa Site'!J793&lt;&gt;0,'Boletins Nuppa Site'!J793,"NULL")</f>
        <v>65</v>
      </c>
      <c r="H793" s="14">
        <f>IF('Boletins Nuppa Site'!K793&lt;&gt;0,'Boletins Nuppa Site'!K793,"NULL")</f>
        <v>65</v>
      </c>
      <c r="I793" t="str">
        <f t="shared" si="24"/>
        <v>INSERT INTO COTACAO (cot_id, cot_blt_id, cot_pap_id, cot_prc_comum, cot_prc_min, cot_prc_max, cot_prc_med, cot_prc_mediana) VALUES (792, 56, 40, NULL, 65, 65, 65, 65);</v>
      </c>
      <c r="J793" t="str">
        <f t="shared" si="25"/>
        <v>UPDATE COTACAO SET cot_id = 792, cot_blt_id = 56, cot_pap_id = 40, cot_prc_comum = NULL, cot_prc_min = 65, cot_prc_max = 65, cot_prc_med = 65, cot_prc_mediana = 65 WHERE cot_id = 792;</v>
      </c>
    </row>
    <row r="794" spans="1:10" x14ac:dyDescent="0.3">
      <c r="A794">
        <v>793</v>
      </c>
      <c r="B794">
        <f>IF('Boletins Nuppa Site'!A794&lt;&gt;0,'Boletins Nuppa Site'!A794,"NULL")</f>
        <v>57</v>
      </c>
      <c r="C794">
        <v>1</v>
      </c>
      <c r="D794" t="str">
        <f>IF('Boletins Nuppa Site'!G794&lt;&gt;0,'Boletins Nuppa Site'!G794,"NULL")</f>
        <v>NULL</v>
      </c>
      <c r="E794" s="14">
        <f>IF('Boletins Nuppa Site'!H794&lt;&gt;0,'Boletins Nuppa Site'!H794,"NULL")</f>
        <v>48</v>
      </c>
      <c r="F794" s="14">
        <f>IF('Boletins Nuppa Site'!I794&lt;&gt;0,'Boletins Nuppa Site'!I794,"NULL")</f>
        <v>60</v>
      </c>
      <c r="G794" s="14">
        <f>IF('Boletins Nuppa Site'!J794&lt;&gt;0,'Boletins Nuppa Site'!J794,"NULL")</f>
        <v>54</v>
      </c>
      <c r="H794" s="14">
        <f>IF('Boletins Nuppa Site'!K794&lt;&gt;0,'Boletins Nuppa Site'!K794,"NULL")</f>
        <v>54</v>
      </c>
      <c r="I794" t="str">
        <f t="shared" si="24"/>
        <v>INSERT INTO COTACAO (cot_id, cot_blt_id, cot_pap_id, cot_prc_comum, cot_prc_min, cot_prc_max, cot_prc_med, cot_prc_mediana) VALUES (793, 57, 1, NULL, 48, 60, 54, 54);</v>
      </c>
      <c r="J794" t="str">
        <f t="shared" si="25"/>
        <v>UPDATE COTACAO SET cot_id = 793, cot_blt_id = 57, cot_pap_id = 1, cot_prc_comum = NULL, cot_prc_min = 48, cot_prc_max = 60, cot_prc_med = 54, cot_prc_mediana = 54 WHERE cot_id = 793;</v>
      </c>
    </row>
    <row r="795" spans="1:10" x14ac:dyDescent="0.3">
      <c r="A795">
        <v>794</v>
      </c>
      <c r="B795">
        <f>IF('Boletins Nuppa Site'!A795&lt;&gt;0,'Boletins Nuppa Site'!A795,"NULL")</f>
        <v>57</v>
      </c>
      <c r="C795">
        <v>2</v>
      </c>
      <c r="D795" s="14">
        <f>IF('Boletins Nuppa Site'!G795&lt;&gt;0,'Boletins Nuppa Site'!G795,"NULL")</f>
        <v>84</v>
      </c>
      <c r="E795" s="14">
        <f>IF('Boletins Nuppa Site'!H795&lt;&gt;0,'Boletins Nuppa Site'!H795,"NULL")</f>
        <v>84</v>
      </c>
      <c r="F795" s="14">
        <f>IF('Boletins Nuppa Site'!I795&lt;&gt;0,'Boletins Nuppa Site'!I795,"NULL")</f>
        <v>84</v>
      </c>
      <c r="G795" s="14">
        <f>IF('Boletins Nuppa Site'!J795&lt;&gt;0,'Boletins Nuppa Site'!J795,"NULL")</f>
        <v>84</v>
      </c>
      <c r="H795" s="14">
        <f>IF('Boletins Nuppa Site'!K795&lt;&gt;0,'Boletins Nuppa Site'!K795,"NULL")</f>
        <v>84</v>
      </c>
      <c r="I795" t="str">
        <f t="shared" si="24"/>
        <v>INSERT INTO COTACAO (cot_id, cot_blt_id, cot_pap_id, cot_prc_comum, cot_prc_min, cot_prc_max, cot_prc_med, cot_prc_mediana) VALUES (794, 57, 2, 84, 84, 84, 84, 84);</v>
      </c>
      <c r="J795" t="str">
        <f t="shared" si="25"/>
        <v>UPDATE COTACAO SET cot_id = 794, cot_blt_id = 57, cot_pap_id = 2, cot_prc_comum = 84, cot_prc_min = 84, cot_prc_max = 84, cot_prc_med = 84, cot_prc_mediana = 84 WHERE cot_id = 794;</v>
      </c>
    </row>
    <row r="796" spans="1:10" x14ac:dyDescent="0.3">
      <c r="A796">
        <v>795</v>
      </c>
      <c r="B796">
        <f>IF('Boletins Nuppa Site'!A796&lt;&gt;0,'Boletins Nuppa Site'!A796,"NULL")</f>
        <v>57</v>
      </c>
      <c r="C796">
        <v>3</v>
      </c>
      <c r="D796" t="str">
        <f>IF('Boletins Nuppa Site'!G796&lt;&gt;0,'Boletins Nuppa Site'!G796,"NULL")</f>
        <v>NULL</v>
      </c>
      <c r="E796" s="14">
        <f>IF('Boletins Nuppa Site'!H796&lt;&gt;0,'Boletins Nuppa Site'!H796,"NULL")</f>
        <v>36</v>
      </c>
      <c r="F796" s="14">
        <f>IF('Boletins Nuppa Site'!I796&lt;&gt;0,'Boletins Nuppa Site'!I796,"NULL")</f>
        <v>42</v>
      </c>
      <c r="G796" s="14">
        <f>IF('Boletins Nuppa Site'!J796&lt;&gt;0,'Boletins Nuppa Site'!J796,"NULL")</f>
        <v>39</v>
      </c>
      <c r="H796" s="14">
        <f>IF('Boletins Nuppa Site'!K796&lt;&gt;0,'Boletins Nuppa Site'!K796,"NULL")</f>
        <v>39</v>
      </c>
      <c r="I796" t="str">
        <f t="shared" si="24"/>
        <v>INSERT INTO COTACAO (cot_id, cot_blt_id, cot_pap_id, cot_prc_comum, cot_prc_min, cot_prc_max, cot_prc_med, cot_prc_mediana) VALUES (795, 57, 3, NULL, 36, 42, 39, 39);</v>
      </c>
      <c r="J796" t="str">
        <f t="shared" si="25"/>
        <v>UPDATE COTACAO SET cot_id = 795, cot_blt_id = 57, cot_pap_id = 3, cot_prc_comum = NULL, cot_prc_min = 36, cot_prc_max = 42, cot_prc_med = 39, cot_prc_mediana = 39 WHERE cot_id = 795;</v>
      </c>
    </row>
    <row r="797" spans="1:10" x14ac:dyDescent="0.3">
      <c r="A797">
        <v>796</v>
      </c>
      <c r="B797">
        <f>IF('Boletins Nuppa Site'!A797&lt;&gt;0,'Boletins Nuppa Site'!A797,"NULL")</f>
        <v>57</v>
      </c>
      <c r="C797">
        <v>4</v>
      </c>
      <c r="D797" t="str">
        <f>IF('Boletins Nuppa Site'!G797&lt;&gt;0,'Boletins Nuppa Site'!G797,"NULL")</f>
        <v>NULL</v>
      </c>
      <c r="E797" s="14">
        <f>IF('Boletins Nuppa Site'!H797&lt;&gt;0,'Boletins Nuppa Site'!H797,"NULL")</f>
        <v>20</v>
      </c>
      <c r="F797" s="14">
        <f>IF('Boletins Nuppa Site'!I797&lt;&gt;0,'Boletins Nuppa Site'!I797,"NULL")</f>
        <v>24</v>
      </c>
      <c r="G797" s="14">
        <f>IF('Boletins Nuppa Site'!J797&lt;&gt;0,'Boletins Nuppa Site'!J797,"NULL")</f>
        <v>22</v>
      </c>
      <c r="H797" s="14">
        <f>IF('Boletins Nuppa Site'!K797&lt;&gt;0,'Boletins Nuppa Site'!K797,"NULL")</f>
        <v>22</v>
      </c>
      <c r="I797" t="str">
        <f t="shared" si="24"/>
        <v>INSERT INTO COTACAO (cot_id, cot_blt_id, cot_pap_id, cot_prc_comum, cot_prc_min, cot_prc_max, cot_prc_med, cot_prc_mediana) VALUES (796, 57, 4, NULL, 20, 24, 22, 22);</v>
      </c>
      <c r="J797" t="str">
        <f t="shared" si="25"/>
        <v>UPDATE COTACAO SET cot_id = 796, cot_blt_id = 57, cot_pap_id = 4, cot_prc_comum = NULL, cot_prc_min = 20, cot_prc_max = 24, cot_prc_med = 22, cot_prc_mediana = 22 WHERE cot_id = 796;</v>
      </c>
    </row>
    <row r="798" spans="1:10" x14ac:dyDescent="0.3">
      <c r="A798">
        <v>797</v>
      </c>
      <c r="B798">
        <f>IF('Boletins Nuppa Site'!A798&lt;&gt;0,'Boletins Nuppa Site'!A798,"NULL")</f>
        <v>57</v>
      </c>
      <c r="C798">
        <v>5</v>
      </c>
      <c r="D798" t="str">
        <f>IF('Boletins Nuppa Site'!G798&lt;&gt;0,'Boletins Nuppa Site'!G798,"NULL")</f>
        <v>NULL</v>
      </c>
      <c r="E798" s="14">
        <f>IF('Boletins Nuppa Site'!H798&lt;&gt;0,'Boletins Nuppa Site'!H798,"NULL")</f>
        <v>20</v>
      </c>
      <c r="F798" s="14">
        <f>IF('Boletins Nuppa Site'!I798&lt;&gt;0,'Boletins Nuppa Site'!I798,"NULL")</f>
        <v>24</v>
      </c>
      <c r="G798" s="14">
        <f>IF('Boletins Nuppa Site'!J798&lt;&gt;0,'Boletins Nuppa Site'!J798,"NULL")</f>
        <v>22</v>
      </c>
      <c r="H798" s="14">
        <f>IF('Boletins Nuppa Site'!K798&lt;&gt;0,'Boletins Nuppa Site'!K798,"NULL")</f>
        <v>22</v>
      </c>
      <c r="I798" t="str">
        <f t="shared" si="24"/>
        <v>INSERT INTO COTACAO (cot_id, cot_blt_id, cot_pap_id, cot_prc_comum, cot_prc_min, cot_prc_max, cot_prc_med, cot_prc_mediana) VALUES (797, 57, 5, NULL, 20, 24, 22, 22);</v>
      </c>
      <c r="J798" t="str">
        <f t="shared" si="25"/>
        <v>UPDATE COTACAO SET cot_id = 797, cot_blt_id = 57, cot_pap_id = 5, cot_prc_comum = NULL, cot_prc_min = 20, cot_prc_max = 24, cot_prc_med = 22, cot_prc_mediana = 22 WHERE cot_id = 797;</v>
      </c>
    </row>
    <row r="799" spans="1:10" x14ac:dyDescent="0.3">
      <c r="A799">
        <v>798</v>
      </c>
      <c r="B799">
        <f>IF('Boletins Nuppa Site'!A799&lt;&gt;0,'Boletins Nuppa Site'!A799,"NULL")</f>
        <v>57</v>
      </c>
      <c r="C799">
        <v>6</v>
      </c>
      <c r="D799" s="14">
        <f>IF('Boletins Nuppa Site'!G799&lt;&gt;0,'Boletins Nuppa Site'!G799,"NULL")</f>
        <v>60</v>
      </c>
      <c r="E799" s="14">
        <f>IF('Boletins Nuppa Site'!H799&lt;&gt;0,'Boletins Nuppa Site'!H799,"NULL")</f>
        <v>60</v>
      </c>
      <c r="F799" s="14">
        <f>IF('Boletins Nuppa Site'!I799&lt;&gt;0,'Boletins Nuppa Site'!I799,"NULL")</f>
        <v>60</v>
      </c>
      <c r="G799" s="14">
        <f>IF('Boletins Nuppa Site'!J799&lt;&gt;0,'Boletins Nuppa Site'!J799,"NULL")</f>
        <v>60</v>
      </c>
      <c r="H799" s="14">
        <f>IF('Boletins Nuppa Site'!K799&lt;&gt;0,'Boletins Nuppa Site'!K799,"NULL")</f>
        <v>60</v>
      </c>
      <c r="I799" t="str">
        <f t="shared" si="24"/>
        <v>INSERT INTO COTACAO (cot_id, cot_blt_id, cot_pap_id, cot_prc_comum, cot_prc_min, cot_prc_max, cot_prc_med, cot_prc_mediana) VALUES (798, 57, 6, 60, 60, 60, 60, 60);</v>
      </c>
      <c r="J799" t="str">
        <f t="shared" si="25"/>
        <v>UPDATE COTACAO SET cot_id = 798, cot_blt_id = 57, cot_pap_id = 6, cot_prc_comum = 60, cot_prc_min = 60, cot_prc_max = 60, cot_prc_med = 60, cot_prc_mediana = 60 WHERE cot_id = 798;</v>
      </c>
    </row>
    <row r="800" spans="1:10" x14ac:dyDescent="0.3">
      <c r="A800">
        <v>799</v>
      </c>
      <c r="B800">
        <f>IF('Boletins Nuppa Site'!A800&lt;&gt;0,'Boletins Nuppa Site'!A800,"NULL")</f>
        <v>57</v>
      </c>
      <c r="C800">
        <v>7</v>
      </c>
      <c r="D800" t="str">
        <f>IF('Boletins Nuppa Site'!G800&lt;&gt;0,'Boletins Nuppa Site'!G800,"NULL")</f>
        <v>NULL</v>
      </c>
      <c r="E800" s="14">
        <f>IF('Boletins Nuppa Site'!H800&lt;&gt;0,'Boletins Nuppa Site'!H800,"NULL")</f>
        <v>90</v>
      </c>
      <c r="F800" s="14">
        <f>IF('Boletins Nuppa Site'!I800&lt;&gt;0,'Boletins Nuppa Site'!I800,"NULL")</f>
        <v>96</v>
      </c>
      <c r="G800" s="14">
        <f>IF('Boletins Nuppa Site'!J800&lt;&gt;0,'Boletins Nuppa Site'!J800,"NULL")</f>
        <v>93</v>
      </c>
      <c r="H800" s="14">
        <f>IF('Boletins Nuppa Site'!K800&lt;&gt;0,'Boletins Nuppa Site'!K800,"NULL")</f>
        <v>93</v>
      </c>
      <c r="I800" t="str">
        <f t="shared" si="24"/>
        <v>INSERT INTO COTACAO (cot_id, cot_blt_id, cot_pap_id, cot_prc_comum, cot_prc_min, cot_prc_max, cot_prc_med, cot_prc_mediana) VALUES (799, 57, 7, NULL, 90, 96, 93, 93);</v>
      </c>
      <c r="J800" t="str">
        <f t="shared" si="25"/>
        <v>UPDATE COTACAO SET cot_id = 799, cot_blt_id = 57, cot_pap_id = 7, cot_prc_comum = NULL, cot_prc_min = 90, cot_prc_max = 96, cot_prc_med = 93, cot_prc_mediana = 93 WHERE cot_id = 799;</v>
      </c>
    </row>
    <row r="801" spans="1:10" x14ac:dyDescent="0.3">
      <c r="A801">
        <v>800</v>
      </c>
      <c r="B801">
        <f>IF('Boletins Nuppa Site'!A801&lt;&gt;0,'Boletins Nuppa Site'!A801,"NULL")</f>
        <v>57</v>
      </c>
      <c r="C801">
        <v>8</v>
      </c>
      <c r="D801" s="14">
        <f>IF('Boletins Nuppa Site'!G801&lt;&gt;0,'Boletins Nuppa Site'!G801,"NULL")</f>
        <v>84</v>
      </c>
      <c r="E801" s="14">
        <f>IF('Boletins Nuppa Site'!H801&lt;&gt;0,'Boletins Nuppa Site'!H801,"NULL")</f>
        <v>84</v>
      </c>
      <c r="F801" s="14">
        <f>IF('Boletins Nuppa Site'!I801&lt;&gt;0,'Boletins Nuppa Site'!I801,"NULL")</f>
        <v>84</v>
      </c>
      <c r="G801" s="14">
        <f>IF('Boletins Nuppa Site'!J801&lt;&gt;0,'Boletins Nuppa Site'!J801,"NULL")</f>
        <v>84</v>
      </c>
      <c r="H801" s="14">
        <f>IF('Boletins Nuppa Site'!K801&lt;&gt;0,'Boletins Nuppa Site'!K801,"NULL")</f>
        <v>84</v>
      </c>
      <c r="I801" t="str">
        <f t="shared" si="24"/>
        <v>INSERT INTO COTACAO (cot_id, cot_blt_id, cot_pap_id, cot_prc_comum, cot_prc_min, cot_prc_max, cot_prc_med, cot_prc_mediana) VALUES (800, 57, 8, 84, 84, 84, 84, 84);</v>
      </c>
      <c r="J801" t="str">
        <f t="shared" si="25"/>
        <v>UPDATE COTACAO SET cot_id = 800, cot_blt_id = 57, cot_pap_id = 8, cot_prc_comum = 84, cot_prc_min = 84, cot_prc_max = 84, cot_prc_med = 84, cot_prc_mediana = 84 WHERE cot_id = 800;</v>
      </c>
    </row>
    <row r="802" spans="1:10" x14ac:dyDescent="0.3">
      <c r="A802">
        <v>801</v>
      </c>
      <c r="B802">
        <f>IF('Boletins Nuppa Site'!A802&lt;&gt;0,'Boletins Nuppa Site'!A802,"NULL")</f>
        <v>57</v>
      </c>
      <c r="C802">
        <v>9</v>
      </c>
      <c r="D802" t="str">
        <f>IF('Boletins Nuppa Site'!G802&lt;&gt;0,'Boletins Nuppa Site'!G802,"NULL")</f>
        <v>NULL</v>
      </c>
      <c r="E802" s="14">
        <f>IF('Boletins Nuppa Site'!H802&lt;&gt;0,'Boletins Nuppa Site'!H802,"NULL")</f>
        <v>24</v>
      </c>
      <c r="F802" s="14">
        <f>IF('Boletins Nuppa Site'!I802&lt;&gt;0,'Boletins Nuppa Site'!I802,"NULL")</f>
        <v>30</v>
      </c>
      <c r="G802" s="14">
        <f>IF('Boletins Nuppa Site'!J802&lt;&gt;0,'Boletins Nuppa Site'!J802,"NULL")</f>
        <v>27</v>
      </c>
      <c r="H802" s="14">
        <f>IF('Boletins Nuppa Site'!K802&lt;&gt;0,'Boletins Nuppa Site'!K802,"NULL")</f>
        <v>27</v>
      </c>
      <c r="I802" t="str">
        <f t="shared" si="24"/>
        <v>INSERT INTO COTACAO (cot_id, cot_blt_id, cot_pap_id, cot_prc_comum, cot_prc_min, cot_prc_max, cot_prc_med, cot_prc_mediana) VALUES (801, 57, 9, NULL, 24, 30, 27, 27);</v>
      </c>
      <c r="J802" t="str">
        <f t="shared" si="25"/>
        <v>UPDATE COTACAO SET cot_id = 801, cot_blt_id = 57, cot_pap_id = 9, cot_prc_comum = NULL, cot_prc_min = 24, cot_prc_max = 30, cot_prc_med = 27, cot_prc_mediana = 27 WHERE cot_id = 801;</v>
      </c>
    </row>
    <row r="803" spans="1:10" x14ac:dyDescent="0.3">
      <c r="A803">
        <v>802</v>
      </c>
      <c r="B803">
        <f>IF('Boletins Nuppa Site'!A803&lt;&gt;0,'Boletins Nuppa Site'!A803,"NULL")</f>
        <v>57</v>
      </c>
      <c r="C803">
        <v>10</v>
      </c>
      <c r="D803" t="str">
        <f>IF('Boletins Nuppa Site'!G803&lt;&gt;0,'Boletins Nuppa Site'!G803,"NULL")</f>
        <v>NULL</v>
      </c>
      <c r="E803" s="14">
        <f>IF('Boletins Nuppa Site'!H803&lt;&gt;0,'Boletins Nuppa Site'!H803,"NULL")</f>
        <v>96</v>
      </c>
      <c r="F803" s="14">
        <f>IF('Boletins Nuppa Site'!I803&lt;&gt;0,'Boletins Nuppa Site'!I803,"NULL")</f>
        <v>108</v>
      </c>
      <c r="G803" s="14">
        <f>IF('Boletins Nuppa Site'!J803&lt;&gt;0,'Boletins Nuppa Site'!J803,"NULL")</f>
        <v>102</v>
      </c>
      <c r="H803" s="14">
        <f>IF('Boletins Nuppa Site'!K803&lt;&gt;0,'Boletins Nuppa Site'!K803,"NULL")</f>
        <v>102</v>
      </c>
      <c r="I803" t="str">
        <f t="shared" si="24"/>
        <v>INSERT INTO COTACAO (cot_id, cot_blt_id, cot_pap_id, cot_prc_comum, cot_prc_min, cot_prc_max, cot_prc_med, cot_prc_mediana) VALUES (802, 57, 10, NULL, 96, 108, 102, 102);</v>
      </c>
      <c r="J803" t="str">
        <f t="shared" si="25"/>
        <v>UPDATE COTACAO SET cot_id = 802, cot_blt_id = 57, cot_pap_id = 10, cot_prc_comum = NULL, cot_prc_min = 96, cot_prc_max = 108, cot_prc_med = 102, cot_prc_mediana = 102 WHERE cot_id = 802;</v>
      </c>
    </row>
    <row r="804" spans="1:10" x14ac:dyDescent="0.3">
      <c r="A804">
        <v>803</v>
      </c>
      <c r="B804">
        <f>IF('Boletins Nuppa Site'!A804&lt;&gt;0,'Boletins Nuppa Site'!A804,"NULL")</f>
        <v>57</v>
      </c>
      <c r="C804">
        <v>11</v>
      </c>
      <c r="D804" t="str">
        <f>IF('Boletins Nuppa Site'!G804&lt;&gt;0,'Boletins Nuppa Site'!G804,"NULL")</f>
        <v>NULL</v>
      </c>
      <c r="E804" s="14">
        <f>IF('Boletins Nuppa Site'!H804&lt;&gt;0,'Boletins Nuppa Site'!H804,"NULL")</f>
        <v>20</v>
      </c>
      <c r="F804" s="14">
        <f>IF('Boletins Nuppa Site'!I804&lt;&gt;0,'Boletins Nuppa Site'!I804,"NULL")</f>
        <v>24</v>
      </c>
      <c r="G804" s="14">
        <f>IF('Boletins Nuppa Site'!J804&lt;&gt;0,'Boletins Nuppa Site'!J804,"NULL")</f>
        <v>22</v>
      </c>
      <c r="H804" s="14">
        <f>IF('Boletins Nuppa Site'!K804&lt;&gt;0,'Boletins Nuppa Site'!K804,"NULL")</f>
        <v>22</v>
      </c>
      <c r="I804" t="str">
        <f t="shared" si="24"/>
        <v>INSERT INTO COTACAO (cot_id, cot_blt_id, cot_pap_id, cot_prc_comum, cot_prc_min, cot_prc_max, cot_prc_med, cot_prc_mediana) VALUES (803, 57, 11, NULL, 20, 24, 22, 22);</v>
      </c>
      <c r="J804" t="str">
        <f t="shared" si="25"/>
        <v>UPDATE COTACAO SET cot_id = 803, cot_blt_id = 57, cot_pap_id = 11, cot_prc_comum = NULL, cot_prc_min = 20, cot_prc_max = 24, cot_prc_med = 22, cot_prc_mediana = 22 WHERE cot_id = 803;</v>
      </c>
    </row>
    <row r="805" spans="1:10" x14ac:dyDescent="0.3">
      <c r="A805">
        <v>804</v>
      </c>
      <c r="B805">
        <f>IF('Boletins Nuppa Site'!A805&lt;&gt;0,'Boletins Nuppa Site'!A805,"NULL")</f>
        <v>57</v>
      </c>
      <c r="C805">
        <v>12</v>
      </c>
      <c r="D805" t="str">
        <f>IF('Boletins Nuppa Site'!G805&lt;&gt;0,'Boletins Nuppa Site'!G805,"NULL")</f>
        <v>NULL</v>
      </c>
      <c r="E805" s="14">
        <f>IF('Boletins Nuppa Site'!H805&lt;&gt;0,'Boletins Nuppa Site'!H805,"NULL")</f>
        <v>72</v>
      </c>
      <c r="F805" s="14">
        <f>IF('Boletins Nuppa Site'!I805&lt;&gt;0,'Boletins Nuppa Site'!I805,"NULL")</f>
        <v>78</v>
      </c>
      <c r="G805" s="14">
        <f>IF('Boletins Nuppa Site'!J805&lt;&gt;0,'Boletins Nuppa Site'!J805,"NULL")</f>
        <v>75</v>
      </c>
      <c r="H805" s="14">
        <f>IF('Boletins Nuppa Site'!K805&lt;&gt;0,'Boletins Nuppa Site'!K805,"NULL")</f>
        <v>75</v>
      </c>
      <c r="I805" t="str">
        <f t="shared" si="24"/>
        <v>INSERT INTO COTACAO (cot_id, cot_blt_id, cot_pap_id, cot_prc_comum, cot_prc_min, cot_prc_max, cot_prc_med, cot_prc_mediana) VALUES (804, 57, 12, NULL, 72, 78, 75, 75);</v>
      </c>
      <c r="J805" t="str">
        <f t="shared" si="25"/>
        <v>UPDATE COTACAO SET cot_id = 804, cot_blt_id = 57, cot_pap_id = 12, cot_prc_comum = NULL, cot_prc_min = 72, cot_prc_max = 78, cot_prc_med = 75, cot_prc_mediana = 75 WHERE cot_id = 804;</v>
      </c>
    </row>
    <row r="806" spans="1:10" x14ac:dyDescent="0.3">
      <c r="A806">
        <v>805</v>
      </c>
      <c r="B806">
        <f>IF('Boletins Nuppa Site'!A806&lt;&gt;0,'Boletins Nuppa Site'!A806,"NULL")</f>
        <v>57</v>
      </c>
      <c r="C806">
        <v>13</v>
      </c>
      <c r="D806" s="14">
        <f>IF('Boletins Nuppa Site'!G806&lt;&gt;0,'Boletins Nuppa Site'!G806,"NULL")</f>
        <v>60</v>
      </c>
      <c r="E806" s="14">
        <f>IF('Boletins Nuppa Site'!H806&lt;&gt;0,'Boletins Nuppa Site'!H806,"NULL")</f>
        <v>60</v>
      </c>
      <c r="F806" s="14">
        <f>IF('Boletins Nuppa Site'!I806&lt;&gt;0,'Boletins Nuppa Site'!I806,"NULL")</f>
        <v>60</v>
      </c>
      <c r="G806" s="14">
        <f>IF('Boletins Nuppa Site'!J806&lt;&gt;0,'Boletins Nuppa Site'!J806,"NULL")</f>
        <v>60</v>
      </c>
      <c r="H806" s="14">
        <f>IF('Boletins Nuppa Site'!K806&lt;&gt;0,'Boletins Nuppa Site'!K806,"NULL")</f>
        <v>60</v>
      </c>
      <c r="I806" t="str">
        <f t="shared" si="24"/>
        <v>INSERT INTO COTACAO (cot_id, cot_blt_id, cot_pap_id, cot_prc_comum, cot_prc_min, cot_prc_max, cot_prc_med, cot_prc_mediana) VALUES (805, 57, 13, 60, 60, 60, 60, 60);</v>
      </c>
      <c r="J806" t="str">
        <f t="shared" si="25"/>
        <v>UPDATE COTACAO SET cot_id = 805, cot_blt_id = 57, cot_pap_id = 13, cot_prc_comum = 60, cot_prc_min = 60, cot_prc_max = 60, cot_prc_med = 60, cot_prc_mediana = 60 WHERE cot_id = 805;</v>
      </c>
    </row>
    <row r="807" spans="1:10" x14ac:dyDescent="0.3">
      <c r="A807">
        <v>806</v>
      </c>
      <c r="B807">
        <f>IF('Boletins Nuppa Site'!A807&lt;&gt;0,'Boletins Nuppa Site'!A807,"NULL")</f>
        <v>57</v>
      </c>
      <c r="C807">
        <v>14</v>
      </c>
      <c r="D807" t="str">
        <f>IF('Boletins Nuppa Site'!G807&lt;&gt;0,'Boletins Nuppa Site'!G807,"NULL")</f>
        <v>NULL</v>
      </c>
      <c r="E807" s="14">
        <f>IF('Boletins Nuppa Site'!H807&lt;&gt;0,'Boletins Nuppa Site'!H807,"NULL")</f>
        <v>66</v>
      </c>
      <c r="F807" s="14">
        <f>IF('Boletins Nuppa Site'!I807&lt;&gt;0,'Boletins Nuppa Site'!I807,"NULL")</f>
        <v>72</v>
      </c>
      <c r="G807" s="14">
        <f>IF('Boletins Nuppa Site'!J807&lt;&gt;0,'Boletins Nuppa Site'!J807,"NULL")</f>
        <v>69</v>
      </c>
      <c r="H807" s="14">
        <f>IF('Boletins Nuppa Site'!K807&lt;&gt;0,'Boletins Nuppa Site'!K807,"NULL")</f>
        <v>69</v>
      </c>
      <c r="I807" t="str">
        <f t="shared" si="24"/>
        <v>INSERT INTO COTACAO (cot_id, cot_blt_id, cot_pap_id, cot_prc_comum, cot_prc_min, cot_prc_max, cot_prc_med, cot_prc_mediana) VALUES (806, 57, 14, NULL, 66, 72, 69, 69);</v>
      </c>
      <c r="J807" t="str">
        <f t="shared" si="25"/>
        <v>UPDATE COTACAO SET cot_id = 806, cot_blt_id = 57, cot_pap_id = 14, cot_prc_comum = NULL, cot_prc_min = 66, cot_prc_max = 72, cot_prc_med = 69, cot_prc_mediana = 69 WHERE cot_id = 806;</v>
      </c>
    </row>
    <row r="808" spans="1:10" x14ac:dyDescent="0.3">
      <c r="A808">
        <v>807</v>
      </c>
      <c r="B808">
        <f>IF('Boletins Nuppa Site'!A808&lt;&gt;0,'Boletins Nuppa Site'!A808,"NULL")</f>
        <v>57</v>
      </c>
      <c r="C808">
        <v>15</v>
      </c>
      <c r="D808" t="str">
        <f>IF('Boletins Nuppa Site'!G808&lt;&gt;0,'Boletins Nuppa Site'!G808,"NULL")</f>
        <v>NULL</v>
      </c>
      <c r="E808" s="14">
        <f>IF('Boletins Nuppa Site'!H808&lt;&gt;0,'Boletins Nuppa Site'!H808,"NULL")</f>
        <v>45</v>
      </c>
      <c r="F808" s="14">
        <f>IF('Boletins Nuppa Site'!I808&lt;&gt;0,'Boletins Nuppa Site'!I808,"NULL")</f>
        <v>48</v>
      </c>
      <c r="G808" t="str">
        <f>IF('Boletins Nuppa Site'!J808&lt;&gt;0,'Boletins Nuppa Site'!J808,"NULL")</f>
        <v>46.5</v>
      </c>
      <c r="H808" t="str">
        <f>IF('Boletins Nuppa Site'!K808&lt;&gt;0,'Boletins Nuppa Site'!K808,"NULL")</f>
        <v>46.5</v>
      </c>
      <c r="I808" t="str">
        <f t="shared" si="24"/>
        <v>INSERT INTO COTACAO (cot_id, cot_blt_id, cot_pap_id, cot_prc_comum, cot_prc_min, cot_prc_max, cot_prc_med, cot_prc_mediana) VALUES (807, 57, 15, NULL, 45, 48, 46.5, 46.5);</v>
      </c>
      <c r="J808" t="str">
        <f t="shared" si="25"/>
        <v>UPDATE COTACAO SET cot_id = 807, cot_blt_id = 57, cot_pap_id = 15, cot_prc_comum = NULL, cot_prc_min = 45, cot_prc_max = 48, cot_prc_med = 46.5, cot_prc_mediana = 46.5 WHERE cot_id = 807;</v>
      </c>
    </row>
    <row r="809" spans="1:10" x14ac:dyDescent="0.3">
      <c r="A809">
        <v>808</v>
      </c>
      <c r="B809">
        <f>IF('Boletins Nuppa Site'!A809&lt;&gt;0,'Boletins Nuppa Site'!A809,"NULL")</f>
        <v>57</v>
      </c>
      <c r="C809">
        <v>16</v>
      </c>
      <c r="D809" t="str">
        <f>IF('Boletins Nuppa Site'!G809&lt;&gt;0,'Boletins Nuppa Site'!G809,"NULL")</f>
        <v>NULL</v>
      </c>
      <c r="E809" s="14">
        <f>IF('Boletins Nuppa Site'!H809&lt;&gt;0,'Boletins Nuppa Site'!H809,"NULL")</f>
        <v>48</v>
      </c>
      <c r="F809" s="14">
        <f>IF('Boletins Nuppa Site'!I809&lt;&gt;0,'Boletins Nuppa Site'!I809,"NULL")</f>
        <v>54</v>
      </c>
      <c r="G809" s="14">
        <f>IF('Boletins Nuppa Site'!J809&lt;&gt;0,'Boletins Nuppa Site'!J809,"NULL")</f>
        <v>51</v>
      </c>
      <c r="H809" s="14">
        <f>IF('Boletins Nuppa Site'!K809&lt;&gt;0,'Boletins Nuppa Site'!K809,"NULL")</f>
        <v>51</v>
      </c>
      <c r="I809" t="str">
        <f t="shared" si="24"/>
        <v>INSERT INTO COTACAO (cot_id, cot_blt_id, cot_pap_id, cot_prc_comum, cot_prc_min, cot_prc_max, cot_prc_med, cot_prc_mediana) VALUES (808, 57, 16, NULL, 48, 54, 51, 51);</v>
      </c>
      <c r="J809" t="str">
        <f t="shared" si="25"/>
        <v>UPDATE COTACAO SET cot_id = 808, cot_blt_id = 57, cot_pap_id = 16, cot_prc_comum = NULL, cot_prc_min = 48, cot_prc_max = 54, cot_prc_med = 51, cot_prc_mediana = 51 WHERE cot_id = 808;</v>
      </c>
    </row>
    <row r="810" spans="1:10" x14ac:dyDescent="0.3">
      <c r="A810">
        <v>809</v>
      </c>
      <c r="B810">
        <f>IF('Boletins Nuppa Site'!A810&lt;&gt;0,'Boletins Nuppa Site'!A810,"NULL")</f>
        <v>57</v>
      </c>
      <c r="C810">
        <v>17</v>
      </c>
      <c r="D810" s="14">
        <f>IF('Boletins Nuppa Site'!G810&lt;&gt;0,'Boletins Nuppa Site'!G810,"NULL")</f>
        <v>5</v>
      </c>
      <c r="E810" s="14">
        <f>IF('Boletins Nuppa Site'!H810&lt;&gt;0,'Boletins Nuppa Site'!H810,"NULL")</f>
        <v>5</v>
      </c>
      <c r="F810" s="14">
        <f>IF('Boletins Nuppa Site'!I810&lt;&gt;0,'Boletins Nuppa Site'!I810,"NULL")</f>
        <v>5</v>
      </c>
      <c r="G810" s="14">
        <f>IF('Boletins Nuppa Site'!J810&lt;&gt;0,'Boletins Nuppa Site'!J810,"NULL")</f>
        <v>5</v>
      </c>
      <c r="H810" s="14">
        <f>IF('Boletins Nuppa Site'!K810&lt;&gt;0,'Boletins Nuppa Site'!K810,"NULL")</f>
        <v>5</v>
      </c>
      <c r="I810" t="str">
        <f t="shared" si="24"/>
        <v>INSERT INTO COTACAO (cot_id, cot_blt_id, cot_pap_id, cot_prc_comum, cot_prc_min, cot_prc_max, cot_prc_med, cot_prc_mediana) VALUES (809, 57, 17, 5, 5, 5, 5, 5);</v>
      </c>
      <c r="J810" t="str">
        <f t="shared" si="25"/>
        <v>UPDATE COTACAO SET cot_id = 809, cot_blt_id = 57, cot_pap_id = 17, cot_prc_comum = 5, cot_prc_min = 5, cot_prc_max = 5, cot_prc_med = 5, cot_prc_mediana = 5 WHERE cot_id = 809;</v>
      </c>
    </row>
    <row r="811" spans="1:10" x14ac:dyDescent="0.3">
      <c r="A811">
        <v>810</v>
      </c>
      <c r="B811">
        <f>IF('Boletins Nuppa Site'!A811&lt;&gt;0,'Boletins Nuppa Site'!A811,"NULL")</f>
        <v>57</v>
      </c>
      <c r="C811">
        <v>18</v>
      </c>
      <c r="D811" s="14">
        <f>IF('Boletins Nuppa Site'!G811&lt;&gt;0,'Boletins Nuppa Site'!G811,"NULL")</f>
        <v>20</v>
      </c>
      <c r="E811" s="14">
        <f>IF('Boletins Nuppa Site'!H811&lt;&gt;0,'Boletins Nuppa Site'!H811,"NULL")</f>
        <v>20</v>
      </c>
      <c r="F811" s="14">
        <f>IF('Boletins Nuppa Site'!I811&lt;&gt;0,'Boletins Nuppa Site'!I811,"NULL")</f>
        <v>20</v>
      </c>
      <c r="G811" s="14">
        <f>IF('Boletins Nuppa Site'!J811&lt;&gt;0,'Boletins Nuppa Site'!J811,"NULL")</f>
        <v>20</v>
      </c>
      <c r="H811" s="14">
        <f>IF('Boletins Nuppa Site'!K811&lt;&gt;0,'Boletins Nuppa Site'!K811,"NULL")</f>
        <v>20</v>
      </c>
      <c r="I811" t="str">
        <f t="shared" si="24"/>
        <v>INSERT INTO COTACAO (cot_id, cot_blt_id, cot_pap_id, cot_prc_comum, cot_prc_min, cot_prc_max, cot_prc_med, cot_prc_mediana) VALUES (810, 57, 18, 20, 20, 20, 20, 20);</v>
      </c>
      <c r="J811" t="str">
        <f t="shared" si="25"/>
        <v>UPDATE COTACAO SET cot_id = 810, cot_blt_id = 57, cot_pap_id = 18, cot_prc_comum = 20, cot_prc_min = 20, cot_prc_max = 20, cot_prc_med = 20, cot_prc_mediana = 20 WHERE cot_id = 810;</v>
      </c>
    </row>
    <row r="812" spans="1:10" x14ac:dyDescent="0.3">
      <c r="A812">
        <v>811</v>
      </c>
      <c r="B812">
        <f>IF('Boletins Nuppa Site'!A812&lt;&gt;0,'Boletins Nuppa Site'!A812,"NULL")</f>
        <v>57</v>
      </c>
      <c r="C812">
        <v>19</v>
      </c>
      <c r="D812" t="str">
        <f>IF('Boletins Nuppa Site'!G812&lt;&gt;0,'Boletins Nuppa Site'!G812,"NULL")</f>
        <v>NULL</v>
      </c>
      <c r="E812" s="14">
        <f>IF('Boletins Nuppa Site'!H812&lt;&gt;0,'Boletins Nuppa Site'!H812,"NULL")</f>
        <v>25</v>
      </c>
      <c r="F812" s="14">
        <f>IF('Boletins Nuppa Site'!I812&lt;&gt;0,'Boletins Nuppa Site'!I812,"NULL")</f>
        <v>35</v>
      </c>
      <c r="G812" s="14">
        <f>IF('Boletins Nuppa Site'!J812&lt;&gt;0,'Boletins Nuppa Site'!J812,"NULL")</f>
        <v>30</v>
      </c>
      <c r="H812" s="14">
        <f>IF('Boletins Nuppa Site'!K812&lt;&gt;0,'Boletins Nuppa Site'!K812,"NULL")</f>
        <v>30</v>
      </c>
      <c r="I812" t="str">
        <f t="shared" si="24"/>
        <v>INSERT INTO COTACAO (cot_id, cot_blt_id, cot_pap_id, cot_prc_comum, cot_prc_min, cot_prc_max, cot_prc_med, cot_prc_mediana) VALUES (811, 57, 19, NULL, 25, 35, 30, 30);</v>
      </c>
      <c r="J812" t="str">
        <f t="shared" si="25"/>
        <v>UPDATE COTACAO SET cot_id = 811, cot_blt_id = 57, cot_pap_id = 19, cot_prc_comum = NULL, cot_prc_min = 25, cot_prc_max = 35, cot_prc_med = 30, cot_prc_mediana = 30 WHERE cot_id = 811;</v>
      </c>
    </row>
    <row r="813" spans="1:10" x14ac:dyDescent="0.3">
      <c r="A813">
        <v>812</v>
      </c>
      <c r="B813">
        <f>IF('Boletins Nuppa Site'!A813&lt;&gt;0,'Boletins Nuppa Site'!A813,"NULL")</f>
        <v>57</v>
      </c>
      <c r="C813">
        <v>20</v>
      </c>
      <c r="D813" t="str">
        <f>IF('Boletins Nuppa Site'!G813&lt;&gt;0,'Boletins Nuppa Site'!G813,"NULL")</f>
        <v>NULL</v>
      </c>
      <c r="E813" s="14">
        <f>IF('Boletins Nuppa Site'!H813&lt;&gt;0,'Boletins Nuppa Site'!H813,"NULL")</f>
        <v>80</v>
      </c>
      <c r="F813" s="14">
        <f>IF('Boletins Nuppa Site'!I813&lt;&gt;0,'Boletins Nuppa Site'!I813,"NULL")</f>
        <v>95</v>
      </c>
      <c r="G813" t="str">
        <f>IF('Boletins Nuppa Site'!J813&lt;&gt;0,'Boletins Nuppa Site'!J813,"NULL")</f>
        <v>87.5</v>
      </c>
      <c r="H813" t="str">
        <f>IF('Boletins Nuppa Site'!K813&lt;&gt;0,'Boletins Nuppa Site'!K813,"NULL")</f>
        <v>87.5</v>
      </c>
      <c r="I813" t="str">
        <f t="shared" si="24"/>
        <v>INSERT INTO COTACAO (cot_id, cot_blt_id, cot_pap_id, cot_prc_comum, cot_prc_min, cot_prc_max, cot_prc_med, cot_prc_mediana) VALUES (812, 57, 20, NULL, 80, 95, 87.5, 87.5);</v>
      </c>
      <c r="J813" t="str">
        <f t="shared" si="25"/>
        <v>UPDATE COTACAO SET cot_id = 812, cot_blt_id = 57, cot_pap_id = 20, cot_prc_comum = NULL, cot_prc_min = 80, cot_prc_max = 95, cot_prc_med = 87.5, cot_prc_mediana = 87.5 WHERE cot_id = 812;</v>
      </c>
    </row>
    <row r="814" spans="1:10" x14ac:dyDescent="0.3">
      <c r="A814">
        <v>813</v>
      </c>
      <c r="B814">
        <f>IF('Boletins Nuppa Site'!A814&lt;&gt;0,'Boletins Nuppa Site'!A814,"NULL")</f>
        <v>57</v>
      </c>
      <c r="C814">
        <v>21</v>
      </c>
      <c r="D814" s="14">
        <f>IF('Boletins Nuppa Site'!G814&lt;&gt;0,'Boletins Nuppa Site'!G814,"NULL")</f>
        <v>50</v>
      </c>
      <c r="E814" s="14">
        <f>IF('Boletins Nuppa Site'!H814&lt;&gt;0,'Boletins Nuppa Site'!H814,"NULL")</f>
        <v>50</v>
      </c>
      <c r="F814" s="14">
        <f>IF('Boletins Nuppa Site'!I814&lt;&gt;0,'Boletins Nuppa Site'!I814,"NULL")</f>
        <v>60</v>
      </c>
      <c r="G814" s="14">
        <f>IF('Boletins Nuppa Site'!J814&lt;&gt;0,'Boletins Nuppa Site'!J814,"NULL")</f>
        <v>54</v>
      </c>
      <c r="H814" s="14">
        <f>IF('Boletins Nuppa Site'!K814&lt;&gt;0,'Boletins Nuppa Site'!K814,"NULL")</f>
        <v>50</v>
      </c>
      <c r="I814" t="str">
        <f t="shared" si="24"/>
        <v>INSERT INTO COTACAO (cot_id, cot_blt_id, cot_pap_id, cot_prc_comum, cot_prc_min, cot_prc_max, cot_prc_med, cot_prc_mediana) VALUES (813, 57, 21, 50, 50, 60, 54, 50);</v>
      </c>
      <c r="J814" t="str">
        <f t="shared" si="25"/>
        <v>UPDATE COTACAO SET cot_id = 813, cot_blt_id = 57, cot_pap_id = 21, cot_prc_comum = 50, cot_prc_min = 50, cot_prc_max = 60, cot_prc_med = 54, cot_prc_mediana = 50 WHERE cot_id = 813;</v>
      </c>
    </row>
    <row r="815" spans="1:10" x14ac:dyDescent="0.3">
      <c r="A815">
        <v>814</v>
      </c>
      <c r="B815">
        <f>IF('Boletins Nuppa Site'!A815&lt;&gt;0,'Boletins Nuppa Site'!A815,"NULL")</f>
        <v>57</v>
      </c>
      <c r="C815">
        <v>22</v>
      </c>
      <c r="D815" s="14">
        <f>IF('Boletins Nuppa Site'!G815&lt;&gt;0,'Boletins Nuppa Site'!G815,"NULL")</f>
        <v>65</v>
      </c>
      <c r="E815" s="14">
        <f>IF('Boletins Nuppa Site'!H815&lt;&gt;0,'Boletins Nuppa Site'!H815,"NULL")</f>
        <v>45</v>
      </c>
      <c r="F815" s="14">
        <f>IF('Boletins Nuppa Site'!I815&lt;&gt;0,'Boletins Nuppa Site'!I815,"NULL")</f>
        <v>65</v>
      </c>
      <c r="G815" s="14">
        <f>IF('Boletins Nuppa Site'!J815&lt;&gt;0,'Boletins Nuppa Site'!J815,"NULL")</f>
        <v>57</v>
      </c>
      <c r="H815" s="14">
        <f>IF('Boletins Nuppa Site'!K815&lt;&gt;0,'Boletins Nuppa Site'!K815,"NULL")</f>
        <v>60</v>
      </c>
      <c r="I815" t="str">
        <f t="shared" si="24"/>
        <v>INSERT INTO COTACAO (cot_id, cot_blt_id, cot_pap_id, cot_prc_comum, cot_prc_min, cot_prc_max, cot_prc_med, cot_prc_mediana) VALUES (814, 57, 22, 65, 45, 65, 57, 60);</v>
      </c>
      <c r="J815" t="str">
        <f t="shared" si="25"/>
        <v>UPDATE COTACAO SET cot_id = 814, cot_blt_id = 57, cot_pap_id = 22, cot_prc_comum = 65, cot_prc_min = 45, cot_prc_max = 65, cot_prc_med = 57, cot_prc_mediana = 60 WHERE cot_id = 814;</v>
      </c>
    </row>
    <row r="816" spans="1:10" x14ac:dyDescent="0.3">
      <c r="A816">
        <v>815</v>
      </c>
      <c r="B816">
        <f>IF('Boletins Nuppa Site'!A816&lt;&gt;0,'Boletins Nuppa Site'!A816,"NULL")</f>
        <v>57</v>
      </c>
      <c r="C816">
        <v>23</v>
      </c>
      <c r="D816" t="str">
        <f>IF('Boletins Nuppa Site'!G816&lt;&gt;0,'Boletins Nuppa Site'!G816,"NULL")</f>
        <v>NULL</v>
      </c>
      <c r="E816" s="14">
        <f>IF('Boletins Nuppa Site'!H816&lt;&gt;0,'Boletins Nuppa Site'!H816,"NULL")</f>
        <v>40</v>
      </c>
      <c r="F816" s="14">
        <f>IF('Boletins Nuppa Site'!I816&lt;&gt;0,'Boletins Nuppa Site'!I816,"NULL")</f>
        <v>55</v>
      </c>
      <c r="G816" t="str">
        <f>IF('Boletins Nuppa Site'!J816&lt;&gt;0,'Boletins Nuppa Site'!J816,"NULL")</f>
        <v>47.5</v>
      </c>
      <c r="H816" t="str">
        <f>IF('Boletins Nuppa Site'!K816&lt;&gt;0,'Boletins Nuppa Site'!K816,"NULL")</f>
        <v>47.5</v>
      </c>
      <c r="I816" t="str">
        <f t="shared" si="24"/>
        <v>INSERT INTO COTACAO (cot_id, cot_blt_id, cot_pap_id, cot_prc_comum, cot_prc_min, cot_prc_max, cot_prc_med, cot_prc_mediana) VALUES (815, 57, 23, NULL, 40, 55, 47.5, 47.5);</v>
      </c>
      <c r="J816" t="str">
        <f t="shared" si="25"/>
        <v>UPDATE COTACAO SET cot_id = 815, cot_blt_id = 57, cot_pap_id = 23, cot_prc_comum = NULL, cot_prc_min = 40, cot_prc_max = 55, cot_prc_med = 47.5, cot_prc_mediana = 47.5 WHERE cot_id = 815;</v>
      </c>
    </row>
    <row r="817" spans="1:10" x14ac:dyDescent="0.3">
      <c r="A817">
        <v>816</v>
      </c>
      <c r="B817">
        <f>IF('Boletins Nuppa Site'!A817&lt;&gt;0,'Boletins Nuppa Site'!A817,"NULL")</f>
        <v>57</v>
      </c>
      <c r="C817">
        <v>24</v>
      </c>
      <c r="D817" t="str">
        <f>IF('Boletins Nuppa Site'!G817&lt;&gt;0,'Boletins Nuppa Site'!G817,"NULL")</f>
        <v>NULL</v>
      </c>
      <c r="E817" s="14">
        <f>IF('Boletins Nuppa Site'!H817&lt;&gt;0,'Boletins Nuppa Site'!H817,"NULL")</f>
        <v>90</v>
      </c>
      <c r="F817" s="14">
        <f>IF('Boletins Nuppa Site'!I817&lt;&gt;0,'Boletins Nuppa Site'!I817,"NULL")</f>
        <v>110</v>
      </c>
      <c r="G817" s="14">
        <f>IF('Boletins Nuppa Site'!J817&lt;&gt;0,'Boletins Nuppa Site'!J817,"NULL")</f>
        <v>100</v>
      </c>
      <c r="H817" s="14">
        <f>IF('Boletins Nuppa Site'!K817&lt;&gt;0,'Boletins Nuppa Site'!K817,"NULL")</f>
        <v>100</v>
      </c>
      <c r="I817" t="str">
        <f t="shared" si="24"/>
        <v>INSERT INTO COTACAO (cot_id, cot_blt_id, cot_pap_id, cot_prc_comum, cot_prc_min, cot_prc_max, cot_prc_med, cot_prc_mediana) VALUES (816, 57, 24, NULL, 90, 110, 100, 100);</v>
      </c>
      <c r="J817" t="str">
        <f t="shared" si="25"/>
        <v>UPDATE COTACAO SET cot_id = 816, cot_blt_id = 57, cot_pap_id = 24, cot_prc_comum = NULL, cot_prc_min = 90, cot_prc_max = 110, cot_prc_med = 100, cot_prc_mediana = 100 WHERE cot_id = 816;</v>
      </c>
    </row>
    <row r="818" spans="1:10" x14ac:dyDescent="0.3">
      <c r="A818">
        <v>817</v>
      </c>
      <c r="B818">
        <f>IF('Boletins Nuppa Site'!A818&lt;&gt;0,'Boletins Nuppa Site'!A818,"NULL")</f>
        <v>57</v>
      </c>
      <c r="C818">
        <v>25</v>
      </c>
      <c r="D818" s="14">
        <f>IF('Boletins Nuppa Site'!G818&lt;&gt;0,'Boletins Nuppa Site'!G818,"NULL")</f>
        <v>110</v>
      </c>
      <c r="E818" s="14">
        <f>IF('Boletins Nuppa Site'!H818&lt;&gt;0,'Boletins Nuppa Site'!H818,"NULL")</f>
        <v>90</v>
      </c>
      <c r="F818" s="14">
        <f>IF('Boletins Nuppa Site'!I818&lt;&gt;0,'Boletins Nuppa Site'!I818,"NULL")</f>
        <v>110</v>
      </c>
      <c r="G818" t="str">
        <f>IF('Boletins Nuppa Site'!J818&lt;&gt;0,'Boletins Nuppa Site'!J818,"NULL")</f>
        <v>102.5</v>
      </c>
      <c r="H818" s="14">
        <f>IF('Boletins Nuppa Site'!K818&lt;&gt;0,'Boletins Nuppa Site'!K818,"NULL")</f>
        <v>105</v>
      </c>
      <c r="I818" t="str">
        <f t="shared" si="24"/>
        <v>INSERT INTO COTACAO (cot_id, cot_blt_id, cot_pap_id, cot_prc_comum, cot_prc_min, cot_prc_max, cot_prc_med, cot_prc_mediana) VALUES (817, 57, 25, 110, 90, 110, 102.5, 105);</v>
      </c>
      <c r="J818" t="str">
        <f t="shared" si="25"/>
        <v>UPDATE COTACAO SET cot_id = 817, cot_blt_id = 57, cot_pap_id = 25, cot_prc_comum = 110, cot_prc_min = 90, cot_prc_max = 110, cot_prc_med = 102.5, cot_prc_mediana = 105 WHERE cot_id = 817;</v>
      </c>
    </row>
    <row r="819" spans="1:10" x14ac:dyDescent="0.3">
      <c r="A819">
        <v>818</v>
      </c>
      <c r="B819">
        <f>IF('Boletins Nuppa Site'!A819&lt;&gt;0,'Boletins Nuppa Site'!A819,"NULL")</f>
        <v>57</v>
      </c>
      <c r="C819">
        <v>26</v>
      </c>
      <c r="D819" s="14">
        <f>IF('Boletins Nuppa Site'!G819&lt;&gt;0,'Boletins Nuppa Site'!G819,"NULL")</f>
        <v>80</v>
      </c>
      <c r="E819" s="14">
        <f>IF('Boletins Nuppa Site'!H819&lt;&gt;0,'Boletins Nuppa Site'!H819,"NULL")</f>
        <v>70</v>
      </c>
      <c r="F819" s="14">
        <f>IF('Boletins Nuppa Site'!I819&lt;&gt;0,'Boletins Nuppa Site'!I819,"NULL")</f>
        <v>100</v>
      </c>
      <c r="G819" s="14">
        <f>IF('Boletins Nuppa Site'!J819&lt;&gt;0,'Boletins Nuppa Site'!J819,"NULL")</f>
        <v>84</v>
      </c>
      <c r="H819" s="14">
        <f>IF('Boletins Nuppa Site'!K819&lt;&gt;0,'Boletins Nuppa Site'!K819,"NULL")</f>
        <v>80</v>
      </c>
      <c r="I819" t="str">
        <f t="shared" si="24"/>
        <v>INSERT INTO COTACAO (cot_id, cot_blt_id, cot_pap_id, cot_prc_comum, cot_prc_min, cot_prc_max, cot_prc_med, cot_prc_mediana) VALUES (818, 57, 26, 80, 70, 100, 84, 80);</v>
      </c>
      <c r="J819" t="str">
        <f t="shared" si="25"/>
        <v>UPDATE COTACAO SET cot_id = 818, cot_blt_id = 57, cot_pap_id = 26, cot_prc_comum = 80, cot_prc_min = 70, cot_prc_max = 100, cot_prc_med = 84, cot_prc_mediana = 80 WHERE cot_id = 818;</v>
      </c>
    </row>
    <row r="820" spans="1:10" x14ac:dyDescent="0.3">
      <c r="A820">
        <v>819</v>
      </c>
      <c r="B820">
        <f>IF('Boletins Nuppa Site'!A820&lt;&gt;0,'Boletins Nuppa Site'!A820,"NULL")</f>
        <v>57</v>
      </c>
      <c r="C820">
        <v>27</v>
      </c>
      <c r="D820" t="str">
        <f>IF('Boletins Nuppa Site'!G820&lt;&gt;0,'Boletins Nuppa Site'!G820,"NULL")</f>
        <v>NULL</v>
      </c>
      <c r="E820" s="14">
        <f>IF('Boletins Nuppa Site'!H820&lt;&gt;0,'Boletins Nuppa Site'!H820,"NULL")</f>
        <v>50</v>
      </c>
      <c r="F820" s="14">
        <f>IF('Boletins Nuppa Site'!I820&lt;&gt;0,'Boletins Nuppa Site'!I820,"NULL")</f>
        <v>85</v>
      </c>
      <c r="G820" t="str">
        <f>IF('Boletins Nuppa Site'!J820&lt;&gt;0,'Boletins Nuppa Site'!J820,"NULL")</f>
        <v>66.25</v>
      </c>
      <c r="H820" s="14">
        <f>IF('Boletins Nuppa Site'!K820&lt;&gt;0,'Boletins Nuppa Site'!K820,"NULL")</f>
        <v>65</v>
      </c>
      <c r="I820" t="str">
        <f t="shared" si="24"/>
        <v>INSERT INTO COTACAO (cot_id, cot_blt_id, cot_pap_id, cot_prc_comum, cot_prc_min, cot_prc_max, cot_prc_med, cot_prc_mediana) VALUES (819, 57, 27, NULL, 50, 85, 66.25, 65);</v>
      </c>
      <c r="J820" t="str">
        <f t="shared" si="25"/>
        <v>UPDATE COTACAO SET cot_id = 819, cot_blt_id = 57, cot_pap_id = 27, cot_prc_comum = NULL, cot_prc_min = 50, cot_prc_max = 85, cot_prc_med = 66.25, cot_prc_mediana = 65 WHERE cot_id = 819;</v>
      </c>
    </row>
    <row r="821" spans="1:10" x14ac:dyDescent="0.3">
      <c r="A821">
        <v>820</v>
      </c>
      <c r="B821">
        <f>IF('Boletins Nuppa Site'!A821&lt;&gt;0,'Boletins Nuppa Site'!A821,"NULL")</f>
        <v>57</v>
      </c>
      <c r="C821">
        <v>28</v>
      </c>
      <c r="D821" s="14">
        <f>IF('Boletins Nuppa Site'!G821&lt;&gt;0,'Boletins Nuppa Site'!G821,"NULL")</f>
        <v>100</v>
      </c>
      <c r="E821" s="14">
        <f>IF('Boletins Nuppa Site'!H821&lt;&gt;0,'Boletins Nuppa Site'!H821,"NULL")</f>
        <v>100</v>
      </c>
      <c r="F821" s="14">
        <f>IF('Boletins Nuppa Site'!I821&lt;&gt;0,'Boletins Nuppa Site'!I821,"NULL")</f>
        <v>100</v>
      </c>
      <c r="G821" s="14">
        <f>IF('Boletins Nuppa Site'!J821&lt;&gt;0,'Boletins Nuppa Site'!J821,"NULL")</f>
        <v>100</v>
      </c>
      <c r="H821" s="14">
        <f>IF('Boletins Nuppa Site'!K821&lt;&gt;0,'Boletins Nuppa Site'!K821,"NULL")</f>
        <v>100</v>
      </c>
      <c r="I821" t="str">
        <f t="shared" si="24"/>
        <v>INSERT INTO COTACAO (cot_id, cot_blt_id, cot_pap_id, cot_prc_comum, cot_prc_min, cot_prc_max, cot_prc_med, cot_prc_mediana) VALUES (820, 57, 28, 100, 100, 100, 100, 100);</v>
      </c>
      <c r="J821" t="str">
        <f t="shared" si="25"/>
        <v>UPDATE COTACAO SET cot_id = 820, cot_blt_id = 57, cot_pap_id = 28, cot_prc_comum = 100, cot_prc_min = 100, cot_prc_max = 100, cot_prc_med = 100, cot_prc_mediana = 100 WHERE cot_id = 820;</v>
      </c>
    </row>
    <row r="822" spans="1:10" x14ac:dyDescent="0.3">
      <c r="A822">
        <v>821</v>
      </c>
      <c r="B822">
        <f>IF('Boletins Nuppa Site'!A822&lt;&gt;0,'Boletins Nuppa Site'!A822,"NULL")</f>
        <v>57</v>
      </c>
      <c r="C822">
        <v>29</v>
      </c>
      <c r="D822" t="str">
        <f>IF('Boletins Nuppa Site'!G822&lt;&gt;0,'Boletins Nuppa Site'!G822,"NULL")</f>
        <v>NULL</v>
      </c>
      <c r="E822" s="14">
        <f>IF('Boletins Nuppa Site'!H822&lt;&gt;0,'Boletins Nuppa Site'!H822,"NULL")</f>
        <v>60</v>
      </c>
      <c r="F822" s="14">
        <f>IF('Boletins Nuppa Site'!I822&lt;&gt;0,'Boletins Nuppa Site'!I822,"NULL")</f>
        <v>70</v>
      </c>
      <c r="G822" s="14">
        <f>IF('Boletins Nuppa Site'!J822&lt;&gt;0,'Boletins Nuppa Site'!J822,"NULL")</f>
        <v>65</v>
      </c>
      <c r="H822" s="14">
        <f>IF('Boletins Nuppa Site'!K822&lt;&gt;0,'Boletins Nuppa Site'!K822,"NULL")</f>
        <v>65</v>
      </c>
      <c r="I822" t="str">
        <f t="shared" si="24"/>
        <v>INSERT INTO COTACAO (cot_id, cot_blt_id, cot_pap_id, cot_prc_comum, cot_prc_min, cot_prc_max, cot_prc_med, cot_prc_mediana) VALUES (821, 57, 29, NULL, 60, 70, 65, 65);</v>
      </c>
      <c r="J822" t="str">
        <f t="shared" si="25"/>
        <v>UPDATE COTACAO SET cot_id = 821, cot_blt_id = 57, cot_pap_id = 29, cot_prc_comum = NULL, cot_prc_min = 60, cot_prc_max = 70, cot_prc_med = 65, cot_prc_mediana = 65 WHERE cot_id = 821;</v>
      </c>
    </row>
    <row r="823" spans="1:10" x14ac:dyDescent="0.3">
      <c r="A823">
        <v>822</v>
      </c>
      <c r="B823">
        <f>IF('Boletins Nuppa Site'!A823&lt;&gt;0,'Boletins Nuppa Site'!A823,"NULL")</f>
        <v>57</v>
      </c>
      <c r="C823">
        <v>30</v>
      </c>
      <c r="D823" s="14">
        <f>IF('Boletins Nuppa Site'!G823&lt;&gt;0,'Boletins Nuppa Site'!G823,"NULL")</f>
        <v>80</v>
      </c>
      <c r="E823" s="14">
        <f>IF('Boletins Nuppa Site'!H823&lt;&gt;0,'Boletins Nuppa Site'!H823,"NULL")</f>
        <v>80</v>
      </c>
      <c r="F823" s="14">
        <f>IF('Boletins Nuppa Site'!I823&lt;&gt;0,'Boletins Nuppa Site'!I823,"NULL")</f>
        <v>80</v>
      </c>
      <c r="G823" s="14">
        <f>IF('Boletins Nuppa Site'!J823&lt;&gt;0,'Boletins Nuppa Site'!J823,"NULL")</f>
        <v>80</v>
      </c>
      <c r="H823" s="14">
        <f>IF('Boletins Nuppa Site'!K823&lt;&gt;0,'Boletins Nuppa Site'!K823,"NULL")</f>
        <v>80</v>
      </c>
      <c r="I823" t="str">
        <f t="shared" si="24"/>
        <v>INSERT INTO COTACAO (cot_id, cot_blt_id, cot_pap_id, cot_prc_comum, cot_prc_min, cot_prc_max, cot_prc_med, cot_prc_mediana) VALUES (822, 57, 30, 80, 80, 80, 80, 80);</v>
      </c>
      <c r="J823" t="str">
        <f t="shared" si="25"/>
        <v>UPDATE COTACAO SET cot_id = 822, cot_blt_id = 57, cot_pap_id = 30, cot_prc_comum = 80, cot_prc_min = 80, cot_prc_max = 80, cot_prc_med = 80, cot_prc_mediana = 80 WHERE cot_id = 822;</v>
      </c>
    </row>
    <row r="824" spans="1:10" x14ac:dyDescent="0.3">
      <c r="A824">
        <v>823</v>
      </c>
      <c r="B824">
        <f>IF('Boletins Nuppa Site'!A824&lt;&gt;0,'Boletins Nuppa Site'!A824,"NULL")</f>
        <v>57</v>
      </c>
      <c r="C824">
        <v>31</v>
      </c>
      <c r="D824" s="14">
        <f>IF('Boletins Nuppa Site'!G824&lt;&gt;0,'Boletins Nuppa Site'!G824,"NULL")</f>
        <v>80</v>
      </c>
      <c r="E824" s="14">
        <f>IF('Boletins Nuppa Site'!H824&lt;&gt;0,'Boletins Nuppa Site'!H824,"NULL")</f>
        <v>65</v>
      </c>
      <c r="F824" s="14">
        <f>IF('Boletins Nuppa Site'!I824&lt;&gt;0,'Boletins Nuppa Site'!I824,"NULL")</f>
        <v>80</v>
      </c>
      <c r="G824" s="14">
        <f>IF('Boletins Nuppa Site'!J824&lt;&gt;0,'Boletins Nuppa Site'!J824,"NULL")</f>
        <v>75</v>
      </c>
      <c r="H824" s="14">
        <f>IF('Boletins Nuppa Site'!K824&lt;&gt;0,'Boletins Nuppa Site'!K824,"NULL")</f>
        <v>80</v>
      </c>
      <c r="I824" t="str">
        <f t="shared" si="24"/>
        <v>INSERT INTO COTACAO (cot_id, cot_blt_id, cot_pap_id, cot_prc_comum, cot_prc_min, cot_prc_max, cot_prc_med, cot_prc_mediana) VALUES (823, 57, 31, 80, 65, 80, 75, 80);</v>
      </c>
      <c r="J824" t="str">
        <f t="shared" si="25"/>
        <v>UPDATE COTACAO SET cot_id = 823, cot_blt_id = 57, cot_pap_id = 31, cot_prc_comum = 80, cot_prc_min = 65, cot_prc_max = 80, cot_prc_med = 75, cot_prc_mediana = 80 WHERE cot_id = 823;</v>
      </c>
    </row>
    <row r="825" spans="1:10" x14ac:dyDescent="0.3">
      <c r="A825">
        <v>824</v>
      </c>
      <c r="B825">
        <f>IF('Boletins Nuppa Site'!A825&lt;&gt;0,'Boletins Nuppa Site'!A825,"NULL")</f>
        <v>57</v>
      </c>
      <c r="C825">
        <v>32</v>
      </c>
      <c r="D825" s="14">
        <f>IF('Boletins Nuppa Site'!G825&lt;&gt;0,'Boletins Nuppa Site'!G825,"NULL")</f>
        <v>60</v>
      </c>
      <c r="E825" s="14">
        <f>IF('Boletins Nuppa Site'!H825&lt;&gt;0,'Boletins Nuppa Site'!H825,"NULL")</f>
        <v>50</v>
      </c>
      <c r="F825" s="14">
        <f>IF('Boletins Nuppa Site'!I825&lt;&gt;0,'Boletins Nuppa Site'!I825,"NULL")</f>
        <v>60</v>
      </c>
      <c r="G825" t="str">
        <f>IF('Boletins Nuppa Site'!J825&lt;&gt;0,'Boletins Nuppa Site'!J825,"NULL")</f>
        <v>56.25</v>
      </c>
      <c r="H825" t="str">
        <f>IF('Boletins Nuppa Site'!K825&lt;&gt;0,'Boletins Nuppa Site'!K825,"NULL")</f>
        <v>57.5</v>
      </c>
      <c r="I825" t="str">
        <f t="shared" si="24"/>
        <v>INSERT INTO COTACAO (cot_id, cot_blt_id, cot_pap_id, cot_prc_comum, cot_prc_min, cot_prc_max, cot_prc_med, cot_prc_mediana) VALUES (824, 57, 32, 60, 50, 60, 56.25, 57.5);</v>
      </c>
      <c r="J825" t="str">
        <f t="shared" si="25"/>
        <v>UPDATE COTACAO SET cot_id = 824, cot_blt_id = 57, cot_pap_id = 32, cot_prc_comum = 60, cot_prc_min = 50, cot_prc_max = 60, cot_prc_med = 56.25, cot_prc_mediana = 57.5 WHERE cot_id = 824;</v>
      </c>
    </row>
    <row r="826" spans="1:10" x14ac:dyDescent="0.3">
      <c r="A826">
        <v>825</v>
      </c>
      <c r="B826">
        <f>IF('Boletins Nuppa Site'!A826&lt;&gt;0,'Boletins Nuppa Site'!A826,"NULL")</f>
        <v>57</v>
      </c>
      <c r="C826">
        <v>33</v>
      </c>
      <c r="D826" s="14">
        <f>IF('Boletins Nuppa Site'!G826&lt;&gt;0,'Boletins Nuppa Site'!G826,"NULL")</f>
        <v>180</v>
      </c>
      <c r="E826" s="14">
        <f>IF('Boletins Nuppa Site'!H826&lt;&gt;0,'Boletins Nuppa Site'!H826,"NULL")</f>
        <v>180</v>
      </c>
      <c r="F826" s="14">
        <f>IF('Boletins Nuppa Site'!I826&lt;&gt;0,'Boletins Nuppa Site'!I826,"NULL")</f>
        <v>180</v>
      </c>
      <c r="G826" s="14">
        <f>IF('Boletins Nuppa Site'!J826&lt;&gt;0,'Boletins Nuppa Site'!J826,"NULL")</f>
        <v>180</v>
      </c>
      <c r="H826" s="14">
        <f>IF('Boletins Nuppa Site'!K826&lt;&gt;0,'Boletins Nuppa Site'!K826,"NULL")</f>
        <v>180</v>
      </c>
      <c r="I826" t="str">
        <f t="shared" si="24"/>
        <v>INSERT INTO COTACAO (cot_id, cot_blt_id, cot_pap_id, cot_prc_comum, cot_prc_min, cot_prc_max, cot_prc_med, cot_prc_mediana) VALUES (825, 57, 33, 180, 180, 180, 180, 180);</v>
      </c>
      <c r="J826" t="str">
        <f t="shared" si="25"/>
        <v>UPDATE COTACAO SET cot_id = 825, cot_blt_id = 57, cot_pap_id = 33, cot_prc_comum = 180, cot_prc_min = 180, cot_prc_max = 180, cot_prc_med = 180, cot_prc_mediana = 180 WHERE cot_id = 825;</v>
      </c>
    </row>
    <row r="827" spans="1:10" x14ac:dyDescent="0.3">
      <c r="A827">
        <v>826</v>
      </c>
      <c r="B827">
        <f>IF('Boletins Nuppa Site'!A827&lt;&gt;0,'Boletins Nuppa Site'!A827,"NULL")</f>
        <v>57</v>
      </c>
      <c r="C827">
        <v>34</v>
      </c>
      <c r="D827" s="14">
        <f>IF('Boletins Nuppa Site'!G827&lt;&gt;0,'Boletins Nuppa Site'!G827,"NULL")</f>
        <v>90</v>
      </c>
      <c r="E827" s="14">
        <f>IF('Boletins Nuppa Site'!H827&lt;&gt;0,'Boletins Nuppa Site'!H827,"NULL")</f>
        <v>80</v>
      </c>
      <c r="F827" s="14">
        <f>IF('Boletins Nuppa Site'!I827&lt;&gt;0,'Boletins Nuppa Site'!I827,"NULL")</f>
        <v>100</v>
      </c>
      <c r="G827" s="14">
        <f>IF('Boletins Nuppa Site'!J827&lt;&gt;0,'Boletins Nuppa Site'!J827,"NULL")</f>
        <v>92</v>
      </c>
      <c r="H827" s="14">
        <f>IF('Boletins Nuppa Site'!K827&lt;&gt;0,'Boletins Nuppa Site'!K827,"NULL")</f>
        <v>90</v>
      </c>
      <c r="I827" t="str">
        <f t="shared" si="24"/>
        <v>INSERT INTO COTACAO (cot_id, cot_blt_id, cot_pap_id, cot_prc_comum, cot_prc_min, cot_prc_max, cot_prc_med, cot_prc_mediana) VALUES (826, 57, 34, 90, 80, 100, 92, 90);</v>
      </c>
      <c r="J827" t="str">
        <f t="shared" si="25"/>
        <v>UPDATE COTACAO SET cot_id = 826, cot_blt_id = 57, cot_pap_id = 34, cot_prc_comum = 90, cot_prc_min = 80, cot_prc_max = 100, cot_prc_med = 92, cot_prc_mediana = 90 WHERE cot_id = 826;</v>
      </c>
    </row>
    <row r="828" spans="1:10" x14ac:dyDescent="0.3">
      <c r="A828">
        <v>827</v>
      </c>
      <c r="B828">
        <f>IF('Boletins Nuppa Site'!A828&lt;&gt;0,'Boletins Nuppa Site'!A828,"NULL")</f>
        <v>57</v>
      </c>
      <c r="C828">
        <v>35</v>
      </c>
      <c r="D828" t="str">
        <f>IF('Boletins Nuppa Site'!G828&lt;&gt;0,'Boletins Nuppa Site'!G828,"NULL")</f>
        <v>NULL</v>
      </c>
      <c r="E828" s="14">
        <f>IF('Boletins Nuppa Site'!H828&lt;&gt;0,'Boletins Nuppa Site'!H828,"NULL")</f>
        <v>150</v>
      </c>
      <c r="F828" s="14">
        <f>IF('Boletins Nuppa Site'!I828&lt;&gt;0,'Boletins Nuppa Site'!I828,"NULL")</f>
        <v>220</v>
      </c>
      <c r="G828" t="str">
        <f>IF('Boletins Nuppa Site'!J828&lt;&gt;0,'Boletins Nuppa Site'!J828,"NULL")</f>
        <v>176.67</v>
      </c>
      <c r="H828" s="14">
        <f>IF('Boletins Nuppa Site'!K828&lt;&gt;0,'Boletins Nuppa Site'!K828,"NULL")</f>
        <v>160</v>
      </c>
      <c r="I828" t="str">
        <f t="shared" si="24"/>
        <v>INSERT INTO COTACAO (cot_id, cot_blt_id, cot_pap_id, cot_prc_comum, cot_prc_min, cot_prc_max, cot_prc_med, cot_prc_mediana) VALUES (827, 57, 35, NULL, 150, 220, 176.67, 160);</v>
      </c>
      <c r="J828" t="str">
        <f t="shared" si="25"/>
        <v>UPDATE COTACAO SET cot_id = 827, cot_blt_id = 57, cot_pap_id = 35, cot_prc_comum = NULL, cot_prc_min = 150, cot_prc_max = 220, cot_prc_med = 176.67, cot_prc_mediana = 160 WHERE cot_id = 827;</v>
      </c>
    </row>
    <row r="829" spans="1:10" x14ac:dyDescent="0.3">
      <c r="A829">
        <v>828</v>
      </c>
      <c r="B829">
        <f>IF('Boletins Nuppa Site'!A829&lt;&gt;0,'Boletins Nuppa Site'!A829,"NULL")</f>
        <v>57</v>
      </c>
      <c r="C829">
        <v>36</v>
      </c>
      <c r="D829" t="str">
        <f>IF('Boletins Nuppa Site'!G829&lt;&gt;0,'Boletins Nuppa Site'!G829,"NULL")</f>
        <v>NULL</v>
      </c>
      <c r="E829" s="14">
        <f>IF('Boletins Nuppa Site'!H829&lt;&gt;0,'Boletins Nuppa Site'!H829,"NULL")</f>
        <v>120</v>
      </c>
      <c r="F829" s="14">
        <f>IF('Boletins Nuppa Site'!I829&lt;&gt;0,'Boletins Nuppa Site'!I829,"NULL")</f>
        <v>120</v>
      </c>
      <c r="G829" s="14">
        <f>IF('Boletins Nuppa Site'!J829&lt;&gt;0,'Boletins Nuppa Site'!J829,"NULL")</f>
        <v>120</v>
      </c>
      <c r="H829" s="14">
        <f>IF('Boletins Nuppa Site'!K829&lt;&gt;0,'Boletins Nuppa Site'!K829,"NULL")</f>
        <v>120</v>
      </c>
      <c r="I829" t="str">
        <f t="shared" si="24"/>
        <v>INSERT INTO COTACAO (cot_id, cot_blt_id, cot_pap_id, cot_prc_comum, cot_prc_min, cot_prc_max, cot_prc_med, cot_prc_mediana) VALUES (828, 57, 36, NULL, 120, 120, 120, 120);</v>
      </c>
      <c r="J829" t="str">
        <f t="shared" si="25"/>
        <v>UPDATE COTACAO SET cot_id = 828, cot_blt_id = 57, cot_pap_id = 36, cot_prc_comum = NULL, cot_prc_min = 120, cot_prc_max = 120, cot_prc_med = 120, cot_prc_mediana = 120 WHERE cot_id = 828;</v>
      </c>
    </row>
    <row r="830" spans="1:10" x14ac:dyDescent="0.3">
      <c r="A830">
        <v>829</v>
      </c>
      <c r="B830">
        <f>IF('Boletins Nuppa Site'!A830&lt;&gt;0,'Boletins Nuppa Site'!A830,"NULL")</f>
        <v>57</v>
      </c>
      <c r="C830">
        <v>37</v>
      </c>
      <c r="D830" t="str">
        <f>IF('Boletins Nuppa Site'!G830&lt;&gt;0,'Boletins Nuppa Site'!G830,"NULL")</f>
        <v>NULL</v>
      </c>
      <c r="E830" t="str">
        <f>IF('Boletins Nuppa Site'!H830&lt;&gt;0,'Boletins Nuppa Site'!H830,"NULL")</f>
        <v>NULL</v>
      </c>
      <c r="F830" t="str">
        <f>IF('Boletins Nuppa Site'!I830&lt;&gt;0,'Boletins Nuppa Site'!I830,"NULL")</f>
        <v>NULL</v>
      </c>
      <c r="G830" t="str">
        <f>IF('Boletins Nuppa Site'!J830&lt;&gt;0,'Boletins Nuppa Site'!J830,"NULL")</f>
        <v>NULL</v>
      </c>
      <c r="H830" t="str">
        <f>IF('Boletins Nuppa Site'!K830&lt;&gt;0,'Boletins Nuppa Site'!K830,"NULL")</f>
        <v>NULL</v>
      </c>
      <c r="I830" t="str">
        <f t="shared" si="24"/>
        <v>INSERT INTO COTACAO (cot_id, cot_blt_id, cot_pap_id, cot_prc_comum, cot_prc_min, cot_prc_max, cot_prc_med, cot_prc_mediana) VALUES (829, 57, 37, NULL, NULL, NULL, NULL, NULL);</v>
      </c>
      <c r="J830" t="str">
        <f t="shared" si="25"/>
        <v>UPDATE COTACAO SET cot_id = 829, cot_blt_id = 57, cot_pap_id = 37, cot_prc_comum = NULL, cot_prc_min = NULL, cot_prc_max = NULL, cot_prc_med = NULL, cot_prc_mediana = NULL WHERE cot_id = 829;</v>
      </c>
    </row>
    <row r="831" spans="1:10" x14ac:dyDescent="0.3">
      <c r="A831">
        <v>830</v>
      </c>
      <c r="B831">
        <f>IF('Boletins Nuppa Site'!A831&lt;&gt;0,'Boletins Nuppa Site'!A831,"NULL")</f>
        <v>57</v>
      </c>
      <c r="C831">
        <v>38</v>
      </c>
      <c r="D831" t="str">
        <f>IF('Boletins Nuppa Site'!G831&lt;&gt;0,'Boletins Nuppa Site'!G831,"NULL")</f>
        <v>NULL</v>
      </c>
      <c r="E831" t="str">
        <f>IF('Boletins Nuppa Site'!H831&lt;&gt;0,'Boletins Nuppa Site'!H831,"NULL")</f>
        <v>NULL</v>
      </c>
      <c r="F831" t="str">
        <f>IF('Boletins Nuppa Site'!I831&lt;&gt;0,'Boletins Nuppa Site'!I831,"NULL")</f>
        <v>NULL</v>
      </c>
      <c r="G831" t="str">
        <f>IF('Boletins Nuppa Site'!J831&lt;&gt;0,'Boletins Nuppa Site'!J831,"NULL")</f>
        <v>NULL</v>
      </c>
      <c r="H831" t="str">
        <f>IF('Boletins Nuppa Site'!K831&lt;&gt;0,'Boletins Nuppa Site'!K831,"NULL")</f>
        <v>NULL</v>
      </c>
      <c r="I831" t="str">
        <f t="shared" si="24"/>
        <v>INSERT INTO COTACAO (cot_id, cot_blt_id, cot_pap_id, cot_prc_comum, cot_prc_min, cot_prc_max, cot_prc_med, cot_prc_mediana) VALUES (830, 57, 38, NULL, NULL, NULL, NULL, NULL);</v>
      </c>
      <c r="J831" t="str">
        <f t="shared" si="25"/>
        <v>UPDATE COTACAO SET cot_id = 830, cot_blt_id = 57, cot_pap_id = 38, cot_prc_comum = NULL, cot_prc_min = NULL, cot_prc_max = NULL, cot_prc_med = NULL, cot_prc_mediana = NULL WHERE cot_id = 830;</v>
      </c>
    </row>
    <row r="832" spans="1:10" x14ac:dyDescent="0.3">
      <c r="A832">
        <v>831</v>
      </c>
      <c r="B832">
        <f>IF('Boletins Nuppa Site'!A832&lt;&gt;0,'Boletins Nuppa Site'!A832,"NULL")</f>
        <v>57</v>
      </c>
      <c r="C832">
        <v>39</v>
      </c>
      <c r="D832" t="str">
        <f>IF('Boletins Nuppa Site'!G832&lt;&gt;0,'Boletins Nuppa Site'!G832,"NULL")</f>
        <v>NULL</v>
      </c>
      <c r="E832" s="14">
        <f>IF('Boletins Nuppa Site'!H832&lt;&gt;0,'Boletins Nuppa Site'!H832,"NULL")</f>
        <v>50</v>
      </c>
      <c r="F832" s="14">
        <f>IF('Boletins Nuppa Site'!I832&lt;&gt;0,'Boletins Nuppa Site'!I832,"NULL")</f>
        <v>50</v>
      </c>
      <c r="G832" s="14">
        <f>IF('Boletins Nuppa Site'!J832&lt;&gt;0,'Boletins Nuppa Site'!J832,"NULL")</f>
        <v>50</v>
      </c>
      <c r="H832" s="14">
        <f>IF('Boletins Nuppa Site'!K832&lt;&gt;0,'Boletins Nuppa Site'!K832,"NULL")</f>
        <v>50</v>
      </c>
      <c r="I832" t="str">
        <f t="shared" si="24"/>
        <v>INSERT INTO COTACAO (cot_id, cot_blt_id, cot_pap_id, cot_prc_comum, cot_prc_min, cot_prc_max, cot_prc_med, cot_prc_mediana) VALUES (831, 57, 39, NULL, 50, 50, 50, 50);</v>
      </c>
      <c r="J832" t="str">
        <f t="shared" si="25"/>
        <v>UPDATE COTACAO SET cot_id = 831, cot_blt_id = 57, cot_pap_id = 39, cot_prc_comum = NULL, cot_prc_min = 50, cot_prc_max = 50, cot_prc_med = 50, cot_prc_mediana = 50 WHERE cot_id = 831;</v>
      </c>
    </row>
    <row r="833" spans="1:10" x14ac:dyDescent="0.3">
      <c r="A833">
        <v>832</v>
      </c>
      <c r="B833">
        <f>IF('Boletins Nuppa Site'!A833&lt;&gt;0,'Boletins Nuppa Site'!A833,"NULL")</f>
        <v>57</v>
      </c>
      <c r="C833">
        <v>40</v>
      </c>
      <c r="D833" t="str">
        <f>IF('Boletins Nuppa Site'!G833&lt;&gt;0,'Boletins Nuppa Site'!G833,"NULL")</f>
        <v>NULL</v>
      </c>
      <c r="E833" s="14">
        <f>IF('Boletins Nuppa Site'!H833&lt;&gt;0,'Boletins Nuppa Site'!H833,"NULL")</f>
        <v>60</v>
      </c>
      <c r="F833" s="14">
        <f>IF('Boletins Nuppa Site'!I833&lt;&gt;0,'Boletins Nuppa Site'!I833,"NULL")</f>
        <v>60</v>
      </c>
      <c r="G833" s="14">
        <f>IF('Boletins Nuppa Site'!J833&lt;&gt;0,'Boletins Nuppa Site'!J833,"NULL")</f>
        <v>60</v>
      </c>
      <c r="H833" s="14">
        <f>IF('Boletins Nuppa Site'!K833&lt;&gt;0,'Boletins Nuppa Site'!K833,"NULL")</f>
        <v>60</v>
      </c>
      <c r="I833" t="str">
        <f t="shared" si="24"/>
        <v>INSERT INTO COTACAO (cot_id, cot_blt_id, cot_pap_id, cot_prc_comum, cot_prc_min, cot_prc_max, cot_prc_med, cot_prc_mediana) VALUES (832, 57, 40, NULL, 60, 60, 60, 60);</v>
      </c>
      <c r="J833" t="str">
        <f t="shared" si="25"/>
        <v>UPDATE COTACAO SET cot_id = 832, cot_blt_id = 57, cot_pap_id = 40, cot_prc_comum = NULL, cot_prc_min = 60, cot_prc_max = 60, cot_prc_med = 60, cot_prc_mediana = 60 WHERE cot_id = 832;</v>
      </c>
    </row>
    <row r="834" spans="1:10" x14ac:dyDescent="0.3">
      <c r="A834">
        <v>833</v>
      </c>
      <c r="B834">
        <f>IF('Boletins Nuppa Site'!A834&lt;&gt;0,'Boletins Nuppa Site'!A834,"NULL")</f>
        <v>58</v>
      </c>
      <c r="C834">
        <v>1</v>
      </c>
      <c r="D834" s="14">
        <f>IF('Boletins Nuppa Site'!G834&lt;&gt;0,'Boletins Nuppa Site'!G834,"NULL")</f>
        <v>60</v>
      </c>
      <c r="E834" s="14">
        <f>IF('Boletins Nuppa Site'!H834&lt;&gt;0,'Boletins Nuppa Site'!H834,"NULL")</f>
        <v>60</v>
      </c>
      <c r="F834" s="14">
        <f>IF('Boletins Nuppa Site'!I834&lt;&gt;0,'Boletins Nuppa Site'!I834,"NULL")</f>
        <v>60</v>
      </c>
      <c r="G834" s="14">
        <f>IF('Boletins Nuppa Site'!J834&lt;&gt;0,'Boletins Nuppa Site'!J834,"NULL")</f>
        <v>60</v>
      </c>
      <c r="H834" s="14">
        <f>IF('Boletins Nuppa Site'!K834&lt;&gt;0,'Boletins Nuppa Site'!K834,"NULL")</f>
        <v>60</v>
      </c>
      <c r="I834" t="str">
        <f t="shared" si="24"/>
        <v>INSERT INTO COTACAO (cot_id, cot_blt_id, cot_pap_id, cot_prc_comum, cot_prc_min, cot_prc_max, cot_prc_med, cot_prc_mediana) VALUES (833, 58, 1, 60, 60, 60, 60, 60);</v>
      </c>
      <c r="J834" t="str">
        <f t="shared" si="25"/>
        <v>UPDATE COTACAO SET cot_id = 833, cot_blt_id = 58, cot_pap_id = 1, cot_prc_comum = 60, cot_prc_min = 60, cot_prc_max = 60, cot_prc_med = 60, cot_prc_mediana = 60 WHERE cot_id = 833;</v>
      </c>
    </row>
    <row r="835" spans="1:10" x14ac:dyDescent="0.3">
      <c r="A835">
        <v>834</v>
      </c>
      <c r="B835">
        <f>IF('Boletins Nuppa Site'!A835&lt;&gt;0,'Boletins Nuppa Site'!A835,"NULL")</f>
        <v>58</v>
      </c>
      <c r="C835">
        <v>2</v>
      </c>
      <c r="D835" s="14">
        <f>IF('Boletins Nuppa Site'!G835&lt;&gt;0,'Boletins Nuppa Site'!G835,"NULL")</f>
        <v>84</v>
      </c>
      <c r="E835" s="14">
        <f>IF('Boletins Nuppa Site'!H835&lt;&gt;0,'Boletins Nuppa Site'!H835,"NULL")</f>
        <v>84</v>
      </c>
      <c r="F835" s="14">
        <f>IF('Boletins Nuppa Site'!I835&lt;&gt;0,'Boletins Nuppa Site'!I835,"NULL")</f>
        <v>84</v>
      </c>
      <c r="G835" s="14">
        <f>IF('Boletins Nuppa Site'!J835&lt;&gt;0,'Boletins Nuppa Site'!J835,"NULL")</f>
        <v>84</v>
      </c>
      <c r="H835" s="14">
        <f>IF('Boletins Nuppa Site'!K835&lt;&gt;0,'Boletins Nuppa Site'!K835,"NULL")</f>
        <v>84</v>
      </c>
      <c r="I835" t="str">
        <f t="shared" ref="I835:I898" si="26">"INSERT INTO COTACAO (cot_id, cot_blt_id, cot_pap_id, cot_prc_comum, cot_prc_min, cot_prc_max, cot_prc_med, cot_prc_mediana) VALUES ("&amp;A835&amp;", "&amp;B835&amp;", "&amp;C835&amp;", "&amp;D835&amp;", "&amp;E835&amp;", "&amp;F835&amp;", "&amp;G835&amp;", "&amp;H835&amp;");"</f>
        <v>INSERT INTO COTACAO (cot_id, cot_blt_id, cot_pap_id, cot_prc_comum, cot_prc_min, cot_prc_max, cot_prc_med, cot_prc_mediana) VALUES (834, 58, 2, 84, 84, 84, 84, 84);</v>
      </c>
      <c r="J835" t="str">
        <f t="shared" ref="J835:J898" si="27">"UPDATE COTACAO SET cot_id = "&amp;A835&amp;", cot_blt_id = "&amp;B835&amp;", cot_pap_id = "&amp;C835&amp;", cot_prc_comum = "&amp;D835&amp;", cot_prc_min = "&amp;E835&amp;", cot_prc_max = "&amp;F835&amp;", cot_prc_med = "&amp;G835&amp;", cot_prc_mediana = "&amp;H835&amp;" WHERE cot_id = "&amp;A835&amp;";"</f>
        <v>UPDATE COTACAO SET cot_id = 834, cot_blt_id = 58, cot_pap_id = 2, cot_prc_comum = 84, cot_prc_min = 84, cot_prc_max = 84, cot_prc_med = 84, cot_prc_mediana = 84 WHERE cot_id = 834;</v>
      </c>
    </row>
    <row r="836" spans="1:10" x14ac:dyDescent="0.3">
      <c r="A836">
        <v>835</v>
      </c>
      <c r="B836">
        <f>IF('Boletins Nuppa Site'!A836&lt;&gt;0,'Boletins Nuppa Site'!A836,"NULL")</f>
        <v>58</v>
      </c>
      <c r="C836">
        <v>3</v>
      </c>
      <c r="D836" t="str">
        <f>IF('Boletins Nuppa Site'!G836&lt;&gt;0,'Boletins Nuppa Site'!G836,"NULL")</f>
        <v>NULL</v>
      </c>
      <c r="E836" s="14">
        <f>IF('Boletins Nuppa Site'!H836&lt;&gt;0,'Boletins Nuppa Site'!H836,"NULL")</f>
        <v>36</v>
      </c>
      <c r="F836" s="14">
        <f>IF('Boletins Nuppa Site'!I836&lt;&gt;0,'Boletins Nuppa Site'!I836,"NULL")</f>
        <v>40</v>
      </c>
      <c r="G836" s="14">
        <f>IF('Boletins Nuppa Site'!J836&lt;&gt;0,'Boletins Nuppa Site'!J836,"NULL")</f>
        <v>38</v>
      </c>
      <c r="H836" s="14">
        <f>IF('Boletins Nuppa Site'!K836&lt;&gt;0,'Boletins Nuppa Site'!K836,"NULL")</f>
        <v>38</v>
      </c>
      <c r="I836" t="str">
        <f t="shared" si="26"/>
        <v>INSERT INTO COTACAO (cot_id, cot_blt_id, cot_pap_id, cot_prc_comum, cot_prc_min, cot_prc_max, cot_prc_med, cot_prc_mediana) VALUES (835, 58, 3, NULL, 36, 40, 38, 38);</v>
      </c>
      <c r="J836" t="str">
        <f t="shared" si="27"/>
        <v>UPDATE COTACAO SET cot_id = 835, cot_blt_id = 58, cot_pap_id = 3, cot_prc_comum = NULL, cot_prc_min = 36, cot_prc_max = 40, cot_prc_med = 38, cot_prc_mediana = 38 WHERE cot_id = 835;</v>
      </c>
    </row>
    <row r="837" spans="1:10" x14ac:dyDescent="0.3">
      <c r="A837">
        <v>836</v>
      </c>
      <c r="B837">
        <f>IF('Boletins Nuppa Site'!A837&lt;&gt;0,'Boletins Nuppa Site'!A837,"NULL")</f>
        <v>58</v>
      </c>
      <c r="C837">
        <v>4</v>
      </c>
      <c r="D837" t="str">
        <f>IF('Boletins Nuppa Site'!G837&lt;&gt;0,'Boletins Nuppa Site'!G837,"NULL")</f>
        <v>NULL</v>
      </c>
      <c r="E837" s="14">
        <f>IF('Boletins Nuppa Site'!H837&lt;&gt;0,'Boletins Nuppa Site'!H837,"NULL")</f>
        <v>20</v>
      </c>
      <c r="F837" s="14">
        <f>IF('Boletins Nuppa Site'!I837&lt;&gt;0,'Boletins Nuppa Site'!I837,"NULL")</f>
        <v>24</v>
      </c>
      <c r="G837" s="14">
        <f>IF('Boletins Nuppa Site'!J837&lt;&gt;0,'Boletins Nuppa Site'!J837,"NULL")</f>
        <v>22</v>
      </c>
      <c r="H837" s="14">
        <f>IF('Boletins Nuppa Site'!K837&lt;&gt;0,'Boletins Nuppa Site'!K837,"NULL")</f>
        <v>22</v>
      </c>
      <c r="I837" t="str">
        <f t="shared" si="26"/>
        <v>INSERT INTO COTACAO (cot_id, cot_blt_id, cot_pap_id, cot_prc_comum, cot_prc_min, cot_prc_max, cot_prc_med, cot_prc_mediana) VALUES (836, 58, 4, NULL, 20, 24, 22, 22);</v>
      </c>
      <c r="J837" t="str">
        <f t="shared" si="27"/>
        <v>UPDATE COTACAO SET cot_id = 836, cot_blt_id = 58, cot_pap_id = 4, cot_prc_comum = NULL, cot_prc_min = 20, cot_prc_max = 24, cot_prc_med = 22, cot_prc_mediana = 22 WHERE cot_id = 836;</v>
      </c>
    </row>
    <row r="838" spans="1:10" x14ac:dyDescent="0.3">
      <c r="A838">
        <v>837</v>
      </c>
      <c r="B838">
        <f>IF('Boletins Nuppa Site'!A838&lt;&gt;0,'Boletins Nuppa Site'!A838,"NULL")</f>
        <v>58</v>
      </c>
      <c r="C838">
        <v>5</v>
      </c>
      <c r="D838" t="str">
        <f>IF('Boletins Nuppa Site'!G838&lt;&gt;0,'Boletins Nuppa Site'!G838,"NULL")</f>
        <v>NULL</v>
      </c>
      <c r="E838" s="14">
        <f>IF('Boletins Nuppa Site'!H838&lt;&gt;0,'Boletins Nuppa Site'!H838,"NULL")</f>
        <v>20</v>
      </c>
      <c r="F838" s="14">
        <f>IF('Boletins Nuppa Site'!I838&lt;&gt;0,'Boletins Nuppa Site'!I838,"NULL")</f>
        <v>24</v>
      </c>
      <c r="G838" s="14">
        <f>IF('Boletins Nuppa Site'!J838&lt;&gt;0,'Boletins Nuppa Site'!J838,"NULL")</f>
        <v>22</v>
      </c>
      <c r="H838" s="14">
        <f>IF('Boletins Nuppa Site'!K838&lt;&gt;0,'Boletins Nuppa Site'!K838,"NULL")</f>
        <v>22</v>
      </c>
      <c r="I838" t="str">
        <f t="shared" si="26"/>
        <v>INSERT INTO COTACAO (cot_id, cot_blt_id, cot_pap_id, cot_prc_comum, cot_prc_min, cot_prc_max, cot_prc_med, cot_prc_mediana) VALUES (837, 58, 5, NULL, 20, 24, 22, 22);</v>
      </c>
      <c r="J838" t="str">
        <f t="shared" si="27"/>
        <v>UPDATE COTACAO SET cot_id = 837, cot_blt_id = 58, cot_pap_id = 5, cot_prc_comum = NULL, cot_prc_min = 20, cot_prc_max = 24, cot_prc_med = 22, cot_prc_mediana = 22 WHERE cot_id = 837;</v>
      </c>
    </row>
    <row r="839" spans="1:10" x14ac:dyDescent="0.3">
      <c r="A839">
        <v>838</v>
      </c>
      <c r="B839">
        <f>IF('Boletins Nuppa Site'!A839&lt;&gt;0,'Boletins Nuppa Site'!A839,"NULL")</f>
        <v>58</v>
      </c>
      <c r="C839">
        <v>6</v>
      </c>
      <c r="D839" s="14">
        <f>IF('Boletins Nuppa Site'!G839&lt;&gt;0,'Boletins Nuppa Site'!G839,"NULL")</f>
        <v>60</v>
      </c>
      <c r="E839" s="14">
        <f>IF('Boletins Nuppa Site'!H839&lt;&gt;0,'Boletins Nuppa Site'!H839,"NULL")</f>
        <v>60</v>
      </c>
      <c r="F839" s="14">
        <f>IF('Boletins Nuppa Site'!I839&lt;&gt;0,'Boletins Nuppa Site'!I839,"NULL")</f>
        <v>60</v>
      </c>
      <c r="G839" s="14">
        <f>IF('Boletins Nuppa Site'!J839&lt;&gt;0,'Boletins Nuppa Site'!J839,"NULL")</f>
        <v>60</v>
      </c>
      <c r="H839" s="14">
        <f>IF('Boletins Nuppa Site'!K839&lt;&gt;0,'Boletins Nuppa Site'!K839,"NULL")</f>
        <v>60</v>
      </c>
      <c r="I839" t="str">
        <f t="shared" si="26"/>
        <v>INSERT INTO COTACAO (cot_id, cot_blt_id, cot_pap_id, cot_prc_comum, cot_prc_min, cot_prc_max, cot_prc_med, cot_prc_mediana) VALUES (838, 58, 6, 60, 60, 60, 60, 60);</v>
      </c>
      <c r="J839" t="str">
        <f t="shared" si="27"/>
        <v>UPDATE COTACAO SET cot_id = 838, cot_blt_id = 58, cot_pap_id = 6, cot_prc_comum = 60, cot_prc_min = 60, cot_prc_max = 60, cot_prc_med = 60, cot_prc_mediana = 60 WHERE cot_id = 838;</v>
      </c>
    </row>
    <row r="840" spans="1:10" x14ac:dyDescent="0.3">
      <c r="A840">
        <v>839</v>
      </c>
      <c r="B840">
        <f>IF('Boletins Nuppa Site'!A840&lt;&gt;0,'Boletins Nuppa Site'!A840,"NULL")</f>
        <v>58</v>
      </c>
      <c r="C840">
        <v>7</v>
      </c>
      <c r="D840" s="14">
        <f>IF('Boletins Nuppa Site'!G840&lt;&gt;0,'Boletins Nuppa Site'!G840,"NULL")</f>
        <v>84</v>
      </c>
      <c r="E840" s="14">
        <f>IF('Boletins Nuppa Site'!H840&lt;&gt;0,'Boletins Nuppa Site'!H840,"NULL")</f>
        <v>60</v>
      </c>
      <c r="F840" s="14">
        <f>IF('Boletins Nuppa Site'!I840&lt;&gt;0,'Boletins Nuppa Site'!I840,"NULL")</f>
        <v>84</v>
      </c>
      <c r="G840" s="14">
        <f>IF('Boletins Nuppa Site'!J840&lt;&gt;0,'Boletins Nuppa Site'!J840,"NULL")</f>
        <v>76</v>
      </c>
      <c r="H840" s="14">
        <f>IF('Boletins Nuppa Site'!K840&lt;&gt;0,'Boletins Nuppa Site'!K840,"NULL")</f>
        <v>84</v>
      </c>
      <c r="I840" t="str">
        <f t="shared" si="26"/>
        <v>INSERT INTO COTACAO (cot_id, cot_blt_id, cot_pap_id, cot_prc_comum, cot_prc_min, cot_prc_max, cot_prc_med, cot_prc_mediana) VALUES (839, 58, 7, 84, 60, 84, 76, 84);</v>
      </c>
      <c r="J840" t="str">
        <f t="shared" si="27"/>
        <v>UPDATE COTACAO SET cot_id = 839, cot_blt_id = 58, cot_pap_id = 7, cot_prc_comum = 84, cot_prc_min = 60, cot_prc_max = 84, cot_prc_med = 76, cot_prc_mediana = 84 WHERE cot_id = 839;</v>
      </c>
    </row>
    <row r="841" spans="1:10" x14ac:dyDescent="0.3">
      <c r="A841">
        <v>840</v>
      </c>
      <c r="B841">
        <f>IF('Boletins Nuppa Site'!A841&lt;&gt;0,'Boletins Nuppa Site'!A841,"NULL")</f>
        <v>58</v>
      </c>
      <c r="C841">
        <v>8</v>
      </c>
      <c r="D841" t="str">
        <f>IF('Boletins Nuppa Site'!G841&lt;&gt;0,'Boletins Nuppa Site'!G841,"NULL")</f>
        <v>NULL</v>
      </c>
      <c r="E841" s="14">
        <f>IF('Boletins Nuppa Site'!H841&lt;&gt;0,'Boletins Nuppa Site'!H841,"NULL")</f>
        <v>84</v>
      </c>
      <c r="F841" s="14">
        <f>IF('Boletins Nuppa Site'!I841&lt;&gt;0,'Boletins Nuppa Site'!I841,"NULL")</f>
        <v>96</v>
      </c>
      <c r="G841" s="14">
        <f>IF('Boletins Nuppa Site'!J841&lt;&gt;0,'Boletins Nuppa Site'!J841,"NULL")</f>
        <v>90</v>
      </c>
      <c r="H841" s="14">
        <f>IF('Boletins Nuppa Site'!K841&lt;&gt;0,'Boletins Nuppa Site'!K841,"NULL")</f>
        <v>90</v>
      </c>
      <c r="I841" t="str">
        <f t="shared" si="26"/>
        <v>INSERT INTO COTACAO (cot_id, cot_blt_id, cot_pap_id, cot_prc_comum, cot_prc_min, cot_prc_max, cot_prc_med, cot_prc_mediana) VALUES (840, 58, 8, NULL, 84, 96, 90, 90);</v>
      </c>
      <c r="J841" t="str">
        <f t="shared" si="27"/>
        <v>UPDATE COTACAO SET cot_id = 840, cot_blt_id = 58, cot_pap_id = 8, cot_prc_comum = NULL, cot_prc_min = 84, cot_prc_max = 96, cot_prc_med = 90, cot_prc_mediana = 90 WHERE cot_id = 840;</v>
      </c>
    </row>
    <row r="842" spans="1:10" x14ac:dyDescent="0.3">
      <c r="A842">
        <v>841</v>
      </c>
      <c r="B842">
        <f>IF('Boletins Nuppa Site'!A842&lt;&gt;0,'Boletins Nuppa Site'!A842,"NULL")</f>
        <v>58</v>
      </c>
      <c r="C842">
        <v>9</v>
      </c>
      <c r="D842" s="14">
        <f>IF('Boletins Nuppa Site'!G842&lt;&gt;0,'Boletins Nuppa Site'!G842,"NULL")</f>
        <v>24</v>
      </c>
      <c r="E842" s="14">
        <f>IF('Boletins Nuppa Site'!H842&lt;&gt;0,'Boletins Nuppa Site'!H842,"NULL")</f>
        <v>24</v>
      </c>
      <c r="F842" s="14">
        <f>IF('Boletins Nuppa Site'!I842&lt;&gt;0,'Boletins Nuppa Site'!I842,"NULL")</f>
        <v>30</v>
      </c>
      <c r="G842" s="14">
        <f>IF('Boletins Nuppa Site'!J842&lt;&gt;0,'Boletins Nuppa Site'!J842,"NULL")</f>
        <v>26</v>
      </c>
      <c r="H842" s="14">
        <f>IF('Boletins Nuppa Site'!K842&lt;&gt;0,'Boletins Nuppa Site'!K842,"NULL")</f>
        <v>24</v>
      </c>
      <c r="I842" t="str">
        <f t="shared" si="26"/>
        <v>INSERT INTO COTACAO (cot_id, cot_blt_id, cot_pap_id, cot_prc_comum, cot_prc_min, cot_prc_max, cot_prc_med, cot_prc_mediana) VALUES (841, 58, 9, 24, 24, 30, 26, 24);</v>
      </c>
      <c r="J842" t="str">
        <f t="shared" si="27"/>
        <v>UPDATE COTACAO SET cot_id = 841, cot_blt_id = 58, cot_pap_id = 9, cot_prc_comum = 24, cot_prc_min = 24, cot_prc_max = 30, cot_prc_med = 26, cot_prc_mediana = 24 WHERE cot_id = 841;</v>
      </c>
    </row>
    <row r="843" spans="1:10" x14ac:dyDescent="0.3">
      <c r="A843">
        <v>842</v>
      </c>
      <c r="B843">
        <f>IF('Boletins Nuppa Site'!A843&lt;&gt;0,'Boletins Nuppa Site'!A843,"NULL")</f>
        <v>58</v>
      </c>
      <c r="C843">
        <v>10</v>
      </c>
      <c r="D843" t="str">
        <f>IF('Boletins Nuppa Site'!G843&lt;&gt;0,'Boletins Nuppa Site'!G843,"NULL")</f>
        <v>NULL</v>
      </c>
      <c r="E843" s="14">
        <f>IF('Boletins Nuppa Site'!H843&lt;&gt;0,'Boletins Nuppa Site'!H843,"NULL")</f>
        <v>84</v>
      </c>
      <c r="F843" s="14">
        <f>IF('Boletins Nuppa Site'!I843&lt;&gt;0,'Boletins Nuppa Site'!I843,"NULL")</f>
        <v>96</v>
      </c>
      <c r="G843" s="14">
        <f>IF('Boletins Nuppa Site'!J843&lt;&gt;0,'Boletins Nuppa Site'!J843,"NULL")</f>
        <v>90</v>
      </c>
      <c r="H843" s="14">
        <f>IF('Boletins Nuppa Site'!K843&lt;&gt;0,'Boletins Nuppa Site'!K843,"NULL")</f>
        <v>90</v>
      </c>
      <c r="I843" t="str">
        <f t="shared" si="26"/>
        <v>INSERT INTO COTACAO (cot_id, cot_blt_id, cot_pap_id, cot_prc_comum, cot_prc_min, cot_prc_max, cot_prc_med, cot_prc_mediana) VALUES (842, 58, 10, NULL, 84, 96, 90, 90);</v>
      </c>
      <c r="J843" t="str">
        <f t="shared" si="27"/>
        <v>UPDATE COTACAO SET cot_id = 842, cot_blt_id = 58, cot_pap_id = 10, cot_prc_comum = NULL, cot_prc_min = 84, cot_prc_max = 96, cot_prc_med = 90, cot_prc_mediana = 90 WHERE cot_id = 842;</v>
      </c>
    </row>
    <row r="844" spans="1:10" x14ac:dyDescent="0.3">
      <c r="A844">
        <v>843</v>
      </c>
      <c r="B844">
        <f>IF('Boletins Nuppa Site'!A844&lt;&gt;0,'Boletins Nuppa Site'!A844,"NULL")</f>
        <v>58</v>
      </c>
      <c r="C844">
        <v>11</v>
      </c>
      <c r="D844" t="str">
        <f>IF('Boletins Nuppa Site'!G844&lt;&gt;0,'Boletins Nuppa Site'!G844,"NULL")</f>
        <v>NULL</v>
      </c>
      <c r="E844" s="14">
        <f>IF('Boletins Nuppa Site'!H844&lt;&gt;0,'Boletins Nuppa Site'!H844,"NULL")</f>
        <v>20</v>
      </c>
      <c r="F844" s="14">
        <f>IF('Boletins Nuppa Site'!I844&lt;&gt;0,'Boletins Nuppa Site'!I844,"NULL")</f>
        <v>24</v>
      </c>
      <c r="G844" s="14">
        <f>IF('Boletins Nuppa Site'!J844&lt;&gt;0,'Boletins Nuppa Site'!J844,"NULL")</f>
        <v>22</v>
      </c>
      <c r="H844" s="14">
        <f>IF('Boletins Nuppa Site'!K844&lt;&gt;0,'Boletins Nuppa Site'!K844,"NULL")</f>
        <v>22</v>
      </c>
      <c r="I844" t="str">
        <f t="shared" si="26"/>
        <v>INSERT INTO COTACAO (cot_id, cot_blt_id, cot_pap_id, cot_prc_comum, cot_prc_min, cot_prc_max, cot_prc_med, cot_prc_mediana) VALUES (843, 58, 11, NULL, 20, 24, 22, 22);</v>
      </c>
      <c r="J844" t="str">
        <f t="shared" si="27"/>
        <v>UPDATE COTACAO SET cot_id = 843, cot_blt_id = 58, cot_pap_id = 11, cot_prc_comum = NULL, cot_prc_min = 20, cot_prc_max = 24, cot_prc_med = 22, cot_prc_mediana = 22 WHERE cot_id = 843;</v>
      </c>
    </row>
    <row r="845" spans="1:10" x14ac:dyDescent="0.3">
      <c r="A845">
        <v>844</v>
      </c>
      <c r="B845">
        <f>IF('Boletins Nuppa Site'!A845&lt;&gt;0,'Boletins Nuppa Site'!A845,"NULL")</f>
        <v>58</v>
      </c>
      <c r="C845">
        <v>12</v>
      </c>
      <c r="D845" s="14">
        <f>IF('Boletins Nuppa Site'!G845&lt;&gt;0,'Boletins Nuppa Site'!G845,"NULL")</f>
        <v>72</v>
      </c>
      <c r="E845" s="14">
        <f>IF('Boletins Nuppa Site'!H845&lt;&gt;0,'Boletins Nuppa Site'!H845,"NULL")</f>
        <v>72</v>
      </c>
      <c r="F845" s="14">
        <f>IF('Boletins Nuppa Site'!I845&lt;&gt;0,'Boletins Nuppa Site'!I845,"NULL")</f>
        <v>72</v>
      </c>
      <c r="G845" s="14">
        <f>IF('Boletins Nuppa Site'!J845&lt;&gt;0,'Boletins Nuppa Site'!J845,"NULL")</f>
        <v>72</v>
      </c>
      <c r="H845" s="14">
        <f>IF('Boletins Nuppa Site'!K845&lt;&gt;0,'Boletins Nuppa Site'!K845,"NULL")</f>
        <v>72</v>
      </c>
      <c r="I845" t="str">
        <f t="shared" si="26"/>
        <v>INSERT INTO COTACAO (cot_id, cot_blt_id, cot_pap_id, cot_prc_comum, cot_prc_min, cot_prc_max, cot_prc_med, cot_prc_mediana) VALUES (844, 58, 12, 72, 72, 72, 72, 72);</v>
      </c>
      <c r="J845" t="str">
        <f t="shared" si="27"/>
        <v>UPDATE COTACAO SET cot_id = 844, cot_blt_id = 58, cot_pap_id = 12, cot_prc_comum = 72, cot_prc_min = 72, cot_prc_max = 72, cot_prc_med = 72, cot_prc_mediana = 72 WHERE cot_id = 844;</v>
      </c>
    </row>
    <row r="846" spans="1:10" x14ac:dyDescent="0.3">
      <c r="A846">
        <v>845</v>
      </c>
      <c r="B846">
        <f>IF('Boletins Nuppa Site'!A846&lt;&gt;0,'Boletins Nuppa Site'!A846,"NULL")</f>
        <v>58</v>
      </c>
      <c r="C846">
        <v>13</v>
      </c>
      <c r="D846" t="str">
        <f>IF('Boletins Nuppa Site'!G846&lt;&gt;0,'Boletins Nuppa Site'!G846,"NULL")</f>
        <v>NULL</v>
      </c>
      <c r="E846" s="14">
        <f>IF('Boletins Nuppa Site'!H846&lt;&gt;0,'Boletins Nuppa Site'!H846,"NULL")</f>
        <v>60</v>
      </c>
      <c r="F846" s="14">
        <f>IF('Boletins Nuppa Site'!I846&lt;&gt;0,'Boletins Nuppa Site'!I846,"NULL")</f>
        <v>72</v>
      </c>
      <c r="G846" s="14">
        <f>IF('Boletins Nuppa Site'!J846&lt;&gt;0,'Boletins Nuppa Site'!J846,"NULL")</f>
        <v>66</v>
      </c>
      <c r="H846" s="14">
        <f>IF('Boletins Nuppa Site'!K846&lt;&gt;0,'Boletins Nuppa Site'!K846,"NULL")</f>
        <v>66</v>
      </c>
      <c r="I846" t="str">
        <f t="shared" si="26"/>
        <v>INSERT INTO COTACAO (cot_id, cot_blt_id, cot_pap_id, cot_prc_comum, cot_prc_min, cot_prc_max, cot_prc_med, cot_prc_mediana) VALUES (845, 58, 13, NULL, 60, 72, 66, 66);</v>
      </c>
      <c r="J846" t="str">
        <f t="shared" si="27"/>
        <v>UPDATE COTACAO SET cot_id = 845, cot_blt_id = 58, cot_pap_id = 13, cot_prc_comum = NULL, cot_prc_min = 60, cot_prc_max = 72, cot_prc_med = 66, cot_prc_mediana = 66 WHERE cot_id = 845;</v>
      </c>
    </row>
    <row r="847" spans="1:10" x14ac:dyDescent="0.3">
      <c r="A847">
        <v>846</v>
      </c>
      <c r="B847">
        <f>IF('Boletins Nuppa Site'!A847&lt;&gt;0,'Boletins Nuppa Site'!A847,"NULL")</f>
        <v>58</v>
      </c>
      <c r="C847">
        <v>14</v>
      </c>
      <c r="D847" t="str">
        <f>IF('Boletins Nuppa Site'!G847&lt;&gt;0,'Boletins Nuppa Site'!G847,"NULL")</f>
        <v>NULL</v>
      </c>
      <c r="E847" s="14">
        <f>IF('Boletins Nuppa Site'!H847&lt;&gt;0,'Boletins Nuppa Site'!H847,"NULL")</f>
        <v>65</v>
      </c>
      <c r="F847" s="14">
        <f>IF('Boletins Nuppa Site'!I847&lt;&gt;0,'Boletins Nuppa Site'!I847,"NULL")</f>
        <v>72</v>
      </c>
      <c r="G847" t="str">
        <f>IF('Boletins Nuppa Site'!J847&lt;&gt;0,'Boletins Nuppa Site'!J847,"NULL")</f>
        <v>68.5</v>
      </c>
      <c r="H847" t="str">
        <f>IF('Boletins Nuppa Site'!K847&lt;&gt;0,'Boletins Nuppa Site'!K847,"NULL")</f>
        <v>68.5</v>
      </c>
      <c r="I847" t="str">
        <f t="shared" si="26"/>
        <v>INSERT INTO COTACAO (cot_id, cot_blt_id, cot_pap_id, cot_prc_comum, cot_prc_min, cot_prc_max, cot_prc_med, cot_prc_mediana) VALUES (846, 58, 14, NULL, 65, 72, 68.5, 68.5);</v>
      </c>
      <c r="J847" t="str">
        <f t="shared" si="27"/>
        <v>UPDATE COTACAO SET cot_id = 846, cot_blt_id = 58, cot_pap_id = 14, cot_prc_comum = NULL, cot_prc_min = 65, cot_prc_max = 72, cot_prc_med = 68.5, cot_prc_mediana = 68.5 WHERE cot_id = 846;</v>
      </c>
    </row>
    <row r="848" spans="1:10" x14ac:dyDescent="0.3">
      <c r="A848">
        <v>847</v>
      </c>
      <c r="B848">
        <f>IF('Boletins Nuppa Site'!A848&lt;&gt;0,'Boletins Nuppa Site'!A848,"NULL")</f>
        <v>58</v>
      </c>
      <c r="C848">
        <v>15</v>
      </c>
      <c r="D848" s="14">
        <f>IF('Boletins Nuppa Site'!G848&lt;&gt;0,'Boletins Nuppa Site'!G848,"NULL")</f>
        <v>60</v>
      </c>
      <c r="E848" s="14">
        <f>IF('Boletins Nuppa Site'!H848&lt;&gt;0,'Boletins Nuppa Site'!H848,"NULL")</f>
        <v>50</v>
      </c>
      <c r="F848" s="14">
        <f>IF('Boletins Nuppa Site'!I848&lt;&gt;0,'Boletins Nuppa Site'!I848,"NULL")</f>
        <v>60</v>
      </c>
      <c r="G848" t="str">
        <f>IF('Boletins Nuppa Site'!J848&lt;&gt;0,'Boletins Nuppa Site'!J848,"NULL")</f>
        <v>56.67</v>
      </c>
      <c r="H848" s="14">
        <f>IF('Boletins Nuppa Site'!K848&lt;&gt;0,'Boletins Nuppa Site'!K848,"NULL")</f>
        <v>60</v>
      </c>
      <c r="I848" t="str">
        <f t="shared" si="26"/>
        <v>INSERT INTO COTACAO (cot_id, cot_blt_id, cot_pap_id, cot_prc_comum, cot_prc_min, cot_prc_max, cot_prc_med, cot_prc_mediana) VALUES (847, 58, 15, 60, 50, 60, 56.67, 60);</v>
      </c>
      <c r="J848" t="str">
        <f t="shared" si="27"/>
        <v>UPDATE COTACAO SET cot_id = 847, cot_blt_id = 58, cot_pap_id = 15, cot_prc_comum = 60, cot_prc_min = 50, cot_prc_max = 60, cot_prc_med = 56.67, cot_prc_mediana = 60 WHERE cot_id = 847;</v>
      </c>
    </row>
    <row r="849" spans="1:10" x14ac:dyDescent="0.3">
      <c r="A849">
        <v>848</v>
      </c>
      <c r="B849">
        <f>IF('Boletins Nuppa Site'!A849&lt;&gt;0,'Boletins Nuppa Site'!A849,"NULL")</f>
        <v>58</v>
      </c>
      <c r="C849">
        <v>16</v>
      </c>
      <c r="D849" t="str">
        <f>IF('Boletins Nuppa Site'!G849&lt;&gt;0,'Boletins Nuppa Site'!G849,"NULL")</f>
        <v>NULL</v>
      </c>
      <c r="E849" s="14">
        <f>IF('Boletins Nuppa Site'!H849&lt;&gt;0,'Boletins Nuppa Site'!H849,"NULL")</f>
        <v>54</v>
      </c>
      <c r="F849" s="14">
        <f>IF('Boletins Nuppa Site'!I849&lt;&gt;0,'Boletins Nuppa Site'!I849,"NULL")</f>
        <v>72</v>
      </c>
      <c r="G849" s="14">
        <f>IF('Boletins Nuppa Site'!J849&lt;&gt;0,'Boletins Nuppa Site'!J849,"NULL")</f>
        <v>62</v>
      </c>
      <c r="H849" s="14">
        <f>IF('Boletins Nuppa Site'!K849&lt;&gt;0,'Boletins Nuppa Site'!K849,"NULL")</f>
        <v>60</v>
      </c>
      <c r="I849" t="str">
        <f t="shared" si="26"/>
        <v>INSERT INTO COTACAO (cot_id, cot_blt_id, cot_pap_id, cot_prc_comum, cot_prc_min, cot_prc_max, cot_prc_med, cot_prc_mediana) VALUES (848, 58, 16, NULL, 54, 72, 62, 60);</v>
      </c>
      <c r="J849" t="str">
        <f t="shared" si="27"/>
        <v>UPDATE COTACAO SET cot_id = 848, cot_blt_id = 58, cot_pap_id = 16, cot_prc_comum = NULL, cot_prc_min = 54, cot_prc_max = 72, cot_prc_med = 62, cot_prc_mediana = 60 WHERE cot_id = 848;</v>
      </c>
    </row>
    <row r="850" spans="1:10" x14ac:dyDescent="0.3">
      <c r="A850">
        <v>849</v>
      </c>
      <c r="B850">
        <f>IF('Boletins Nuppa Site'!A850&lt;&gt;0,'Boletins Nuppa Site'!A850,"NULL")</f>
        <v>58</v>
      </c>
      <c r="C850">
        <v>17</v>
      </c>
      <c r="D850" s="14">
        <f>IF('Boletins Nuppa Site'!G850&lt;&gt;0,'Boletins Nuppa Site'!G850,"NULL")</f>
        <v>5</v>
      </c>
      <c r="E850" s="14">
        <f>IF('Boletins Nuppa Site'!H850&lt;&gt;0,'Boletins Nuppa Site'!H850,"NULL")</f>
        <v>5</v>
      </c>
      <c r="F850" s="14">
        <f>IF('Boletins Nuppa Site'!I850&lt;&gt;0,'Boletins Nuppa Site'!I850,"NULL")</f>
        <v>5</v>
      </c>
      <c r="G850" s="14">
        <f>IF('Boletins Nuppa Site'!J850&lt;&gt;0,'Boletins Nuppa Site'!J850,"NULL")</f>
        <v>5</v>
      </c>
      <c r="H850" s="14">
        <f>IF('Boletins Nuppa Site'!K850&lt;&gt;0,'Boletins Nuppa Site'!K850,"NULL")</f>
        <v>5</v>
      </c>
      <c r="I850" t="str">
        <f t="shared" si="26"/>
        <v>INSERT INTO COTACAO (cot_id, cot_blt_id, cot_pap_id, cot_prc_comum, cot_prc_min, cot_prc_max, cot_prc_med, cot_prc_mediana) VALUES (849, 58, 17, 5, 5, 5, 5, 5);</v>
      </c>
      <c r="J850" t="str">
        <f t="shared" si="27"/>
        <v>UPDATE COTACAO SET cot_id = 849, cot_blt_id = 58, cot_pap_id = 17, cot_prc_comum = 5, cot_prc_min = 5, cot_prc_max = 5, cot_prc_med = 5, cot_prc_mediana = 5 WHERE cot_id = 849;</v>
      </c>
    </row>
    <row r="851" spans="1:10" x14ac:dyDescent="0.3">
      <c r="A851">
        <v>850</v>
      </c>
      <c r="B851">
        <f>IF('Boletins Nuppa Site'!A851&lt;&gt;0,'Boletins Nuppa Site'!A851,"NULL")</f>
        <v>58</v>
      </c>
      <c r="C851">
        <v>18</v>
      </c>
      <c r="D851" s="14">
        <f>IF('Boletins Nuppa Site'!G851&lt;&gt;0,'Boletins Nuppa Site'!G851,"NULL")</f>
        <v>20</v>
      </c>
      <c r="E851" s="14">
        <f>IF('Boletins Nuppa Site'!H851&lt;&gt;0,'Boletins Nuppa Site'!H851,"NULL")</f>
        <v>20</v>
      </c>
      <c r="F851" s="14">
        <f>IF('Boletins Nuppa Site'!I851&lt;&gt;0,'Boletins Nuppa Site'!I851,"NULL")</f>
        <v>20</v>
      </c>
      <c r="G851" s="14">
        <f>IF('Boletins Nuppa Site'!J851&lt;&gt;0,'Boletins Nuppa Site'!J851,"NULL")</f>
        <v>20</v>
      </c>
      <c r="H851" s="14">
        <f>IF('Boletins Nuppa Site'!K851&lt;&gt;0,'Boletins Nuppa Site'!K851,"NULL")</f>
        <v>20</v>
      </c>
      <c r="I851" t="str">
        <f t="shared" si="26"/>
        <v>INSERT INTO COTACAO (cot_id, cot_blt_id, cot_pap_id, cot_prc_comum, cot_prc_min, cot_prc_max, cot_prc_med, cot_prc_mediana) VALUES (850, 58, 18, 20, 20, 20, 20, 20);</v>
      </c>
      <c r="J851" t="str">
        <f t="shared" si="27"/>
        <v>UPDATE COTACAO SET cot_id = 850, cot_blt_id = 58, cot_pap_id = 18, cot_prc_comum = 20, cot_prc_min = 20, cot_prc_max = 20, cot_prc_med = 20, cot_prc_mediana = 20 WHERE cot_id = 850;</v>
      </c>
    </row>
    <row r="852" spans="1:10" x14ac:dyDescent="0.3">
      <c r="A852">
        <v>851</v>
      </c>
      <c r="B852">
        <f>IF('Boletins Nuppa Site'!A852&lt;&gt;0,'Boletins Nuppa Site'!A852,"NULL")</f>
        <v>58</v>
      </c>
      <c r="C852">
        <v>19</v>
      </c>
      <c r="D852" t="str">
        <f>IF('Boletins Nuppa Site'!G852&lt;&gt;0,'Boletins Nuppa Site'!G852,"NULL")</f>
        <v>NULL</v>
      </c>
      <c r="E852" s="14">
        <f>IF('Boletins Nuppa Site'!H852&lt;&gt;0,'Boletins Nuppa Site'!H852,"NULL")</f>
        <v>15</v>
      </c>
      <c r="F852" s="14">
        <f>IF('Boletins Nuppa Site'!I852&lt;&gt;0,'Boletins Nuppa Site'!I852,"NULL")</f>
        <v>35</v>
      </c>
      <c r="G852" s="14">
        <f>IF('Boletins Nuppa Site'!J852&lt;&gt;0,'Boletins Nuppa Site'!J852,"NULL")</f>
        <v>25</v>
      </c>
      <c r="H852" s="14">
        <f>IF('Boletins Nuppa Site'!K852&lt;&gt;0,'Boletins Nuppa Site'!K852,"NULL")</f>
        <v>25</v>
      </c>
      <c r="I852" t="str">
        <f t="shared" si="26"/>
        <v>INSERT INTO COTACAO (cot_id, cot_blt_id, cot_pap_id, cot_prc_comum, cot_prc_min, cot_prc_max, cot_prc_med, cot_prc_mediana) VALUES (851, 58, 19, NULL, 15, 35, 25, 25);</v>
      </c>
      <c r="J852" t="str">
        <f t="shared" si="27"/>
        <v>UPDATE COTACAO SET cot_id = 851, cot_blt_id = 58, cot_pap_id = 19, cot_prc_comum = NULL, cot_prc_min = 15, cot_prc_max = 35, cot_prc_med = 25, cot_prc_mediana = 25 WHERE cot_id = 851;</v>
      </c>
    </row>
    <row r="853" spans="1:10" x14ac:dyDescent="0.3">
      <c r="A853">
        <v>852</v>
      </c>
      <c r="B853">
        <f>IF('Boletins Nuppa Site'!A853&lt;&gt;0,'Boletins Nuppa Site'!A853,"NULL")</f>
        <v>58</v>
      </c>
      <c r="C853">
        <v>20</v>
      </c>
      <c r="D853" t="str">
        <f>IF('Boletins Nuppa Site'!G853&lt;&gt;0,'Boletins Nuppa Site'!G853,"NULL")</f>
        <v>NULL</v>
      </c>
      <c r="E853" s="14">
        <f>IF('Boletins Nuppa Site'!H853&lt;&gt;0,'Boletins Nuppa Site'!H853,"NULL")</f>
        <v>70</v>
      </c>
      <c r="F853" s="14">
        <f>IF('Boletins Nuppa Site'!I853&lt;&gt;0,'Boletins Nuppa Site'!I853,"NULL")</f>
        <v>90</v>
      </c>
      <c r="G853" s="14">
        <f>IF('Boletins Nuppa Site'!J853&lt;&gt;0,'Boletins Nuppa Site'!J853,"NULL")</f>
        <v>80</v>
      </c>
      <c r="H853" s="14">
        <f>IF('Boletins Nuppa Site'!K853&lt;&gt;0,'Boletins Nuppa Site'!K853,"NULL")</f>
        <v>80</v>
      </c>
      <c r="I853" t="str">
        <f t="shared" si="26"/>
        <v>INSERT INTO COTACAO (cot_id, cot_blt_id, cot_pap_id, cot_prc_comum, cot_prc_min, cot_prc_max, cot_prc_med, cot_prc_mediana) VALUES (852, 58, 20, NULL, 70, 90, 80, 80);</v>
      </c>
      <c r="J853" t="str">
        <f t="shared" si="27"/>
        <v>UPDATE COTACAO SET cot_id = 852, cot_blt_id = 58, cot_pap_id = 20, cot_prc_comum = NULL, cot_prc_min = 70, cot_prc_max = 90, cot_prc_med = 80, cot_prc_mediana = 80 WHERE cot_id = 852;</v>
      </c>
    </row>
    <row r="854" spans="1:10" x14ac:dyDescent="0.3">
      <c r="A854">
        <v>853</v>
      </c>
      <c r="B854">
        <f>IF('Boletins Nuppa Site'!A854&lt;&gt;0,'Boletins Nuppa Site'!A854,"NULL")</f>
        <v>58</v>
      </c>
      <c r="C854">
        <v>21</v>
      </c>
      <c r="D854" s="14">
        <f>IF('Boletins Nuppa Site'!G854&lt;&gt;0,'Boletins Nuppa Site'!G854,"NULL")</f>
        <v>45</v>
      </c>
      <c r="E854" s="14">
        <f>IF('Boletins Nuppa Site'!H854&lt;&gt;0,'Boletins Nuppa Site'!H854,"NULL")</f>
        <v>40</v>
      </c>
      <c r="F854" s="14">
        <f>IF('Boletins Nuppa Site'!I854&lt;&gt;0,'Boletins Nuppa Site'!I854,"NULL")</f>
        <v>100</v>
      </c>
      <c r="G854" t="str">
        <f>IF('Boletins Nuppa Site'!J854&lt;&gt;0,'Boletins Nuppa Site'!J854,"NULL")</f>
        <v>53.33</v>
      </c>
      <c r="H854" s="14">
        <f>IF('Boletins Nuppa Site'!K854&lt;&gt;0,'Boletins Nuppa Site'!K854,"NULL")</f>
        <v>45</v>
      </c>
      <c r="I854" t="str">
        <f t="shared" si="26"/>
        <v>INSERT INTO COTACAO (cot_id, cot_blt_id, cot_pap_id, cot_prc_comum, cot_prc_min, cot_prc_max, cot_prc_med, cot_prc_mediana) VALUES (853, 58, 21, 45, 40, 100, 53.33, 45);</v>
      </c>
      <c r="J854" t="str">
        <f t="shared" si="27"/>
        <v>UPDATE COTACAO SET cot_id = 853, cot_blt_id = 58, cot_pap_id = 21, cot_prc_comum = 45, cot_prc_min = 40, cot_prc_max = 100, cot_prc_med = 53.33, cot_prc_mediana = 45 WHERE cot_id = 853;</v>
      </c>
    </row>
    <row r="855" spans="1:10" x14ac:dyDescent="0.3">
      <c r="A855">
        <v>854</v>
      </c>
      <c r="B855">
        <f>IF('Boletins Nuppa Site'!A855&lt;&gt;0,'Boletins Nuppa Site'!A855,"NULL")</f>
        <v>58</v>
      </c>
      <c r="C855">
        <v>22</v>
      </c>
      <c r="D855" s="14">
        <f>IF('Boletins Nuppa Site'!G855&lt;&gt;0,'Boletins Nuppa Site'!G855,"NULL")</f>
        <v>65</v>
      </c>
      <c r="E855" s="14">
        <f>IF('Boletins Nuppa Site'!H855&lt;&gt;0,'Boletins Nuppa Site'!H855,"NULL")</f>
        <v>45</v>
      </c>
      <c r="F855" s="14">
        <f>IF('Boletins Nuppa Site'!I855&lt;&gt;0,'Boletins Nuppa Site'!I855,"NULL")</f>
        <v>70</v>
      </c>
      <c r="G855" t="str">
        <f>IF('Boletins Nuppa Site'!J855&lt;&gt;0,'Boletins Nuppa Site'!J855,"NULL")</f>
        <v>60.83</v>
      </c>
      <c r="H855" t="str">
        <f>IF('Boletins Nuppa Site'!K855&lt;&gt;0,'Boletins Nuppa Site'!K855,"NULL")</f>
        <v>62.5</v>
      </c>
      <c r="I855" t="str">
        <f t="shared" si="26"/>
        <v>INSERT INTO COTACAO (cot_id, cot_blt_id, cot_pap_id, cot_prc_comum, cot_prc_min, cot_prc_max, cot_prc_med, cot_prc_mediana) VALUES (854, 58, 22, 65, 45, 70, 60.83, 62.5);</v>
      </c>
      <c r="J855" t="str">
        <f t="shared" si="27"/>
        <v>UPDATE COTACAO SET cot_id = 854, cot_blt_id = 58, cot_pap_id = 22, cot_prc_comum = 65, cot_prc_min = 45, cot_prc_max = 70, cot_prc_med = 60.83, cot_prc_mediana = 62.5 WHERE cot_id = 854;</v>
      </c>
    </row>
    <row r="856" spans="1:10" x14ac:dyDescent="0.3">
      <c r="A856">
        <v>855</v>
      </c>
      <c r="B856">
        <f>IF('Boletins Nuppa Site'!A856&lt;&gt;0,'Boletins Nuppa Site'!A856,"NULL")</f>
        <v>58</v>
      </c>
      <c r="C856">
        <v>23</v>
      </c>
      <c r="D856" s="14">
        <f>IF('Boletins Nuppa Site'!G856&lt;&gt;0,'Boletins Nuppa Site'!G856,"NULL")</f>
        <v>40</v>
      </c>
      <c r="E856" s="14">
        <f>IF('Boletins Nuppa Site'!H856&lt;&gt;0,'Boletins Nuppa Site'!H856,"NULL")</f>
        <v>40</v>
      </c>
      <c r="F856" s="14">
        <f>IF('Boletins Nuppa Site'!I856&lt;&gt;0,'Boletins Nuppa Site'!I856,"NULL")</f>
        <v>55</v>
      </c>
      <c r="G856" t="str">
        <f>IF('Boletins Nuppa Site'!J856&lt;&gt;0,'Boletins Nuppa Site'!J856,"NULL")</f>
        <v>45.83</v>
      </c>
      <c r="H856" s="14">
        <f>IF('Boletins Nuppa Site'!K856&lt;&gt;0,'Boletins Nuppa Site'!K856,"NULL")</f>
        <v>45</v>
      </c>
      <c r="I856" t="str">
        <f t="shared" si="26"/>
        <v>INSERT INTO COTACAO (cot_id, cot_blt_id, cot_pap_id, cot_prc_comum, cot_prc_min, cot_prc_max, cot_prc_med, cot_prc_mediana) VALUES (855, 58, 23, 40, 40, 55, 45.83, 45);</v>
      </c>
      <c r="J856" t="str">
        <f t="shared" si="27"/>
        <v>UPDATE COTACAO SET cot_id = 855, cot_blt_id = 58, cot_pap_id = 23, cot_prc_comum = 40, cot_prc_min = 40, cot_prc_max = 55, cot_prc_med = 45.83, cot_prc_mediana = 45 WHERE cot_id = 855;</v>
      </c>
    </row>
    <row r="857" spans="1:10" x14ac:dyDescent="0.3">
      <c r="A857">
        <v>856</v>
      </c>
      <c r="B857">
        <f>IF('Boletins Nuppa Site'!A857&lt;&gt;0,'Boletins Nuppa Site'!A857,"NULL")</f>
        <v>58</v>
      </c>
      <c r="C857">
        <v>24</v>
      </c>
      <c r="D857" t="str">
        <f>IF('Boletins Nuppa Site'!G857&lt;&gt;0,'Boletins Nuppa Site'!G857,"NULL")</f>
        <v>NULL</v>
      </c>
      <c r="E857" s="14">
        <f>IF('Boletins Nuppa Site'!H857&lt;&gt;0,'Boletins Nuppa Site'!H857,"NULL")</f>
        <v>45</v>
      </c>
      <c r="F857" s="14">
        <f>IF('Boletins Nuppa Site'!I857&lt;&gt;0,'Boletins Nuppa Site'!I857,"NULL")</f>
        <v>115</v>
      </c>
      <c r="G857" t="str">
        <f>IF('Boletins Nuppa Site'!J857&lt;&gt;0,'Boletins Nuppa Site'!J857,"NULL")</f>
        <v>78.75</v>
      </c>
      <c r="H857" t="str">
        <f>IF('Boletins Nuppa Site'!K857&lt;&gt;0,'Boletins Nuppa Site'!K857,"NULL")</f>
        <v>77.5</v>
      </c>
      <c r="I857" t="str">
        <f t="shared" si="26"/>
        <v>INSERT INTO COTACAO (cot_id, cot_blt_id, cot_pap_id, cot_prc_comum, cot_prc_min, cot_prc_max, cot_prc_med, cot_prc_mediana) VALUES (856, 58, 24, NULL, 45, 115, 78.75, 77.5);</v>
      </c>
      <c r="J857" t="str">
        <f t="shared" si="27"/>
        <v>UPDATE COTACAO SET cot_id = 856, cot_blt_id = 58, cot_pap_id = 24, cot_prc_comum = NULL, cot_prc_min = 45, cot_prc_max = 115, cot_prc_med = 78.75, cot_prc_mediana = 77.5 WHERE cot_id = 856;</v>
      </c>
    </row>
    <row r="858" spans="1:10" x14ac:dyDescent="0.3">
      <c r="A858">
        <v>857</v>
      </c>
      <c r="B858">
        <f>IF('Boletins Nuppa Site'!A858&lt;&gt;0,'Boletins Nuppa Site'!A858,"NULL")</f>
        <v>58</v>
      </c>
      <c r="C858">
        <v>25</v>
      </c>
      <c r="D858" s="14">
        <f>IF('Boletins Nuppa Site'!G858&lt;&gt;0,'Boletins Nuppa Site'!G858,"NULL")</f>
        <v>80</v>
      </c>
      <c r="E858" s="14">
        <f>IF('Boletins Nuppa Site'!H858&lt;&gt;0,'Boletins Nuppa Site'!H858,"NULL")</f>
        <v>70</v>
      </c>
      <c r="F858" s="14">
        <f>IF('Boletins Nuppa Site'!I858&lt;&gt;0,'Boletins Nuppa Site'!I858,"NULL")</f>
        <v>100</v>
      </c>
      <c r="G858" s="14">
        <f>IF('Boletins Nuppa Site'!J858&lt;&gt;0,'Boletins Nuppa Site'!J858,"NULL")</f>
        <v>85</v>
      </c>
      <c r="H858" s="14">
        <f>IF('Boletins Nuppa Site'!K858&lt;&gt;0,'Boletins Nuppa Site'!K858,"NULL")</f>
        <v>80</v>
      </c>
      <c r="I858" t="str">
        <f t="shared" si="26"/>
        <v>INSERT INTO COTACAO (cot_id, cot_blt_id, cot_pap_id, cot_prc_comum, cot_prc_min, cot_prc_max, cot_prc_med, cot_prc_mediana) VALUES (857, 58, 25, 80, 70, 100, 85, 80);</v>
      </c>
      <c r="J858" t="str">
        <f t="shared" si="27"/>
        <v>UPDATE COTACAO SET cot_id = 857, cot_blt_id = 58, cot_pap_id = 25, cot_prc_comum = 80, cot_prc_min = 70, cot_prc_max = 100, cot_prc_med = 85, cot_prc_mediana = 80 WHERE cot_id = 857;</v>
      </c>
    </row>
    <row r="859" spans="1:10" x14ac:dyDescent="0.3">
      <c r="A859">
        <v>858</v>
      </c>
      <c r="B859">
        <f>IF('Boletins Nuppa Site'!A859&lt;&gt;0,'Boletins Nuppa Site'!A859,"NULL")</f>
        <v>58</v>
      </c>
      <c r="C859">
        <v>26</v>
      </c>
      <c r="D859" s="14">
        <f>IF('Boletins Nuppa Site'!G859&lt;&gt;0,'Boletins Nuppa Site'!G859,"NULL")</f>
        <v>90</v>
      </c>
      <c r="E859" s="14">
        <f>IF('Boletins Nuppa Site'!H859&lt;&gt;0,'Boletins Nuppa Site'!H859,"NULL")</f>
        <v>65</v>
      </c>
      <c r="F859" s="14">
        <f>IF('Boletins Nuppa Site'!I859&lt;&gt;0,'Boletins Nuppa Site'!I859,"NULL")</f>
        <v>90</v>
      </c>
      <c r="G859" s="14">
        <f>IF('Boletins Nuppa Site'!J859&lt;&gt;0,'Boletins Nuppa Site'!J859,"NULL")</f>
        <v>81</v>
      </c>
      <c r="H859" s="14">
        <f>IF('Boletins Nuppa Site'!K859&lt;&gt;0,'Boletins Nuppa Site'!K859,"NULL")</f>
        <v>90</v>
      </c>
      <c r="I859" t="str">
        <f t="shared" si="26"/>
        <v>INSERT INTO COTACAO (cot_id, cot_blt_id, cot_pap_id, cot_prc_comum, cot_prc_min, cot_prc_max, cot_prc_med, cot_prc_mediana) VALUES (858, 58, 26, 90, 65, 90, 81, 90);</v>
      </c>
      <c r="J859" t="str">
        <f t="shared" si="27"/>
        <v>UPDATE COTACAO SET cot_id = 858, cot_blt_id = 58, cot_pap_id = 26, cot_prc_comum = 90, cot_prc_min = 65, cot_prc_max = 90, cot_prc_med = 81, cot_prc_mediana = 90 WHERE cot_id = 858;</v>
      </c>
    </row>
    <row r="860" spans="1:10" x14ac:dyDescent="0.3">
      <c r="A860">
        <v>859</v>
      </c>
      <c r="B860">
        <f>IF('Boletins Nuppa Site'!A860&lt;&gt;0,'Boletins Nuppa Site'!A860,"NULL")</f>
        <v>58</v>
      </c>
      <c r="C860">
        <v>27</v>
      </c>
      <c r="D860" t="str">
        <f>IF('Boletins Nuppa Site'!G860&lt;&gt;0,'Boletins Nuppa Site'!G860,"NULL")</f>
        <v>NULL</v>
      </c>
      <c r="E860" s="14">
        <f>IF('Boletins Nuppa Site'!H860&lt;&gt;0,'Boletins Nuppa Site'!H860,"NULL")</f>
        <v>55</v>
      </c>
      <c r="F860" s="14">
        <f>IF('Boletins Nuppa Site'!I860&lt;&gt;0,'Boletins Nuppa Site'!I860,"NULL")</f>
        <v>80</v>
      </c>
      <c r="G860" t="str">
        <f>IF('Boletins Nuppa Site'!J860&lt;&gt;0,'Boletins Nuppa Site'!J860,"NULL")</f>
        <v>66.25</v>
      </c>
      <c r="H860" s="14">
        <f>IF('Boletins Nuppa Site'!K860&lt;&gt;0,'Boletins Nuppa Site'!K860,"NULL")</f>
        <v>65</v>
      </c>
      <c r="I860" t="str">
        <f t="shared" si="26"/>
        <v>INSERT INTO COTACAO (cot_id, cot_blt_id, cot_pap_id, cot_prc_comum, cot_prc_min, cot_prc_max, cot_prc_med, cot_prc_mediana) VALUES (859, 58, 27, NULL, 55, 80, 66.25, 65);</v>
      </c>
      <c r="J860" t="str">
        <f t="shared" si="27"/>
        <v>UPDATE COTACAO SET cot_id = 859, cot_blt_id = 58, cot_pap_id = 27, cot_prc_comum = NULL, cot_prc_min = 55, cot_prc_max = 80, cot_prc_med = 66.25, cot_prc_mediana = 65 WHERE cot_id = 859;</v>
      </c>
    </row>
    <row r="861" spans="1:10" x14ac:dyDescent="0.3">
      <c r="A861">
        <v>860</v>
      </c>
      <c r="B861">
        <f>IF('Boletins Nuppa Site'!A861&lt;&gt;0,'Boletins Nuppa Site'!A861,"NULL")</f>
        <v>58</v>
      </c>
      <c r="C861">
        <v>28</v>
      </c>
      <c r="D861" s="14">
        <f>IF('Boletins Nuppa Site'!G861&lt;&gt;0,'Boletins Nuppa Site'!G861,"NULL")</f>
        <v>100</v>
      </c>
      <c r="E861" s="14">
        <f>IF('Boletins Nuppa Site'!H861&lt;&gt;0,'Boletins Nuppa Site'!H861,"NULL")</f>
        <v>80</v>
      </c>
      <c r="F861" s="14">
        <f>IF('Boletins Nuppa Site'!I861&lt;&gt;0,'Boletins Nuppa Site'!I861,"NULL")</f>
        <v>100</v>
      </c>
      <c r="G861" s="14">
        <f>IF('Boletins Nuppa Site'!J861&lt;&gt;0,'Boletins Nuppa Site'!J861,"NULL")</f>
        <v>95</v>
      </c>
      <c r="H861" s="14">
        <f>IF('Boletins Nuppa Site'!K861&lt;&gt;0,'Boletins Nuppa Site'!K861,"NULL")</f>
        <v>100</v>
      </c>
      <c r="I861" t="str">
        <f t="shared" si="26"/>
        <v>INSERT INTO COTACAO (cot_id, cot_blt_id, cot_pap_id, cot_prc_comum, cot_prc_min, cot_prc_max, cot_prc_med, cot_prc_mediana) VALUES (860, 58, 28, 100, 80, 100, 95, 100);</v>
      </c>
      <c r="J861" t="str">
        <f t="shared" si="27"/>
        <v>UPDATE COTACAO SET cot_id = 860, cot_blt_id = 58, cot_pap_id = 28, cot_prc_comum = 100, cot_prc_min = 80, cot_prc_max = 100, cot_prc_med = 95, cot_prc_mediana = 100 WHERE cot_id = 860;</v>
      </c>
    </row>
    <row r="862" spans="1:10" x14ac:dyDescent="0.3">
      <c r="A862">
        <v>861</v>
      </c>
      <c r="B862">
        <f>IF('Boletins Nuppa Site'!A862&lt;&gt;0,'Boletins Nuppa Site'!A862,"NULL")</f>
        <v>58</v>
      </c>
      <c r="C862">
        <v>29</v>
      </c>
      <c r="D862" t="str">
        <f>IF('Boletins Nuppa Site'!G862&lt;&gt;0,'Boletins Nuppa Site'!G862,"NULL")</f>
        <v>NULL</v>
      </c>
      <c r="E862" s="14">
        <f>IF('Boletins Nuppa Site'!H862&lt;&gt;0,'Boletins Nuppa Site'!H862,"NULL")</f>
        <v>40</v>
      </c>
      <c r="F862" s="14">
        <f>IF('Boletins Nuppa Site'!I862&lt;&gt;0,'Boletins Nuppa Site'!I862,"NULL")</f>
        <v>60</v>
      </c>
      <c r="G862" t="str">
        <f>IF('Boletins Nuppa Site'!J862&lt;&gt;0,'Boletins Nuppa Site'!J862,"NULL")</f>
        <v>51.25</v>
      </c>
      <c r="H862" t="str">
        <f>IF('Boletins Nuppa Site'!K862&lt;&gt;0,'Boletins Nuppa Site'!K862,"NULL")</f>
        <v>52.5</v>
      </c>
      <c r="I862" t="str">
        <f t="shared" si="26"/>
        <v>INSERT INTO COTACAO (cot_id, cot_blt_id, cot_pap_id, cot_prc_comum, cot_prc_min, cot_prc_max, cot_prc_med, cot_prc_mediana) VALUES (861, 58, 29, NULL, 40, 60, 51.25, 52.5);</v>
      </c>
      <c r="J862" t="str">
        <f t="shared" si="27"/>
        <v>UPDATE COTACAO SET cot_id = 861, cot_blt_id = 58, cot_pap_id = 29, cot_prc_comum = NULL, cot_prc_min = 40, cot_prc_max = 60, cot_prc_med = 51.25, cot_prc_mediana = 52.5 WHERE cot_id = 861;</v>
      </c>
    </row>
    <row r="863" spans="1:10" x14ac:dyDescent="0.3">
      <c r="A863">
        <v>862</v>
      </c>
      <c r="B863">
        <f>IF('Boletins Nuppa Site'!A863&lt;&gt;0,'Boletins Nuppa Site'!A863,"NULL")</f>
        <v>58</v>
      </c>
      <c r="C863">
        <v>30</v>
      </c>
      <c r="D863" t="str">
        <f>IF('Boletins Nuppa Site'!G863&lt;&gt;0,'Boletins Nuppa Site'!G863,"NULL")</f>
        <v>NULL</v>
      </c>
      <c r="E863" s="14">
        <f>IF('Boletins Nuppa Site'!H863&lt;&gt;0,'Boletins Nuppa Site'!H863,"NULL")</f>
        <v>50</v>
      </c>
      <c r="F863" s="14">
        <f>IF('Boletins Nuppa Site'!I863&lt;&gt;0,'Boletins Nuppa Site'!I863,"NULL")</f>
        <v>70</v>
      </c>
      <c r="G863" t="str">
        <f>IF('Boletins Nuppa Site'!J863&lt;&gt;0,'Boletins Nuppa Site'!J863,"NULL")</f>
        <v>61.67</v>
      </c>
      <c r="H863" s="14">
        <f>IF('Boletins Nuppa Site'!K863&lt;&gt;0,'Boletins Nuppa Site'!K863,"NULL")</f>
        <v>65</v>
      </c>
      <c r="I863" t="str">
        <f t="shared" si="26"/>
        <v>INSERT INTO COTACAO (cot_id, cot_blt_id, cot_pap_id, cot_prc_comum, cot_prc_min, cot_prc_max, cot_prc_med, cot_prc_mediana) VALUES (862, 58, 30, NULL, 50, 70, 61.67, 65);</v>
      </c>
      <c r="J863" t="str">
        <f t="shared" si="27"/>
        <v>UPDATE COTACAO SET cot_id = 862, cot_blt_id = 58, cot_pap_id = 30, cot_prc_comum = NULL, cot_prc_min = 50, cot_prc_max = 70, cot_prc_med = 61.67, cot_prc_mediana = 65 WHERE cot_id = 862;</v>
      </c>
    </row>
    <row r="864" spans="1:10" x14ac:dyDescent="0.3">
      <c r="A864">
        <v>863</v>
      </c>
      <c r="B864">
        <f>IF('Boletins Nuppa Site'!A864&lt;&gt;0,'Boletins Nuppa Site'!A864,"NULL")</f>
        <v>58</v>
      </c>
      <c r="C864">
        <v>31</v>
      </c>
      <c r="D864" s="14">
        <f>IF('Boletins Nuppa Site'!G864&lt;&gt;0,'Boletins Nuppa Site'!G864,"NULL")</f>
        <v>60</v>
      </c>
      <c r="E864" s="14">
        <f>IF('Boletins Nuppa Site'!H864&lt;&gt;0,'Boletins Nuppa Site'!H864,"NULL")</f>
        <v>60</v>
      </c>
      <c r="F864" s="14">
        <f>IF('Boletins Nuppa Site'!I864&lt;&gt;0,'Boletins Nuppa Site'!I864,"NULL")</f>
        <v>70</v>
      </c>
      <c r="G864" s="14">
        <f>IF('Boletins Nuppa Site'!J864&lt;&gt;0,'Boletins Nuppa Site'!J864,"NULL")</f>
        <v>65</v>
      </c>
      <c r="H864" s="14">
        <f>IF('Boletins Nuppa Site'!K864&lt;&gt;0,'Boletins Nuppa Site'!K864,"NULL")</f>
        <v>65</v>
      </c>
      <c r="I864" t="str">
        <f t="shared" si="26"/>
        <v>INSERT INTO COTACAO (cot_id, cot_blt_id, cot_pap_id, cot_prc_comum, cot_prc_min, cot_prc_max, cot_prc_med, cot_prc_mediana) VALUES (863, 58, 31, 60, 60, 70, 65, 65);</v>
      </c>
      <c r="J864" t="str">
        <f t="shared" si="27"/>
        <v>UPDATE COTACAO SET cot_id = 863, cot_blt_id = 58, cot_pap_id = 31, cot_prc_comum = 60, cot_prc_min = 60, cot_prc_max = 70, cot_prc_med = 65, cot_prc_mediana = 65 WHERE cot_id = 863;</v>
      </c>
    </row>
    <row r="865" spans="1:10" x14ac:dyDescent="0.3">
      <c r="A865">
        <v>864</v>
      </c>
      <c r="B865">
        <f>IF('Boletins Nuppa Site'!A865&lt;&gt;0,'Boletins Nuppa Site'!A865,"NULL")</f>
        <v>58</v>
      </c>
      <c r="C865">
        <v>32</v>
      </c>
      <c r="D865" s="14">
        <f>IF('Boletins Nuppa Site'!G865&lt;&gt;0,'Boletins Nuppa Site'!G865,"NULL")</f>
        <v>45</v>
      </c>
      <c r="E865" s="14">
        <f>IF('Boletins Nuppa Site'!H865&lt;&gt;0,'Boletins Nuppa Site'!H865,"NULL")</f>
        <v>40</v>
      </c>
      <c r="F865" s="14">
        <f>IF('Boletins Nuppa Site'!I865&lt;&gt;0,'Boletins Nuppa Site'!I865,"NULL")</f>
        <v>60</v>
      </c>
      <c r="G865" t="str">
        <f>IF('Boletins Nuppa Site'!J865&lt;&gt;0,'Boletins Nuppa Site'!J865,"NULL")</f>
        <v>49.29</v>
      </c>
      <c r="H865" s="14">
        <f>IF('Boletins Nuppa Site'!K865&lt;&gt;0,'Boletins Nuppa Site'!K865,"NULL")</f>
        <v>50</v>
      </c>
      <c r="I865" t="str">
        <f t="shared" si="26"/>
        <v>INSERT INTO COTACAO (cot_id, cot_blt_id, cot_pap_id, cot_prc_comum, cot_prc_min, cot_prc_max, cot_prc_med, cot_prc_mediana) VALUES (864, 58, 32, 45, 40, 60, 49.29, 50);</v>
      </c>
      <c r="J865" t="str">
        <f t="shared" si="27"/>
        <v>UPDATE COTACAO SET cot_id = 864, cot_blt_id = 58, cot_pap_id = 32, cot_prc_comum = 45, cot_prc_min = 40, cot_prc_max = 60, cot_prc_med = 49.29, cot_prc_mediana = 50 WHERE cot_id = 864;</v>
      </c>
    </row>
    <row r="866" spans="1:10" x14ac:dyDescent="0.3">
      <c r="A866">
        <v>865</v>
      </c>
      <c r="B866">
        <f>IF('Boletins Nuppa Site'!A866&lt;&gt;0,'Boletins Nuppa Site'!A866,"NULL")</f>
        <v>58</v>
      </c>
      <c r="C866">
        <v>33</v>
      </c>
      <c r="D866" t="str">
        <f>IF('Boletins Nuppa Site'!G866&lt;&gt;0,'Boletins Nuppa Site'!G866,"NULL")</f>
        <v>NULL</v>
      </c>
      <c r="E866" s="14">
        <f>IF('Boletins Nuppa Site'!H866&lt;&gt;0,'Boletins Nuppa Site'!H866,"NULL")</f>
        <v>120</v>
      </c>
      <c r="F866" s="14">
        <f>IF('Boletins Nuppa Site'!I866&lt;&gt;0,'Boletins Nuppa Site'!I866,"NULL")</f>
        <v>180</v>
      </c>
      <c r="G866" t="str">
        <f>IF('Boletins Nuppa Site'!J866&lt;&gt;0,'Boletins Nuppa Site'!J866,"NULL")</f>
        <v>143.33</v>
      </c>
      <c r="H866" s="14">
        <f>IF('Boletins Nuppa Site'!K866&lt;&gt;0,'Boletins Nuppa Site'!K866,"NULL")</f>
        <v>130</v>
      </c>
      <c r="I866" t="str">
        <f t="shared" si="26"/>
        <v>INSERT INTO COTACAO (cot_id, cot_blt_id, cot_pap_id, cot_prc_comum, cot_prc_min, cot_prc_max, cot_prc_med, cot_prc_mediana) VALUES (865, 58, 33, NULL, 120, 180, 143.33, 130);</v>
      </c>
      <c r="J866" t="str">
        <f t="shared" si="27"/>
        <v>UPDATE COTACAO SET cot_id = 865, cot_blt_id = 58, cot_pap_id = 33, cot_prc_comum = NULL, cot_prc_min = 120, cot_prc_max = 180, cot_prc_med = 143.33, cot_prc_mediana = 130 WHERE cot_id = 865;</v>
      </c>
    </row>
    <row r="867" spans="1:10" x14ac:dyDescent="0.3">
      <c r="A867">
        <v>866</v>
      </c>
      <c r="B867">
        <f>IF('Boletins Nuppa Site'!A867&lt;&gt;0,'Boletins Nuppa Site'!A867,"NULL")</f>
        <v>58</v>
      </c>
      <c r="C867">
        <v>34</v>
      </c>
      <c r="D867" s="14">
        <f>IF('Boletins Nuppa Site'!G867&lt;&gt;0,'Boletins Nuppa Site'!G867,"NULL")</f>
        <v>70</v>
      </c>
      <c r="E867" s="14">
        <f>IF('Boletins Nuppa Site'!H867&lt;&gt;0,'Boletins Nuppa Site'!H867,"NULL")</f>
        <v>70</v>
      </c>
      <c r="F867" s="14">
        <f>IF('Boletins Nuppa Site'!I867&lt;&gt;0,'Boletins Nuppa Site'!I867,"NULL")</f>
        <v>100</v>
      </c>
      <c r="G867" t="str">
        <f>IF('Boletins Nuppa Site'!J867&lt;&gt;0,'Boletins Nuppa Site'!J867,"NULL")</f>
        <v>83.33</v>
      </c>
      <c r="H867" s="14">
        <f>IF('Boletins Nuppa Site'!K867&lt;&gt;0,'Boletins Nuppa Site'!K867,"NULL")</f>
        <v>80</v>
      </c>
      <c r="I867" t="str">
        <f t="shared" si="26"/>
        <v>INSERT INTO COTACAO (cot_id, cot_blt_id, cot_pap_id, cot_prc_comum, cot_prc_min, cot_prc_max, cot_prc_med, cot_prc_mediana) VALUES (866, 58, 34, 70, 70, 100, 83.33, 80);</v>
      </c>
      <c r="J867" t="str">
        <f t="shared" si="27"/>
        <v>UPDATE COTACAO SET cot_id = 866, cot_blt_id = 58, cot_pap_id = 34, cot_prc_comum = 70, cot_prc_min = 70, cot_prc_max = 100, cot_prc_med = 83.33, cot_prc_mediana = 80 WHERE cot_id = 866;</v>
      </c>
    </row>
    <row r="868" spans="1:10" x14ac:dyDescent="0.3">
      <c r="A868">
        <v>867</v>
      </c>
      <c r="B868">
        <f>IF('Boletins Nuppa Site'!A868&lt;&gt;0,'Boletins Nuppa Site'!A868,"NULL")</f>
        <v>58</v>
      </c>
      <c r="C868">
        <v>35</v>
      </c>
      <c r="D868" s="14">
        <f>IF('Boletins Nuppa Site'!G868&lt;&gt;0,'Boletins Nuppa Site'!G868,"NULL")</f>
        <v>120</v>
      </c>
      <c r="E868" s="14">
        <f>IF('Boletins Nuppa Site'!H868&lt;&gt;0,'Boletins Nuppa Site'!H868,"NULL")</f>
        <v>100</v>
      </c>
      <c r="F868" s="14">
        <f>IF('Boletins Nuppa Site'!I868&lt;&gt;0,'Boletins Nuppa Site'!I868,"NULL")</f>
        <v>200</v>
      </c>
      <c r="G868" s="14">
        <f>IF('Boletins Nuppa Site'!J868&lt;&gt;0,'Boletins Nuppa Site'!J868,"NULL")</f>
        <v>135</v>
      </c>
      <c r="H868" s="14">
        <f>IF('Boletins Nuppa Site'!K868&lt;&gt;0,'Boletins Nuppa Site'!K868,"NULL")</f>
        <v>120</v>
      </c>
      <c r="I868" t="str">
        <f t="shared" si="26"/>
        <v>INSERT INTO COTACAO (cot_id, cot_blt_id, cot_pap_id, cot_prc_comum, cot_prc_min, cot_prc_max, cot_prc_med, cot_prc_mediana) VALUES (867, 58, 35, 120, 100, 200, 135, 120);</v>
      </c>
      <c r="J868" t="str">
        <f t="shared" si="27"/>
        <v>UPDATE COTACAO SET cot_id = 867, cot_blt_id = 58, cot_pap_id = 35, cot_prc_comum = 120, cot_prc_min = 100, cot_prc_max = 200, cot_prc_med = 135, cot_prc_mediana = 120 WHERE cot_id = 867;</v>
      </c>
    </row>
    <row r="869" spans="1:10" x14ac:dyDescent="0.3">
      <c r="A869">
        <v>868</v>
      </c>
      <c r="B869">
        <f>IF('Boletins Nuppa Site'!A869&lt;&gt;0,'Boletins Nuppa Site'!A869,"NULL")</f>
        <v>58</v>
      </c>
      <c r="C869">
        <v>36</v>
      </c>
      <c r="D869" t="str">
        <f>IF('Boletins Nuppa Site'!G869&lt;&gt;0,'Boletins Nuppa Site'!G869,"NULL")</f>
        <v>NULL</v>
      </c>
      <c r="E869" s="14">
        <f>IF('Boletins Nuppa Site'!H869&lt;&gt;0,'Boletins Nuppa Site'!H869,"NULL")</f>
        <v>130</v>
      </c>
      <c r="F869" s="14">
        <f>IF('Boletins Nuppa Site'!I869&lt;&gt;0,'Boletins Nuppa Site'!I869,"NULL")</f>
        <v>130</v>
      </c>
      <c r="G869" s="14">
        <f>IF('Boletins Nuppa Site'!J869&lt;&gt;0,'Boletins Nuppa Site'!J869,"NULL")</f>
        <v>130</v>
      </c>
      <c r="H869" s="14">
        <f>IF('Boletins Nuppa Site'!K869&lt;&gt;0,'Boletins Nuppa Site'!K869,"NULL")</f>
        <v>130</v>
      </c>
      <c r="I869" t="str">
        <f t="shared" si="26"/>
        <v>INSERT INTO COTACAO (cot_id, cot_blt_id, cot_pap_id, cot_prc_comum, cot_prc_min, cot_prc_max, cot_prc_med, cot_prc_mediana) VALUES (868, 58, 36, NULL, 130, 130, 130, 130);</v>
      </c>
      <c r="J869" t="str">
        <f t="shared" si="27"/>
        <v>UPDATE COTACAO SET cot_id = 868, cot_blt_id = 58, cot_pap_id = 36, cot_prc_comum = NULL, cot_prc_min = 130, cot_prc_max = 130, cot_prc_med = 130, cot_prc_mediana = 130 WHERE cot_id = 868;</v>
      </c>
    </row>
    <row r="870" spans="1:10" x14ac:dyDescent="0.3">
      <c r="A870">
        <v>869</v>
      </c>
      <c r="B870">
        <f>IF('Boletins Nuppa Site'!A870&lt;&gt;0,'Boletins Nuppa Site'!A870,"NULL")</f>
        <v>58</v>
      </c>
      <c r="C870">
        <v>37</v>
      </c>
      <c r="D870" t="str">
        <f>IF('Boletins Nuppa Site'!G870&lt;&gt;0,'Boletins Nuppa Site'!G870,"NULL")</f>
        <v>NULL</v>
      </c>
      <c r="E870" t="str">
        <f>IF('Boletins Nuppa Site'!H870&lt;&gt;0,'Boletins Nuppa Site'!H870,"NULL")</f>
        <v>NULL</v>
      </c>
      <c r="F870" t="str">
        <f>IF('Boletins Nuppa Site'!I870&lt;&gt;0,'Boletins Nuppa Site'!I870,"NULL")</f>
        <v>NULL</v>
      </c>
      <c r="G870" t="str">
        <f>IF('Boletins Nuppa Site'!J870&lt;&gt;0,'Boletins Nuppa Site'!J870,"NULL")</f>
        <v>NULL</v>
      </c>
      <c r="H870" t="str">
        <f>IF('Boletins Nuppa Site'!K870&lt;&gt;0,'Boletins Nuppa Site'!K870,"NULL")</f>
        <v>NULL</v>
      </c>
      <c r="I870" t="str">
        <f t="shared" si="26"/>
        <v>INSERT INTO COTACAO (cot_id, cot_blt_id, cot_pap_id, cot_prc_comum, cot_prc_min, cot_prc_max, cot_prc_med, cot_prc_mediana) VALUES (869, 58, 37, NULL, NULL, NULL, NULL, NULL);</v>
      </c>
      <c r="J870" t="str">
        <f t="shared" si="27"/>
        <v>UPDATE COTACAO SET cot_id = 869, cot_blt_id = 58, cot_pap_id = 37, cot_prc_comum = NULL, cot_prc_min = NULL, cot_prc_max = NULL, cot_prc_med = NULL, cot_prc_mediana = NULL WHERE cot_id = 869;</v>
      </c>
    </row>
    <row r="871" spans="1:10" x14ac:dyDescent="0.3">
      <c r="A871">
        <v>870</v>
      </c>
      <c r="B871">
        <f>IF('Boletins Nuppa Site'!A871&lt;&gt;0,'Boletins Nuppa Site'!A871,"NULL")</f>
        <v>58</v>
      </c>
      <c r="C871">
        <v>38</v>
      </c>
      <c r="D871" t="str">
        <f>IF('Boletins Nuppa Site'!G871&lt;&gt;0,'Boletins Nuppa Site'!G871,"NULL")</f>
        <v>NULL</v>
      </c>
      <c r="E871" t="str">
        <f>IF('Boletins Nuppa Site'!H871&lt;&gt;0,'Boletins Nuppa Site'!H871,"NULL")</f>
        <v>NULL</v>
      </c>
      <c r="F871" t="str">
        <f>IF('Boletins Nuppa Site'!I871&lt;&gt;0,'Boletins Nuppa Site'!I871,"NULL")</f>
        <v>NULL</v>
      </c>
      <c r="G871" t="str">
        <f>IF('Boletins Nuppa Site'!J871&lt;&gt;0,'Boletins Nuppa Site'!J871,"NULL")</f>
        <v>NULL</v>
      </c>
      <c r="H871" t="str">
        <f>IF('Boletins Nuppa Site'!K871&lt;&gt;0,'Boletins Nuppa Site'!K871,"NULL")</f>
        <v>NULL</v>
      </c>
      <c r="I871" t="str">
        <f t="shared" si="26"/>
        <v>INSERT INTO COTACAO (cot_id, cot_blt_id, cot_pap_id, cot_prc_comum, cot_prc_min, cot_prc_max, cot_prc_med, cot_prc_mediana) VALUES (870, 58, 38, NULL, NULL, NULL, NULL, NULL);</v>
      </c>
      <c r="J871" t="str">
        <f t="shared" si="27"/>
        <v>UPDATE COTACAO SET cot_id = 870, cot_blt_id = 58, cot_pap_id = 38, cot_prc_comum = NULL, cot_prc_min = NULL, cot_prc_max = NULL, cot_prc_med = NULL, cot_prc_mediana = NULL WHERE cot_id = 870;</v>
      </c>
    </row>
    <row r="872" spans="1:10" x14ac:dyDescent="0.3">
      <c r="A872">
        <v>871</v>
      </c>
      <c r="B872">
        <f>IF('Boletins Nuppa Site'!A872&lt;&gt;0,'Boletins Nuppa Site'!A872,"NULL")</f>
        <v>58</v>
      </c>
      <c r="C872">
        <v>39</v>
      </c>
      <c r="D872" t="str">
        <f>IF('Boletins Nuppa Site'!G872&lt;&gt;0,'Boletins Nuppa Site'!G872,"NULL")</f>
        <v>NULL</v>
      </c>
      <c r="E872" s="14">
        <f>IF('Boletins Nuppa Site'!H872&lt;&gt;0,'Boletins Nuppa Site'!H872,"NULL")</f>
        <v>50</v>
      </c>
      <c r="F872" s="14">
        <f>IF('Boletins Nuppa Site'!I872&lt;&gt;0,'Boletins Nuppa Site'!I872,"NULL")</f>
        <v>50</v>
      </c>
      <c r="G872" s="14">
        <f>IF('Boletins Nuppa Site'!J872&lt;&gt;0,'Boletins Nuppa Site'!J872,"NULL")</f>
        <v>50</v>
      </c>
      <c r="H872" s="14">
        <f>IF('Boletins Nuppa Site'!K872&lt;&gt;0,'Boletins Nuppa Site'!K872,"NULL")</f>
        <v>50</v>
      </c>
      <c r="I872" t="str">
        <f t="shared" si="26"/>
        <v>INSERT INTO COTACAO (cot_id, cot_blt_id, cot_pap_id, cot_prc_comum, cot_prc_min, cot_prc_max, cot_prc_med, cot_prc_mediana) VALUES (871, 58, 39, NULL, 50, 50, 50, 50);</v>
      </c>
      <c r="J872" t="str">
        <f t="shared" si="27"/>
        <v>UPDATE COTACAO SET cot_id = 871, cot_blt_id = 58, cot_pap_id = 39, cot_prc_comum = NULL, cot_prc_min = 50, cot_prc_max = 50, cot_prc_med = 50, cot_prc_mediana = 50 WHERE cot_id = 871;</v>
      </c>
    </row>
    <row r="873" spans="1:10" x14ac:dyDescent="0.3">
      <c r="A873">
        <v>872</v>
      </c>
      <c r="B873">
        <f>IF('Boletins Nuppa Site'!A873&lt;&gt;0,'Boletins Nuppa Site'!A873,"NULL")</f>
        <v>58</v>
      </c>
      <c r="C873">
        <v>40</v>
      </c>
      <c r="D873" t="str">
        <f>IF('Boletins Nuppa Site'!G873&lt;&gt;0,'Boletins Nuppa Site'!G873,"NULL")</f>
        <v>NULL</v>
      </c>
      <c r="E873" s="14">
        <f>IF('Boletins Nuppa Site'!H873&lt;&gt;0,'Boletins Nuppa Site'!H873,"NULL")</f>
        <v>60</v>
      </c>
      <c r="F873" s="14">
        <f>IF('Boletins Nuppa Site'!I873&lt;&gt;0,'Boletins Nuppa Site'!I873,"NULL")</f>
        <v>65</v>
      </c>
      <c r="G873" t="str">
        <f>IF('Boletins Nuppa Site'!J873&lt;&gt;0,'Boletins Nuppa Site'!J873,"NULL")</f>
        <v>62.5</v>
      </c>
      <c r="H873" t="str">
        <f>IF('Boletins Nuppa Site'!K873&lt;&gt;0,'Boletins Nuppa Site'!K873,"NULL")</f>
        <v>62.5</v>
      </c>
      <c r="I873" t="str">
        <f t="shared" si="26"/>
        <v>INSERT INTO COTACAO (cot_id, cot_blt_id, cot_pap_id, cot_prc_comum, cot_prc_min, cot_prc_max, cot_prc_med, cot_prc_mediana) VALUES (872, 58, 40, NULL, 60, 65, 62.5, 62.5);</v>
      </c>
      <c r="J873" t="str">
        <f t="shared" si="27"/>
        <v>UPDATE COTACAO SET cot_id = 872, cot_blt_id = 58, cot_pap_id = 40, cot_prc_comum = NULL, cot_prc_min = 60, cot_prc_max = 65, cot_prc_med = 62.5, cot_prc_mediana = 62.5 WHERE cot_id = 872;</v>
      </c>
    </row>
    <row r="874" spans="1:10" x14ac:dyDescent="0.3">
      <c r="A874">
        <v>873</v>
      </c>
      <c r="B874">
        <f>IF('Boletins Nuppa Site'!A874&lt;&gt;0,'Boletins Nuppa Site'!A874,"NULL")</f>
        <v>59</v>
      </c>
      <c r="C874">
        <v>1</v>
      </c>
      <c r="D874" s="14">
        <f>IF('Boletins Nuppa Site'!G874&lt;&gt;0,'Boletins Nuppa Site'!G874,"NULL")</f>
        <v>60</v>
      </c>
      <c r="E874" s="14">
        <f>IF('Boletins Nuppa Site'!H874&lt;&gt;0,'Boletins Nuppa Site'!H874,"NULL")</f>
        <v>48</v>
      </c>
      <c r="F874" s="14">
        <f>IF('Boletins Nuppa Site'!I874&lt;&gt;0,'Boletins Nuppa Site'!I874,"NULL")</f>
        <v>60</v>
      </c>
      <c r="G874" s="14">
        <f>IF('Boletins Nuppa Site'!J874&lt;&gt;0,'Boletins Nuppa Site'!J874,"NULL")</f>
        <v>57</v>
      </c>
      <c r="H874" s="14">
        <f>IF('Boletins Nuppa Site'!K874&lt;&gt;0,'Boletins Nuppa Site'!K874,"NULL")</f>
        <v>60</v>
      </c>
      <c r="I874" t="str">
        <f t="shared" si="26"/>
        <v>INSERT INTO COTACAO (cot_id, cot_blt_id, cot_pap_id, cot_prc_comum, cot_prc_min, cot_prc_max, cot_prc_med, cot_prc_mediana) VALUES (873, 59, 1, 60, 48, 60, 57, 60);</v>
      </c>
      <c r="J874" t="str">
        <f t="shared" si="27"/>
        <v>UPDATE COTACAO SET cot_id = 873, cot_blt_id = 59, cot_pap_id = 1, cot_prc_comum = 60, cot_prc_min = 48, cot_prc_max = 60, cot_prc_med = 57, cot_prc_mediana = 60 WHERE cot_id = 873;</v>
      </c>
    </row>
    <row r="875" spans="1:10" x14ac:dyDescent="0.3">
      <c r="A875">
        <v>874</v>
      </c>
      <c r="B875">
        <f>IF('Boletins Nuppa Site'!A875&lt;&gt;0,'Boletins Nuppa Site'!A875,"NULL")</f>
        <v>59</v>
      </c>
      <c r="C875">
        <v>2</v>
      </c>
      <c r="D875" s="14">
        <f>IF('Boletins Nuppa Site'!G875&lt;&gt;0,'Boletins Nuppa Site'!G875,"NULL")</f>
        <v>72</v>
      </c>
      <c r="E875" s="14">
        <f>IF('Boletins Nuppa Site'!H875&lt;&gt;0,'Boletins Nuppa Site'!H875,"NULL")</f>
        <v>72</v>
      </c>
      <c r="F875" s="14">
        <f>IF('Boletins Nuppa Site'!I875&lt;&gt;0,'Boletins Nuppa Site'!I875,"NULL")</f>
        <v>84</v>
      </c>
      <c r="G875" s="14">
        <f>IF('Boletins Nuppa Site'!J875&lt;&gt;0,'Boletins Nuppa Site'!J875,"NULL")</f>
        <v>75</v>
      </c>
      <c r="H875" s="14">
        <f>IF('Boletins Nuppa Site'!K875&lt;&gt;0,'Boletins Nuppa Site'!K875,"NULL")</f>
        <v>72</v>
      </c>
      <c r="I875" t="str">
        <f t="shared" si="26"/>
        <v>INSERT INTO COTACAO (cot_id, cot_blt_id, cot_pap_id, cot_prc_comum, cot_prc_min, cot_prc_max, cot_prc_med, cot_prc_mediana) VALUES (874, 59, 2, 72, 72, 84, 75, 72);</v>
      </c>
      <c r="J875" t="str">
        <f t="shared" si="27"/>
        <v>UPDATE COTACAO SET cot_id = 874, cot_blt_id = 59, cot_pap_id = 2, cot_prc_comum = 72, cot_prc_min = 72, cot_prc_max = 84, cot_prc_med = 75, cot_prc_mediana = 72 WHERE cot_id = 874;</v>
      </c>
    </row>
    <row r="876" spans="1:10" x14ac:dyDescent="0.3">
      <c r="A876">
        <v>875</v>
      </c>
      <c r="B876">
        <f>IF('Boletins Nuppa Site'!A876&lt;&gt;0,'Boletins Nuppa Site'!A876,"NULL")</f>
        <v>59</v>
      </c>
      <c r="C876">
        <v>3</v>
      </c>
      <c r="D876" t="str">
        <f>IF('Boletins Nuppa Site'!G876&lt;&gt;0,'Boletins Nuppa Site'!G876,"NULL")</f>
        <v>NULL</v>
      </c>
      <c r="E876" s="14">
        <f>IF('Boletins Nuppa Site'!H876&lt;&gt;0,'Boletins Nuppa Site'!H876,"NULL")</f>
        <v>30</v>
      </c>
      <c r="F876" s="14">
        <f>IF('Boletins Nuppa Site'!I876&lt;&gt;0,'Boletins Nuppa Site'!I876,"NULL")</f>
        <v>48</v>
      </c>
      <c r="G876" s="14">
        <f>IF('Boletins Nuppa Site'!J876&lt;&gt;0,'Boletins Nuppa Site'!J876,"NULL")</f>
        <v>39</v>
      </c>
      <c r="H876" s="14">
        <f>IF('Boletins Nuppa Site'!K876&lt;&gt;0,'Boletins Nuppa Site'!K876,"NULL")</f>
        <v>39</v>
      </c>
      <c r="I876" t="str">
        <f t="shared" si="26"/>
        <v>INSERT INTO COTACAO (cot_id, cot_blt_id, cot_pap_id, cot_prc_comum, cot_prc_min, cot_prc_max, cot_prc_med, cot_prc_mediana) VALUES (875, 59, 3, NULL, 30, 48, 39, 39);</v>
      </c>
      <c r="J876" t="str">
        <f t="shared" si="27"/>
        <v>UPDATE COTACAO SET cot_id = 875, cot_blt_id = 59, cot_pap_id = 3, cot_prc_comum = NULL, cot_prc_min = 30, cot_prc_max = 48, cot_prc_med = 39, cot_prc_mediana = 39 WHERE cot_id = 875;</v>
      </c>
    </row>
    <row r="877" spans="1:10" x14ac:dyDescent="0.3">
      <c r="A877">
        <v>876</v>
      </c>
      <c r="B877">
        <f>IF('Boletins Nuppa Site'!A877&lt;&gt;0,'Boletins Nuppa Site'!A877,"NULL")</f>
        <v>59</v>
      </c>
      <c r="C877">
        <v>4</v>
      </c>
      <c r="D877" s="14">
        <f>IF('Boletins Nuppa Site'!G877&lt;&gt;0,'Boletins Nuppa Site'!G877,"NULL")</f>
        <v>30</v>
      </c>
      <c r="E877" s="14">
        <f>IF('Boletins Nuppa Site'!H877&lt;&gt;0,'Boletins Nuppa Site'!H877,"NULL")</f>
        <v>20</v>
      </c>
      <c r="F877" s="14">
        <f>IF('Boletins Nuppa Site'!I877&lt;&gt;0,'Boletins Nuppa Site'!I877,"NULL")</f>
        <v>30</v>
      </c>
      <c r="G877" s="14">
        <f>IF('Boletins Nuppa Site'!J877&lt;&gt;0,'Boletins Nuppa Site'!J877,"NULL")</f>
        <v>26</v>
      </c>
      <c r="H877" s="14">
        <f>IF('Boletins Nuppa Site'!K877&lt;&gt;0,'Boletins Nuppa Site'!K877,"NULL")</f>
        <v>27</v>
      </c>
      <c r="I877" t="str">
        <f t="shared" si="26"/>
        <v>INSERT INTO COTACAO (cot_id, cot_blt_id, cot_pap_id, cot_prc_comum, cot_prc_min, cot_prc_max, cot_prc_med, cot_prc_mediana) VALUES (876, 59, 4, 30, 20, 30, 26, 27);</v>
      </c>
      <c r="J877" t="str">
        <f t="shared" si="27"/>
        <v>UPDATE COTACAO SET cot_id = 876, cot_blt_id = 59, cot_pap_id = 4, cot_prc_comum = 30, cot_prc_min = 20, cot_prc_max = 30, cot_prc_med = 26, cot_prc_mediana = 27 WHERE cot_id = 876;</v>
      </c>
    </row>
    <row r="878" spans="1:10" x14ac:dyDescent="0.3">
      <c r="A878">
        <v>877</v>
      </c>
      <c r="B878">
        <f>IF('Boletins Nuppa Site'!A878&lt;&gt;0,'Boletins Nuppa Site'!A878,"NULL")</f>
        <v>59</v>
      </c>
      <c r="C878">
        <v>5</v>
      </c>
      <c r="D878" s="14">
        <f>IF('Boletins Nuppa Site'!G878&lt;&gt;0,'Boletins Nuppa Site'!G878,"NULL")</f>
        <v>30</v>
      </c>
      <c r="E878" s="14">
        <f>IF('Boletins Nuppa Site'!H878&lt;&gt;0,'Boletins Nuppa Site'!H878,"NULL")</f>
        <v>18</v>
      </c>
      <c r="F878" s="14">
        <f>IF('Boletins Nuppa Site'!I878&lt;&gt;0,'Boletins Nuppa Site'!I878,"NULL")</f>
        <v>30</v>
      </c>
      <c r="G878" t="str">
        <f>IF('Boletins Nuppa Site'!J878&lt;&gt;0,'Boletins Nuppa Site'!J878,"NULL")</f>
        <v>24.5</v>
      </c>
      <c r="H878" s="14">
        <f>IF('Boletins Nuppa Site'!K878&lt;&gt;0,'Boletins Nuppa Site'!K878,"NULL")</f>
        <v>25</v>
      </c>
      <c r="I878" t="str">
        <f t="shared" si="26"/>
        <v>INSERT INTO COTACAO (cot_id, cot_blt_id, cot_pap_id, cot_prc_comum, cot_prc_min, cot_prc_max, cot_prc_med, cot_prc_mediana) VALUES (877, 59, 5, 30, 18, 30, 24.5, 25);</v>
      </c>
      <c r="J878" t="str">
        <f t="shared" si="27"/>
        <v>UPDATE COTACAO SET cot_id = 877, cot_blt_id = 59, cot_pap_id = 5, cot_prc_comum = 30, cot_prc_min = 18, cot_prc_max = 30, cot_prc_med = 24.5, cot_prc_mediana = 25 WHERE cot_id = 877;</v>
      </c>
    </row>
    <row r="879" spans="1:10" x14ac:dyDescent="0.3">
      <c r="A879">
        <v>878</v>
      </c>
      <c r="B879">
        <f>IF('Boletins Nuppa Site'!A879&lt;&gt;0,'Boletins Nuppa Site'!A879,"NULL")</f>
        <v>59</v>
      </c>
      <c r="C879">
        <v>6</v>
      </c>
      <c r="D879" s="14">
        <f>IF('Boletins Nuppa Site'!G879&lt;&gt;0,'Boletins Nuppa Site'!G879,"NULL")</f>
        <v>60</v>
      </c>
      <c r="E879" s="14">
        <f>IF('Boletins Nuppa Site'!H879&lt;&gt;0,'Boletins Nuppa Site'!H879,"NULL")</f>
        <v>48</v>
      </c>
      <c r="F879" s="14">
        <f>IF('Boletins Nuppa Site'!I879&lt;&gt;0,'Boletins Nuppa Site'!I879,"NULL")</f>
        <v>60</v>
      </c>
      <c r="G879" s="14">
        <f>IF('Boletins Nuppa Site'!J879&lt;&gt;0,'Boletins Nuppa Site'!J879,"NULL")</f>
        <v>57</v>
      </c>
      <c r="H879" s="14">
        <f>IF('Boletins Nuppa Site'!K879&lt;&gt;0,'Boletins Nuppa Site'!K879,"NULL")</f>
        <v>60</v>
      </c>
      <c r="I879" t="str">
        <f t="shared" si="26"/>
        <v>INSERT INTO COTACAO (cot_id, cot_blt_id, cot_pap_id, cot_prc_comum, cot_prc_min, cot_prc_max, cot_prc_med, cot_prc_mediana) VALUES (878, 59, 6, 60, 48, 60, 57, 60);</v>
      </c>
      <c r="J879" t="str">
        <f t="shared" si="27"/>
        <v>UPDATE COTACAO SET cot_id = 878, cot_blt_id = 59, cot_pap_id = 6, cot_prc_comum = 60, cot_prc_min = 48, cot_prc_max = 60, cot_prc_med = 57, cot_prc_mediana = 60 WHERE cot_id = 878;</v>
      </c>
    </row>
    <row r="880" spans="1:10" x14ac:dyDescent="0.3">
      <c r="A880">
        <v>879</v>
      </c>
      <c r="B880">
        <f>IF('Boletins Nuppa Site'!A880&lt;&gt;0,'Boletins Nuppa Site'!A880,"NULL")</f>
        <v>59</v>
      </c>
      <c r="C880">
        <v>7</v>
      </c>
      <c r="D880" s="14">
        <f>IF('Boletins Nuppa Site'!G880&lt;&gt;0,'Boletins Nuppa Site'!G880,"NULL")</f>
        <v>60</v>
      </c>
      <c r="E880" s="14">
        <f>IF('Boletins Nuppa Site'!H880&lt;&gt;0,'Boletins Nuppa Site'!H880,"NULL")</f>
        <v>60</v>
      </c>
      <c r="F880" s="14">
        <f>IF('Boletins Nuppa Site'!I880&lt;&gt;0,'Boletins Nuppa Site'!I880,"NULL")</f>
        <v>76</v>
      </c>
      <c r="G880" s="14">
        <f>IF('Boletins Nuppa Site'!J880&lt;&gt;0,'Boletins Nuppa Site'!J880,"NULL")</f>
        <v>64</v>
      </c>
      <c r="H880" s="14">
        <f>IF('Boletins Nuppa Site'!K880&lt;&gt;0,'Boletins Nuppa Site'!K880,"NULL")</f>
        <v>60</v>
      </c>
      <c r="I880" t="str">
        <f t="shared" si="26"/>
        <v>INSERT INTO COTACAO (cot_id, cot_blt_id, cot_pap_id, cot_prc_comum, cot_prc_min, cot_prc_max, cot_prc_med, cot_prc_mediana) VALUES (879, 59, 7, 60, 60, 76, 64, 60);</v>
      </c>
      <c r="J880" t="str">
        <f t="shared" si="27"/>
        <v>UPDATE COTACAO SET cot_id = 879, cot_blt_id = 59, cot_pap_id = 7, cot_prc_comum = 60, cot_prc_min = 60, cot_prc_max = 76, cot_prc_med = 64, cot_prc_mediana = 60 WHERE cot_id = 879;</v>
      </c>
    </row>
    <row r="881" spans="1:10" x14ac:dyDescent="0.3">
      <c r="A881">
        <v>880</v>
      </c>
      <c r="B881">
        <f>IF('Boletins Nuppa Site'!A881&lt;&gt;0,'Boletins Nuppa Site'!A881,"NULL")</f>
        <v>59</v>
      </c>
      <c r="C881">
        <v>8</v>
      </c>
      <c r="D881" s="14">
        <f>IF('Boletins Nuppa Site'!G881&lt;&gt;0,'Boletins Nuppa Site'!G881,"NULL")</f>
        <v>84</v>
      </c>
      <c r="E881" s="14">
        <f>IF('Boletins Nuppa Site'!H881&lt;&gt;0,'Boletins Nuppa Site'!H881,"NULL")</f>
        <v>72</v>
      </c>
      <c r="F881" s="14">
        <f>IF('Boletins Nuppa Site'!I881&lt;&gt;0,'Boletins Nuppa Site'!I881,"NULL")</f>
        <v>84</v>
      </c>
      <c r="G881" s="14">
        <f>IF('Boletins Nuppa Site'!J881&lt;&gt;0,'Boletins Nuppa Site'!J881,"NULL")</f>
        <v>80</v>
      </c>
      <c r="H881" s="14">
        <f>IF('Boletins Nuppa Site'!K881&lt;&gt;0,'Boletins Nuppa Site'!K881,"NULL")</f>
        <v>82</v>
      </c>
      <c r="I881" t="str">
        <f t="shared" si="26"/>
        <v>INSERT INTO COTACAO (cot_id, cot_blt_id, cot_pap_id, cot_prc_comum, cot_prc_min, cot_prc_max, cot_prc_med, cot_prc_mediana) VALUES (880, 59, 8, 84, 72, 84, 80, 82);</v>
      </c>
      <c r="J881" t="str">
        <f t="shared" si="27"/>
        <v>UPDATE COTACAO SET cot_id = 880, cot_blt_id = 59, cot_pap_id = 8, cot_prc_comum = 84, cot_prc_min = 72, cot_prc_max = 84, cot_prc_med = 80, cot_prc_mediana = 82 WHERE cot_id = 880;</v>
      </c>
    </row>
    <row r="882" spans="1:10" x14ac:dyDescent="0.3">
      <c r="A882">
        <v>881</v>
      </c>
      <c r="B882">
        <f>IF('Boletins Nuppa Site'!A882&lt;&gt;0,'Boletins Nuppa Site'!A882,"NULL")</f>
        <v>59</v>
      </c>
      <c r="C882">
        <v>9</v>
      </c>
      <c r="D882" s="14">
        <f>IF('Boletins Nuppa Site'!G882&lt;&gt;0,'Boletins Nuppa Site'!G882,"NULL")</f>
        <v>24</v>
      </c>
      <c r="E882" s="14">
        <f>IF('Boletins Nuppa Site'!H882&lt;&gt;0,'Boletins Nuppa Site'!H882,"NULL")</f>
        <v>20</v>
      </c>
      <c r="F882" s="14">
        <f>IF('Boletins Nuppa Site'!I882&lt;&gt;0,'Boletins Nuppa Site'!I882,"NULL")</f>
        <v>30</v>
      </c>
      <c r="G882" t="str">
        <f>IF('Boletins Nuppa Site'!J882&lt;&gt;0,'Boletins Nuppa Site'!J882,"NULL")</f>
        <v>24.5</v>
      </c>
      <c r="H882" s="14">
        <f>IF('Boletins Nuppa Site'!K882&lt;&gt;0,'Boletins Nuppa Site'!K882,"NULL")</f>
        <v>24</v>
      </c>
      <c r="I882" t="str">
        <f t="shared" si="26"/>
        <v>INSERT INTO COTACAO (cot_id, cot_blt_id, cot_pap_id, cot_prc_comum, cot_prc_min, cot_prc_max, cot_prc_med, cot_prc_mediana) VALUES (881, 59, 9, 24, 20, 30, 24.5, 24);</v>
      </c>
      <c r="J882" t="str">
        <f t="shared" si="27"/>
        <v>UPDATE COTACAO SET cot_id = 881, cot_blt_id = 59, cot_pap_id = 9, cot_prc_comum = 24, cot_prc_min = 20, cot_prc_max = 30, cot_prc_med = 24.5, cot_prc_mediana = 24 WHERE cot_id = 881;</v>
      </c>
    </row>
    <row r="883" spans="1:10" x14ac:dyDescent="0.3">
      <c r="A883">
        <v>882</v>
      </c>
      <c r="B883">
        <f>IF('Boletins Nuppa Site'!A883&lt;&gt;0,'Boletins Nuppa Site'!A883,"NULL")</f>
        <v>59</v>
      </c>
      <c r="C883">
        <v>10</v>
      </c>
      <c r="D883" t="str">
        <f>IF('Boletins Nuppa Site'!G883&lt;&gt;0,'Boletins Nuppa Site'!G883,"NULL")</f>
        <v>NULL</v>
      </c>
      <c r="E883" s="14">
        <f>IF('Boletins Nuppa Site'!H883&lt;&gt;0,'Boletins Nuppa Site'!H883,"NULL")</f>
        <v>60</v>
      </c>
      <c r="F883" s="14">
        <f>IF('Boletins Nuppa Site'!I883&lt;&gt;0,'Boletins Nuppa Site'!I883,"NULL")</f>
        <v>84</v>
      </c>
      <c r="G883" t="str">
        <f>IF('Boletins Nuppa Site'!J883&lt;&gt;0,'Boletins Nuppa Site'!J883,"NULL")</f>
        <v>71.5</v>
      </c>
      <c r="H883" s="14">
        <f>IF('Boletins Nuppa Site'!K883&lt;&gt;0,'Boletins Nuppa Site'!K883,"NULL")</f>
        <v>71</v>
      </c>
      <c r="I883" t="str">
        <f t="shared" si="26"/>
        <v>INSERT INTO COTACAO (cot_id, cot_blt_id, cot_pap_id, cot_prc_comum, cot_prc_min, cot_prc_max, cot_prc_med, cot_prc_mediana) VALUES (882, 59, 10, NULL, 60, 84, 71.5, 71);</v>
      </c>
      <c r="J883" t="str">
        <f t="shared" si="27"/>
        <v>UPDATE COTACAO SET cot_id = 882, cot_blt_id = 59, cot_pap_id = 10, cot_prc_comum = NULL, cot_prc_min = 60, cot_prc_max = 84, cot_prc_med = 71.5, cot_prc_mediana = 71 WHERE cot_id = 882;</v>
      </c>
    </row>
    <row r="884" spans="1:10" x14ac:dyDescent="0.3">
      <c r="A884">
        <v>883</v>
      </c>
      <c r="B884">
        <f>IF('Boletins Nuppa Site'!A884&lt;&gt;0,'Boletins Nuppa Site'!A884,"NULL")</f>
        <v>59</v>
      </c>
      <c r="C884">
        <v>11</v>
      </c>
      <c r="D884" s="14">
        <f>IF('Boletins Nuppa Site'!G884&lt;&gt;0,'Boletins Nuppa Site'!G884,"NULL")</f>
        <v>24</v>
      </c>
      <c r="E884" s="14">
        <f>IF('Boletins Nuppa Site'!H884&lt;&gt;0,'Boletins Nuppa Site'!H884,"NULL")</f>
        <v>24</v>
      </c>
      <c r="F884" s="14">
        <f>IF('Boletins Nuppa Site'!I884&lt;&gt;0,'Boletins Nuppa Site'!I884,"NULL")</f>
        <v>30</v>
      </c>
      <c r="G884" s="14">
        <f>IF('Boletins Nuppa Site'!J884&lt;&gt;0,'Boletins Nuppa Site'!J884,"NULL")</f>
        <v>27</v>
      </c>
      <c r="H884" s="14">
        <f>IF('Boletins Nuppa Site'!K884&lt;&gt;0,'Boletins Nuppa Site'!K884,"NULL")</f>
        <v>27</v>
      </c>
      <c r="I884" t="str">
        <f t="shared" si="26"/>
        <v>INSERT INTO COTACAO (cot_id, cot_blt_id, cot_pap_id, cot_prc_comum, cot_prc_min, cot_prc_max, cot_prc_med, cot_prc_mediana) VALUES (883, 59, 11, 24, 24, 30, 27, 27);</v>
      </c>
      <c r="J884" t="str">
        <f t="shared" si="27"/>
        <v>UPDATE COTACAO SET cot_id = 883, cot_blt_id = 59, cot_pap_id = 11, cot_prc_comum = 24, cot_prc_min = 24, cot_prc_max = 30, cot_prc_med = 27, cot_prc_mediana = 27 WHERE cot_id = 883;</v>
      </c>
    </row>
    <row r="885" spans="1:10" x14ac:dyDescent="0.3">
      <c r="A885">
        <v>884</v>
      </c>
      <c r="B885">
        <f>IF('Boletins Nuppa Site'!A885&lt;&gt;0,'Boletins Nuppa Site'!A885,"NULL")</f>
        <v>59</v>
      </c>
      <c r="C885">
        <v>12</v>
      </c>
      <c r="D885" s="14">
        <f>IF('Boletins Nuppa Site'!G885&lt;&gt;0,'Boletins Nuppa Site'!G885,"NULL")</f>
        <v>72</v>
      </c>
      <c r="E885" s="14">
        <f>IF('Boletins Nuppa Site'!H885&lt;&gt;0,'Boletins Nuppa Site'!H885,"NULL")</f>
        <v>60</v>
      </c>
      <c r="F885" s="14">
        <f>IF('Boletins Nuppa Site'!I885&lt;&gt;0,'Boletins Nuppa Site'!I885,"NULL")</f>
        <v>72</v>
      </c>
      <c r="G885" s="14">
        <f>IF('Boletins Nuppa Site'!J885&lt;&gt;0,'Boletins Nuppa Site'!J885,"NULL")</f>
        <v>69</v>
      </c>
      <c r="H885" s="14">
        <f>IF('Boletins Nuppa Site'!K885&lt;&gt;0,'Boletins Nuppa Site'!K885,"NULL")</f>
        <v>72</v>
      </c>
      <c r="I885" t="str">
        <f t="shared" si="26"/>
        <v>INSERT INTO COTACAO (cot_id, cot_blt_id, cot_pap_id, cot_prc_comum, cot_prc_min, cot_prc_max, cot_prc_med, cot_prc_mediana) VALUES (884, 59, 12, 72, 60, 72, 69, 72);</v>
      </c>
      <c r="J885" t="str">
        <f t="shared" si="27"/>
        <v>UPDATE COTACAO SET cot_id = 884, cot_blt_id = 59, cot_pap_id = 12, cot_prc_comum = 72, cot_prc_min = 60, cot_prc_max = 72, cot_prc_med = 69, cot_prc_mediana = 72 WHERE cot_id = 884;</v>
      </c>
    </row>
    <row r="886" spans="1:10" x14ac:dyDescent="0.3">
      <c r="A886">
        <v>885</v>
      </c>
      <c r="B886">
        <f>IF('Boletins Nuppa Site'!A886&lt;&gt;0,'Boletins Nuppa Site'!A886,"NULL")</f>
        <v>59</v>
      </c>
      <c r="C886">
        <v>13</v>
      </c>
      <c r="D886" s="14">
        <f>IF('Boletins Nuppa Site'!G886&lt;&gt;0,'Boletins Nuppa Site'!G886,"NULL")</f>
        <v>60</v>
      </c>
      <c r="E886" s="14">
        <f>IF('Boletins Nuppa Site'!H886&lt;&gt;0,'Boletins Nuppa Site'!H886,"NULL")</f>
        <v>60</v>
      </c>
      <c r="F886" s="14">
        <f>IF('Boletins Nuppa Site'!I886&lt;&gt;0,'Boletins Nuppa Site'!I886,"NULL")</f>
        <v>60</v>
      </c>
      <c r="G886" s="14">
        <f>IF('Boletins Nuppa Site'!J886&lt;&gt;0,'Boletins Nuppa Site'!J886,"NULL")</f>
        <v>60</v>
      </c>
      <c r="H886" s="14">
        <f>IF('Boletins Nuppa Site'!K886&lt;&gt;0,'Boletins Nuppa Site'!K886,"NULL")</f>
        <v>60</v>
      </c>
      <c r="I886" t="str">
        <f t="shared" si="26"/>
        <v>INSERT INTO COTACAO (cot_id, cot_blt_id, cot_pap_id, cot_prc_comum, cot_prc_min, cot_prc_max, cot_prc_med, cot_prc_mediana) VALUES (885, 59, 13, 60, 60, 60, 60, 60);</v>
      </c>
      <c r="J886" t="str">
        <f t="shared" si="27"/>
        <v>UPDATE COTACAO SET cot_id = 885, cot_blt_id = 59, cot_pap_id = 13, cot_prc_comum = 60, cot_prc_min = 60, cot_prc_max = 60, cot_prc_med = 60, cot_prc_mediana = 60 WHERE cot_id = 885;</v>
      </c>
    </row>
    <row r="887" spans="1:10" x14ac:dyDescent="0.3">
      <c r="A887">
        <v>886</v>
      </c>
      <c r="B887">
        <f>IF('Boletins Nuppa Site'!A887&lt;&gt;0,'Boletins Nuppa Site'!A887,"NULL")</f>
        <v>59</v>
      </c>
      <c r="C887">
        <v>14</v>
      </c>
      <c r="D887" t="str">
        <f>IF('Boletins Nuppa Site'!G887&lt;&gt;0,'Boletins Nuppa Site'!G887,"NULL")</f>
        <v>NULL</v>
      </c>
      <c r="E887" s="14">
        <f>IF('Boletins Nuppa Site'!H887&lt;&gt;0,'Boletins Nuppa Site'!H887,"NULL")</f>
        <v>60</v>
      </c>
      <c r="F887" s="14">
        <f>IF('Boletins Nuppa Site'!I887&lt;&gt;0,'Boletins Nuppa Site'!I887,"NULL")</f>
        <v>84</v>
      </c>
      <c r="G887" s="14">
        <f>IF('Boletins Nuppa Site'!J887&lt;&gt;0,'Boletins Nuppa Site'!J887,"NULL")</f>
        <v>72</v>
      </c>
      <c r="H887" s="14">
        <f>IF('Boletins Nuppa Site'!K887&lt;&gt;0,'Boletins Nuppa Site'!K887,"NULL")</f>
        <v>72</v>
      </c>
      <c r="I887" t="str">
        <f t="shared" si="26"/>
        <v>INSERT INTO COTACAO (cot_id, cot_blt_id, cot_pap_id, cot_prc_comum, cot_prc_min, cot_prc_max, cot_prc_med, cot_prc_mediana) VALUES (886, 59, 14, NULL, 60, 84, 72, 72);</v>
      </c>
      <c r="J887" t="str">
        <f t="shared" si="27"/>
        <v>UPDATE COTACAO SET cot_id = 886, cot_blt_id = 59, cot_pap_id = 14, cot_prc_comum = NULL, cot_prc_min = 60, cot_prc_max = 84, cot_prc_med = 72, cot_prc_mediana = 72 WHERE cot_id = 886;</v>
      </c>
    </row>
    <row r="888" spans="1:10" x14ac:dyDescent="0.3">
      <c r="A888">
        <v>887</v>
      </c>
      <c r="B888">
        <f>IF('Boletins Nuppa Site'!A888&lt;&gt;0,'Boletins Nuppa Site'!A888,"NULL")</f>
        <v>59</v>
      </c>
      <c r="C888">
        <v>15</v>
      </c>
      <c r="D888" t="str">
        <f>IF('Boletins Nuppa Site'!G888&lt;&gt;0,'Boletins Nuppa Site'!G888,"NULL")</f>
        <v>NULL</v>
      </c>
      <c r="E888" s="14">
        <f>IF('Boletins Nuppa Site'!H888&lt;&gt;0,'Boletins Nuppa Site'!H888,"NULL")</f>
        <v>36</v>
      </c>
      <c r="F888" s="14">
        <f>IF('Boletins Nuppa Site'!I888&lt;&gt;0,'Boletins Nuppa Site'!I888,"NULL")</f>
        <v>54</v>
      </c>
      <c r="G888" s="14">
        <f>IF('Boletins Nuppa Site'!J888&lt;&gt;0,'Boletins Nuppa Site'!J888,"NULL")</f>
        <v>47</v>
      </c>
      <c r="H888" s="14">
        <f>IF('Boletins Nuppa Site'!K888&lt;&gt;0,'Boletins Nuppa Site'!K888,"NULL")</f>
        <v>49</v>
      </c>
      <c r="I888" t="str">
        <f t="shared" si="26"/>
        <v>INSERT INTO COTACAO (cot_id, cot_blt_id, cot_pap_id, cot_prc_comum, cot_prc_min, cot_prc_max, cot_prc_med, cot_prc_mediana) VALUES (887, 59, 15, NULL, 36, 54, 47, 49);</v>
      </c>
      <c r="J888" t="str">
        <f t="shared" si="27"/>
        <v>UPDATE COTACAO SET cot_id = 887, cot_blt_id = 59, cot_pap_id = 15, cot_prc_comum = NULL, cot_prc_min = 36, cot_prc_max = 54, cot_prc_med = 47, cot_prc_mediana = 49 WHERE cot_id = 887;</v>
      </c>
    </row>
    <row r="889" spans="1:10" x14ac:dyDescent="0.3">
      <c r="A889">
        <v>888</v>
      </c>
      <c r="B889">
        <f>IF('Boletins Nuppa Site'!A889&lt;&gt;0,'Boletins Nuppa Site'!A889,"NULL")</f>
        <v>59</v>
      </c>
      <c r="C889">
        <v>16</v>
      </c>
      <c r="D889" s="14">
        <f>IF('Boletins Nuppa Site'!G889&lt;&gt;0,'Boletins Nuppa Site'!G889,"NULL")</f>
        <v>54</v>
      </c>
      <c r="E889" s="14">
        <f>IF('Boletins Nuppa Site'!H889&lt;&gt;0,'Boletins Nuppa Site'!H889,"NULL")</f>
        <v>48</v>
      </c>
      <c r="F889" s="14">
        <f>IF('Boletins Nuppa Site'!I889&lt;&gt;0,'Boletins Nuppa Site'!I889,"NULL")</f>
        <v>60</v>
      </c>
      <c r="G889" s="14">
        <f>IF('Boletins Nuppa Site'!J889&lt;&gt;0,'Boletins Nuppa Site'!J889,"NULL")</f>
        <v>54</v>
      </c>
      <c r="H889" s="14">
        <f>IF('Boletins Nuppa Site'!K889&lt;&gt;0,'Boletins Nuppa Site'!K889,"NULL")</f>
        <v>54</v>
      </c>
      <c r="I889" t="str">
        <f t="shared" si="26"/>
        <v>INSERT INTO COTACAO (cot_id, cot_blt_id, cot_pap_id, cot_prc_comum, cot_prc_min, cot_prc_max, cot_prc_med, cot_prc_mediana) VALUES (888, 59, 16, 54, 48, 60, 54, 54);</v>
      </c>
      <c r="J889" t="str">
        <f t="shared" si="27"/>
        <v>UPDATE COTACAO SET cot_id = 888, cot_blt_id = 59, cot_pap_id = 16, cot_prc_comum = 54, cot_prc_min = 48, cot_prc_max = 60, cot_prc_med = 54, cot_prc_mediana = 54 WHERE cot_id = 888;</v>
      </c>
    </row>
    <row r="890" spans="1:10" x14ac:dyDescent="0.3">
      <c r="A890">
        <v>889</v>
      </c>
      <c r="B890">
        <f>IF('Boletins Nuppa Site'!A890&lt;&gt;0,'Boletins Nuppa Site'!A890,"NULL")</f>
        <v>59</v>
      </c>
      <c r="C890">
        <v>17</v>
      </c>
      <c r="D890" s="14">
        <f>IF('Boletins Nuppa Site'!G890&lt;&gt;0,'Boletins Nuppa Site'!G890,"NULL")</f>
        <v>5</v>
      </c>
      <c r="E890" s="14">
        <f>IF('Boletins Nuppa Site'!H890&lt;&gt;0,'Boletins Nuppa Site'!H890,"NULL")</f>
        <v>5</v>
      </c>
      <c r="F890" s="14">
        <f>IF('Boletins Nuppa Site'!I890&lt;&gt;0,'Boletins Nuppa Site'!I890,"NULL")</f>
        <v>5</v>
      </c>
      <c r="G890" s="14">
        <f>IF('Boletins Nuppa Site'!J890&lt;&gt;0,'Boletins Nuppa Site'!J890,"NULL")</f>
        <v>5</v>
      </c>
      <c r="H890" s="14">
        <f>IF('Boletins Nuppa Site'!K890&lt;&gt;0,'Boletins Nuppa Site'!K890,"NULL")</f>
        <v>5</v>
      </c>
      <c r="I890" t="str">
        <f t="shared" si="26"/>
        <v>INSERT INTO COTACAO (cot_id, cot_blt_id, cot_pap_id, cot_prc_comum, cot_prc_min, cot_prc_max, cot_prc_med, cot_prc_mediana) VALUES (889, 59, 17, 5, 5, 5, 5, 5);</v>
      </c>
      <c r="J890" t="str">
        <f t="shared" si="27"/>
        <v>UPDATE COTACAO SET cot_id = 889, cot_blt_id = 59, cot_pap_id = 17, cot_prc_comum = 5, cot_prc_min = 5, cot_prc_max = 5, cot_prc_med = 5, cot_prc_mediana = 5 WHERE cot_id = 889;</v>
      </c>
    </row>
    <row r="891" spans="1:10" x14ac:dyDescent="0.3">
      <c r="A891">
        <v>890</v>
      </c>
      <c r="B891">
        <f>IF('Boletins Nuppa Site'!A891&lt;&gt;0,'Boletins Nuppa Site'!A891,"NULL")</f>
        <v>59</v>
      </c>
      <c r="C891">
        <v>18</v>
      </c>
      <c r="D891" s="14">
        <f>IF('Boletins Nuppa Site'!G891&lt;&gt;0,'Boletins Nuppa Site'!G891,"NULL")</f>
        <v>18</v>
      </c>
      <c r="E891" s="14">
        <f>IF('Boletins Nuppa Site'!H891&lt;&gt;0,'Boletins Nuppa Site'!H891,"NULL")</f>
        <v>15</v>
      </c>
      <c r="F891" s="14">
        <f>IF('Boletins Nuppa Site'!I891&lt;&gt;0,'Boletins Nuppa Site'!I891,"NULL")</f>
        <v>18</v>
      </c>
      <c r="G891" t="str">
        <f>IF('Boletins Nuppa Site'!J891&lt;&gt;0,'Boletins Nuppa Site'!J891,"NULL")</f>
        <v>17.25</v>
      </c>
      <c r="H891" s="14">
        <f>IF('Boletins Nuppa Site'!K891&lt;&gt;0,'Boletins Nuppa Site'!K891,"NULL")</f>
        <v>18</v>
      </c>
      <c r="I891" t="str">
        <f t="shared" si="26"/>
        <v>INSERT INTO COTACAO (cot_id, cot_blt_id, cot_pap_id, cot_prc_comum, cot_prc_min, cot_prc_max, cot_prc_med, cot_prc_mediana) VALUES (890, 59, 18, 18, 15, 18, 17.25, 18);</v>
      </c>
      <c r="J891" t="str">
        <f t="shared" si="27"/>
        <v>UPDATE COTACAO SET cot_id = 890, cot_blt_id = 59, cot_pap_id = 18, cot_prc_comum = 18, cot_prc_min = 15, cot_prc_max = 18, cot_prc_med = 17.25, cot_prc_mediana = 18 WHERE cot_id = 890;</v>
      </c>
    </row>
    <row r="892" spans="1:10" x14ac:dyDescent="0.3">
      <c r="A892">
        <v>891</v>
      </c>
      <c r="B892">
        <f>IF('Boletins Nuppa Site'!A892&lt;&gt;0,'Boletins Nuppa Site'!A892,"NULL")</f>
        <v>59</v>
      </c>
      <c r="C892">
        <v>19</v>
      </c>
      <c r="D892" s="14">
        <f>IF('Boletins Nuppa Site'!G892&lt;&gt;0,'Boletins Nuppa Site'!G892,"NULL")</f>
        <v>25</v>
      </c>
      <c r="E892" s="14">
        <f>IF('Boletins Nuppa Site'!H892&lt;&gt;0,'Boletins Nuppa Site'!H892,"NULL")</f>
        <v>25</v>
      </c>
      <c r="F892" s="14">
        <f>IF('Boletins Nuppa Site'!I892&lt;&gt;0,'Boletins Nuppa Site'!I892,"NULL")</f>
        <v>30</v>
      </c>
      <c r="G892" t="str">
        <f>IF('Boletins Nuppa Site'!J892&lt;&gt;0,'Boletins Nuppa Site'!J892,"NULL")</f>
        <v>26.25</v>
      </c>
      <c r="H892" s="14">
        <f>IF('Boletins Nuppa Site'!K892&lt;&gt;0,'Boletins Nuppa Site'!K892,"NULL")</f>
        <v>25</v>
      </c>
      <c r="I892" t="str">
        <f t="shared" si="26"/>
        <v>INSERT INTO COTACAO (cot_id, cot_blt_id, cot_pap_id, cot_prc_comum, cot_prc_min, cot_prc_max, cot_prc_med, cot_prc_mediana) VALUES (891, 59, 19, 25, 25, 30, 26.25, 25);</v>
      </c>
      <c r="J892" t="str">
        <f t="shared" si="27"/>
        <v>UPDATE COTACAO SET cot_id = 891, cot_blt_id = 59, cot_pap_id = 19, cot_prc_comum = 25, cot_prc_min = 25, cot_prc_max = 30, cot_prc_med = 26.25, cot_prc_mediana = 25 WHERE cot_id = 891;</v>
      </c>
    </row>
    <row r="893" spans="1:10" x14ac:dyDescent="0.3">
      <c r="A893">
        <v>892</v>
      </c>
      <c r="B893">
        <f>IF('Boletins Nuppa Site'!A893&lt;&gt;0,'Boletins Nuppa Site'!A893,"NULL")</f>
        <v>59</v>
      </c>
      <c r="C893">
        <v>20</v>
      </c>
      <c r="D893" t="str">
        <f>IF('Boletins Nuppa Site'!G893&lt;&gt;0,'Boletins Nuppa Site'!G893,"NULL")</f>
        <v>NULL</v>
      </c>
      <c r="E893" s="14">
        <f>IF('Boletins Nuppa Site'!H893&lt;&gt;0,'Boletins Nuppa Site'!H893,"NULL")</f>
        <v>80</v>
      </c>
      <c r="F893" s="14">
        <f>IF('Boletins Nuppa Site'!I893&lt;&gt;0,'Boletins Nuppa Site'!I893,"NULL")</f>
        <v>90</v>
      </c>
      <c r="G893" s="14">
        <f>IF('Boletins Nuppa Site'!J893&lt;&gt;0,'Boletins Nuppa Site'!J893,"NULL")</f>
        <v>85</v>
      </c>
      <c r="H893" s="14">
        <f>IF('Boletins Nuppa Site'!K893&lt;&gt;0,'Boletins Nuppa Site'!K893,"NULL")</f>
        <v>85</v>
      </c>
      <c r="I893" t="str">
        <f t="shared" si="26"/>
        <v>INSERT INTO COTACAO (cot_id, cot_blt_id, cot_pap_id, cot_prc_comum, cot_prc_min, cot_prc_max, cot_prc_med, cot_prc_mediana) VALUES (892, 59, 20, NULL, 80, 90, 85, 85);</v>
      </c>
      <c r="J893" t="str">
        <f t="shared" si="27"/>
        <v>UPDATE COTACAO SET cot_id = 892, cot_blt_id = 59, cot_pap_id = 20, cot_prc_comum = NULL, cot_prc_min = 80, cot_prc_max = 90, cot_prc_med = 85, cot_prc_mediana = 85 WHERE cot_id = 892;</v>
      </c>
    </row>
    <row r="894" spans="1:10" x14ac:dyDescent="0.3">
      <c r="A894">
        <v>893</v>
      </c>
      <c r="B894">
        <f>IF('Boletins Nuppa Site'!A894&lt;&gt;0,'Boletins Nuppa Site'!A894,"NULL")</f>
        <v>59</v>
      </c>
      <c r="C894">
        <v>21</v>
      </c>
      <c r="D894" s="14">
        <f>IF('Boletins Nuppa Site'!G894&lt;&gt;0,'Boletins Nuppa Site'!G894,"NULL")</f>
        <v>50</v>
      </c>
      <c r="E894" s="14">
        <f>IF('Boletins Nuppa Site'!H894&lt;&gt;0,'Boletins Nuppa Site'!H894,"NULL")</f>
        <v>40</v>
      </c>
      <c r="F894" s="14">
        <f>IF('Boletins Nuppa Site'!I894&lt;&gt;0,'Boletins Nuppa Site'!I894,"NULL")</f>
        <v>55</v>
      </c>
      <c r="G894" t="str">
        <f>IF('Boletins Nuppa Site'!J894&lt;&gt;0,'Boletins Nuppa Site'!J894,"NULL")</f>
        <v>48.75</v>
      </c>
      <c r="H894" s="14">
        <f>IF('Boletins Nuppa Site'!K894&lt;&gt;0,'Boletins Nuppa Site'!K894,"NULL")</f>
        <v>50</v>
      </c>
      <c r="I894" t="str">
        <f t="shared" si="26"/>
        <v>INSERT INTO COTACAO (cot_id, cot_blt_id, cot_pap_id, cot_prc_comum, cot_prc_min, cot_prc_max, cot_prc_med, cot_prc_mediana) VALUES (893, 59, 21, 50, 40, 55, 48.75, 50);</v>
      </c>
      <c r="J894" t="str">
        <f t="shared" si="27"/>
        <v>UPDATE COTACAO SET cot_id = 893, cot_blt_id = 59, cot_pap_id = 21, cot_prc_comum = 50, cot_prc_min = 40, cot_prc_max = 55, cot_prc_med = 48.75, cot_prc_mediana = 50 WHERE cot_id = 893;</v>
      </c>
    </row>
    <row r="895" spans="1:10" x14ac:dyDescent="0.3">
      <c r="A895">
        <v>894</v>
      </c>
      <c r="B895">
        <f>IF('Boletins Nuppa Site'!A895&lt;&gt;0,'Boletins Nuppa Site'!A895,"NULL")</f>
        <v>59</v>
      </c>
      <c r="C895">
        <v>22</v>
      </c>
      <c r="D895" t="str">
        <f>IF('Boletins Nuppa Site'!G895&lt;&gt;0,'Boletins Nuppa Site'!G895,"NULL")</f>
        <v>NULL</v>
      </c>
      <c r="E895" s="14">
        <f>IF('Boletins Nuppa Site'!H895&lt;&gt;0,'Boletins Nuppa Site'!H895,"NULL")</f>
        <v>45</v>
      </c>
      <c r="F895" s="14">
        <f>IF('Boletins Nuppa Site'!I895&lt;&gt;0,'Boletins Nuppa Site'!I895,"NULL")</f>
        <v>70</v>
      </c>
      <c r="G895" s="14">
        <f>IF('Boletins Nuppa Site'!J895&lt;&gt;0,'Boletins Nuppa Site'!J895,"NULL")</f>
        <v>58</v>
      </c>
      <c r="H895" s="14">
        <f>IF('Boletins Nuppa Site'!K895&lt;&gt;0,'Boletins Nuppa Site'!K895,"NULL")</f>
        <v>60</v>
      </c>
      <c r="I895" t="str">
        <f t="shared" si="26"/>
        <v>INSERT INTO COTACAO (cot_id, cot_blt_id, cot_pap_id, cot_prc_comum, cot_prc_min, cot_prc_max, cot_prc_med, cot_prc_mediana) VALUES (894, 59, 22, NULL, 45, 70, 58, 60);</v>
      </c>
      <c r="J895" t="str">
        <f t="shared" si="27"/>
        <v>UPDATE COTACAO SET cot_id = 894, cot_blt_id = 59, cot_pap_id = 22, cot_prc_comum = NULL, cot_prc_min = 45, cot_prc_max = 70, cot_prc_med = 58, cot_prc_mediana = 60 WHERE cot_id = 894;</v>
      </c>
    </row>
    <row r="896" spans="1:10" x14ac:dyDescent="0.3">
      <c r="A896">
        <v>895</v>
      </c>
      <c r="B896">
        <f>IF('Boletins Nuppa Site'!A896&lt;&gt;0,'Boletins Nuppa Site'!A896,"NULL")</f>
        <v>59</v>
      </c>
      <c r="C896">
        <v>23</v>
      </c>
      <c r="D896" s="14">
        <f>IF('Boletins Nuppa Site'!G896&lt;&gt;0,'Boletins Nuppa Site'!G896,"NULL")</f>
        <v>40</v>
      </c>
      <c r="E896" s="14">
        <f>IF('Boletins Nuppa Site'!H896&lt;&gt;0,'Boletins Nuppa Site'!H896,"NULL")</f>
        <v>40</v>
      </c>
      <c r="F896" s="14">
        <f>IF('Boletins Nuppa Site'!I896&lt;&gt;0,'Boletins Nuppa Site'!I896,"NULL")</f>
        <v>48</v>
      </c>
      <c r="G896" s="14">
        <f>IF('Boletins Nuppa Site'!J896&lt;&gt;0,'Boletins Nuppa Site'!J896,"NULL")</f>
        <v>42</v>
      </c>
      <c r="H896" s="14">
        <f>IF('Boletins Nuppa Site'!K896&lt;&gt;0,'Boletins Nuppa Site'!K896,"NULL")</f>
        <v>40</v>
      </c>
      <c r="I896" t="str">
        <f t="shared" si="26"/>
        <v>INSERT INTO COTACAO (cot_id, cot_blt_id, cot_pap_id, cot_prc_comum, cot_prc_min, cot_prc_max, cot_prc_med, cot_prc_mediana) VALUES (895, 59, 23, 40, 40, 48, 42, 40);</v>
      </c>
      <c r="J896" t="str">
        <f t="shared" si="27"/>
        <v>UPDATE COTACAO SET cot_id = 895, cot_blt_id = 59, cot_pap_id = 23, cot_prc_comum = 40, cot_prc_min = 40, cot_prc_max = 48, cot_prc_med = 42, cot_prc_mediana = 40 WHERE cot_id = 895;</v>
      </c>
    </row>
    <row r="897" spans="1:10" x14ac:dyDescent="0.3">
      <c r="A897">
        <v>896</v>
      </c>
      <c r="B897">
        <f>IF('Boletins Nuppa Site'!A897&lt;&gt;0,'Boletins Nuppa Site'!A897,"NULL")</f>
        <v>59</v>
      </c>
      <c r="C897">
        <v>24</v>
      </c>
      <c r="D897" t="str">
        <f>IF('Boletins Nuppa Site'!G897&lt;&gt;0,'Boletins Nuppa Site'!G897,"NULL")</f>
        <v>NULL</v>
      </c>
      <c r="E897" s="14">
        <f>IF('Boletins Nuppa Site'!H897&lt;&gt;0,'Boletins Nuppa Site'!H897,"NULL")</f>
        <v>100</v>
      </c>
      <c r="F897" s="14">
        <f>IF('Boletins Nuppa Site'!I897&lt;&gt;0,'Boletins Nuppa Site'!I897,"NULL")</f>
        <v>100</v>
      </c>
      <c r="G897" s="14">
        <f>IF('Boletins Nuppa Site'!J897&lt;&gt;0,'Boletins Nuppa Site'!J897,"NULL")</f>
        <v>100</v>
      </c>
      <c r="H897" s="14">
        <f>IF('Boletins Nuppa Site'!K897&lt;&gt;0,'Boletins Nuppa Site'!K897,"NULL")</f>
        <v>100</v>
      </c>
      <c r="I897" t="str">
        <f t="shared" si="26"/>
        <v>INSERT INTO COTACAO (cot_id, cot_blt_id, cot_pap_id, cot_prc_comum, cot_prc_min, cot_prc_max, cot_prc_med, cot_prc_mediana) VALUES (896, 59, 24, NULL, 100, 100, 100, 100);</v>
      </c>
      <c r="J897" t="str">
        <f t="shared" si="27"/>
        <v>UPDATE COTACAO SET cot_id = 896, cot_blt_id = 59, cot_pap_id = 24, cot_prc_comum = NULL, cot_prc_min = 100, cot_prc_max = 100, cot_prc_med = 100, cot_prc_mediana = 100 WHERE cot_id = 896;</v>
      </c>
    </row>
    <row r="898" spans="1:10" x14ac:dyDescent="0.3">
      <c r="A898">
        <v>897</v>
      </c>
      <c r="B898">
        <f>IF('Boletins Nuppa Site'!A898&lt;&gt;0,'Boletins Nuppa Site'!A898,"NULL")</f>
        <v>59</v>
      </c>
      <c r="C898">
        <v>25</v>
      </c>
      <c r="D898" t="str">
        <f>IF('Boletins Nuppa Site'!G898&lt;&gt;0,'Boletins Nuppa Site'!G898,"NULL")</f>
        <v>NULL</v>
      </c>
      <c r="E898" s="14">
        <f>IF('Boletins Nuppa Site'!H898&lt;&gt;0,'Boletins Nuppa Site'!H898,"NULL")</f>
        <v>75</v>
      </c>
      <c r="F898" s="14">
        <f>IF('Boletins Nuppa Site'!I898&lt;&gt;0,'Boletins Nuppa Site'!I898,"NULL")</f>
        <v>100</v>
      </c>
      <c r="G898" s="14">
        <f>IF('Boletins Nuppa Site'!J898&lt;&gt;0,'Boletins Nuppa Site'!J898,"NULL")</f>
        <v>86</v>
      </c>
      <c r="H898" s="14">
        <f>IF('Boletins Nuppa Site'!K898&lt;&gt;0,'Boletins Nuppa Site'!K898,"NULL")</f>
        <v>85</v>
      </c>
      <c r="I898" t="str">
        <f t="shared" si="26"/>
        <v>INSERT INTO COTACAO (cot_id, cot_blt_id, cot_pap_id, cot_prc_comum, cot_prc_min, cot_prc_max, cot_prc_med, cot_prc_mediana) VALUES (897, 59, 25, NULL, 75, 100, 86, 85);</v>
      </c>
      <c r="J898" t="str">
        <f t="shared" si="27"/>
        <v>UPDATE COTACAO SET cot_id = 897, cot_blt_id = 59, cot_pap_id = 25, cot_prc_comum = NULL, cot_prc_min = 75, cot_prc_max = 100, cot_prc_med = 86, cot_prc_mediana = 85 WHERE cot_id = 897;</v>
      </c>
    </row>
    <row r="899" spans="1:10" x14ac:dyDescent="0.3">
      <c r="A899">
        <v>898</v>
      </c>
      <c r="B899">
        <f>IF('Boletins Nuppa Site'!A899&lt;&gt;0,'Boletins Nuppa Site'!A899,"NULL")</f>
        <v>59</v>
      </c>
      <c r="C899">
        <v>26</v>
      </c>
      <c r="D899" s="14">
        <f>IF('Boletins Nuppa Site'!G899&lt;&gt;0,'Boletins Nuppa Site'!G899,"NULL")</f>
        <v>65</v>
      </c>
      <c r="E899" s="14">
        <f>IF('Boletins Nuppa Site'!H899&lt;&gt;0,'Boletins Nuppa Site'!H899,"NULL")</f>
        <v>65</v>
      </c>
      <c r="F899" s="14">
        <f>IF('Boletins Nuppa Site'!I899&lt;&gt;0,'Boletins Nuppa Site'!I899,"NULL")</f>
        <v>80</v>
      </c>
      <c r="G899" t="str">
        <f>IF('Boletins Nuppa Site'!J899&lt;&gt;0,'Boletins Nuppa Site'!J899,"NULL")</f>
        <v>71.25</v>
      </c>
      <c r="H899" s="14">
        <f>IF('Boletins Nuppa Site'!K899&lt;&gt;0,'Boletins Nuppa Site'!K899,"NULL")</f>
        <v>70</v>
      </c>
      <c r="I899" t="str">
        <f t="shared" ref="I899:I962" si="28">"INSERT INTO COTACAO (cot_id, cot_blt_id, cot_pap_id, cot_prc_comum, cot_prc_min, cot_prc_max, cot_prc_med, cot_prc_mediana) VALUES ("&amp;A899&amp;", "&amp;B899&amp;", "&amp;C899&amp;", "&amp;D899&amp;", "&amp;E899&amp;", "&amp;F899&amp;", "&amp;G899&amp;", "&amp;H899&amp;");"</f>
        <v>INSERT INTO COTACAO (cot_id, cot_blt_id, cot_pap_id, cot_prc_comum, cot_prc_min, cot_prc_max, cot_prc_med, cot_prc_mediana) VALUES (898, 59, 26, 65, 65, 80, 71.25, 70);</v>
      </c>
      <c r="J899" t="str">
        <f t="shared" ref="J899:J962" si="29">"UPDATE COTACAO SET cot_id = "&amp;A899&amp;", cot_blt_id = "&amp;B899&amp;", cot_pap_id = "&amp;C899&amp;", cot_prc_comum = "&amp;D899&amp;", cot_prc_min = "&amp;E899&amp;", cot_prc_max = "&amp;F899&amp;", cot_prc_med = "&amp;G899&amp;", cot_prc_mediana = "&amp;H899&amp;" WHERE cot_id = "&amp;A899&amp;";"</f>
        <v>UPDATE COTACAO SET cot_id = 898, cot_blt_id = 59, cot_pap_id = 26, cot_prc_comum = 65, cot_prc_min = 65, cot_prc_max = 80, cot_prc_med = 71.25, cot_prc_mediana = 70 WHERE cot_id = 898;</v>
      </c>
    </row>
    <row r="900" spans="1:10" x14ac:dyDescent="0.3">
      <c r="A900">
        <v>899</v>
      </c>
      <c r="B900">
        <f>IF('Boletins Nuppa Site'!A900&lt;&gt;0,'Boletins Nuppa Site'!A900,"NULL")</f>
        <v>59</v>
      </c>
      <c r="C900">
        <v>27</v>
      </c>
      <c r="D900" t="str">
        <f>IF('Boletins Nuppa Site'!G900&lt;&gt;0,'Boletins Nuppa Site'!G900,"NULL")</f>
        <v>NULL</v>
      </c>
      <c r="E900" s="14">
        <f>IF('Boletins Nuppa Site'!H900&lt;&gt;0,'Boletins Nuppa Site'!H900,"NULL")</f>
        <v>50</v>
      </c>
      <c r="F900" s="14">
        <f>IF('Boletins Nuppa Site'!I900&lt;&gt;0,'Boletins Nuppa Site'!I900,"NULL")</f>
        <v>70</v>
      </c>
      <c r="G900" t="str">
        <f>IF('Boletins Nuppa Site'!J900&lt;&gt;0,'Boletins Nuppa Site'!J900,"NULL")</f>
        <v>61.25</v>
      </c>
      <c r="H900" t="str">
        <f>IF('Boletins Nuppa Site'!K900&lt;&gt;0,'Boletins Nuppa Site'!K900,"NULL")</f>
        <v>62.5</v>
      </c>
      <c r="I900" t="str">
        <f t="shared" si="28"/>
        <v>INSERT INTO COTACAO (cot_id, cot_blt_id, cot_pap_id, cot_prc_comum, cot_prc_min, cot_prc_max, cot_prc_med, cot_prc_mediana) VALUES (899, 59, 27, NULL, 50, 70, 61.25, 62.5);</v>
      </c>
      <c r="J900" t="str">
        <f t="shared" si="29"/>
        <v>UPDATE COTACAO SET cot_id = 899, cot_blt_id = 59, cot_pap_id = 27, cot_prc_comum = NULL, cot_prc_min = 50, cot_prc_max = 70, cot_prc_med = 61.25, cot_prc_mediana = 62.5 WHERE cot_id = 899;</v>
      </c>
    </row>
    <row r="901" spans="1:10" x14ac:dyDescent="0.3">
      <c r="A901">
        <v>900</v>
      </c>
      <c r="B901">
        <f>IF('Boletins Nuppa Site'!A901&lt;&gt;0,'Boletins Nuppa Site'!A901,"NULL")</f>
        <v>59</v>
      </c>
      <c r="C901">
        <v>28</v>
      </c>
      <c r="D901" s="14">
        <f>IF('Boletins Nuppa Site'!G901&lt;&gt;0,'Boletins Nuppa Site'!G901,"NULL")</f>
        <v>100</v>
      </c>
      <c r="E901" s="14">
        <f>IF('Boletins Nuppa Site'!H901&lt;&gt;0,'Boletins Nuppa Site'!H901,"NULL")</f>
        <v>80</v>
      </c>
      <c r="F901" s="14">
        <f>IF('Boletins Nuppa Site'!I901&lt;&gt;0,'Boletins Nuppa Site'!I901,"NULL")</f>
        <v>100</v>
      </c>
      <c r="G901" t="str">
        <f>IF('Boletins Nuppa Site'!J901&lt;&gt;0,'Boletins Nuppa Site'!J901,"NULL")</f>
        <v>93.33</v>
      </c>
      <c r="H901" s="14">
        <f>IF('Boletins Nuppa Site'!K901&lt;&gt;0,'Boletins Nuppa Site'!K901,"NULL")</f>
        <v>100</v>
      </c>
      <c r="I901" t="str">
        <f t="shared" si="28"/>
        <v>INSERT INTO COTACAO (cot_id, cot_blt_id, cot_pap_id, cot_prc_comum, cot_prc_min, cot_prc_max, cot_prc_med, cot_prc_mediana) VALUES (900, 59, 28, 100, 80, 100, 93.33, 100);</v>
      </c>
      <c r="J901" t="str">
        <f t="shared" si="29"/>
        <v>UPDATE COTACAO SET cot_id = 900, cot_blt_id = 59, cot_pap_id = 28, cot_prc_comum = 100, cot_prc_min = 80, cot_prc_max = 100, cot_prc_med = 93.33, cot_prc_mediana = 100 WHERE cot_id = 900;</v>
      </c>
    </row>
    <row r="902" spans="1:10" x14ac:dyDescent="0.3">
      <c r="A902">
        <v>901</v>
      </c>
      <c r="B902">
        <f>IF('Boletins Nuppa Site'!A902&lt;&gt;0,'Boletins Nuppa Site'!A902,"NULL")</f>
        <v>59</v>
      </c>
      <c r="C902">
        <v>29</v>
      </c>
      <c r="D902" t="str">
        <f>IF('Boletins Nuppa Site'!G902&lt;&gt;0,'Boletins Nuppa Site'!G902,"NULL")</f>
        <v>NULL</v>
      </c>
      <c r="E902" s="14">
        <f>IF('Boletins Nuppa Site'!H902&lt;&gt;0,'Boletins Nuppa Site'!H902,"NULL")</f>
        <v>50</v>
      </c>
      <c r="F902" s="14">
        <f>IF('Boletins Nuppa Site'!I902&lt;&gt;0,'Boletins Nuppa Site'!I902,"NULL")</f>
        <v>53</v>
      </c>
      <c r="G902" t="str">
        <f>IF('Boletins Nuppa Site'!J902&lt;&gt;0,'Boletins Nuppa Site'!J902,"NULL")</f>
        <v>51.5</v>
      </c>
      <c r="H902" t="str">
        <f>IF('Boletins Nuppa Site'!K902&lt;&gt;0,'Boletins Nuppa Site'!K902,"NULL")</f>
        <v>51.5</v>
      </c>
      <c r="I902" t="str">
        <f t="shared" si="28"/>
        <v>INSERT INTO COTACAO (cot_id, cot_blt_id, cot_pap_id, cot_prc_comum, cot_prc_min, cot_prc_max, cot_prc_med, cot_prc_mediana) VALUES (901, 59, 29, NULL, 50, 53, 51.5, 51.5);</v>
      </c>
      <c r="J902" t="str">
        <f t="shared" si="29"/>
        <v>UPDATE COTACAO SET cot_id = 901, cot_blt_id = 59, cot_pap_id = 29, cot_prc_comum = NULL, cot_prc_min = 50, cot_prc_max = 53, cot_prc_med = 51.5, cot_prc_mediana = 51.5 WHERE cot_id = 901;</v>
      </c>
    </row>
    <row r="903" spans="1:10" x14ac:dyDescent="0.3">
      <c r="A903">
        <v>902</v>
      </c>
      <c r="B903">
        <f>IF('Boletins Nuppa Site'!A903&lt;&gt;0,'Boletins Nuppa Site'!A903,"NULL")</f>
        <v>59</v>
      </c>
      <c r="C903">
        <v>30</v>
      </c>
      <c r="D903" t="str">
        <f>IF('Boletins Nuppa Site'!G903&lt;&gt;0,'Boletins Nuppa Site'!G903,"NULL")</f>
        <v>NULL</v>
      </c>
      <c r="E903" s="14">
        <f>IF('Boletins Nuppa Site'!H903&lt;&gt;0,'Boletins Nuppa Site'!H903,"NULL")</f>
        <v>50</v>
      </c>
      <c r="F903" s="14">
        <f>IF('Boletins Nuppa Site'!I903&lt;&gt;0,'Boletins Nuppa Site'!I903,"NULL")</f>
        <v>65</v>
      </c>
      <c r="G903" t="str">
        <f>IF('Boletins Nuppa Site'!J903&lt;&gt;0,'Boletins Nuppa Site'!J903,"NULL")</f>
        <v>58.33</v>
      </c>
      <c r="H903" s="14">
        <f>IF('Boletins Nuppa Site'!K903&lt;&gt;0,'Boletins Nuppa Site'!K903,"NULL")</f>
        <v>60</v>
      </c>
      <c r="I903" t="str">
        <f t="shared" si="28"/>
        <v>INSERT INTO COTACAO (cot_id, cot_blt_id, cot_pap_id, cot_prc_comum, cot_prc_min, cot_prc_max, cot_prc_med, cot_prc_mediana) VALUES (902, 59, 30, NULL, 50, 65, 58.33, 60);</v>
      </c>
      <c r="J903" t="str">
        <f t="shared" si="29"/>
        <v>UPDATE COTACAO SET cot_id = 902, cot_blt_id = 59, cot_pap_id = 30, cot_prc_comum = NULL, cot_prc_min = 50, cot_prc_max = 65, cot_prc_med = 58.33, cot_prc_mediana = 60 WHERE cot_id = 902;</v>
      </c>
    </row>
    <row r="904" spans="1:10" x14ac:dyDescent="0.3">
      <c r="A904">
        <v>903</v>
      </c>
      <c r="B904">
        <f>IF('Boletins Nuppa Site'!A904&lt;&gt;0,'Boletins Nuppa Site'!A904,"NULL")</f>
        <v>59</v>
      </c>
      <c r="C904">
        <v>31</v>
      </c>
      <c r="D904" s="14">
        <f>IF('Boletins Nuppa Site'!G904&lt;&gt;0,'Boletins Nuppa Site'!G904,"NULL")</f>
        <v>60</v>
      </c>
      <c r="E904" s="14">
        <f>IF('Boletins Nuppa Site'!H904&lt;&gt;0,'Boletins Nuppa Site'!H904,"NULL")</f>
        <v>60</v>
      </c>
      <c r="F904" s="14">
        <f>IF('Boletins Nuppa Site'!I904&lt;&gt;0,'Boletins Nuppa Site'!I904,"NULL")</f>
        <v>70</v>
      </c>
      <c r="G904" s="14">
        <f>IF('Boletins Nuppa Site'!J904&lt;&gt;0,'Boletins Nuppa Site'!J904,"NULL")</f>
        <v>63</v>
      </c>
      <c r="H904" s="14">
        <f>IF('Boletins Nuppa Site'!K904&lt;&gt;0,'Boletins Nuppa Site'!K904,"NULL")</f>
        <v>60</v>
      </c>
      <c r="I904" t="str">
        <f t="shared" si="28"/>
        <v>INSERT INTO COTACAO (cot_id, cot_blt_id, cot_pap_id, cot_prc_comum, cot_prc_min, cot_prc_max, cot_prc_med, cot_prc_mediana) VALUES (903, 59, 31, 60, 60, 70, 63, 60);</v>
      </c>
      <c r="J904" t="str">
        <f t="shared" si="29"/>
        <v>UPDATE COTACAO SET cot_id = 903, cot_blt_id = 59, cot_pap_id = 31, cot_prc_comum = 60, cot_prc_min = 60, cot_prc_max = 70, cot_prc_med = 63, cot_prc_mediana = 60 WHERE cot_id = 903;</v>
      </c>
    </row>
    <row r="905" spans="1:10" x14ac:dyDescent="0.3">
      <c r="A905">
        <v>904</v>
      </c>
      <c r="B905">
        <f>IF('Boletins Nuppa Site'!A905&lt;&gt;0,'Boletins Nuppa Site'!A905,"NULL")</f>
        <v>59</v>
      </c>
      <c r="C905">
        <v>32</v>
      </c>
      <c r="D905" s="14">
        <f>IF('Boletins Nuppa Site'!G905&lt;&gt;0,'Boletins Nuppa Site'!G905,"NULL")</f>
        <v>50</v>
      </c>
      <c r="E905" s="14">
        <f>IF('Boletins Nuppa Site'!H905&lt;&gt;0,'Boletins Nuppa Site'!H905,"NULL")</f>
        <v>40</v>
      </c>
      <c r="F905" s="14">
        <f>IF('Boletins Nuppa Site'!I905&lt;&gt;0,'Boletins Nuppa Site'!I905,"NULL")</f>
        <v>55</v>
      </c>
      <c r="G905" s="14">
        <f>IF('Boletins Nuppa Site'!J905&lt;&gt;0,'Boletins Nuppa Site'!J905,"NULL")</f>
        <v>50</v>
      </c>
      <c r="H905" s="14">
        <f>IF('Boletins Nuppa Site'!K905&lt;&gt;0,'Boletins Nuppa Site'!K905,"NULL")</f>
        <v>50</v>
      </c>
      <c r="I905" t="str">
        <f t="shared" si="28"/>
        <v>INSERT INTO COTACAO (cot_id, cot_blt_id, cot_pap_id, cot_prc_comum, cot_prc_min, cot_prc_max, cot_prc_med, cot_prc_mediana) VALUES (904, 59, 32, 50, 40, 55, 50, 50);</v>
      </c>
      <c r="J905" t="str">
        <f t="shared" si="29"/>
        <v>UPDATE COTACAO SET cot_id = 904, cot_blt_id = 59, cot_pap_id = 32, cot_prc_comum = 50, cot_prc_min = 40, cot_prc_max = 55, cot_prc_med = 50, cot_prc_mediana = 50 WHERE cot_id = 904;</v>
      </c>
    </row>
    <row r="906" spans="1:10" x14ac:dyDescent="0.3">
      <c r="A906">
        <v>905</v>
      </c>
      <c r="B906">
        <f>IF('Boletins Nuppa Site'!A906&lt;&gt;0,'Boletins Nuppa Site'!A906,"NULL")</f>
        <v>59</v>
      </c>
      <c r="C906">
        <v>33</v>
      </c>
      <c r="D906" s="14">
        <f>IF('Boletins Nuppa Site'!G906&lt;&gt;0,'Boletins Nuppa Site'!G906,"NULL")</f>
        <v>100</v>
      </c>
      <c r="E906" s="14">
        <f>IF('Boletins Nuppa Site'!H906&lt;&gt;0,'Boletins Nuppa Site'!H906,"NULL")</f>
        <v>90</v>
      </c>
      <c r="F906" s="14">
        <f>IF('Boletins Nuppa Site'!I906&lt;&gt;0,'Boletins Nuppa Site'!I906,"NULL")</f>
        <v>120</v>
      </c>
      <c r="G906" t="str">
        <f>IF('Boletins Nuppa Site'!J906&lt;&gt;0,'Boletins Nuppa Site'!J906,"NULL")</f>
        <v>102.5</v>
      </c>
      <c r="H906" s="14">
        <f>IF('Boletins Nuppa Site'!K906&lt;&gt;0,'Boletins Nuppa Site'!K906,"NULL")</f>
        <v>100</v>
      </c>
      <c r="I906" t="str">
        <f t="shared" si="28"/>
        <v>INSERT INTO COTACAO (cot_id, cot_blt_id, cot_pap_id, cot_prc_comum, cot_prc_min, cot_prc_max, cot_prc_med, cot_prc_mediana) VALUES (905, 59, 33, 100, 90, 120, 102.5, 100);</v>
      </c>
      <c r="J906" t="str">
        <f t="shared" si="29"/>
        <v>UPDATE COTACAO SET cot_id = 905, cot_blt_id = 59, cot_pap_id = 33, cot_prc_comum = 100, cot_prc_min = 90, cot_prc_max = 120, cot_prc_med = 102.5, cot_prc_mediana = 100 WHERE cot_id = 905;</v>
      </c>
    </row>
    <row r="907" spans="1:10" x14ac:dyDescent="0.3">
      <c r="A907">
        <v>906</v>
      </c>
      <c r="B907">
        <f>IF('Boletins Nuppa Site'!A907&lt;&gt;0,'Boletins Nuppa Site'!A907,"NULL")</f>
        <v>59</v>
      </c>
      <c r="C907">
        <v>34</v>
      </c>
      <c r="D907" t="str">
        <f>IF('Boletins Nuppa Site'!G907&lt;&gt;0,'Boletins Nuppa Site'!G907,"NULL")</f>
        <v>NULL</v>
      </c>
      <c r="E907" s="14">
        <f>IF('Boletins Nuppa Site'!H907&lt;&gt;0,'Boletins Nuppa Site'!H907,"NULL")</f>
        <v>65</v>
      </c>
      <c r="F907" s="14">
        <f>IF('Boletins Nuppa Site'!I907&lt;&gt;0,'Boletins Nuppa Site'!I907,"NULL")</f>
        <v>100</v>
      </c>
      <c r="G907" s="14">
        <f>IF('Boletins Nuppa Site'!J907&lt;&gt;0,'Boletins Nuppa Site'!J907,"NULL")</f>
        <v>78</v>
      </c>
      <c r="H907" s="14">
        <f>IF('Boletins Nuppa Site'!K907&lt;&gt;0,'Boletins Nuppa Site'!K907,"NULL")</f>
        <v>75</v>
      </c>
      <c r="I907" t="str">
        <f t="shared" si="28"/>
        <v>INSERT INTO COTACAO (cot_id, cot_blt_id, cot_pap_id, cot_prc_comum, cot_prc_min, cot_prc_max, cot_prc_med, cot_prc_mediana) VALUES (906, 59, 34, NULL, 65, 100, 78, 75);</v>
      </c>
      <c r="J907" t="str">
        <f t="shared" si="29"/>
        <v>UPDATE COTACAO SET cot_id = 906, cot_blt_id = 59, cot_pap_id = 34, cot_prc_comum = NULL, cot_prc_min = 65, cot_prc_max = 100, cot_prc_med = 78, cot_prc_mediana = 75 WHERE cot_id = 906;</v>
      </c>
    </row>
    <row r="908" spans="1:10" x14ac:dyDescent="0.3">
      <c r="A908">
        <v>907</v>
      </c>
      <c r="B908">
        <f>IF('Boletins Nuppa Site'!A908&lt;&gt;0,'Boletins Nuppa Site'!A908,"NULL")</f>
        <v>59</v>
      </c>
      <c r="C908">
        <v>35</v>
      </c>
      <c r="D908" s="14">
        <f>IF('Boletins Nuppa Site'!G908&lt;&gt;0,'Boletins Nuppa Site'!G908,"NULL")</f>
        <v>100</v>
      </c>
      <c r="E908" s="14">
        <f>IF('Boletins Nuppa Site'!H908&lt;&gt;0,'Boletins Nuppa Site'!H908,"NULL")</f>
        <v>100</v>
      </c>
      <c r="F908" s="14">
        <f>IF('Boletins Nuppa Site'!I908&lt;&gt;0,'Boletins Nuppa Site'!I908,"NULL")</f>
        <v>120</v>
      </c>
      <c r="G908" t="str">
        <f>IF('Boletins Nuppa Site'!J908&lt;&gt;0,'Boletins Nuppa Site'!J908,"NULL")</f>
        <v>106.67</v>
      </c>
      <c r="H908" s="14">
        <f>IF('Boletins Nuppa Site'!K908&lt;&gt;0,'Boletins Nuppa Site'!K908,"NULL")</f>
        <v>100</v>
      </c>
      <c r="I908" t="str">
        <f t="shared" si="28"/>
        <v>INSERT INTO COTACAO (cot_id, cot_blt_id, cot_pap_id, cot_prc_comum, cot_prc_min, cot_prc_max, cot_prc_med, cot_prc_mediana) VALUES (907, 59, 35, 100, 100, 120, 106.67, 100);</v>
      </c>
      <c r="J908" t="str">
        <f t="shared" si="29"/>
        <v>UPDATE COTACAO SET cot_id = 907, cot_blt_id = 59, cot_pap_id = 35, cot_prc_comum = 100, cot_prc_min = 100, cot_prc_max = 120, cot_prc_med = 106.67, cot_prc_mediana = 100 WHERE cot_id = 907;</v>
      </c>
    </row>
    <row r="909" spans="1:10" x14ac:dyDescent="0.3">
      <c r="A909">
        <v>908</v>
      </c>
      <c r="B909">
        <f>IF('Boletins Nuppa Site'!A909&lt;&gt;0,'Boletins Nuppa Site'!A909,"NULL")</f>
        <v>59</v>
      </c>
      <c r="C909">
        <v>36</v>
      </c>
      <c r="D909" t="str">
        <f>IF('Boletins Nuppa Site'!G909&lt;&gt;0,'Boletins Nuppa Site'!G909,"NULL")</f>
        <v>NULL</v>
      </c>
      <c r="E909" t="str">
        <f>IF('Boletins Nuppa Site'!H909&lt;&gt;0,'Boletins Nuppa Site'!H909,"NULL")</f>
        <v>NULL</v>
      </c>
      <c r="F909" t="str">
        <f>IF('Boletins Nuppa Site'!I909&lt;&gt;0,'Boletins Nuppa Site'!I909,"NULL")</f>
        <v>NULL</v>
      </c>
      <c r="G909" t="str">
        <f>IF('Boletins Nuppa Site'!J909&lt;&gt;0,'Boletins Nuppa Site'!J909,"NULL")</f>
        <v>NULL</v>
      </c>
      <c r="H909" t="str">
        <f>IF('Boletins Nuppa Site'!K909&lt;&gt;0,'Boletins Nuppa Site'!K909,"NULL")</f>
        <v>NULL</v>
      </c>
      <c r="I909" t="str">
        <f t="shared" si="28"/>
        <v>INSERT INTO COTACAO (cot_id, cot_blt_id, cot_pap_id, cot_prc_comum, cot_prc_min, cot_prc_max, cot_prc_med, cot_prc_mediana) VALUES (908, 59, 36, NULL, NULL, NULL, NULL, NULL);</v>
      </c>
      <c r="J909" t="str">
        <f t="shared" si="29"/>
        <v>UPDATE COTACAO SET cot_id = 908, cot_blt_id = 59, cot_pap_id = 36, cot_prc_comum = NULL, cot_prc_min = NULL, cot_prc_max = NULL, cot_prc_med = NULL, cot_prc_mediana = NULL WHERE cot_id = 908;</v>
      </c>
    </row>
    <row r="910" spans="1:10" x14ac:dyDescent="0.3">
      <c r="A910">
        <v>909</v>
      </c>
      <c r="B910">
        <f>IF('Boletins Nuppa Site'!A910&lt;&gt;0,'Boletins Nuppa Site'!A910,"NULL")</f>
        <v>59</v>
      </c>
      <c r="C910">
        <v>37</v>
      </c>
      <c r="D910" t="str">
        <f>IF('Boletins Nuppa Site'!G910&lt;&gt;0,'Boletins Nuppa Site'!G910,"NULL")</f>
        <v>NULL</v>
      </c>
      <c r="E910" t="str">
        <f>IF('Boletins Nuppa Site'!H910&lt;&gt;0,'Boletins Nuppa Site'!H910,"NULL")</f>
        <v>NULL</v>
      </c>
      <c r="F910" t="str">
        <f>IF('Boletins Nuppa Site'!I910&lt;&gt;0,'Boletins Nuppa Site'!I910,"NULL")</f>
        <v>NULL</v>
      </c>
      <c r="G910" t="str">
        <f>IF('Boletins Nuppa Site'!J910&lt;&gt;0,'Boletins Nuppa Site'!J910,"NULL")</f>
        <v>NULL</v>
      </c>
      <c r="H910" t="str">
        <f>IF('Boletins Nuppa Site'!K910&lt;&gt;0,'Boletins Nuppa Site'!K910,"NULL")</f>
        <v>NULL</v>
      </c>
      <c r="I910" t="str">
        <f t="shared" si="28"/>
        <v>INSERT INTO COTACAO (cot_id, cot_blt_id, cot_pap_id, cot_prc_comum, cot_prc_min, cot_prc_max, cot_prc_med, cot_prc_mediana) VALUES (909, 59, 37, NULL, NULL, NULL, NULL, NULL);</v>
      </c>
      <c r="J910" t="str">
        <f t="shared" si="29"/>
        <v>UPDATE COTACAO SET cot_id = 909, cot_blt_id = 59, cot_pap_id = 37, cot_prc_comum = NULL, cot_prc_min = NULL, cot_prc_max = NULL, cot_prc_med = NULL, cot_prc_mediana = NULL WHERE cot_id = 909;</v>
      </c>
    </row>
    <row r="911" spans="1:10" x14ac:dyDescent="0.3">
      <c r="A911">
        <v>910</v>
      </c>
      <c r="B911">
        <f>IF('Boletins Nuppa Site'!A911&lt;&gt;0,'Boletins Nuppa Site'!A911,"NULL")</f>
        <v>59</v>
      </c>
      <c r="C911">
        <v>38</v>
      </c>
      <c r="D911" t="str">
        <f>IF('Boletins Nuppa Site'!G911&lt;&gt;0,'Boletins Nuppa Site'!G911,"NULL")</f>
        <v>NULL</v>
      </c>
      <c r="E911" t="str">
        <f>IF('Boletins Nuppa Site'!H911&lt;&gt;0,'Boletins Nuppa Site'!H911,"NULL")</f>
        <v>NULL</v>
      </c>
      <c r="F911" t="str">
        <f>IF('Boletins Nuppa Site'!I911&lt;&gt;0,'Boletins Nuppa Site'!I911,"NULL")</f>
        <v>NULL</v>
      </c>
      <c r="G911" t="str">
        <f>IF('Boletins Nuppa Site'!J911&lt;&gt;0,'Boletins Nuppa Site'!J911,"NULL")</f>
        <v>NULL</v>
      </c>
      <c r="H911" t="str">
        <f>IF('Boletins Nuppa Site'!K911&lt;&gt;0,'Boletins Nuppa Site'!K911,"NULL")</f>
        <v>NULL</v>
      </c>
      <c r="I911" t="str">
        <f t="shared" si="28"/>
        <v>INSERT INTO COTACAO (cot_id, cot_blt_id, cot_pap_id, cot_prc_comum, cot_prc_min, cot_prc_max, cot_prc_med, cot_prc_mediana) VALUES (910, 59, 38, NULL, NULL, NULL, NULL, NULL);</v>
      </c>
      <c r="J911" t="str">
        <f t="shared" si="29"/>
        <v>UPDATE COTACAO SET cot_id = 910, cot_blt_id = 59, cot_pap_id = 38, cot_prc_comum = NULL, cot_prc_min = NULL, cot_prc_max = NULL, cot_prc_med = NULL, cot_prc_mediana = NULL WHERE cot_id = 910;</v>
      </c>
    </row>
    <row r="912" spans="1:10" x14ac:dyDescent="0.3">
      <c r="A912">
        <v>911</v>
      </c>
      <c r="B912">
        <f>IF('Boletins Nuppa Site'!A912&lt;&gt;0,'Boletins Nuppa Site'!A912,"NULL")</f>
        <v>59</v>
      </c>
      <c r="C912">
        <v>39</v>
      </c>
      <c r="D912" t="str">
        <f>IF('Boletins Nuppa Site'!G912&lt;&gt;0,'Boletins Nuppa Site'!G912,"NULL")</f>
        <v>NULL</v>
      </c>
      <c r="E912" s="14">
        <f>IF('Boletins Nuppa Site'!H912&lt;&gt;0,'Boletins Nuppa Site'!H912,"NULL")</f>
        <v>50</v>
      </c>
      <c r="F912" s="14">
        <f>IF('Boletins Nuppa Site'!I912&lt;&gt;0,'Boletins Nuppa Site'!I912,"NULL")</f>
        <v>50</v>
      </c>
      <c r="G912" s="14">
        <f>IF('Boletins Nuppa Site'!J912&lt;&gt;0,'Boletins Nuppa Site'!J912,"NULL")</f>
        <v>50</v>
      </c>
      <c r="H912" s="14">
        <f>IF('Boletins Nuppa Site'!K912&lt;&gt;0,'Boletins Nuppa Site'!K912,"NULL")</f>
        <v>50</v>
      </c>
      <c r="I912" t="str">
        <f t="shared" si="28"/>
        <v>INSERT INTO COTACAO (cot_id, cot_blt_id, cot_pap_id, cot_prc_comum, cot_prc_min, cot_prc_max, cot_prc_med, cot_prc_mediana) VALUES (911, 59, 39, NULL, 50, 50, 50, 50);</v>
      </c>
      <c r="J912" t="str">
        <f t="shared" si="29"/>
        <v>UPDATE COTACAO SET cot_id = 911, cot_blt_id = 59, cot_pap_id = 39, cot_prc_comum = NULL, cot_prc_min = 50, cot_prc_max = 50, cot_prc_med = 50, cot_prc_mediana = 50 WHERE cot_id = 911;</v>
      </c>
    </row>
    <row r="913" spans="1:10" x14ac:dyDescent="0.3">
      <c r="A913">
        <v>912</v>
      </c>
      <c r="B913">
        <f>IF('Boletins Nuppa Site'!A913&lt;&gt;0,'Boletins Nuppa Site'!A913,"NULL")</f>
        <v>59</v>
      </c>
      <c r="C913">
        <v>40</v>
      </c>
      <c r="D913" t="str">
        <f>IF('Boletins Nuppa Site'!G913&lt;&gt;0,'Boletins Nuppa Site'!G913,"NULL")</f>
        <v>NULL</v>
      </c>
      <c r="E913" s="14">
        <f>IF('Boletins Nuppa Site'!H913&lt;&gt;0,'Boletins Nuppa Site'!H913,"NULL")</f>
        <v>65</v>
      </c>
      <c r="F913" s="14">
        <f>IF('Boletins Nuppa Site'!I913&lt;&gt;0,'Boletins Nuppa Site'!I913,"NULL")</f>
        <v>65</v>
      </c>
      <c r="G913" s="14">
        <f>IF('Boletins Nuppa Site'!J913&lt;&gt;0,'Boletins Nuppa Site'!J913,"NULL")</f>
        <v>65</v>
      </c>
      <c r="H913" s="14">
        <f>IF('Boletins Nuppa Site'!K913&lt;&gt;0,'Boletins Nuppa Site'!K913,"NULL")</f>
        <v>65</v>
      </c>
      <c r="I913" t="str">
        <f t="shared" si="28"/>
        <v>INSERT INTO COTACAO (cot_id, cot_blt_id, cot_pap_id, cot_prc_comum, cot_prc_min, cot_prc_max, cot_prc_med, cot_prc_mediana) VALUES (912, 59, 40, NULL, 65, 65, 65, 65);</v>
      </c>
      <c r="J913" t="str">
        <f t="shared" si="29"/>
        <v>UPDATE COTACAO SET cot_id = 912, cot_blt_id = 59, cot_pap_id = 40, cot_prc_comum = NULL, cot_prc_min = 65, cot_prc_max = 65, cot_prc_med = 65, cot_prc_mediana = 65 WHERE cot_id = 912;</v>
      </c>
    </row>
    <row r="914" spans="1:10" x14ac:dyDescent="0.3">
      <c r="A914">
        <v>913</v>
      </c>
      <c r="B914">
        <f>IF('Boletins Nuppa Site'!A914&lt;&gt;0,'Boletins Nuppa Site'!A914,"NULL")</f>
        <v>60</v>
      </c>
      <c r="C914">
        <v>1</v>
      </c>
      <c r="D914" s="14">
        <f>IF('Boletins Nuppa Site'!G914&lt;&gt;0,'Boletins Nuppa Site'!G914,"NULL")</f>
        <v>48</v>
      </c>
      <c r="E914" s="14">
        <f>IF('Boletins Nuppa Site'!H914&lt;&gt;0,'Boletins Nuppa Site'!H914,"NULL")</f>
        <v>48</v>
      </c>
      <c r="F914" s="14">
        <f>IF('Boletins Nuppa Site'!I914&lt;&gt;0,'Boletins Nuppa Site'!I914,"NULL")</f>
        <v>60</v>
      </c>
      <c r="G914" s="14">
        <f>IF('Boletins Nuppa Site'!J914&lt;&gt;0,'Boletins Nuppa Site'!J914,"NULL")</f>
        <v>54</v>
      </c>
      <c r="H914" s="14">
        <f>IF('Boletins Nuppa Site'!K914&lt;&gt;0,'Boletins Nuppa Site'!K914,"NULL")</f>
        <v>54</v>
      </c>
      <c r="I914" t="str">
        <f t="shared" si="28"/>
        <v>INSERT INTO COTACAO (cot_id, cot_blt_id, cot_pap_id, cot_prc_comum, cot_prc_min, cot_prc_max, cot_prc_med, cot_prc_mediana) VALUES (913, 60, 1, 48, 48, 60, 54, 54);</v>
      </c>
      <c r="J914" t="str">
        <f t="shared" si="29"/>
        <v>UPDATE COTACAO SET cot_id = 913, cot_blt_id = 60, cot_pap_id = 1, cot_prc_comum = 48, cot_prc_min = 48, cot_prc_max = 60, cot_prc_med = 54, cot_prc_mediana = 54 WHERE cot_id = 913;</v>
      </c>
    </row>
    <row r="915" spans="1:10" x14ac:dyDescent="0.3">
      <c r="A915">
        <v>914</v>
      </c>
      <c r="B915">
        <f>IF('Boletins Nuppa Site'!A915&lt;&gt;0,'Boletins Nuppa Site'!A915,"NULL")</f>
        <v>60</v>
      </c>
      <c r="C915">
        <v>2</v>
      </c>
      <c r="D915" s="14">
        <f>IF('Boletins Nuppa Site'!G915&lt;&gt;0,'Boletins Nuppa Site'!G915,"NULL")</f>
        <v>72</v>
      </c>
      <c r="E915" s="14">
        <f>IF('Boletins Nuppa Site'!H915&lt;&gt;0,'Boletins Nuppa Site'!H915,"NULL")</f>
        <v>72</v>
      </c>
      <c r="F915" s="14">
        <f>IF('Boletins Nuppa Site'!I915&lt;&gt;0,'Boletins Nuppa Site'!I915,"NULL")</f>
        <v>84</v>
      </c>
      <c r="G915" s="14">
        <f>IF('Boletins Nuppa Site'!J915&lt;&gt;0,'Boletins Nuppa Site'!J915,"NULL")</f>
        <v>78</v>
      </c>
      <c r="H915" s="14">
        <f>IF('Boletins Nuppa Site'!K915&lt;&gt;0,'Boletins Nuppa Site'!K915,"NULL")</f>
        <v>78</v>
      </c>
      <c r="I915" t="str">
        <f t="shared" si="28"/>
        <v>INSERT INTO COTACAO (cot_id, cot_blt_id, cot_pap_id, cot_prc_comum, cot_prc_min, cot_prc_max, cot_prc_med, cot_prc_mediana) VALUES (914, 60, 2, 72, 72, 84, 78, 78);</v>
      </c>
      <c r="J915" t="str">
        <f t="shared" si="29"/>
        <v>UPDATE COTACAO SET cot_id = 914, cot_blt_id = 60, cot_pap_id = 2, cot_prc_comum = 72, cot_prc_min = 72, cot_prc_max = 84, cot_prc_med = 78, cot_prc_mediana = 78 WHERE cot_id = 914;</v>
      </c>
    </row>
    <row r="916" spans="1:10" x14ac:dyDescent="0.3">
      <c r="A916">
        <v>915</v>
      </c>
      <c r="B916">
        <f>IF('Boletins Nuppa Site'!A916&lt;&gt;0,'Boletins Nuppa Site'!A916,"NULL")</f>
        <v>60</v>
      </c>
      <c r="C916">
        <v>3</v>
      </c>
      <c r="D916" s="14">
        <f>IF('Boletins Nuppa Site'!G916&lt;&gt;0,'Boletins Nuppa Site'!G916,"NULL")</f>
        <v>36</v>
      </c>
      <c r="E916" s="14">
        <f>IF('Boletins Nuppa Site'!H916&lt;&gt;0,'Boletins Nuppa Site'!H916,"NULL")</f>
        <v>36</v>
      </c>
      <c r="F916" s="14">
        <f>IF('Boletins Nuppa Site'!I916&lt;&gt;0,'Boletins Nuppa Site'!I916,"NULL")</f>
        <v>48</v>
      </c>
      <c r="G916" s="14">
        <f>IF('Boletins Nuppa Site'!J916&lt;&gt;0,'Boletins Nuppa Site'!J916,"NULL")</f>
        <v>40</v>
      </c>
      <c r="H916" s="14">
        <f>IF('Boletins Nuppa Site'!K916&lt;&gt;0,'Boletins Nuppa Site'!K916,"NULL")</f>
        <v>38</v>
      </c>
      <c r="I916" t="str">
        <f t="shared" si="28"/>
        <v>INSERT INTO COTACAO (cot_id, cot_blt_id, cot_pap_id, cot_prc_comum, cot_prc_min, cot_prc_max, cot_prc_med, cot_prc_mediana) VALUES (915, 60, 3, 36, 36, 48, 40, 38);</v>
      </c>
      <c r="J916" t="str">
        <f t="shared" si="29"/>
        <v>UPDATE COTACAO SET cot_id = 915, cot_blt_id = 60, cot_pap_id = 3, cot_prc_comum = 36, cot_prc_min = 36, cot_prc_max = 48, cot_prc_med = 40, cot_prc_mediana = 38 WHERE cot_id = 915;</v>
      </c>
    </row>
    <row r="917" spans="1:10" x14ac:dyDescent="0.3">
      <c r="A917">
        <v>916</v>
      </c>
      <c r="B917">
        <f>IF('Boletins Nuppa Site'!A917&lt;&gt;0,'Boletins Nuppa Site'!A917,"NULL")</f>
        <v>60</v>
      </c>
      <c r="C917">
        <v>4</v>
      </c>
      <c r="D917" s="14">
        <f>IF('Boletins Nuppa Site'!G917&lt;&gt;0,'Boletins Nuppa Site'!G917,"NULL")</f>
        <v>24</v>
      </c>
      <c r="E917" s="14">
        <f>IF('Boletins Nuppa Site'!H917&lt;&gt;0,'Boletins Nuppa Site'!H917,"NULL")</f>
        <v>20</v>
      </c>
      <c r="F917" s="14">
        <f>IF('Boletins Nuppa Site'!I917&lt;&gt;0,'Boletins Nuppa Site'!I917,"NULL")</f>
        <v>24</v>
      </c>
      <c r="G917" s="14">
        <f>IF('Boletins Nuppa Site'!J917&lt;&gt;0,'Boletins Nuppa Site'!J917,"NULL")</f>
        <v>23</v>
      </c>
      <c r="H917" s="14">
        <f>IF('Boletins Nuppa Site'!K917&lt;&gt;0,'Boletins Nuppa Site'!K917,"NULL")</f>
        <v>24</v>
      </c>
      <c r="I917" t="str">
        <f t="shared" si="28"/>
        <v>INSERT INTO COTACAO (cot_id, cot_blt_id, cot_pap_id, cot_prc_comum, cot_prc_min, cot_prc_max, cot_prc_med, cot_prc_mediana) VALUES (916, 60, 4, 24, 20, 24, 23, 24);</v>
      </c>
      <c r="J917" t="str">
        <f t="shared" si="29"/>
        <v>UPDATE COTACAO SET cot_id = 916, cot_blt_id = 60, cot_pap_id = 4, cot_prc_comum = 24, cot_prc_min = 20, cot_prc_max = 24, cot_prc_med = 23, cot_prc_mediana = 24 WHERE cot_id = 916;</v>
      </c>
    </row>
    <row r="918" spans="1:10" x14ac:dyDescent="0.3">
      <c r="A918">
        <v>917</v>
      </c>
      <c r="B918">
        <f>IF('Boletins Nuppa Site'!A918&lt;&gt;0,'Boletins Nuppa Site'!A918,"NULL")</f>
        <v>60</v>
      </c>
      <c r="C918">
        <v>5</v>
      </c>
      <c r="D918" s="14">
        <f>IF('Boletins Nuppa Site'!G918&lt;&gt;0,'Boletins Nuppa Site'!G918,"NULL")</f>
        <v>24</v>
      </c>
      <c r="E918" s="14">
        <f>IF('Boletins Nuppa Site'!H918&lt;&gt;0,'Boletins Nuppa Site'!H918,"NULL")</f>
        <v>20</v>
      </c>
      <c r="F918" s="14">
        <f>IF('Boletins Nuppa Site'!I918&lt;&gt;0,'Boletins Nuppa Site'!I918,"NULL")</f>
        <v>24</v>
      </c>
      <c r="G918" s="14">
        <f>IF('Boletins Nuppa Site'!J918&lt;&gt;0,'Boletins Nuppa Site'!J918,"NULL")</f>
        <v>23</v>
      </c>
      <c r="H918" s="14">
        <f>IF('Boletins Nuppa Site'!K918&lt;&gt;0,'Boletins Nuppa Site'!K918,"NULL")</f>
        <v>24</v>
      </c>
      <c r="I918" t="str">
        <f t="shared" si="28"/>
        <v>INSERT INTO COTACAO (cot_id, cot_blt_id, cot_pap_id, cot_prc_comum, cot_prc_min, cot_prc_max, cot_prc_med, cot_prc_mediana) VALUES (917, 60, 5, 24, 20, 24, 23, 24);</v>
      </c>
      <c r="J918" t="str">
        <f t="shared" si="29"/>
        <v>UPDATE COTACAO SET cot_id = 917, cot_blt_id = 60, cot_pap_id = 5, cot_prc_comum = 24, cot_prc_min = 20, cot_prc_max = 24, cot_prc_med = 23, cot_prc_mediana = 24 WHERE cot_id = 917;</v>
      </c>
    </row>
    <row r="919" spans="1:10" x14ac:dyDescent="0.3">
      <c r="A919">
        <v>918</v>
      </c>
      <c r="B919">
        <f>IF('Boletins Nuppa Site'!A919&lt;&gt;0,'Boletins Nuppa Site'!A919,"NULL")</f>
        <v>60</v>
      </c>
      <c r="C919">
        <v>6</v>
      </c>
      <c r="D919" s="14">
        <f>IF('Boletins Nuppa Site'!G919&lt;&gt;0,'Boletins Nuppa Site'!G919,"NULL")</f>
        <v>60</v>
      </c>
      <c r="E919" s="14">
        <f>IF('Boletins Nuppa Site'!H919&lt;&gt;0,'Boletins Nuppa Site'!H919,"NULL")</f>
        <v>60</v>
      </c>
      <c r="F919" s="14">
        <f>IF('Boletins Nuppa Site'!I919&lt;&gt;0,'Boletins Nuppa Site'!I919,"NULL")</f>
        <v>60</v>
      </c>
      <c r="G919" s="14">
        <f>IF('Boletins Nuppa Site'!J919&lt;&gt;0,'Boletins Nuppa Site'!J919,"NULL")</f>
        <v>60</v>
      </c>
      <c r="H919" s="14">
        <f>IF('Boletins Nuppa Site'!K919&lt;&gt;0,'Boletins Nuppa Site'!K919,"NULL")</f>
        <v>60</v>
      </c>
      <c r="I919" t="str">
        <f t="shared" si="28"/>
        <v>INSERT INTO COTACAO (cot_id, cot_blt_id, cot_pap_id, cot_prc_comum, cot_prc_min, cot_prc_max, cot_prc_med, cot_prc_mediana) VALUES (918, 60, 6, 60, 60, 60, 60, 60);</v>
      </c>
      <c r="J919" t="str">
        <f t="shared" si="29"/>
        <v>UPDATE COTACAO SET cot_id = 918, cot_blt_id = 60, cot_pap_id = 6, cot_prc_comum = 60, cot_prc_min = 60, cot_prc_max = 60, cot_prc_med = 60, cot_prc_mediana = 60 WHERE cot_id = 918;</v>
      </c>
    </row>
    <row r="920" spans="1:10" x14ac:dyDescent="0.3">
      <c r="A920">
        <v>919</v>
      </c>
      <c r="B920">
        <f>IF('Boletins Nuppa Site'!A920&lt;&gt;0,'Boletins Nuppa Site'!A920,"NULL")</f>
        <v>60</v>
      </c>
      <c r="C920">
        <v>7</v>
      </c>
      <c r="D920" s="14">
        <f>IF('Boletins Nuppa Site'!G920&lt;&gt;0,'Boletins Nuppa Site'!G920,"NULL")</f>
        <v>60</v>
      </c>
      <c r="E920" s="14">
        <f>IF('Boletins Nuppa Site'!H920&lt;&gt;0,'Boletins Nuppa Site'!H920,"NULL")</f>
        <v>54</v>
      </c>
      <c r="F920" s="14">
        <f>IF('Boletins Nuppa Site'!I920&lt;&gt;0,'Boletins Nuppa Site'!I920,"NULL")</f>
        <v>60</v>
      </c>
      <c r="G920" t="str">
        <f>IF('Boletins Nuppa Site'!J920&lt;&gt;0,'Boletins Nuppa Site'!J920,"NULL")</f>
        <v>58.5</v>
      </c>
      <c r="H920" s="14">
        <f>IF('Boletins Nuppa Site'!K920&lt;&gt;0,'Boletins Nuppa Site'!K920,"NULL")</f>
        <v>60</v>
      </c>
      <c r="I920" t="str">
        <f t="shared" si="28"/>
        <v>INSERT INTO COTACAO (cot_id, cot_blt_id, cot_pap_id, cot_prc_comum, cot_prc_min, cot_prc_max, cot_prc_med, cot_prc_mediana) VALUES (919, 60, 7, 60, 54, 60, 58.5, 60);</v>
      </c>
      <c r="J920" t="str">
        <f t="shared" si="29"/>
        <v>UPDATE COTACAO SET cot_id = 919, cot_blt_id = 60, cot_pap_id = 7, cot_prc_comum = 60, cot_prc_min = 54, cot_prc_max = 60, cot_prc_med = 58.5, cot_prc_mediana = 60 WHERE cot_id = 919;</v>
      </c>
    </row>
    <row r="921" spans="1:10" x14ac:dyDescent="0.3">
      <c r="A921">
        <v>920</v>
      </c>
      <c r="B921">
        <f>IF('Boletins Nuppa Site'!A921&lt;&gt;0,'Boletins Nuppa Site'!A921,"NULL")</f>
        <v>60</v>
      </c>
      <c r="C921">
        <v>8</v>
      </c>
      <c r="D921" s="14">
        <f>IF('Boletins Nuppa Site'!G921&lt;&gt;0,'Boletins Nuppa Site'!G921,"NULL")</f>
        <v>84</v>
      </c>
      <c r="E921" s="14">
        <f>IF('Boletins Nuppa Site'!H921&lt;&gt;0,'Boletins Nuppa Site'!H921,"NULL")</f>
        <v>72</v>
      </c>
      <c r="F921" s="14">
        <f>IF('Boletins Nuppa Site'!I921&lt;&gt;0,'Boletins Nuppa Site'!I921,"NULL")</f>
        <v>96</v>
      </c>
      <c r="G921" s="14">
        <f>IF('Boletins Nuppa Site'!J921&lt;&gt;0,'Boletins Nuppa Site'!J921,"NULL")</f>
        <v>84</v>
      </c>
      <c r="H921" s="14">
        <f>IF('Boletins Nuppa Site'!K921&lt;&gt;0,'Boletins Nuppa Site'!K921,"NULL")</f>
        <v>84</v>
      </c>
      <c r="I921" t="str">
        <f t="shared" si="28"/>
        <v>INSERT INTO COTACAO (cot_id, cot_blt_id, cot_pap_id, cot_prc_comum, cot_prc_min, cot_prc_max, cot_prc_med, cot_prc_mediana) VALUES (920, 60, 8, 84, 72, 96, 84, 84);</v>
      </c>
      <c r="J921" t="str">
        <f t="shared" si="29"/>
        <v>UPDATE COTACAO SET cot_id = 920, cot_blt_id = 60, cot_pap_id = 8, cot_prc_comum = 84, cot_prc_min = 72, cot_prc_max = 96, cot_prc_med = 84, cot_prc_mediana = 84 WHERE cot_id = 920;</v>
      </c>
    </row>
    <row r="922" spans="1:10" x14ac:dyDescent="0.3">
      <c r="A922">
        <v>921</v>
      </c>
      <c r="B922">
        <f>IF('Boletins Nuppa Site'!A922&lt;&gt;0,'Boletins Nuppa Site'!A922,"NULL")</f>
        <v>60</v>
      </c>
      <c r="C922">
        <v>9</v>
      </c>
      <c r="D922" s="14">
        <f>IF('Boletins Nuppa Site'!G922&lt;&gt;0,'Boletins Nuppa Site'!G922,"NULL")</f>
        <v>24</v>
      </c>
      <c r="E922" s="14">
        <f>IF('Boletins Nuppa Site'!H922&lt;&gt;0,'Boletins Nuppa Site'!H922,"NULL")</f>
        <v>24</v>
      </c>
      <c r="F922" s="14">
        <f>IF('Boletins Nuppa Site'!I922&lt;&gt;0,'Boletins Nuppa Site'!I922,"NULL")</f>
        <v>30</v>
      </c>
      <c r="G922" t="str">
        <f>IF('Boletins Nuppa Site'!J922&lt;&gt;0,'Boletins Nuppa Site'!J922,"NULL")</f>
        <v>25.5</v>
      </c>
      <c r="H922" s="14">
        <f>IF('Boletins Nuppa Site'!K922&lt;&gt;0,'Boletins Nuppa Site'!K922,"NULL")</f>
        <v>24</v>
      </c>
      <c r="I922" t="str">
        <f t="shared" si="28"/>
        <v>INSERT INTO COTACAO (cot_id, cot_blt_id, cot_pap_id, cot_prc_comum, cot_prc_min, cot_prc_max, cot_prc_med, cot_prc_mediana) VALUES (921, 60, 9, 24, 24, 30, 25.5, 24);</v>
      </c>
      <c r="J922" t="str">
        <f t="shared" si="29"/>
        <v>UPDATE COTACAO SET cot_id = 921, cot_blt_id = 60, cot_pap_id = 9, cot_prc_comum = 24, cot_prc_min = 24, cot_prc_max = 30, cot_prc_med = 25.5, cot_prc_mediana = 24 WHERE cot_id = 921;</v>
      </c>
    </row>
    <row r="923" spans="1:10" x14ac:dyDescent="0.3">
      <c r="A923">
        <v>922</v>
      </c>
      <c r="B923">
        <f>IF('Boletins Nuppa Site'!A923&lt;&gt;0,'Boletins Nuppa Site'!A923,"NULL")</f>
        <v>60</v>
      </c>
      <c r="C923">
        <v>10</v>
      </c>
      <c r="D923" s="14">
        <f>IF('Boletins Nuppa Site'!G923&lt;&gt;0,'Boletins Nuppa Site'!G923,"NULL")</f>
        <v>60</v>
      </c>
      <c r="E923" s="14">
        <f>IF('Boletins Nuppa Site'!H923&lt;&gt;0,'Boletins Nuppa Site'!H923,"NULL")</f>
        <v>60</v>
      </c>
      <c r="F923" s="14">
        <f>IF('Boletins Nuppa Site'!I923&lt;&gt;0,'Boletins Nuppa Site'!I923,"NULL")</f>
        <v>72</v>
      </c>
      <c r="G923" s="14">
        <f>IF('Boletins Nuppa Site'!J923&lt;&gt;0,'Boletins Nuppa Site'!J923,"NULL")</f>
        <v>63</v>
      </c>
      <c r="H923" s="14">
        <f>IF('Boletins Nuppa Site'!K923&lt;&gt;0,'Boletins Nuppa Site'!K923,"NULL")</f>
        <v>60</v>
      </c>
      <c r="I923" t="str">
        <f t="shared" si="28"/>
        <v>INSERT INTO COTACAO (cot_id, cot_blt_id, cot_pap_id, cot_prc_comum, cot_prc_min, cot_prc_max, cot_prc_med, cot_prc_mediana) VALUES (922, 60, 10, 60, 60, 72, 63, 60);</v>
      </c>
      <c r="J923" t="str">
        <f t="shared" si="29"/>
        <v>UPDATE COTACAO SET cot_id = 922, cot_blt_id = 60, cot_pap_id = 10, cot_prc_comum = 60, cot_prc_min = 60, cot_prc_max = 72, cot_prc_med = 63, cot_prc_mediana = 60 WHERE cot_id = 922;</v>
      </c>
    </row>
    <row r="924" spans="1:10" x14ac:dyDescent="0.3">
      <c r="A924">
        <v>923</v>
      </c>
      <c r="B924">
        <f>IF('Boletins Nuppa Site'!A924&lt;&gt;0,'Boletins Nuppa Site'!A924,"NULL")</f>
        <v>60</v>
      </c>
      <c r="C924">
        <v>11</v>
      </c>
      <c r="D924" s="14">
        <f>IF('Boletins Nuppa Site'!G924&lt;&gt;0,'Boletins Nuppa Site'!G924,"NULL")</f>
        <v>24</v>
      </c>
      <c r="E924" s="14">
        <f>IF('Boletins Nuppa Site'!H924&lt;&gt;0,'Boletins Nuppa Site'!H924,"NULL")</f>
        <v>20</v>
      </c>
      <c r="F924" s="14">
        <f>IF('Boletins Nuppa Site'!I924&lt;&gt;0,'Boletins Nuppa Site'!I924,"NULL")</f>
        <v>24</v>
      </c>
      <c r="G924" s="14">
        <f>IF('Boletins Nuppa Site'!J924&lt;&gt;0,'Boletins Nuppa Site'!J924,"NULL")</f>
        <v>23</v>
      </c>
      <c r="H924" s="14">
        <f>IF('Boletins Nuppa Site'!K924&lt;&gt;0,'Boletins Nuppa Site'!K924,"NULL")</f>
        <v>24</v>
      </c>
      <c r="I924" t="str">
        <f t="shared" si="28"/>
        <v>INSERT INTO COTACAO (cot_id, cot_blt_id, cot_pap_id, cot_prc_comum, cot_prc_min, cot_prc_max, cot_prc_med, cot_prc_mediana) VALUES (923, 60, 11, 24, 20, 24, 23, 24);</v>
      </c>
      <c r="J924" t="str">
        <f t="shared" si="29"/>
        <v>UPDATE COTACAO SET cot_id = 923, cot_blt_id = 60, cot_pap_id = 11, cot_prc_comum = 24, cot_prc_min = 20, cot_prc_max = 24, cot_prc_med = 23, cot_prc_mediana = 24 WHERE cot_id = 923;</v>
      </c>
    </row>
    <row r="925" spans="1:10" x14ac:dyDescent="0.3">
      <c r="A925">
        <v>924</v>
      </c>
      <c r="B925">
        <f>IF('Boletins Nuppa Site'!A925&lt;&gt;0,'Boletins Nuppa Site'!A925,"NULL")</f>
        <v>60</v>
      </c>
      <c r="C925">
        <v>12</v>
      </c>
      <c r="D925" s="14">
        <f>IF('Boletins Nuppa Site'!G925&lt;&gt;0,'Boletins Nuppa Site'!G925,"NULL")</f>
        <v>60</v>
      </c>
      <c r="E925" s="14">
        <f>IF('Boletins Nuppa Site'!H925&lt;&gt;0,'Boletins Nuppa Site'!H925,"NULL")</f>
        <v>60</v>
      </c>
      <c r="F925" s="14">
        <f>IF('Boletins Nuppa Site'!I925&lt;&gt;0,'Boletins Nuppa Site'!I925,"NULL")</f>
        <v>78</v>
      </c>
      <c r="G925" t="str">
        <f>IF('Boletins Nuppa Site'!J925&lt;&gt;0,'Boletins Nuppa Site'!J925,"NULL")</f>
        <v>64.5</v>
      </c>
      <c r="H925" s="14">
        <f>IF('Boletins Nuppa Site'!K925&lt;&gt;0,'Boletins Nuppa Site'!K925,"NULL")</f>
        <v>60</v>
      </c>
      <c r="I925" t="str">
        <f t="shared" si="28"/>
        <v>INSERT INTO COTACAO (cot_id, cot_blt_id, cot_pap_id, cot_prc_comum, cot_prc_min, cot_prc_max, cot_prc_med, cot_prc_mediana) VALUES (924, 60, 12, 60, 60, 78, 64.5, 60);</v>
      </c>
      <c r="J925" t="str">
        <f t="shared" si="29"/>
        <v>UPDATE COTACAO SET cot_id = 924, cot_blt_id = 60, cot_pap_id = 12, cot_prc_comum = 60, cot_prc_min = 60, cot_prc_max = 78, cot_prc_med = 64.5, cot_prc_mediana = 60 WHERE cot_id = 924;</v>
      </c>
    </row>
    <row r="926" spans="1:10" x14ac:dyDescent="0.3">
      <c r="A926">
        <v>925</v>
      </c>
      <c r="B926">
        <f>IF('Boletins Nuppa Site'!A926&lt;&gt;0,'Boletins Nuppa Site'!A926,"NULL")</f>
        <v>60</v>
      </c>
      <c r="C926">
        <v>13</v>
      </c>
      <c r="D926" s="14">
        <f>IF('Boletins Nuppa Site'!G926&lt;&gt;0,'Boletins Nuppa Site'!G926,"NULL")</f>
        <v>60</v>
      </c>
      <c r="E926" s="14">
        <f>IF('Boletins Nuppa Site'!H926&lt;&gt;0,'Boletins Nuppa Site'!H926,"NULL")</f>
        <v>60</v>
      </c>
      <c r="F926" s="14">
        <f>IF('Boletins Nuppa Site'!I926&lt;&gt;0,'Boletins Nuppa Site'!I926,"NULL")</f>
        <v>60</v>
      </c>
      <c r="G926" s="14">
        <f>IF('Boletins Nuppa Site'!J926&lt;&gt;0,'Boletins Nuppa Site'!J926,"NULL")</f>
        <v>60</v>
      </c>
      <c r="H926" s="14">
        <f>IF('Boletins Nuppa Site'!K926&lt;&gt;0,'Boletins Nuppa Site'!K926,"NULL")</f>
        <v>60</v>
      </c>
      <c r="I926" t="str">
        <f t="shared" si="28"/>
        <v>INSERT INTO COTACAO (cot_id, cot_blt_id, cot_pap_id, cot_prc_comum, cot_prc_min, cot_prc_max, cot_prc_med, cot_prc_mediana) VALUES (925, 60, 13, 60, 60, 60, 60, 60);</v>
      </c>
      <c r="J926" t="str">
        <f t="shared" si="29"/>
        <v>UPDATE COTACAO SET cot_id = 925, cot_blt_id = 60, cot_pap_id = 13, cot_prc_comum = 60, cot_prc_min = 60, cot_prc_max = 60, cot_prc_med = 60, cot_prc_mediana = 60 WHERE cot_id = 925;</v>
      </c>
    </row>
    <row r="927" spans="1:10" x14ac:dyDescent="0.3">
      <c r="A927">
        <v>926</v>
      </c>
      <c r="B927">
        <f>IF('Boletins Nuppa Site'!A927&lt;&gt;0,'Boletins Nuppa Site'!A927,"NULL")</f>
        <v>60</v>
      </c>
      <c r="C927">
        <v>14</v>
      </c>
      <c r="D927" t="str">
        <f>IF('Boletins Nuppa Site'!G927&lt;&gt;0,'Boletins Nuppa Site'!G927,"NULL")</f>
        <v>NULL</v>
      </c>
      <c r="E927" s="14">
        <f>IF('Boletins Nuppa Site'!H927&lt;&gt;0,'Boletins Nuppa Site'!H927,"NULL")</f>
        <v>50</v>
      </c>
      <c r="F927" s="14">
        <f>IF('Boletins Nuppa Site'!I927&lt;&gt;0,'Boletins Nuppa Site'!I927,"NULL")</f>
        <v>84</v>
      </c>
      <c r="G927" t="str">
        <f>IF('Boletins Nuppa Site'!J927&lt;&gt;0,'Boletins Nuppa Site'!J927,"NULL")</f>
        <v>66.5</v>
      </c>
      <c r="H927" s="14">
        <f>IF('Boletins Nuppa Site'!K927&lt;&gt;0,'Boletins Nuppa Site'!K927,"NULL")</f>
        <v>66</v>
      </c>
      <c r="I927" t="str">
        <f t="shared" si="28"/>
        <v>INSERT INTO COTACAO (cot_id, cot_blt_id, cot_pap_id, cot_prc_comum, cot_prc_min, cot_prc_max, cot_prc_med, cot_prc_mediana) VALUES (926, 60, 14, NULL, 50, 84, 66.5, 66);</v>
      </c>
      <c r="J927" t="str">
        <f t="shared" si="29"/>
        <v>UPDATE COTACAO SET cot_id = 926, cot_blt_id = 60, cot_pap_id = 14, cot_prc_comum = NULL, cot_prc_min = 50, cot_prc_max = 84, cot_prc_med = 66.5, cot_prc_mediana = 66 WHERE cot_id = 926;</v>
      </c>
    </row>
    <row r="928" spans="1:10" x14ac:dyDescent="0.3">
      <c r="A928">
        <v>927</v>
      </c>
      <c r="B928">
        <f>IF('Boletins Nuppa Site'!A928&lt;&gt;0,'Boletins Nuppa Site'!A928,"NULL")</f>
        <v>60</v>
      </c>
      <c r="C928">
        <v>15</v>
      </c>
      <c r="D928" s="14">
        <f>IF('Boletins Nuppa Site'!G928&lt;&gt;0,'Boletins Nuppa Site'!G928,"NULL")</f>
        <v>45</v>
      </c>
      <c r="E928" s="14">
        <f>IF('Boletins Nuppa Site'!H928&lt;&gt;0,'Boletins Nuppa Site'!H928,"NULL")</f>
        <v>40</v>
      </c>
      <c r="F928" s="14">
        <f>IF('Boletins Nuppa Site'!I928&lt;&gt;0,'Boletins Nuppa Site'!I928,"NULL")</f>
        <v>48</v>
      </c>
      <c r="G928" t="str">
        <f>IF('Boletins Nuppa Site'!J928&lt;&gt;0,'Boletins Nuppa Site'!J928,"NULL")</f>
        <v>44.5</v>
      </c>
      <c r="H928" s="14">
        <f>IF('Boletins Nuppa Site'!K928&lt;&gt;0,'Boletins Nuppa Site'!K928,"NULL")</f>
        <v>45</v>
      </c>
      <c r="I928" t="str">
        <f t="shared" si="28"/>
        <v>INSERT INTO COTACAO (cot_id, cot_blt_id, cot_pap_id, cot_prc_comum, cot_prc_min, cot_prc_max, cot_prc_med, cot_prc_mediana) VALUES (927, 60, 15, 45, 40, 48, 44.5, 45);</v>
      </c>
      <c r="J928" t="str">
        <f t="shared" si="29"/>
        <v>UPDATE COTACAO SET cot_id = 927, cot_blt_id = 60, cot_pap_id = 15, cot_prc_comum = 45, cot_prc_min = 40, cot_prc_max = 48, cot_prc_med = 44.5, cot_prc_mediana = 45 WHERE cot_id = 927;</v>
      </c>
    </row>
    <row r="929" spans="1:10" x14ac:dyDescent="0.3">
      <c r="A929">
        <v>928</v>
      </c>
      <c r="B929">
        <f>IF('Boletins Nuppa Site'!A929&lt;&gt;0,'Boletins Nuppa Site'!A929,"NULL")</f>
        <v>60</v>
      </c>
      <c r="C929">
        <v>16</v>
      </c>
      <c r="D929" s="14">
        <f>IF('Boletins Nuppa Site'!G929&lt;&gt;0,'Boletins Nuppa Site'!G929,"NULL")</f>
        <v>48</v>
      </c>
      <c r="E929" s="14">
        <f>IF('Boletins Nuppa Site'!H929&lt;&gt;0,'Boletins Nuppa Site'!H929,"NULL")</f>
        <v>48</v>
      </c>
      <c r="F929" s="14">
        <f>IF('Boletins Nuppa Site'!I929&lt;&gt;0,'Boletins Nuppa Site'!I929,"NULL")</f>
        <v>54</v>
      </c>
      <c r="G929" t="str">
        <f>IF('Boletins Nuppa Site'!J929&lt;&gt;0,'Boletins Nuppa Site'!J929,"NULL")</f>
        <v>49.5</v>
      </c>
      <c r="H929" s="14">
        <f>IF('Boletins Nuppa Site'!K929&lt;&gt;0,'Boletins Nuppa Site'!K929,"NULL")</f>
        <v>48</v>
      </c>
      <c r="I929" t="str">
        <f t="shared" si="28"/>
        <v>INSERT INTO COTACAO (cot_id, cot_blt_id, cot_pap_id, cot_prc_comum, cot_prc_min, cot_prc_max, cot_prc_med, cot_prc_mediana) VALUES (928, 60, 16, 48, 48, 54, 49.5, 48);</v>
      </c>
      <c r="J929" t="str">
        <f t="shared" si="29"/>
        <v>UPDATE COTACAO SET cot_id = 928, cot_blt_id = 60, cot_pap_id = 16, cot_prc_comum = 48, cot_prc_min = 48, cot_prc_max = 54, cot_prc_med = 49.5, cot_prc_mediana = 48 WHERE cot_id = 928;</v>
      </c>
    </row>
    <row r="930" spans="1:10" x14ac:dyDescent="0.3">
      <c r="A930">
        <v>929</v>
      </c>
      <c r="B930">
        <f>IF('Boletins Nuppa Site'!A930&lt;&gt;0,'Boletins Nuppa Site'!A930,"NULL")</f>
        <v>60</v>
      </c>
      <c r="C930">
        <v>17</v>
      </c>
      <c r="D930" s="14">
        <f>IF('Boletins Nuppa Site'!G930&lt;&gt;0,'Boletins Nuppa Site'!G930,"NULL")</f>
        <v>5</v>
      </c>
      <c r="E930" s="14">
        <f>IF('Boletins Nuppa Site'!H930&lt;&gt;0,'Boletins Nuppa Site'!H930,"NULL")</f>
        <v>5</v>
      </c>
      <c r="F930" s="14">
        <f>IF('Boletins Nuppa Site'!I930&lt;&gt;0,'Boletins Nuppa Site'!I930,"NULL")</f>
        <v>5</v>
      </c>
      <c r="G930" s="14">
        <f>IF('Boletins Nuppa Site'!J930&lt;&gt;0,'Boletins Nuppa Site'!J930,"NULL")</f>
        <v>5</v>
      </c>
      <c r="H930" s="14">
        <f>IF('Boletins Nuppa Site'!K930&lt;&gt;0,'Boletins Nuppa Site'!K930,"NULL")</f>
        <v>5</v>
      </c>
      <c r="I930" t="str">
        <f t="shared" si="28"/>
        <v>INSERT INTO COTACAO (cot_id, cot_blt_id, cot_pap_id, cot_prc_comum, cot_prc_min, cot_prc_max, cot_prc_med, cot_prc_mediana) VALUES (929, 60, 17, 5, 5, 5, 5, 5);</v>
      </c>
      <c r="J930" t="str">
        <f t="shared" si="29"/>
        <v>UPDATE COTACAO SET cot_id = 929, cot_blt_id = 60, cot_pap_id = 17, cot_prc_comum = 5, cot_prc_min = 5, cot_prc_max = 5, cot_prc_med = 5, cot_prc_mediana = 5 WHERE cot_id = 929;</v>
      </c>
    </row>
    <row r="931" spans="1:10" x14ac:dyDescent="0.3">
      <c r="A931">
        <v>930</v>
      </c>
      <c r="B931">
        <f>IF('Boletins Nuppa Site'!A931&lt;&gt;0,'Boletins Nuppa Site'!A931,"NULL")</f>
        <v>60</v>
      </c>
      <c r="C931">
        <v>18</v>
      </c>
      <c r="D931" s="14">
        <f>IF('Boletins Nuppa Site'!G931&lt;&gt;0,'Boletins Nuppa Site'!G931,"NULL")</f>
        <v>15</v>
      </c>
      <c r="E931" s="14">
        <f>IF('Boletins Nuppa Site'!H931&lt;&gt;0,'Boletins Nuppa Site'!H931,"NULL")</f>
        <v>10</v>
      </c>
      <c r="F931" s="14">
        <f>IF('Boletins Nuppa Site'!I931&lt;&gt;0,'Boletins Nuppa Site'!I931,"NULL")</f>
        <v>15</v>
      </c>
      <c r="G931" s="14">
        <f>IF('Boletins Nuppa Site'!J931&lt;&gt;0,'Boletins Nuppa Site'!J931,"NULL")</f>
        <v>13</v>
      </c>
      <c r="H931" t="str">
        <f>IF('Boletins Nuppa Site'!K931&lt;&gt;0,'Boletins Nuppa Site'!K931,"NULL")</f>
        <v>13.5</v>
      </c>
      <c r="I931" t="str">
        <f t="shared" si="28"/>
        <v>INSERT INTO COTACAO (cot_id, cot_blt_id, cot_pap_id, cot_prc_comum, cot_prc_min, cot_prc_max, cot_prc_med, cot_prc_mediana) VALUES (930, 60, 18, 15, 10, 15, 13, 13.5);</v>
      </c>
      <c r="J931" t="str">
        <f t="shared" si="29"/>
        <v>UPDATE COTACAO SET cot_id = 930, cot_blt_id = 60, cot_pap_id = 18, cot_prc_comum = 15, cot_prc_min = 10, cot_prc_max = 15, cot_prc_med = 13, cot_prc_mediana = 13.5 WHERE cot_id = 930;</v>
      </c>
    </row>
    <row r="932" spans="1:10" x14ac:dyDescent="0.3">
      <c r="A932">
        <v>931</v>
      </c>
      <c r="B932">
        <f>IF('Boletins Nuppa Site'!A932&lt;&gt;0,'Boletins Nuppa Site'!A932,"NULL")</f>
        <v>60</v>
      </c>
      <c r="C932">
        <v>19</v>
      </c>
      <c r="D932" s="14">
        <f>IF('Boletins Nuppa Site'!G932&lt;&gt;0,'Boletins Nuppa Site'!G932,"NULL")</f>
        <v>25</v>
      </c>
      <c r="E932" s="14">
        <f>IF('Boletins Nuppa Site'!H932&lt;&gt;0,'Boletins Nuppa Site'!H932,"NULL")</f>
        <v>20</v>
      </c>
      <c r="F932" s="14">
        <f>IF('Boletins Nuppa Site'!I932&lt;&gt;0,'Boletins Nuppa Site'!I932,"NULL")</f>
        <v>30</v>
      </c>
      <c r="G932" s="14">
        <f>IF('Boletins Nuppa Site'!J932&lt;&gt;0,'Boletins Nuppa Site'!J932,"NULL")</f>
        <v>25</v>
      </c>
      <c r="H932" s="14">
        <f>IF('Boletins Nuppa Site'!K932&lt;&gt;0,'Boletins Nuppa Site'!K932,"NULL")</f>
        <v>25</v>
      </c>
      <c r="I932" t="str">
        <f t="shared" si="28"/>
        <v>INSERT INTO COTACAO (cot_id, cot_blt_id, cot_pap_id, cot_prc_comum, cot_prc_min, cot_prc_max, cot_prc_med, cot_prc_mediana) VALUES (931, 60, 19, 25, 20, 30, 25, 25);</v>
      </c>
      <c r="J932" t="str">
        <f t="shared" si="29"/>
        <v>UPDATE COTACAO SET cot_id = 931, cot_blt_id = 60, cot_pap_id = 19, cot_prc_comum = 25, cot_prc_min = 20, cot_prc_max = 30, cot_prc_med = 25, cot_prc_mediana = 25 WHERE cot_id = 931;</v>
      </c>
    </row>
    <row r="933" spans="1:10" x14ac:dyDescent="0.3">
      <c r="A933">
        <v>932</v>
      </c>
      <c r="B933">
        <f>IF('Boletins Nuppa Site'!A933&lt;&gt;0,'Boletins Nuppa Site'!A933,"NULL")</f>
        <v>60</v>
      </c>
      <c r="C933">
        <v>20</v>
      </c>
      <c r="D933" t="str">
        <f>IF('Boletins Nuppa Site'!G933&lt;&gt;0,'Boletins Nuppa Site'!G933,"NULL")</f>
        <v>NULL</v>
      </c>
      <c r="E933" s="14">
        <f>IF('Boletins Nuppa Site'!H933&lt;&gt;0,'Boletins Nuppa Site'!H933,"NULL")</f>
        <v>65</v>
      </c>
      <c r="F933" s="14">
        <f>IF('Boletins Nuppa Site'!I933&lt;&gt;0,'Boletins Nuppa Site'!I933,"NULL")</f>
        <v>80</v>
      </c>
      <c r="G933" t="str">
        <f>IF('Boletins Nuppa Site'!J933&lt;&gt;0,'Boletins Nuppa Site'!J933,"NULL")</f>
        <v>71.67</v>
      </c>
      <c r="H933" s="14">
        <f>IF('Boletins Nuppa Site'!K933&lt;&gt;0,'Boletins Nuppa Site'!K933,"NULL")</f>
        <v>70</v>
      </c>
      <c r="I933" t="str">
        <f t="shared" si="28"/>
        <v>INSERT INTO COTACAO (cot_id, cot_blt_id, cot_pap_id, cot_prc_comum, cot_prc_min, cot_prc_max, cot_prc_med, cot_prc_mediana) VALUES (932, 60, 20, NULL, 65, 80, 71.67, 70);</v>
      </c>
      <c r="J933" t="str">
        <f t="shared" si="29"/>
        <v>UPDATE COTACAO SET cot_id = 932, cot_blt_id = 60, cot_pap_id = 20, cot_prc_comum = NULL, cot_prc_min = 65, cot_prc_max = 80, cot_prc_med = 71.67, cot_prc_mediana = 70 WHERE cot_id = 932;</v>
      </c>
    </row>
    <row r="934" spans="1:10" x14ac:dyDescent="0.3">
      <c r="A934">
        <v>933</v>
      </c>
      <c r="B934">
        <f>IF('Boletins Nuppa Site'!A934&lt;&gt;0,'Boletins Nuppa Site'!A934,"NULL")</f>
        <v>60</v>
      </c>
      <c r="C934">
        <v>21</v>
      </c>
      <c r="D934" s="14">
        <f>IF('Boletins Nuppa Site'!G934&lt;&gt;0,'Boletins Nuppa Site'!G934,"NULL")</f>
        <v>60</v>
      </c>
      <c r="E934" s="14">
        <f>IF('Boletins Nuppa Site'!H934&lt;&gt;0,'Boletins Nuppa Site'!H934,"NULL")</f>
        <v>45</v>
      </c>
      <c r="F934" s="14">
        <f>IF('Boletins Nuppa Site'!I934&lt;&gt;0,'Boletins Nuppa Site'!I934,"NULL")</f>
        <v>70</v>
      </c>
      <c r="G934" s="14">
        <f>IF('Boletins Nuppa Site'!J934&lt;&gt;0,'Boletins Nuppa Site'!J934,"NULL")</f>
        <v>59</v>
      </c>
      <c r="H934" s="14">
        <f>IF('Boletins Nuppa Site'!K934&lt;&gt;0,'Boletins Nuppa Site'!K934,"NULL")</f>
        <v>60</v>
      </c>
      <c r="I934" t="str">
        <f t="shared" si="28"/>
        <v>INSERT INTO COTACAO (cot_id, cot_blt_id, cot_pap_id, cot_prc_comum, cot_prc_min, cot_prc_max, cot_prc_med, cot_prc_mediana) VALUES (933, 60, 21, 60, 45, 70, 59, 60);</v>
      </c>
      <c r="J934" t="str">
        <f t="shared" si="29"/>
        <v>UPDATE COTACAO SET cot_id = 933, cot_blt_id = 60, cot_pap_id = 21, cot_prc_comum = 60, cot_prc_min = 45, cot_prc_max = 70, cot_prc_med = 59, cot_prc_mediana = 60 WHERE cot_id = 933;</v>
      </c>
    </row>
    <row r="935" spans="1:10" x14ac:dyDescent="0.3">
      <c r="A935">
        <v>934</v>
      </c>
      <c r="B935">
        <f>IF('Boletins Nuppa Site'!A935&lt;&gt;0,'Boletins Nuppa Site'!A935,"NULL")</f>
        <v>60</v>
      </c>
      <c r="C935">
        <v>22</v>
      </c>
      <c r="D935" s="14">
        <f>IF('Boletins Nuppa Site'!G935&lt;&gt;0,'Boletins Nuppa Site'!G935,"NULL")</f>
        <v>70</v>
      </c>
      <c r="E935" s="14">
        <f>IF('Boletins Nuppa Site'!H935&lt;&gt;0,'Boletins Nuppa Site'!H935,"NULL")</f>
        <v>45</v>
      </c>
      <c r="F935" s="14">
        <f>IF('Boletins Nuppa Site'!I935&lt;&gt;0,'Boletins Nuppa Site'!I935,"NULL")</f>
        <v>70</v>
      </c>
      <c r="G935" s="14">
        <f>IF('Boletins Nuppa Site'!J935&lt;&gt;0,'Boletins Nuppa Site'!J935,"NULL")</f>
        <v>64</v>
      </c>
      <c r="H935" s="14">
        <f>IF('Boletins Nuppa Site'!K935&lt;&gt;0,'Boletins Nuppa Site'!K935,"NULL")</f>
        <v>70</v>
      </c>
      <c r="I935" t="str">
        <f t="shared" si="28"/>
        <v>INSERT INTO COTACAO (cot_id, cot_blt_id, cot_pap_id, cot_prc_comum, cot_prc_min, cot_prc_max, cot_prc_med, cot_prc_mediana) VALUES (934, 60, 22, 70, 45, 70, 64, 70);</v>
      </c>
      <c r="J935" t="str">
        <f t="shared" si="29"/>
        <v>UPDATE COTACAO SET cot_id = 934, cot_blt_id = 60, cot_pap_id = 22, cot_prc_comum = 70, cot_prc_min = 45, cot_prc_max = 70, cot_prc_med = 64, cot_prc_mediana = 70 WHERE cot_id = 934;</v>
      </c>
    </row>
    <row r="936" spans="1:10" x14ac:dyDescent="0.3">
      <c r="A936">
        <v>935</v>
      </c>
      <c r="B936">
        <f>IF('Boletins Nuppa Site'!A936&lt;&gt;0,'Boletins Nuppa Site'!A936,"NULL")</f>
        <v>60</v>
      </c>
      <c r="C936">
        <v>23</v>
      </c>
      <c r="D936" s="14">
        <f>IF('Boletins Nuppa Site'!G936&lt;&gt;0,'Boletins Nuppa Site'!G936,"NULL")</f>
        <v>50</v>
      </c>
      <c r="E936" s="14">
        <f>IF('Boletins Nuppa Site'!H936&lt;&gt;0,'Boletins Nuppa Site'!H936,"NULL")</f>
        <v>30</v>
      </c>
      <c r="F936" s="14">
        <f>IF('Boletins Nuppa Site'!I936&lt;&gt;0,'Boletins Nuppa Site'!I936,"NULL")</f>
        <v>50</v>
      </c>
      <c r="G936" s="14">
        <f>IF('Boletins Nuppa Site'!J936&lt;&gt;0,'Boletins Nuppa Site'!J936,"NULL")</f>
        <v>45</v>
      </c>
      <c r="H936" s="14">
        <f>IF('Boletins Nuppa Site'!K936&lt;&gt;0,'Boletins Nuppa Site'!K936,"NULL")</f>
        <v>50</v>
      </c>
      <c r="I936" t="str">
        <f t="shared" si="28"/>
        <v>INSERT INTO COTACAO (cot_id, cot_blt_id, cot_pap_id, cot_prc_comum, cot_prc_min, cot_prc_max, cot_prc_med, cot_prc_mediana) VALUES (935, 60, 23, 50, 30, 50, 45, 50);</v>
      </c>
      <c r="J936" t="str">
        <f t="shared" si="29"/>
        <v>UPDATE COTACAO SET cot_id = 935, cot_blt_id = 60, cot_pap_id = 23, cot_prc_comum = 50, cot_prc_min = 30, cot_prc_max = 50, cot_prc_med = 45, cot_prc_mediana = 50 WHERE cot_id = 935;</v>
      </c>
    </row>
    <row r="937" spans="1:10" x14ac:dyDescent="0.3">
      <c r="A937">
        <v>936</v>
      </c>
      <c r="B937">
        <f>IF('Boletins Nuppa Site'!A937&lt;&gt;0,'Boletins Nuppa Site'!A937,"NULL")</f>
        <v>60</v>
      </c>
      <c r="C937">
        <v>24</v>
      </c>
      <c r="D937" t="str">
        <f>IF('Boletins Nuppa Site'!G937&lt;&gt;0,'Boletins Nuppa Site'!G937,"NULL")</f>
        <v>NULL</v>
      </c>
      <c r="E937" s="14">
        <f>IF('Boletins Nuppa Site'!H937&lt;&gt;0,'Boletins Nuppa Site'!H937,"NULL")</f>
        <v>40</v>
      </c>
      <c r="F937" s="14">
        <f>IF('Boletins Nuppa Site'!I937&lt;&gt;0,'Boletins Nuppa Site'!I937,"NULL")</f>
        <v>110</v>
      </c>
      <c r="G937" s="14">
        <f>IF('Boletins Nuppa Site'!J937&lt;&gt;0,'Boletins Nuppa Site'!J937,"NULL")</f>
        <v>85</v>
      </c>
      <c r="H937" s="14">
        <f>IF('Boletins Nuppa Site'!K937&lt;&gt;0,'Boletins Nuppa Site'!K937,"NULL")</f>
        <v>95</v>
      </c>
      <c r="I937" t="str">
        <f t="shared" si="28"/>
        <v>INSERT INTO COTACAO (cot_id, cot_blt_id, cot_pap_id, cot_prc_comum, cot_prc_min, cot_prc_max, cot_prc_med, cot_prc_mediana) VALUES (936, 60, 24, NULL, 40, 110, 85, 95);</v>
      </c>
      <c r="J937" t="str">
        <f t="shared" si="29"/>
        <v>UPDATE COTACAO SET cot_id = 936, cot_blt_id = 60, cot_pap_id = 24, cot_prc_comum = NULL, cot_prc_min = 40, cot_prc_max = 110, cot_prc_med = 85, cot_prc_mediana = 95 WHERE cot_id = 936;</v>
      </c>
    </row>
    <row r="938" spans="1:10" x14ac:dyDescent="0.3">
      <c r="A938">
        <v>937</v>
      </c>
      <c r="B938">
        <f>IF('Boletins Nuppa Site'!A938&lt;&gt;0,'Boletins Nuppa Site'!A938,"NULL")</f>
        <v>60</v>
      </c>
      <c r="C938">
        <v>25</v>
      </c>
      <c r="D938" s="14">
        <f>IF('Boletins Nuppa Site'!G938&lt;&gt;0,'Boletins Nuppa Site'!G938,"NULL")</f>
        <v>70</v>
      </c>
      <c r="E938" s="14">
        <f>IF('Boletins Nuppa Site'!H938&lt;&gt;0,'Boletins Nuppa Site'!H938,"NULL")</f>
        <v>70</v>
      </c>
      <c r="F938" s="14">
        <f>IF('Boletins Nuppa Site'!I938&lt;&gt;0,'Boletins Nuppa Site'!I938,"NULL")</f>
        <v>90</v>
      </c>
      <c r="G938" s="14">
        <f>IF('Boletins Nuppa Site'!J938&lt;&gt;0,'Boletins Nuppa Site'!J938,"NULL")</f>
        <v>79</v>
      </c>
      <c r="H938" s="14">
        <f>IF('Boletins Nuppa Site'!K938&lt;&gt;0,'Boletins Nuppa Site'!K938,"NULL")</f>
        <v>80</v>
      </c>
      <c r="I938" t="str">
        <f t="shared" si="28"/>
        <v>INSERT INTO COTACAO (cot_id, cot_blt_id, cot_pap_id, cot_prc_comum, cot_prc_min, cot_prc_max, cot_prc_med, cot_prc_mediana) VALUES (937, 60, 25, 70, 70, 90, 79, 80);</v>
      </c>
      <c r="J938" t="str">
        <f t="shared" si="29"/>
        <v>UPDATE COTACAO SET cot_id = 937, cot_blt_id = 60, cot_pap_id = 25, cot_prc_comum = 70, cot_prc_min = 70, cot_prc_max = 90, cot_prc_med = 79, cot_prc_mediana = 80 WHERE cot_id = 937;</v>
      </c>
    </row>
    <row r="939" spans="1:10" x14ac:dyDescent="0.3">
      <c r="A939">
        <v>938</v>
      </c>
      <c r="B939">
        <f>IF('Boletins Nuppa Site'!A939&lt;&gt;0,'Boletins Nuppa Site'!A939,"NULL")</f>
        <v>60</v>
      </c>
      <c r="C939">
        <v>26</v>
      </c>
      <c r="D939" s="14">
        <f>IF('Boletins Nuppa Site'!G939&lt;&gt;0,'Boletins Nuppa Site'!G939,"NULL")</f>
        <v>60</v>
      </c>
      <c r="E939" s="14">
        <f>IF('Boletins Nuppa Site'!H939&lt;&gt;0,'Boletins Nuppa Site'!H939,"NULL")</f>
        <v>40</v>
      </c>
      <c r="F939" s="14">
        <f>IF('Boletins Nuppa Site'!I939&lt;&gt;0,'Boletins Nuppa Site'!I939,"NULL")</f>
        <v>80</v>
      </c>
      <c r="G939" t="str">
        <f>IF('Boletins Nuppa Site'!J939&lt;&gt;0,'Boletins Nuppa Site'!J939,"NULL")</f>
        <v>63.33</v>
      </c>
      <c r="H939" t="str">
        <f>IF('Boletins Nuppa Site'!K939&lt;&gt;0,'Boletins Nuppa Site'!K939,"NULL")</f>
        <v>62.5</v>
      </c>
      <c r="I939" t="str">
        <f t="shared" si="28"/>
        <v>INSERT INTO COTACAO (cot_id, cot_blt_id, cot_pap_id, cot_prc_comum, cot_prc_min, cot_prc_max, cot_prc_med, cot_prc_mediana) VALUES (938, 60, 26, 60, 40, 80, 63.33, 62.5);</v>
      </c>
      <c r="J939" t="str">
        <f t="shared" si="29"/>
        <v>UPDATE COTACAO SET cot_id = 938, cot_blt_id = 60, cot_pap_id = 26, cot_prc_comum = 60, cot_prc_min = 40, cot_prc_max = 80, cot_prc_med = 63.33, cot_prc_mediana = 62.5 WHERE cot_id = 938;</v>
      </c>
    </row>
    <row r="940" spans="1:10" x14ac:dyDescent="0.3">
      <c r="A940">
        <v>939</v>
      </c>
      <c r="B940">
        <f>IF('Boletins Nuppa Site'!A940&lt;&gt;0,'Boletins Nuppa Site'!A940,"NULL")</f>
        <v>60</v>
      </c>
      <c r="C940">
        <v>27</v>
      </c>
      <c r="D940" s="14">
        <f>IF('Boletins Nuppa Site'!G940&lt;&gt;0,'Boletins Nuppa Site'!G940,"NULL")</f>
        <v>65</v>
      </c>
      <c r="E940" s="14">
        <f>IF('Boletins Nuppa Site'!H940&lt;&gt;0,'Boletins Nuppa Site'!H940,"NULL")</f>
        <v>45</v>
      </c>
      <c r="F940" s="14">
        <f>IF('Boletins Nuppa Site'!I940&lt;&gt;0,'Boletins Nuppa Site'!I940,"NULL")</f>
        <v>65</v>
      </c>
      <c r="G940" s="14">
        <f>IF('Boletins Nuppa Site'!J940&lt;&gt;0,'Boletins Nuppa Site'!J940,"NULL")</f>
        <v>57</v>
      </c>
      <c r="H940" s="14">
        <f>IF('Boletins Nuppa Site'!K940&lt;&gt;0,'Boletins Nuppa Site'!K940,"NULL")</f>
        <v>60</v>
      </c>
      <c r="I940" t="str">
        <f t="shared" si="28"/>
        <v>INSERT INTO COTACAO (cot_id, cot_blt_id, cot_pap_id, cot_prc_comum, cot_prc_min, cot_prc_max, cot_prc_med, cot_prc_mediana) VALUES (939, 60, 27, 65, 45, 65, 57, 60);</v>
      </c>
      <c r="J940" t="str">
        <f t="shared" si="29"/>
        <v>UPDATE COTACAO SET cot_id = 939, cot_blt_id = 60, cot_pap_id = 27, cot_prc_comum = 65, cot_prc_min = 45, cot_prc_max = 65, cot_prc_med = 57, cot_prc_mediana = 60 WHERE cot_id = 939;</v>
      </c>
    </row>
    <row r="941" spans="1:10" x14ac:dyDescent="0.3">
      <c r="A941">
        <v>940</v>
      </c>
      <c r="B941">
        <f>IF('Boletins Nuppa Site'!A941&lt;&gt;0,'Boletins Nuppa Site'!A941,"NULL")</f>
        <v>60</v>
      </c>
      <c r="C941">
        <v>28</v>
      </c>
      <c r="D941" s="14">
        <f>IF('Boletins Nuppa Site'!G941&lt;&gt;0,'Boletins Nuppa Site'!G941,"NULL")</f>
        <v>90</v>
      </c>
      <c r="E941" s="14">
        <f>IF('Boletins Nuppa Site'!H941&lt;&gt;0,'Boletins Nuppa Site'!H941,"NULL")</f>
        <v>60</v>
      </c>
      <c r="F941" s="14">
        <f>IF('Boletins Nuppa Site'!I941&lt;&gt;0,'Boletins Nuppa Site'!I941,"NULL")</f>
        <v>100</v>
      </c>
      <c r="G941" t="str">
        <f>IF('Boletins Nuppa Site'!J941&lt;&gt;0,'Boletins Nuppa Site'!J941,"NULL")</f>
        <v>83.33</v>
      </c>
      <c r="H941" s="14">
        <f>IF('Boletins Nuppa Site'!K941&lt;&gt;0,'Boletins Nuppa Site'!K941,"NULL")</f>
        <v>85</v>
      </c>
      <c r="I941" t="str">
        <f t="shared" si="28"/>
        <v>INSERT INTO COTACAO (cot_id, cot_blt_id, cot_pap_id, cot_prc_comum, cot_prc_min, cot_prc_max, cot_prc_med, cot_prc_mediana) VALUES (940, 60, 28, 90, 60, 100, 83.33, 85);</v>
      </c>
      <c r="J941" t="str">
        <f t="shared" si="29"/>
        <v>UPDATE COTACAO SET cot_id = 940, cot_blt_id = 60, cot_pap_id = 28, cot_prc_comum = 90, cot_prc_min = 60, cot_prc_max = 100, cot_prc_med = 83.33, cot_prc_mediana = 85 WHERE cot_id = 940;</v>
      </c>
    </row>
    <row r="942" spans="1:10" x14ac:dyDescent="0.3">
      <c r="A942">
        <v>941</v>
      </c>
      <c r="B942">
        <f>IF('Boletins Nuppa Site'!A942&lt;&gt;0,'Boletins Nuppa Site'!A942,"NULL")</f>
        <v>60</v>
      </c>
      <c r="C942">
        <v>29</v>
      </c>
      <c r="D942" s="14">
        <f>IF('Boletins Nuppa Site'!G942&lt;&gt;0,'Boletins Nuppa Site'!G942,"NULL")</f>
        <v>50</v>
      </c>
      <c r="E942" s="14">
        <f>IF('Boletins Nuppa Site'!H942&lt;&gt;0,'Boletins Nuppa Site'!H942,"NULL")</f>
        <v>50</v>
      </c>
      <c r="F942" s="14">
        <f>IF('Boletins Nuppa Site'!I942&lt;&gt;0,'Boletins Nuppa Site'!I942,"NULL")</f>
        <v>60</v>
      </c>
      <c r="G942" t="str">
        <f>IF('Boletins Nuppa Site'!J942&lt;&gt;0,'Boletins Nuppa Site'!J942,"NULL")</f>
        <v>53.75</v>
      </c>
      <c r="H942" t="str">
        <f>IF('Boletins Nuppa Site'!K942&lt;&gt;0,'Boletins Nuppa Site'!K942,"NULL")</f>
        <v>52.5</v>
      </c>
      <c r="I942" t="str">
        <f t="shared" si="28"/>
        <v>INSERT INTO COTACAO (cot_id, cot_blt_id, cot_pap_id, cot_prc_comum, cot_prc_min, cot_prc_max, cot_prc_med, cot_prc_mediana) VALUES (941, 60, 29, 50, 50, 60, 53.75, 52.5);</v>
      </c>
      <c r="J942" t="str">
        <f t="shared" si="29"/>
        <v>UPDATE COTACAO SET cot_id = 941, cot_blt_id = 60, cot_pap_id = 29, cot_prc_comum = 50, cot_prc_min = 50, cot_prc_max = 60, cot_prc_med = 53.75, cot_prc_mediana = 52.5 WHERE cot_id = 941;</v>
      </c>
    </row>
    <row r="943" spans="1:10" x14ac:dyDescent="0.3">
      <c r="A943">
        <v>942</v>
      </c>
      <c r="B943">
        <f>IF('Boletins Nuppa Site'!A943&lt;&gt;0,'Boletins Nuppa Site'!A943,"NULL")</f>
        <v>60</v>
      </c>
      <c r="C943">
        <v>30</v>
      </c>
      <c r="D943" s="14">
        <f>IF('Boletins Nuppa Site'!G943&lt;&gt;0,'Boletins Nuppa Site'!G943,"NULL")</f>
        <v>60</v>
      </c>
      <c r="E943" s="14">
        <f>IF('Boletins Nuppa Site'!H943&lt;&gt;0,'Boletins Nuppa Site'!H943,"NULL")</f>
        <v>40</v>
      </c>
      <c r="F943" s="14">
        <f>IF('Boletins Nuppa Site'!I943&lt;&gt;0,'Boletins Nuppa Site'!I943,"NULL")</f>
        <v>60</v>
      </c>
      <c r="G943" t="str">
        <f>IF('Boletins Nuppa Site'!J943&lt;&gt;0,'Boletins Nuppa Site'!J943,"NULL")</f>
        <v>52.5</v>
      </c>
      <c r="H943" s="14">
        <f>IF('Boletins Nuppa Site'!K943&lt;&gt;0,'Boletins Nuppa Site'!K943,"NULL")</f>
        <v>55</v>
      </c>
      <c r="I943" t="str">
        <f t="shared" si="28"/>
        <v>INSERT INTO COTACAO (cot_id, cot_blt_id, cot_pap_id, cot_prc_comum, cot_prc_min, cot_prc_max, cot_prc_med, cot_prc_mediana) VALUES (942, 60, 30, 60, 40, 60, 52.5, 55);</v>
      </c>
      <c r="J943" t="str">
        <f t="shared" si="29"/>
        <v>UPDATE COTACAO SET cot_id = 942, cot_blt_id = 60, cot_pap_id = 30, cot_prc_comum = 60, cot_prc_min = 40, cot_prc_max = 60, cot_prc_med = 52.5, cot_prc_mediana = 55 WHERE cot_id = 942;</v>
      </c>
    </row>
    <row r="944" spans="1:10" x14ac:dyDescent="0.3">
      <c r="A944">
        <v>943</v>
      </c>
      <c r="B944">
        <f>IF('Boletins Nuppa Site'!A944&lt;&gt;0,'Boletins Nuppa Site'!A944,"NULL")</f>
        <v>60</v>
      </c>
      <c r="C944">
        <v>31</v>
      </c>
      <c r="D944" s="14">
        <f>IF('Boletins Nuppa Site'!G944&lt;&gt;0,'Boletins Nuppa Site'!G944,"NULL")</f>
        <v>80</v>
      </c>
      <c r="E944" s="14">
        <f>IF('Boletins Nuppa Site'!H944&lt;&gt;0,'Boletins Nuppa Site'!H944,"NULL")</f>
        <v>70</v>
      </c>
      <c r="F944" s="14">
        <f>IF('Boletins Nuppa Site'!I944&lt;&gt;0,'Boletins Nuppa Site'!I944,"NULL")</f>
        <v>80</v>
      </c>
      <c r="G944" s="14">
        <f>IF('Boletins Nuppa Site'!J944&lt;&gt;0,'Boletins Nuppa Site'!J944,"NULL")</f>
        <v>77</v>
      </c>
      <c r="H944" s="14">
        <f>IF('Boletins Nuppa Site'!K944&lt;&gt;0,'Boletins Nuppa Site'!K944,"NULL")</f>
        <v>80</v>
      </c>
      <c r="I944" t="str">
        <f t="shared" si="28"/>
        <v>INSERT INTO COTACAO (cot_id, cot_blt_id, cot_pap_id, cot_prc_comum, cot_prc_min, cot_prc_max, cot_prc_med, cot_prc_mediana) VALUES (943, 60, 31, 80, 70, 80, 77, 80);</v>
      </c>
      <c r="J944" t="str">
        <f t="shared" si="29"/>
        <v>UPDATE COTACAO SET cot_id = 943, cot_blt_id = 60, cot_pap_id = 31, cot_prc_comum = 80, cot_prc_min = 70, cot_prc_max = 80, cot_prc_med = 77, cot_prc_mediana = 80 WHERE cot_id = 943;</v>
      </c>
    </row>
    <row r="945" spans="1:10" x14ac:dyDescent="0.3">
      <c r="A945">
        <v>944</v>
      </c>
      <c r="B945">
        <f>IF('Boletins Nuppa Site'!A945&lt;&gt;0,'Boletins Nuppa Site'!A945,"NULL")</f>
        <v>60</v>
      </c>
      <c r="C945">
        <v>32</v>
      </c>
      <c r="D945" s="14">
        <f>IF('Boletins Nuppa Site'!G945&lt;&gt;0,'Boletins Nuppa Site'!G945,"NULL")</f>
        <v>50</v>
      </c>
      <c r="E945" s="14">
        <f>IF('Boletins Nuppa Site'!H945&lt;&gt;0,'Boletins Nuppa Site'!H945,"NULL")</f>
        <v>50</v>
      </c>
      <c r="F945" s="14">
        <f>IF('Boletins Nuppa Site'!I945&lt;&gt;0,'Boletins Nuppa Site'!I945,"NULL")</f>
        <v>60</v>
      </c>
      <c r="G945" s="14">
        <f>IF('Boletins Nuppa Site'!J945&lt;&gt;0,'Boletins Nuppa Site'!J945,"NULL")</f>
        <v>53</v>
      </c>
      <c r="H945" s="14">
        <f>IF('Boletins Nuppa Site'!K945&lt;&gt;0,'Boletins Nuppa Site'!K945,"NULL")</f>
        <v>50</v>
      </c>
      <c r="I945" t="str">
        <f t="shared" si="28"/>
        <v>INSERT INTO COTACAO (cot_id, cot_blt_id, cot_pap_id, cot_prc_comum, cot_prc_min, cot_prc_max, cot_prc_med, cot_prc_mediana) VALUES (944, 60, 32, 50, 50, 60, 53, 50);</v>
      </c>
      <c r="J945" t="str">
        <f t="shared" si="29"/>
        <v>UPDATE COTACAO SET cot_id = 944, cot_blt_id = 60, cot_pap_id = 32, cot_prc_comum = 50, cot_prc_min = 50, cot_prc_max = 60, cot_prc_med = 53, cot_prc_mediana = 50 WHERE cot_id = 944;</v>
      </c>
    </row>
    <row r="946" spans="1:10" x14ac:dyDescent="0.3">
      <c r="A946">
        <v>945</v>
      </c>
      <c r="B946">
        <f>IF('Boletins Nuppa Site'!A946&lt;&gt;0,'Boletins Nuppa Site'!A946,"NULL")</f>
        <v>60</v>
      </c>
      <c r="C946">
        <v>33</v>
      </c>
      <c r="D946" s="14">
        <f>IF('Boletins Nuppa Site'!G946&lt;&gt;0,'Boletins Nuppa Site'!G946,"NULL")</f>
        <v>100</v>
      </c>
      <c r="E946" s="14">
        <f>IF('Boletins Nuppa Site'!H946&lt;&gt;0,'Boletins Nuppa Site'!H946,"NULL")</f>
        <v>90</v>
      </c>
      <c r="F946" s="14">
        <f>IF('Boletins Nuppa Site'!I946&lt;&gt;0,'Boletins Nuppa Site'!I946,"NULL")</f>
        <v>120</v>
      </c>
      <c r="G946" t="str">
        <f>IF('Boletins Nuppa Site'!J946&lt;&gt;0,'Boletins Nuppa Site'!J946,"NULL")</f>
        <v>102.5</v>
      </c>
      <c r="H946" s="14">
        <f>IF('Boletins Nuppa Site'!K946&lt;&gt;0,'Boletins Nuppa Site'!K946,"NULL")</f>
        <v>100</v>
      </c>
      <c r="I946" t="str">
        <f t="shared" si="28"/>
        <v>INSERT INTO COTACAO (cot_id, cot_blt_id, cot_pap_id, cot_prc_comum, cot_prc_min, cot_prc_max, cot_prc_med, cot_prc_mediana) VALUES (945, 60, 33, 100, 90, 120, 102.5, 100);</v>
      </c>
      <c r="J946" t="str">
        <f t="shared" si="29"/>
        <v>UPDATE COTACAO SET cot_id = 945, cot_blt_id = 60, cot_pap_id = 33, cot_prc_comum = 100, cot_prc_min = 90, cot_prc_max = 120, cot_prc_med = 102.5, cot_prc_mediana = 100 WHERE cot_id = 945;</v>
      </c>
    </row>
    <row r="947" spans="1:10" x14ac:dyDescent="0.3">
      <c r="A947">
        <v>946</v>
      </c>
      <c r="B947">
        <f>IF('Boletins Nuppa Site'!A947&lt;&gt;0,'Boletins Nuppa Site'!A947,"NULL")</f>
        <v>60</v>
      </c>
      <c r="C947">
        <v>34</v>
      </c>
      <c r="D947" t="str">
        <f>IF('Boletins Nuppa Site'!G947&lt;&gt;0,'Boletins Nuppa Site'!G947,"NULL")</f>
        <v>NULL</v>
      </c>
      <c r="E947" s="14">
        <f>IF('Boletins Nuppa Site'!H947&lt;&gt;0,'Boletins Nuppa Site'!H947,"NULL")</f>
        <v>30</v>
      </c>
      <c r="F947" s="14">
        <f>IF('Boletins Nuppa Site'!I947&lt;&gt;0,'Boletins Nuppa Site'!I947,"NULL")</f>
        <v>90</v>
      </c>
      <c r="G947" t="str">
        <f>IF('Boletins Nuppa Site'!J947&lt;&gt;0,'Boletins Nuppa Site'!J947,"NULL")</f>
        <v>67.5</v>
      </c>
      <c r="H947" t="str">
        <f>IF('Boletins Nuppa Site'!K947&lt;&gt;0,'Boletins Nuppa Site'!K947,"NULL")</f>
        <v>72.5</v>
      </c>
      <c r="I947" t="str">
        <f t="shared" si="28"/>
        <v>INSERT INTO COTACAO (cot_id, cot_blt_id, cot_pap_id, cot_prc_comum, cot_prc_min, cot_prc_max, cot_prc_med, cot_prc_mediana) VALUES (946, 60, 34, NULL, 30, 90, 67.5, 72.5);</v>
      </c>
      <c r="J947" t="str">
        <f t="shared" si="29"/>
        <v>UPDATE COTACAO SET cot_id = 946, cot_blt_id = 60, cot_pap_id = 34, cot_prc_comum = NULL, cot_prc_min = 30, cot_prc_max = 90, cot_prc_med = 67.5, cot_prc_mediana = 72.5 WHERE cot_id = 946;</v>
      </c>
    </row>
    <row r="948" spans="1:10" x14ac:dyDescent="0.3">
      <c r="A948">
        <v>947</v>
      </c>
      <c r="B948">
        <f>IF('Boletins Nuppa Site'!A948&lt;&gt;0,'Boletins Nuppa Site'!A948,"NULL")</f>
        <v>60</v>
      </c>
      <c r="C948">
        <v>35</v>
      </c>
      <c r="D948" s="14">
        <f>IF('Boletins Nuppa Site'!G948&lt;&gt;0,'Boletins Nuppa Site'!G948,"NULL")</f>
        <v>120</v>
      </c>
      <c r="E948" s="14">
        <f>IF('Boletins Nuppa Site'!H948&lt;&gt;0,'Boletins Nuppa Site'!H948,"NULL")</f>
        <v>120</v>
      </c>
      <c r="F948" s="14">
        <f>IF('Boletins Nuppa Site'!I948&lt;&gt;0,'Boletins Nuppa Site'!I948,"NULL")</f>
        <v>150</v>
      </c>
      <c r="G948" s="14">
        <f>IF('Boletins Nuppa Site'!J948&lt;&gt;0,'Boletins Nuppa Site'!J948,"NULL")</f>
        <v>130</v>
      </c>
      <c r="H948" s="14">
        <f>IF('Boletins Nuppa Site'!K948&lt;&gt;0,'Boletins Nuppa Site'!K948,"NULL")</f>
        <v>125</v>
      </c>
      <c r="I948" t="str">
        <f t="shared" si="28"/>
        <v>INSERT INTO COTACAO (cot_id, cot_blt_id, cot_pap_id, cot_prc_comum, cot_prc_min, cot_prc_max, cot_prc_med, cot_prc_mediana) VALUES (947, 60, 35, 120, 120, 150, 130, 125);</v>
      </c>
      <c r="J948" t="str">
        <f t="shared" si="29"/>
        <v>UPDATE COTACAO SET cot_id = 947, cot_blt_id = 60, cot_pap_id = 35, cot_prc_comum = 120, cot_prc_min = 120, cot_prc_max = 150, cot_prc_med = 130, cot_prc_mediana = 125 WHERE cot_id = 947;</v>
      </c>
    </row>
    <row r="949" spans="1:10" x14ac:dyDescent="0.3">
      <c r="A949">
        <v>948</v>
      </c>
      <c r="B949">
        <f>IF('Boletins Nuppa Site'!A949&lt;&gt;0,'Boletins Nuppa Site'!A949,"NULL")</f>
        <v>60</v>
      </c>
      <c r="C949">
        <v>36</v>
      </c>
      <c r="D949" t="str">
        <f>IF('Boletins Nuppa Site'!G949&lt;&gt;0,'Boletins Nuppa Site'!G949,"NULL")</f>
        <v>NULL</v>
      </c>
      <c r="E949" t="str">
        <f>IF('Boletins Nuppa Site'!H949&lt;&gt;0,'Boletins Nuppa Site'!H949,"NULL")</f>
        <v>NULL</v>
      </c>
      <c r="F949" t="str">
        <f>IF('Boletins Nuppa Site'!I949&lt;&gt;0,'Boletins Nuppa Site'!I949,"NULL")</f>
        <v>NULL</v>
      </c>
      <c r="G949" t="str">
        <f>IF('Boletins Nuppa Site'!J949&lt;&gt;0,'Boletins Nuppa Site'!J949,"NULL")</f>
        <v>NULL</v>
      </c>
      <c r="H949" t="str">
        <f>IF('Boletins Nuppa Site'!K949&lt;&gt;0,'Boletins Nuppa Site'!K949,"NULL")</f>
        <v>NULL</v>
      </c>
      <c r="I949" t="str">
        <f t="shared" si="28"/>
        <v>INSERT INTO COTACAO (cot_id, cot_blt_id, cot_pap_id, cot_prc_comum, cot_prc_min, cot_prc_max, cot_prc_med, cot_prc_mediana) VALUES (948, 60, 36, NULL, NULL, NULL, NULL, NULL);</v>
      </c>
      <c r="J949" t="str">
        <f t="shared" si="29"/>
        <v>UPDATE COTACAO SET cot_id = 948, cot_blt_id = 60, cot_pap_id = 36, cot_prc_comum = NULL, cot_prc_min = NULL, cot_prc_max = NULL, cot_prc_med = NULL, cot_prc_mediana = NULL WHERE cot_id = 948;</v>
      </c>
    </row>
    <row r="950" spans="1:10" x14ac:dyDescent="0.3">
      <c r="A950">
        <v>949</v>
      </c>
      <c r="B950">
        <f>IF('Boletins Nuppa Site'!A950&lt;&gt;0,'Boletins Nuppa Site'!A950,"NULL")</f>
        <v>60</v>
      </c>
      <c r="C950">
        <v>37</v>
      </c>
      <c r="D950" t="str">
        <f>IF('Boletins Nuppa Site'!G950&lt;&gt;0,'Boletins Nuppa Site'!G950,"NULL")</f>
        <v>NULL</v>
      </c>
      <c r="E950" t="str">
        <f>IF('Boletins Nuppa Site'!H950&lt;&gt;0,'Boletins Nuppa Site'!H950,"NULL")</f>
        <v>NULL</v>
      </c>
      <c r="F950" t="str">
        <f>IF('Boletins Nuppa Site'!I950&lt;&gt;0,'Boletins Nuppa Site'!I950,"NULL")</f>
        <v>NULL</v>
      </c>
      <c r="G950" t="str">
        <f>IF('Boletins Nuppa Site'!J950&lt;&gt;0,'Boletins Nuppa Site'!J950,"NULL")</f>
        <v>NULL</v>
      </c>
      <c r="H950" t="str">
        <f>IF('Boletins Nuppa Site'!K950&lt;&gt;0,'Boletins Nuppa Site'!K950,"NULL")</f>
        <v>NULL</v>
      </c>
      <c r="I950" t="str">
        <f t="shared" si="28"/>
        <v>INSERT INTO COTACAO (cot_id, cot_blt_id, cot_pap_id, cot_prc_comum, cot_prc_min, cot_prc_max, cot_prc_med, cot_prc_mediana) VALUES (949, 60, 37, NULL, NULL, NULL, NULL, NULL);</v>
      </c>
      <c r="J950" t="str">
        <f t="shared" si="29"/>
        <v>UPDATE COTACAO SET cot_id = 949, cot_blt_id = 60, cot_pap_id = 37, cot_prc_comum = NULL, cot_prc_min = NULL, cot_prc_max = NULL, cot_prc_med = NULL, cot_prc_mediana = NULL WHERE cot_id = 949;</v>
      </c>
    </row>
    <row r="951" spans="1:10" x14ac:dyDescent="0.3">
      <c r="A951">
        <v>950</v>
      </c>
      <c r="B951">
        <f>IF('Boletins Nuppa Site'!A951&lt;&gt;0,'Boletins Nuppa Site'!A951,"NULL")</f>
        <v>60</v>
      </c>
      <c r="C951">
        <v>38</v>
      </c>
      <c r="D951" t="str">
        <f>IF('Boletins Nuppa Site'!G951&lt;&gt;0,'Boletins Nuppa Site'!G951,"NULL")</f>
        <v>NULL</v>
      </c>
      <c r="E951" t="str">
        <f>IF('Boletins Nuppa Site'!H951&lt;&gt;0,'Boletins Nuppa Site'!H951,"NULL")</f>
        <v>NULL</v>
      </c>
      <c r="F951" t="str">
        <f>IF('Boletins Nuppa Site'!I951&lt;&gt;0,'Boletins Nuppa Site'!I951,"NULL")</f>
        <v>NULL</v>
      </c>
      <c r="G951" t="str">
        <f>IF('Boletins Nuppa Site'!J951&lt;&gt;0,'Boletins Nuppa Site'!J951,"NULL")</f>
        <v>NULL</v>
      </c>
      <c r="H951" t="str">
        <f>IF('Boletins Nuppa Site'!K951&lt;&gt;0,'Boletins Nuppa Site'!K951,"NULL")</f>
        <v>NULL</v>
      </c>
      <c r="I951" t="str">
        <f t="shared" si="28"/>
        <v>INSERT INTO COTACAO (cot_id, cot_blt_id, cot_pap_id, cot_prc_comum, cot_prc_min, cot_prc_max, cot_prc_med, cot_prc_mediana) VALUES (950, 60, 38, NULL, NULL, NULL, NULL, NULL);</v>
      </c>
      <c r="J951" t="str">
        <f t="shared" si="29"/>
        <v>UPDATE COTACAO SET cot_id = 950, cot_blt_id = 60, cot_pap_id = 38, cot_prc_comum = NULL, cot_prc_min = NULL, cot_prc_max = NULL, cot_prc_med = NULL, cot_prc_mediana = NULL WHERE cot_id = 950;</v>
      </c>
    </row>
    <row r="952" spans="1:10" x14ac:dyDescent="0.3">
      <c r="A952">
        <v>951</v>
      </c>
      <c r="B952">
        <f>IF('Boletins Nuppa Site'!A952&lt;&gt;0,'Boletins Nuppa Site'!A952,"NULL")</f>
        <v>60</v>
      </c>
      <c r="C952">
        <v>39</v>
      </c>
      <c r="D952" s="14">
        <f>IF('Boletins Nuppa Site'!G952&lt;&gt;0,'Boletins Nuppa Site'!G952,"NULL")</f>
        <v>48</v>
      </c>
      <c r="E952" s="14">
        <f>IF('Boletins Nuppa Site'!H952&lt;&gt;0,'Boletins Nuppa Site'!H952,"NULL")</f>
        <v>48</v>
      </c>
      <c r="F952" s="14">
        <f>IF('Boletins Nuppa Site'!I952&lt;&gt;0,'Boletins Nuppa Site'!I952,"NULL")</f>
        <v>48</v>
      </c>
      <c r="G952" s="14">
        <f>IF('Boletins Nuppa Site'!J952&lt;&gt;0,'Boletins Nuppa Site'!J952,"NULL")</f>
        <v>48</v>
      </c>
      <c r="H952" s="14">
        <f>IF('Boletins Nuppa Site'!K952&lt;&gt;0,'Boletins Nuppa Site'!K952,"NULL")</f>
        <v>48</v>
      </c>
      <c r="I952" t="str">
        <f t="shared" si="28"/>
        <v>INSERT INTO COTACAO (cot_id, cot_blt_id, cot_pap_id, cot_prc_comum, cot_prc_min, cot_prc_max, cot_prc_med, cot_prc_mediana) VALUES (951, 60, 39, 48, 48, 48, 48, 48);</v>
      </c>
      <c r="J952" t="str">
        <f t="shared" si="29"/>
        <v>UPDATE COTACAO SET cot_id = 951, cot_blt_id = 60, cot_pap_id = 39, cot_prc_comum = 48, cot_prc_min = 48, cot_prc_max = 48, cot_prc_med = 48, cot_prc_mediana = 48 WHERE cot_id = 951;</v>
      </c>
    </row>
    <row r="953" spans="1:10" x14ac:dyDescent="0.3">
      <c r="A953">
        <v>952</v>
      </c>
      <c r="B953">
        <f>IF('Boletins Nuppa Site'!A953&lt;&gt;0,'Boletins Nuppa Site'!A953,"NULL")</f>
        <v>60</v>
      </c>
      <c r="C953">
        <v>40</v>
      </c>
      <c r="D953" s="14">
        <f>IF('Boletins Nuppa Site'!G953&lt;&gt;0,'Boletins Nuppa Site'!G953,"NULL")</f>
        <v>70</v>
      </c>
      <c r="E953" s="14">
        <f>IF('Boletins Nuppa Site'!H953&lt;&gt;0,'Boletins Nuppa Site'!H953,"NULL")</f>
        <v>65</v>
      </c>
      <c r="F953" s="14">
        <f>IF('Boletins Nuppa Site'!I953&lt;&gt;0,'Boletins Nuppa Site'!I953,"NULL")</f>
        <v>70</v>
      </c>
      <c r="G953" t="str">
        <f>IF('Boletins Nuppa Site'!J953&lt;&gt;0,'Boletins Nuppa Site'!J953,"NULL")</f>
        <v>68.33</v>
      </c>
      <c r="H953" s="14">
        <f>IF('Boletins Nuppa Site'!K953&lt;&gt;0,'Boletins Nuppa Site'!K953,"NULL")</f>
        <v>70</v>
      </c>
      <c r="I953" t="str">
        <f t="shared" si="28"/>
        <v>INSERT INTO COTACAO (cot_id, cot_blt_id, cot_pap_id, cot_prc_comum, cot_prc_min, cot_prc_max, cot_prc_med, cot_prc_mediana) VALUES (952, 60, 40, 70, 65, 70, 68.33, 70);</v>
      </c>
      <c r="J953" t="str">
        <f t="shared" si="29"/>
        <v>UPDATE COTACAO SET cot_id = 952, cot_blt_id = 60, cot_pap_id = 40, cot_prc_comum = 70, cot_prc_min = 65, cot_prc_max = 70, cot_prc_med = 68.33, cot_prc_mediana = 70 WHERE cot_id = 952;</v>
      </c>
    </row>
    <row r="954" spans="1:10" x14ac:dyDescent="0.3">
      <c r="A954">
        <v>953</v>
      </c>
      <c r="B954">
        <f>IF('Boletins Nuppa Site'!A954&lt;&gt;0,'Boletins Nuppa Site'!A954,"NULL")</f>
        <v>62</v>
      </c>
      <c r="C954">
        <v>1</v>
      </c>
      <c r="D954" s="14">
        <f>IF('Boletins Nuppa Site'!G954&lt;&gt;0,'Boletins Nuppa Site'!G954,"NULL")</f>
        <v>60</v>
      </c>
      <c r="E954" s="14">
        <f>IF('Boletins Nuppa Site'!H954&lt;&gt;0,'Boletins Nuppa Site'!H954,"NULL")</f>
        <v>48</v>
      </c>
      <c r="F954" s="14">
        <f>IF('Boletins Nuppa Site'!I954&lt;&gt;0,'Boletins Nuppa Site'!I954,"NULL")</f>
        <v>60</v>
      </c>
      <c r="G954" s="14">
        <f>IF('Boletins Nuppa Site'!J954&lt;&gt;0,'Boletins Nuppa Site'!J954,"NULL")</f>
        <v>54</v>
      </c>
      <c r="H954" s="14">
        <f>IF('Boletins Nuppa Site'!K954&lt;&gt;0,'Boletins Nuppa Site'!K954,"NULL")</f>
        <v>54</v>
      </c>
      <c r="I954" t="str">
        <f t="shared" si="28"/>
        <v>INSERT INTO COTACAO (cot_id, cot_blt_id, cot_pap_id, cot_prc_comum, cot_prc_min, cot_prc_max, cot_prc_med, cot_prc_mediana) VALUES (953, 62, 1, 60, 48, 60, 54, 54);</v>
      </c>
      <c r="J954" t="str">
        <f t="shared" si="29"/>
        <v>UPDATE COTACAO SET cot_id = 953, cot_blt_id = 62, cot_pap_id = 1, cot_prc_comum = 60, cot_prc_min = 48, cot_prc_max = 60, cot_prc_med = 54, cot_prc_mediana = 54 WHERE cot_id = 953;</v>
      </c>
    </row>
    <row r="955" spans="1:10" x14ac:dyDescent="0.3">
      <c r="A955">
        <v>954</v>
      </c>
      <c r="B955">
        <f>IF('Boletins Nuppa Site'!A955&lt;&gt;0,'Boletins Nuppa Site'!A955,"NULL")</f>
        <v>62</v>
      </c>
      <c r="C955">
        <v>2</v>
      </c>
      <c r="D955" s="14">
        <f>IF('Boletins Nuppa Site'!G955&lt;&gt;0,'Boletins Nuppa Site'!G955,"NULL")</f>
        <v>84</v>
      </c>
      <c r="E955" s="14">
        <f>IF('Boletins Nuppa Site'!H955&lt;&gt;0,'Boletins Nuppa Site'!H955,"NULL")</f>
        <v>60</v>
      </c>
      <c r="F955" s="14">
        <f>IF('Boletins Nuppa Site'!I955&lt;&gt;0,'Boletins Nuppa Site'!I955,"NULL")</f>
        <v>84</v>
      </c>
      <c r="G955" t="str">
        <f>IF('Boletins Nuppa Site'!J955&lt;&gt;0,'Boletins Nuppa Site'!J955,"NULL")</f>
        <v>74.4</v>
      </c>
      <c r="H955" s="14">
        <f>IF('Boletins Nuppa Site'!K955&lt;&gt;0,'Boletins Nuppa Site'!K955,"NULL")</f>
        <v>72</v>
      </c>
      <c r="I955" t="str">
        <f t="shared" si="28"/>
        <v>INSERT INTO COTACAO (cot_id, cot_blt_id, cot_pap_id, cot_prc_comum, cot_prc_min, cot_prc_max, cot_prc_med, cot_prc_mediana) VALUES (954, 62, 2, 84, 60, 84, 74.4, 72);</v>
      </c>
      <c r="J955" t="str">
        <f t="shared" si="29"/>
        <v>UPDATE COTACAO SET cot_id = 954, cot_blt_id = 62, cot_pap_id = 2, cot_prc_comum = 84, cot_prc_min = 60, cot_prc_max = 84, cot_prc_med = 74.4, cot_prc_mediana = 72 WHERE cot_id = 954;</v>
      </c>
    </row>
    <row r="956" spans="1:10" x14ac:dyDescent="0.3">
      <c r="A956">
        <v>955</v>
      </c>
      <c r="B956">
        <f>IF('Boletins Nuppa Site'!A956&lt;&gt;0,'Boletins Nuppa Site'!A956,"NULL")</f>
        <v>62</v>
      </c>
      <c r="C956">
        <v>3</v>
      </c>
      <c r="D956" s="14">
        <f>IF('Boletins Nuppa Site'!G956&lt;&gt;0,'Boletins Nuppa Site'!G956,"NULL")</f>
        <v>36</v>
      </c>
      <c r="E956" s="14">
        <f>IF('Boletins Nuppa Site'!H956&lt;&gt;0,'Boletins Nuppa Site'!H956,"NULL")</f>
        <v>30</v>
      </c>
      <c r="F956" s="14">
        <f>IF('Boletins Nuppa Site'!I956&lt;&gt;0,'Boletins Nuppa Site'!I956,"NULL")</f>
        <v>48</v>
      </c>
      <c r="G956" s="14">
        <f>IF('Boletins Nuppa Site'!J956&lt;&gt;0,'Boletins Nuppa Site'!J956,"NULL")</f>
        <v>36</v>
      </c>
      <c r="H956" s="14">
        <f>IF('Boletins Nuppa Site'!K956&lt;&gt;0,'Boletins Nuppa Site'!K956,"NULL")</f>
        <v>36</v>
      </c>
      <c r="I956" t="str">
        <f t="shared" si="28"/>
        <v>INSERT INTO COTACAO (cot_id, cot_blt_id, cot_pap_id, cot_prc_comum, cot_prc_min, cot_prc_max, cot_prc_med, cot_prc_mediana) VALUES (955, 62, 3, 36, 30, 48, 36, 36);</v>
      </c>
      <c r="J956" t="str">
        <f t="shared" si="29"/>
        <v>UPDATE COTACAO SET cot_id = 955, cot_blt_id = 62, cot_pap_id = 3, cot_prc_comum = 36, cot_prc_min = 30, cot_prc_max = 48, cot_prc_med = 36, cot_prc_mediana = 36 WHERE cot_id = 955;</v>
      </c>
    </row>
    <row r="957" spans="1:10" x14ac:dyDescent="0.3">
      <c r="A957">
        <v>956</v>
      </c>
      <c r="B957">
        <f>IF('Boletins Nuppa Site'!A957&lt;&gt;0,'Boletins Nuppa Site'!A957,"NULL")</f>
        <v>62</v>
      </c>
      <c r="C957">
        <v>4</v>
      </c>
      <c r="D957" s="14">
        <f>IF('Boletins Nuppa Site'!G957&lt;&gt;0,'Boletins Nuppa Site'!G957,"NULL")</f>
        <v>24</v>
      </c>
      <c r="E957" s="14">
        <f>IF('Boletins Nuppa Site'!H957&lt;&gt;0,'Boletins Nuppa Site'!H957,"NULL")</f>
        <v>18</v>
      </c>
      <c r="F957" s="14">
        <f>IF('Boletins Nuppa Site'!I957&lt;&gt;0,'Boletins Nuppa Site'!I957,"NULL")</f>
        <v>30</v>
      </c>
      <c r="G957" t="str">
        <f>IF('Boletins Nuppa Site'!J957&lt;&gt;0,'Boletins Nuppa Site'!J957,"NULL")</f>
        <v>22.8</v>
      </c>
      <c r="H957" s="14">
        <f>IF('Boletins Nuppa Site'!K957&lt;&gt;0,'Boletins Nuppa Site'!K957,"NULL")</f>
        <v>24</v>
      </c>
      <c r="I957" t="str">
        <f t="shared" si="28"/>
        <v>INSERT INTO COTACAO (cot_id, cot_blt_id, cot_pap_id, cot_prc_comum, cot_prc_min, cot_prc_max, cot_prc_med, cot_prc_mediana) VALUES (956, 62, 4, 24, 18, 30, 22.8, 24);</v>
      </c>
      <c r="J957" t="str">
        <f t="shared" si="29"/>
        <v>UPDATE COTACAO SET cot_id = 956, cot_blt_id = 62, cot_pap_id = 4, cot_prc_comum = 24, cot_prc_min = 18, cot_prc_max = 30, cot_prc_med = 22.8, cot_prc_mediana = 24 WHERE cot_id = 956;</v>
      </c>
    </row>
    <row r="958" spans="1:10" x14ac:dyDescent="0.3">
      <c r="A958">
        <v>957</v>
      </c>
      <c r="B958">
        <f>IF('Boletins Nuppa Site'!A958&lt;&gt;0,'Boletins Nuppa Site'!A958,"NULL")</f>
        <v>62</v>
      </c>
      <c r="C958">
        <v>5</v>
      </c>
      <c r="D958" s="14">
        <f>IF('Boletins Nuppa Site'!G958&lt;&gt;0,'Boletins Nuppa Site'!G958,"NULL")</f>
        <v>30</v>
      </c>
      <c r="E958" s="14">
        <f>IF('Boletins Nuppa Site'!H958&lt;&gt;0,'Boletins Nuppa Site'!H958,"NULL")</f>
        <v>18</v>
      </c>
      <c r="F958" s="14">
        <f>IF('Boletins Nuppa Site'!I958&lt;&gt;0,'Boletins Nuppa Site'!I958,"NULL")</f>
        <v>30</v>
      </c>
      <c r="G958" t="str">
        <f>IF('Boletins Nuppa Site'!J958&lt;&gt;0,'Boletins Nuppa Site'!J958,"NULL")</f>
        <v>25.2</v>
      </c>
      <c r="H958" s="14">
        <f>IF('Boletins Nuppa Site'!K958&lt;&gt;0,'Boletins Nuppa Site'!K958,"NULL")</f>
        <v>24</v>
      </c>
      <c r="I958" t="str">
        <f t="shared" si="28"/>
        <v>INSERT INTO COTACAO (cot_id, cot_blt_id, cot_pap_id, cot_prc_comum, cot_prc_min, cot_prc_max, cot_prc_med, cot_prc_mediana) VALUES (957, 62, 5, 30, 18, 30, 25.2, 24);</v>
      </c>
      <c r="J958" t="str">
        <f t="shared" si="29"/>
        <v>UPDATE COTACAO SET cot_id = 957, cot_blt_id = 62, cot_pap_id = 5, cot_prc_comum = 30, cot_prc_min = 18, cot_prc_max = 30, cot_prc_med = 25.2, cot_prc_mediana = 24 WHERE cot_id = 957;</v>
      </c>
    </row>
    <row r="959" spans="1:10" x14ac:dyDescent="0.3">
      <c r="A959">
        <v>958</v>
      </c>
      <c r="B959">
        <f>IF('Boletins Nuppa Site'!A959&lt;&gt;0,'Boletins Nuppa Site'!A959,"NULL")</f>
        <v>62</v>
      </c>
      <c r="C959">
        <v>6</v>
      </c>
      <c r="D959" s="14">
        <f>IF('Boletins Nuppa Site'!G959&lt;&gt;0,'Boletins Nuppa Site'!G959,"NULL")</f>
        <v>60</v>
      </c>
      <c r="E959" s="14">
        <f>IF('Boletins Nuppa Site'!H959&lt;&gt;0,'Boletins Nuppa Site'!H959,"NULL")</f>
        <v>60</v>
      </c>
      <c r="F959" s="14">
        <f>IF('Boletins Nuppa Site'!I959&lt;&gt;0,'Boletins Nuppa Site'!I959,"NULL")</f>
        <v>60</v>
      </c>
      <c r="G959" s="14">
        <f>IF('Boletins Nuppa Site'!J959&lt;&gt;0,'Boletins Nuppa Site'!J959,"NULL")</f>
        <v>60</v>
      </c>
      <c r="H959" s="14">
        <f>IF('Boletins Nuppa Site'!K959&lt;&gt;0,'Boletins Nuppa Site'!K959,"NULL")</f>
        <v>60</v>
      </c>
      <c r="I959" t="str">
        <f t="shared" si="28"/>
        <v>INSERT INTO COTACAO (cot_id, cot_blt_id, cot_pap_id, cot_prc_comum, cot_prc_min, cot_prc_max, cot_prc_med, cot_prc_mediana) VALUES (958, 62, 6, 60, 60, 60, 60, 60);</v>
      </c>
      <c r="J959" t="str">
        <f t="shared" si="29"/>
        <v>UPDATE COTACAO SET cot_id = 958, cot_blt_id = 62, cot_pap_id = 6, cot_prc_comum = 60, cot_prc_min = 60, cot_prc_max = 60, cot_prc_med = 60, cot_prc_mediana = 60 WHERE cot_id = 958;</v>
      </c>
    </row>
    <row r="960" spans="1:10" x14ac:dyDescent="0.3">
      <c r="A960">
        <v>959</v>
      </c>
      <c r="B960">
        <f>IF('Boletins Nuppa Site'!A960&lt;&gt;0,'Boletins Nuppa Site'!A960,"NULL")</f>
        <v>62</v>
      </c>
      <c r="C960">
        <v>7</v>
      </c>
      <c r="D960" s="14">
        <f>IF('Boletins Nuppa Site'!G960&lt;&gt;0,'Boletins Nuppa Site'!G960,"NULL")</f>
        <v>60</v>
      </c>
      <c r="E960" s="14">
        <f>IF('Boletins Nuppa Site'!H960&lt;&gt;0,'Boletins Nuppa Site'!H960,"NULL")</f>
        <v>60</v>
      </c>
      <c r="F960" s="14">
        <f>IF('Boletins Nuppa Site'!I960&lt;&gt;0,'Boletins Nuppa Site'!I960,"NULL")</f>
        <v>72</v>
      </c>
      <c r="G960" t="str">
        <f>IF('Boletins Nuppa Site'!J960&lt;&gt;0,'Boletins Nuppa Site'!J960,"NULL")</f>
        <v>62.4</v>
      </c>
      <c r="H960" s="14">
        <f>IF('Boletins Nuppa Site'!K960&lt;&gt;0,'Boletins Nuppa Site'!K960,"NULL")</f>
        <v>60</v>
      </c>
      <c r="I960" t="str">
        <f t="shared" si="28"/>
        <v>INSERT INTO COTACAO (cot_id, cot_blt_id, cot_pap_id, cot_prc_comum, cot_prc_min, cot_prc_max, cot_prc_med, cot_prc_mediana) VALUES (959, 62, 7, 60, 60, 72, 62.4, 60);</v>
      </c>
      <c r="J960" t="str">
        <f t="shared" si="29"/>
        <v>UPDATE COTACAO SET cot_id = 959, cot_blt_id = 62, cot_pap_id = 7, cot_prc_comum = 60, cot_prc_min = 60, cot_prc_max = 72, cot_prc_med = 62.4, cot_prc_mediana = 60 WHERE cot_id = 959;</v>
      </c>
    </row>
    <row r="961" spans="1:10" x14ac:dyDescent="0.3">
      <c r="A961">
        <v>960</v>
      </c>
      <c r="B961">
        <f>IF('Boletins Nuppa Site'!A961&lt;&gt;0,'Boletins Nuppa Site'!A961,"NULL")</f>
        <v>62</v>
      </c>
      <c r="C961">
        <v>8</v>
      </c>
      <c r="D961" s="14">
        <f>IF('Boletins Nuppa Site'!G961&lt;&gt;0,'Boletins Nuppa Site'!G961,"NULL")</f>
        <v>84</v>
      </c>
      <c r="E961" s="14">
        <f>IF('Boletins Nuppa Site'!H961&lt;&gt;0,'Boletins Nuppa Site'!H961,"NULL")</f>
        <v>72</v>
      </c>
      <c r="F961" s="14">
        <f>IF('Boletins Nuppa Site'!I961&lt;&gt;0,'Boletins Nuppa Site'!I961,"NULL")</f>
        <v>96</v>
      </c>
      <c r="G961" s="14">
        <f>IF('Boletins Nuppa Site'!J961&lt;&gt;0,'Boletins Nuppa Site'!J961,"NULL")</f>
        <v>84</v>
      </c>
      <c r="H961" s="14">
        <f>IF('Boletins Nuppa Site'!K961&lt;&gt;0,'Boletins Nuppa Site'!K961,"NULL")</f>
        <v>84</v>
      </c>
      <c r="I961" t="str">
        <f t="shared" si="28"/>
        <v>INSERT INTO COTACAO (cot_id, cot_blt_id, cot_pap_id, cot_prc_comum, cot_prc_min, cot_prc_max, cot_prc_med, cot_prc_mediana) VALUES (960, 62, 8, 84, 72, 96, 84, 84);</v>
      </c>
      <c r="J961" t="str">
        <f t="shared" si="29"/>
        <v>UPDATE COTACAO SET cot_id = 960, cot_blt_id = 62, cot_pap_id = 8, cot_prc_comum = 84, cot_prc_min = 72, cot_prc_max = 96, cot_prc_med = 84, cot_prc_mediana = 84 WHERE cot_id = 960;</v>
      </c>
    </row>
    <row r="962" spans="1:10" x14ac:dyDescent="0.3">
      <c r="A962">
        <v>961</v>
      </c>
      <c r="B962">
        <f>IF('Boletins Nuppa Site'!A962&lt;&gt;0,'Boletins Nuppa Site'!A962,"NULL")</f>
        <v>62</v>
      </c>
      <c r="C962">
        <v>9</v>
      </c>
      <c r="D962" s="14">
        <f>IF('Boletins Nuppa Site'!G962&lt;&gt;0,'Boletins Nuppa Site'!G962,"NULL")</f>
        <v>24</v>
      </c>
      <c r="E962" s="14">
        <f>IF('Boletins Nuppa Site'!H962&lt;&gt;0,'Boletins Nuppa Site'!H962,"NULL")</f>
        <v>18</v>
      </c>
      <c r="F962" s="14">
        <f>IF('Boletins Nuppa Site'!I962&lt;&gt;0,'Boletins Nuppa Site'!I962,"NULL")</f>
        <v>30</v>
      </c>
      <c r="G962" t="str">
        <f>IF('Boletins Nuppa Site'!J962&lt;&gt;0,'Boletins Nuppa Site'!J962,"NULL")</f>
        <v>22.8</v>
      </c>
      <c r="H962" s="14">
        <f>IF('Boletins Nuppa Site'!K962&lt;&gt;0,'Boletins Nuppa Site'!K962,"NULL")</f>
        <v>24</v>
      </c>
      <c r="I962" t="str">
        <f t="shared" si="28"/>
        <v>INSERT INTO COTACAO (cot_id, cot_blt_id, cot_pap_id, cot_prc_comum, cot_prc_min, cot_prc_max, cot_prc_med, cot_prc_mediana) VALUES (961, 62, 9, 24, 18, 30, 22.8, 24);</v>
      </c>
      <c r="J962" t="str">
        <f t="shared" si="29"/>
        <v>UPDATE COTACAO SET cot_id = 961, cot_blt_id = 62, cot_pap_id = 9, cot_prc_comum = 24, cot_prc_min = 18, cot_prc_max = 30, cot_prc_med = 22.8, cot_prc_mediana = 24 WHERE cot_id = 961;</v>
      </c>
    </row>
    <row r="963" spans="1:10" x14ac:dyDescent="0.3">
      <c r="A963">
        <v>962</v>
      </c>
      <c r="B963">
        <f>IF('Boletins Nuppa Site'!A963&lt;&gt;0,'Boletins Nuppa Site'!A963,"NULL")</f>
        <v>62</v>
      </c>
      <c r="C963">
        <v>10</v>
      </c>
      <c r="D963" s="14">
        <f>IF('Boletins Nuppa Site'!G963&lt;&gt;0,'Boletins Nuppa Site'!G963,"NULL")</f>
        <v>72</v>
      </c>
      <c r="E963" s="14">
        <f>IF('Boletins Nuppa Site'!H963&lt;&gt;0,'Boletins Nuppa Site'!H963,"NULL")</f>
        <v>72</v>
      </c>
      <c r="F963" s="14">
        <f>IF('Boletins Nuppa Site'!I963&lt;&gt;0,'Boletins Nuppa Site'!I963,"NULL")</f>
        <v>84</v>
      </c>
      <c r="G963" s="14">
        <f>IF('Boletins Nuppa Site'!J963&lt;&gt;0,'Boletins Nuppa Site'!J963,"NULL")</f>
        <v>75</v>
      </c>
      <c r="H963" s="14">
        <f>IF('Boletins Nuppa Site'!K963&lt;&gt;0,'Boletins Nuppa Site'!K963,"NULL")</f>
        <v>72</v>
      </c>
      <c r="I963" t="str">
        <f t="shared" ref="I963:I1026" si="30">"INSERT INTO COTACAO (cot_id, cot_blt_id, cot_pap_id, cot_prc_comum, cot_prc_min, cot_prc_max, cot_prc_med, cot_prc_mediana) VALUES ("&amp;A963&amp;", "&amp;B963&amp;", "&amp;C963&amp;", "&amp;D963&amp;", "&amp;E963&amp;", "&amp;F963&amp;", "&amp;G963&amp;", "&amp;H963&amp;");"</f>
        <v>INSERT INTO COTACAO (cot_id, cot_blt_id, cot_pap_id, cot_prc_comum, cot_prc_min, cot_prc_max, cot_prc_med, cot_prc_mediana) VALUES (962, 62, 10, 72, 72, 84, 75, 72);</v>
      </c>
      <c r="J963" t="str">
        <f t="shared" ref="J963:J1026" si="31">"UPDATE COTACAO SET cot_id = "&amp;A963&amp;", cot_blt_id = "&amp;B963&amp;", cot_pap_id = "&amp;C963&amp;", cot_prc_comum = "&amp;D963&amp;", cot_prc_min = "&amp;E963&amp;", cot_prc_max = "&amp;F963&amp;", cot_prc_med = "&amp;G963&amp;", cot_prc_mediana = "&amp;H963&amp;" WHERE cot_id = "&amp;A963&amp;";"</f>
        <v>UPDATE COTACAO SET cot_id = 962, cot_blt_id = 62, cot_pap_id = 10, cot_prc_comum = 72, cot_prc_min = 72, cot_prc_max = 84, cot_prc_med = 75, cot_prc_mediana = 72 WHERE cot_id = 962;</v>
      </c>
    </row>
    <row r="964" spans="1:10" x14ac:dyDescent="0.3">
      <c r="A964">
        <v>963</v>
      </c>
      <c r="B964">
        <f>IF('Boletins Nuppa Site'!A964&lt;&gt;0,'Boletins Nuppa Site'!A964,"NULL")</f>
        <v>62</v>
      </c>
      <c r="C964">
        <v>11</v>
      </c>
      <c r="D964" s="14">
        <f>IF('Boletins Nuppa Site'!G964&lt;&gt;0,'Boletins Nuppa Site'!G964,"NULL")</f>
        <v>30</v>
      </c>
      <c r="E964" s="14">
        <f>IF('Boletins Nuppa Site'!H964&lt;&gt;0,'Boletins Nuppa Site'!H964,"NULL")</f>
        <v>18</v>
      </c>
      <c r="F964" s="14">
        <f>IF('Boletins Nuppa Site'!I964&lt;&gt;0,'Boletins Nuppa Site'!I964,"NULL")</f>
        <v>30</v>
      </c>
      <c r="G964" t="str">
        <f>IF('Boletins Nuppa Site'!J964&lt;&gt;0,'Boletins Nuppa Site'!J964,"NULL")</f>
        <v>25.2</v>
      </c>
      <c r="H964" s="14">
        <f>IF('Boletins Nuppa Site'!K964&lt;&gt;0,'Boletins Nuppa Site'!K964,"NULL")</f>
        <v>24</v>
      </c>
      <c r="I964" t="str">
        <f t="shared" si="30"/>
        <v>INSERT INTO COTACAO (cot_id, cot_blt_id, cot_pap_id, cot_prc_comum, cot_prc_min, cot_prc_max, cot_prc_med, cot_prc_mediana) VALUES (963, 62, 11, 30, 18, 30, 25.2, 24);</v>
      </c>
      <c r="J964" t="str">
        <f t="shared" si="31"/>
        <v>UPDATE COTACAO SET cot_id = 963, cot_blt_id = 62, cot_pap_id = 11, cot_prc_comum = 30, cot_prc_min = 18, cot_prc_max = 30, cot_prc_med = 25.2, cot_prc_mediana = 24 WHERE cot_id = 963;</v>
      </c>
    </row>
    <row r="965" spans="1:10" x14ac:dyDescent="0.3">
      <c r="A965">
        <v>964</v>
      </c>
      <c r="B965">
        <f>IF('Boletins Nuppa Site'!A965&lt;&gt;0,'Boletins Nuppa Site'!A965,"NULL")</f>
        <v>62</v>
      </c>
      <c r="C965">
        <v>12</v>
      </c>
      <c r="D965" s="14">
        <f>IF('Boletins Nuppa Site'!G965&lt;&gt;0,'Boletins Nuppa Site'!G965,"NULL")</f>
        <v>60</v>
      </c>
      <c r="E965" s="14">
        <f>IF('Boletins Nuppa Site'!H965&lt;&gt;0,'Boletins Nuppa Site'!H965,"NULL")</f>
        <v>60</v>
      </c>
      <c r="F965" s="14">
        <f>IF('Boletins Nuppa Site'!I965&lt;&gt;0,'Boletins Nuppa Site'!I965,"NULL")</f>
        <v>60</v>
      </c>
      <c r="G965" s="14">
        <f>IF('Boletins Nuppa Site'!J965&lt;&gt;0,'Boletins Nuppa Site'!J965,"NULL")</f>
        <v>60</v>
      </c>
      <c r="H965" s="14">
        <f>IF('Boletins Nuppa Site'!K965&lt;&gt;0,'Boletins Nuppa Site'!K965,"NULL")</f>
        <v>60</v>
      </c>
      <c r="I965" t="str">
        <f t="shared" si="30"/>
        <v>INSERT INTO COTACAO (cot_id, cot_blt_id, cot_pap_id, cot_prc_comum, cot_prc_min, cot_prc_max, cot_prc_med, cot_prc_mediana) VALUES (964, 62, 12, 60, 60, 60, 60, 60);</v>
      </c>
      <c r="J965" t="str">
        <f t="shared" si="31"/>
        <v>UPDATE COTACAO SET cot_id = 964, cot_blt_id = 62, cot_pap_id = 12, cot_prc_comum = 60, cot_prc_min = 60, cot_prc_max = 60, cot_prc_med = 60, cot_prc_mediana = 60 WHERE cot_id = 964;</v>
      </c>
    </row>
    <row r="966" spans="1:10" x14ac:dyDescent="0.3">
      <c r="A966">
        <v>965</v>
      </c>
      <c r="B966">
        <f>IF('Boletins Nuppa Site'!A966&lt;&gt;0,'Boletins Nuppa Site'!A966,"NULL")</f>
        <v>62</v>
      </c>
      <c r="C966">
        <v>13</v>
      </c>
      <c r="D966" s="14">
        <f>IF('Boletins Nuppa Site'!G966&lt;&gt;0,'Boletins Nuppa Site'!G966,"NULL")</f>
        <v>60</v>
      </c>
      <c r="E966" s="14">
        <f>IF('Boletins Nuppa Site'!H966&lt;&gt;0,'Boletins Nuppa Site'!H966,"NULL")</f>
        <v>48</v>
      </c>
      <c r="F966" s="14">
        <f>IF('Boletins Nuppa Site'!I966&lt;&gt;0,'Boletins Nuppa Site'!I966,"NULL")</f>
        <v>60</v>
      </c>
      <c r="G966" s="14">
        <f>IF('Boletins Nuppa Site'!J966&lt;&gt;0,'Boletins Nuppa Site'!J966,"NULL")</f>
        <v>54</v>
      </c>
      <c r="H966" s="14">
        <f>IF('Boletins Nuppa Site'!K966&lt;&gt;0,'Boletins Nuppa Site'!K966,"NULL")</f>
        <v>54</v>
      </c>
      <c r="I966" t="str">
        <f t="shared" si="30"/>
        <v>INSERT INTO COTACAO (cot_id, cot_blt_id, cot_pap_id, cot_prc_comum, cot_prc_min, cot_prc_max, cot_prc_med, cot_prc_mediana) VALUES (965, 62, 13, 60, 48, 60, 54, 54);</v>
      </c>
      <c r="J966" t="str">
        <f t="shared" si="31"/>
        <v>UPDATE COTACAO SET cot_id = 965, cot_blt_id = 62, cot_pap_id = 13, cot_prc_comum = 60, cot_prc_min = 48, cot_prc_max = 60, cot_prc_med = 54, cot_prc_mediana = 54 WHERE cot_id = 965;</v>
      </c>
    </row>
    <row r="967" spans="1:10" x14ac:dyDescent="0.3">
      <c r="A967">
        <v>966</v>
      </c>
      <c r="B967">
        <f>IF('Boletins Nuppa Site'!A967&lt;&gt;0,'Boletins Nuppa Site'!A967,"NULL")</f>
        <v>62</v>
      </c>
      <c r="C967">
        <v>14</v>
      </c>
      <c r="D967" s="14">
        <f>IF('Boletins Nuppa Site'!G967&lt;&gt;0,'Boletins Nuppa Site'!G967,"NULL")</f>
        <v>60</v>
      </c>
      <c r="E967" s="14">
        <f>IF('Boletins Nuppa Site'!H967&lt;&gt;0,'Boletins Nuppa Site'!H967,"NULL")</f>
        <v>60</v>
      </c>
      <c r="F967" s="14">
        <f>IF('Boletins Nuppa Site'!I967&lt;&gt;0,'Boletins Nuppa Site'!I967,"NULL")</f>
        <v>96</v>
      </c>
      <c r="G967" s="14">
        <f>IF('Boletins Nuppa Site'!J967&lt;&gt;0,'Boletins Nuppa Site'!J967,"NULL")</f>
        <v>75</v>
      </c>
      <c r="H967" s="14">
        <f>IF('Boletins Nuppa Site'!K967&lt;&gt;0,'Boletins Nuppa Site'!K967,"NULL")</f>
        <v>72</v>
      </c>
      <c r="I967" t="str">
        <f t="shared" si="30"/>
        <v>INSERT INTO COTACAO (cot_id, cot_blt_id, cot_pap_id, cot_prc_comum, cot_prc_min, cot_prc_max, cot_prc_med, cot_prc_mediana) VALUES (966, 62, 14, 60, 60, 96, 75, 72);</v>
      </c>
      <c r="J967" t="str">
        <f t="shared" si="31"/>
        <v>UPDATE COTACAO SET cot_id = 966, cot_blt_id = 62, cot_pap_id = 14, cot_prc_comum = 60, cot_prc_min = 60, cot_prc_max = 96, cot_prc_med = 75, cot_prc_mediana = 72 WHERE cot_id = 966;</v>
      </c>
    </row>
    <row r="968" spans="1:10" x14ac:dyDescent="0.3">
      <c r="A968">
        <v>967</v>
      </c>
      <c r="B968">
        <f>IF('Boletins Nuppa Site'!A968&lt;&gt;0,'Boletins Nuppa Site'!A968,"NULL")</f>
        <v>62</v>
      </c>
      <c r="C968">
        <v>15</v>
      </c>
      <c r="D968" s="14">
        <f>IF('Boletins Nuppa Site'!G968&lt;&gt;0,'Boletins Nuppa Site'!G968,"NULL")</f>
        <v>48</v>
      </c>
      <c r="E968" s="14">
        <f>IF('Boletins Nuppa Site'!H968&lt;&gt;0,'Boletins Nuppa Site'!H968,"NULL")</f>
        <v>25</v>
      </c>
      <c r="F968" s="14">
        <f>IF('Boletins Nuppa Site'!I968&lt;&gt;0,'Boletins Nuppa Site'!I968,"NULL")</f>
        <v>60</v>
      </c>
      <c r="G968" t="str">
        <f>IF('Boletins Nuppa Site'!J968&lt;&gt;0,'Boletins Nuppa Site'!J968,"NULL")</f>
        <v>43.4</v>
      </c>
      <c r="H968" s="14">
        <f>IF('Boletins Nuppa Site'!K968&lt;&gt;0,'Boletins Nuppa Site'!K968,"NULL")</f>
        <v>48</v>
      </c>
      <c r="I968" t="str">
        <f t="shared" si="30"/>
        <v>INSERT INTO COTACAO (cot_id, cot_blt_id, cot_pap_id, cot_prc_comum, cot_prc_min, cot_prc_max, cot_prc_med, cot_prc_mediana) VALUES (967, 62, 15, 48, 25, 60, 43.4, 48);</v>
      </c>
      <c r="J968" t="str">
        <f t="shared" si="31"/>
        <v>UPDATE COTACAO SET cot_id = 967, cot_blt_id = 62, cot_pap_id = 15, cot_prc_comum = 48, cot_prc_min = 25, cot_prc_max = 60, cot_prc_med = 43.4, cot_prc_mediana = 48 WHERE cot_id = 967;</v>
      </c>
    </row>
    <row r="969" spans="1:10" x14ac:dyDescent="0.3">
      <c r="A969">
        <v>968</v>
      </c>
      <c r="B969">
        <f>IF('Boletins Nuppa Site'!A969&lt;&gt;0,'Boletins Nuppa Site'!A969,"NULL")</f>
        <v>62</v>
      </c>
      <c r="C969">
        <v>16</v>
      </c>
      <c r="D969" s="14">
        <f>IF('Boletins Nuppa Site'!G969&lt;&gt;0,'Boletins Nuppa Site'!G969,"NULL")</f>
        <v>54</v>
      </c>
      <c r="E969" s="14">
        <f>IF('Boletins Nuppa Site'!H969&lt;&gt;0,'Boletins Nuppa Site'!H969,"NULL")</f>
        <v>48</v>
      </c>
      <c r="F969" s="14">
        <f>IF('Boletins Nuppa Site'!I969&lt;&gt;0,'Boletins Nuppa Site'!I969,"NULL")</f>
        <v>54</v>
      </c>
      <c r="G969" s="14">
        <f>IF('Boletins Nuppa Site'!J969&lt;&gt;0,'Boletins Nuppa Site'!J969,"NULL")</f>
        <v>51</v>
      </c>
      <c r="H969" s="14">
        <f>IF('Boletins Nuppa Site'!K969&lt;&gt;0,'Boletins Nuppa Site'!K969,"NULL")</f>
        <v>51</v>
      </c>
      <c r="I969" t="str">
        <f t="shared" si="30"/>
        <v>INSERT INTO COTACAO (cot_id, cot_blt_id, cot_pap_id, cot_prc_comum, cot_prc_min, cot_prc_max, cot_prc_med, cot_prc_mediana) VALUES (968, 62, 16, 54, 48, 54, 51, 51);</v>
      </c>
      <c r="J969" t="str">
        <f t="shared" si="31"/>
        <v>UPDATE COTACAO SET cot_id = 968, cot_blt_id = 62, cot_pap_id = 16, cot_prc_comum = 54, cot_prc_min = 48, cot_prc_max = 54, cot_prc_med = 51, cot_prc_mediana = 51 WHERE cot_id = 968;</v>
      </c>
    </row>
    <row r="970" spans="1:10" x14ac:dyDescent="0.3">
      <c r="A970">
        <v>969</v>
      </c>
      <c r="B970">
        <f>IF('Boletins Nuppa Site'!A970&lt;&gt;0,'Boletins Nuppa Site'!A970,"NULL")</f>
        <v>62</v>
      </c>
      <c r="C970">
        <v>17</v>
      </c>
      <c r="D970" s="14">
        <f>IF('Boletins Nuppa Site'!G970&lt;&gt;0,'Boletins Nuppa Site'!G970,"NULL")</f>
        <v>5</v>
      </c>
      <c r="E970" s="14">
        <f>IF('Boletins Nuppa Site'!H970&lt;&gt;0,'Boletins Nuppa Site'!H970,"NULL")</f>
        <v>5</v>
      </c>
      <c r="F970" s="14">
        <f>IF('Boletins Nuppa Site'!I970&lt;&gt;0,'Boletins Nuppa Site'!I970,"NULL")</f>
        <v>5</v>
      </c>
      <c r="G970" s="14">
        <f>IF('Boletins Nuppa Site'!J970&lt;&gt;0,'Boletins Nuppa Site'!J970,"NULL")</f>
        <v>5</v>
      </c>
      <c r="H970" s="14">
        <f>IF('Boletins Nuppa Site'!K970&lt;&gt;0,'Boletins Nuppa Site'!K970,"NULL")</f>
        <v>5</v>
      </c>
      <c r="I970" t="str">
        <f t="shared" si="30"/>
        <v>INSERT INTO COTACAO (cot_id, cot_blt_id, cot_pap_id, cot_prc_comum, cot_prc_min, cot_prc_max, cot_prc_med, cot_prc_mediana) VALUES (969, 62, 17, 5, 5, 5, 5, 5);</v>
      </c>
      <c r="J970" t="str">
        <f t="shared" si="31"/>
        <v>UPDATE COTACAO SET cot_id = 969, cot_blt_id = 62, cot_pap_id = 17, cot_prc_comum = 5, cot_prc_min = 5, cot_prc_max = 5, cot_prc_med = 5, cot_prc_mediana = 5 WHERE cot_id = 969;</v>
      </c>
    </row>
    <row r="971" spans="1:10" x14ac:dyDescent="0.3">
      <c r="A971">
        <v>970</v>
      </c>
      <c r="B971">
        <f>IF('Boletins Nuppa Site'!A971&lt;&gt;0,'Boletins Nuppa Site'!A971,"NULL")</f>
        <v>62</v>
      </c>
      <c r="C971">
        <v>18</v>
      </c>
      <c r="D971" s="14">
        <f>IF('Boletins Nuppa Site'!G971&lt;&gt;0,'Boletins Nuppa Site'!G971,"NULL")</f>
        <v>15</v>
      </c>
      <c r="E971" s="14">
        <f>IF('Boletins Nuppa Site'!H971&lt;&gt;0,'Boletins Nuppa Site'!H971,"NULL")</f>
        <v>10</v>
      </c>
      <c r="F971" s="14">
        <f>IF('Boletins Nuppa Site'!I971&lt;&gt;0,'Boletins Nuppa Site'!I971,"NULL")</f>
        <v>15</v>
      </c>
      <c r="G971" t="str">
        <f>IF('Boletins Nuppa Site'!J971&lt;&gt;0,'Boletins Nuppa Site'!J971,"NULL")</f>
        <v>12.4</v>
      </c>
      <c r="H971" s="14">
        <f>IF('Boletins Nuppa Site'!K971&lt;&gt;0,'Boletins Nuppa Site'!K971,"NULL")</f>
        <v>12</v>
      </c>
      <c r="I971" t="str">
        <f t="shared" si="30"/>
        <v>INSERT INTO COTACAO (cot_id, cot_blt_id, cot_pap_id, cot_prc_comum, cot_prc_min, cot_prc_max, cot_prc_med, cot_prc_mediana) VALUES (970, 62, 18, 15, 10, 15, 12.4, 12);</v>
      </c>
      <c r="J971" t="str">
        <f t="shared" si="31"/>
        <v>UPDATE COTACAO SET cot_id = 970, cot_blt_id = 62, cot_pap_id = 18, cot_prc_comum = 15, cot_prc_min = 10, cot_prc_max = 15, cot_prc_med = 12.4, cot_prc_mediana = 12 WHERE cot_id = 970;</v>
      </c>
    </row>
    <row r="972" spans="1:10" x14ac:dyDescent="0.3">
      <c r="A972">
        <v>971</v>
      </c>
      <c r="B972">
        <f>IF('Boletins Nuppa Site'!A972&lt;&gt;0,'Boletins Nuppa Site'!A972,"NULL")</f>
        <v>62</v>
      </c>
      <c r="C972">
        <v>19</v>
      </c>
      <c r="D972" s="14">
        <f>IF('Boletins Nuppa Site'!G972&lt;&gt;0,'Boletins Nuppa Site'!G972,"NULL")</f>
        <v>20</v>
      </c>
      <c r="E972" s="14">
        <f>IF('Boletins Nuppa Site'!H972&lt;&gt;0,'Boletins Nuppa Site'!H972,"NULL")</f>
        <v>20</v>
      </c>
      <c r="F972" s="14">
        <f>IF('Boletins Nuppa Site'!I972&lt;&gt;0,'Boletins Nuppa Site'!I972,"NULL")</f>
        <v>35</v>
      </c>
      <c r="G972" s="14">
        <f>IF('Boletins Nuppa Site'!J972&lt;&gt;0,'Boletins Nuppa Site'!J972,"NULL")</f>
        <v>26</v>
      </c>
      <c r="H972" s="14">
        <f>IF('Boletins Nuppa Site'!K972&lt;&gt;0,'Boletins Nuppa Site'!K972,"NULL")</f>
        <v>25</v>
      </c>
      <c r="I972" t="str">
        <f t="shared" si="30"/>
        <v>INSERT INTO COTACAO (cot_id, cot_blt_id, cot_pap_id, cot_prc_comum, cot_prc_min, cot_prc_max, cot_prc_med, cot_prc_mediana) VALUES (971, 62, 19, 20, 20, 35, 26, 25);</v>
      </c>
      <c r="J972" t="str">
        <f t="shared" si="31"/>
        <v>UPDATE COTACAO SET cot_id = 971, cot_blt_id = 62, cot_pap_id = 19, cot_prc_comum = 20, cot_prc_min = 20, cot_prc_max = 35, cot_prc_med = 26, cot_prc_mediana = 25 WHERE cot_id = 971;</v>
      </c>
    </row>
    <row r="973" spans="1:10" x14ac:dyDescent="0.3">
      <c r="A973">
        <v>972</v>
      </c>
      <c r="B973">
        <f>IF('Boletins Nuppa Site'!A973&lt;&gt;0,'Boletins Nuppa Site'!A973,"NULL")</f>
        <v>62</v>
      </c>
      <c r="C973">
        <v>20</v>
      </c>
      <c r="D973" t="str">
        <f>IF('Boletins Nuppa Site'!G973&lt;&gt;0,'Boletins Nuppa Site'!G973,"NULL")</f>
        <v>NULL</v>
      </c>
      <c r="E973" s="14">
        <f>IF('Boletins Nuppa Site'!H973&lt;&gt;0,'Boletins Nuppa Site'!H973,"NULL")</f>
        <v>85</v>
      </c>
      <c r="F973" s="14">
        <f>IF('Boletins Nuppa Site'!I973&lt;&gt;0,'Boletins Nuppa Site'!I973,"NULL")</f>
        <v>85</v>
      </c>
      <c r="G973" s="14">
        <f>IF('Boletins Nuppa Site'!J973&lt;&gt;0,'Boletins Nuppa Site'!J973,"NULL")</f>
        <v>85</v>
      </c>
      <c r="H973" s="14">
        <f>IF('Boletins Nuppa Site'!K973&lt;&gt;0,'Boletins Nuppa Site'!K973,"NULL")</f>
        <v>85</v>
      </c>
      <c r="I973" t="str">
        <f t="shared" si="30"/>
        <v>INSERT INTO COTACAO (cot_id, cot_blt_id, cot_pap_id, cot_prc_comum, cot_prc_min, cot_prc_max, cot_prc_med, cot_prc_mediana) VALUES (972, 62, 20, NULL, 85, 85, 85, 85);</v>
      </c>
      <c r="J973" t="str">
        <f t="shared" si="31"/>
        <v>UPDATE COTACAO SET cot_id = 972, cot_blt_id = 62, cot_pap_id = 20, cot_prc_comum = NULL, cot_prc_min = 85, cot_prc_max = 85, cot_prc_med = 85, cot_prc_mediana = 85 WHERE cot_id = 972;</v>
      </c>
    </row>
    <row r="974" spans="1:10" x14ac:dyDescent="0.3">
      <c r="A974">
        <v>973</v>
      </c>
      <c r="B974">
        <f>IF('Boletins Nuppa Site'!A974&lt;&gt;0,'Boletins Nuppa Site'!A974,"NULL")</f>
        <v>62</v>
      </c>
      <c r="C974">
        <v>21</v>
      </c>
      <c r="D974" s="14">
        <f>IF('Boletins Nuppa Site'!G974&lt;&gt;0,'Boletins Nuppa Site'!G974,"NULL")</f>
        <v>60</v>
      </c>
      <c r="E974" s="14">
        <f>IF('Boletins Nuppa Site'!H974&lt;&gt;0,'Boletins Nuppa Site'!H974,"NULL")</f>
        <v>50</v>
      </c>
      <c r="F974" s="14">
        <f>IF('Boletins Nuppa Site'!I974&lt;&gt;0,'Boletins Nuppa Site'!I974,"NULL")</f>
        <v>60</v>
      </c>
      <c r="G974" t="str">
        <f>IF('Boletins Nuppa Site'!J974&lt;&gt;0,'Boletins Nuppa Site'!J974,"NULL")</f>
        <v>56.25</v>
      </c>
      <c r="H974" t="str">
        <f>IF('Boletins Nuppa Site'!K974&lt;&gt;0,'Boletins Nuppa Site'!K974,"NULL")</f>
        <v>57.5</v>
      </c>
      <c r="I974" t="str">
        <f t="shared" si="30"/>
        <v>INSERT INTO COTACAO (cot_id, cot_blt_id, cot_pap_id, cot_prc_comum, cot_prc_min, cot_prc_max, cot_prc_med, cot_prc_mediana) VALUES (973, 62, 21, 60, 50, 60, 56.25, 57.5);</v>
      </c>
      <c r="J974" t="str">
        <f t="shared" si="31"/>
        <v>UPDATE COTACAO SET cot_id = 973, cot_blt_id = 62, cot_pap_id = 21, cot_prc_comum = 60, cot_prc_min = 50, cot_prc_max = 60, cot_prc_med = 56.25, cot_prc_mediana = 57.5 WHERE cot_id = 973;</v>
      </c>
    </row>
    <row r="975" spans="1:10" x14ac:dyDescent="0.3">
      <c r="A975">
        <v>974</v>
      </c>
      <c r="B975">
        <f>IF('Boletins Nuppa Site'!A975&lt;&gt;0,'Boletins Nuppa Site'!A975,"NULL")</f>
        <v>62</v>
      </c>
      <c r="C975">
        <v>22</v>
      </c>
      <c r="D975" s="14">
        <f>IF('Boletins Nuppa Site'!G975&lt;&gt;0,'Boletins Nuppa Site'!G975,"NULL")</f>
        <v>70</v>
      </c>
      <c r="E975" s="14">
        <f>IF('Boletins Nuppa Site'!H975&lt;&gt;0,'Boletins Nuppa Site'!H975,"NULL")</f>
        <v>45</v>
      </c>
      <c r="F975" s="14">
        <f>IF('Boletins Nuppa Site'!I975&lt;&gt;0,'Boletins Nuppa Site'!I975,"NULL")</f>
        <v>70</v>
      </c>
      <c r="G975" t="str">
        <f>IF('Boletins Nuppa Site'!J975&lt;&gt;0,'Boletins Nuppa Site'!J975,"NULL")</f>
        <v>63.75</v>
      </c>
      <c r="H975" s="14">
        <f>IF('Boletins Nuppa Site'!K975&lt;&gt;0,'Boletins Nuppa Site'!K975,"NULL")</f>
        <v>70</v>
      </c>
      <c r="I975" t="str">
        <f t="shared" si="30"/>
        <v>INSERT INTO COTACAO (cot_id, cot_blt_id, cot_pap_id, cot_prc_comum, cot_prc_min, cot_prc_max, cot_prc_med, cot_prc_mediana) VALUES (974, 62, 22, 70, 45, 70, 63.75, 70);</v>
      </c>
      <c r="J975" t="str">
        <f t="shared" si="31"/>
        <v>UPDATE COTACAO SET cot_id = 974, cot_blt_id = 62, cot_pap_id = 22, cot_prc_comum = 70, cot_prc_min = 45, cot_prc_max = 70, cot_prc_med = 63.75, cot_prc_mediana = 70 WHERE cot_id = 974;</v>
      </c>
    </row>
    <row r="976" spans="1:10" x14ac:dyDescent="0.3">
      <c r="A976">
        <v>975</v>
      </c>
      <c r="B976">
        <f>IF('Boletins Nuppa Site'!A976&lt;&gt;0,'Boletins Nuppa Site'!A976,"NULL")</f>
        <v>62</v>
      </c>
      <c r="C976">
        <v>23</v>
      </c>
      <c r="D976" s="14">
        <f>IF('Boletins Nuppa Site'!G976&lt;&gt;0,'Boletins Nuppa Site'!G976,"NULL")</f>
        <v>45</v>
      </c>
      <c r="E976" s="14">
        <f>IF('Boletins Nuppa Site'!H976&lt;&gt;0,'Boletins Nuppa Site'!H976,"NULL")</f>
        <v>40</v>
      </c>
      <c r="F976" s="14">
        <f>IF('Boletins Nuppa Site'!I976&lt;&gt;0,'Boletins Nuppa Site'!I976,"NULL")</f>
        <v>50</v>
      </c>
      <c r="G976" s="14">
        <f>IF('Boletins Nuppa Site'!J976&lt;&gt;0,'Boletins Nuppa Site'!J976,"NULL")</f>
        <v>46</v>
      </c>
      <c r="H976" s="14">
        <f>IF('Boletins Nuppa Site'!K976&lt;&gt;0,'Boletins Nuppa Site'!K976,"NULL")</f>
        <v>45</v>
      </c>
      <c r="I976" t="str">
        <f t="shared" si="30"/>
        <v>INSERT INTO COTACAO (cot_id, cot_blt_id, cot_pap_id, cot_prc_comum, cot_prc_min, cot_prc_max, cot_prc_med, cot_prc_mediana) VALUES (975, 62, 23, 45, 40, 50, 46, 45);</v>
      </c>
      <c r="J976" t="str">
        <f t="shared" si="31"/>
        <v>UPDATE COTACAO SET cot_id = 975, cot_blt_id = 62, cot_pap_id = 23, cot_prc_comum = 45, cot_prc_min = 40, cot_prc_max = 50, cot_prc_med = 46, cot_prc_mediana = 45 WHERE cot_id = 975;</v>
      </c>
    </row>
    <row r="977" spans="1:10" x14ac:dyDescent="0.3">
      <c r="A977">
        <v>976</v>
      </c>
      <c r="B977">
        <f>IF('Boletins Nuppa Site'!A977&lt;&gt;0,'Boletins Nuppa Site'!A977,"NULL")</f>
        <v>62</v>
      </c>
      <c r="C977">
        <v>24</v>
      </c>
      <c r="D977" t="str">
        <f>IF('Boletins Nuppa Site'!G977&lt;&gt;0,'Boletins Nuppa Site'!G977,"NULL")</f>
        <v>NULL</v>
      </c>
      <c r="E977" s="14">
        <f>IF('Boletins Nuppa Site'!H977&lt;&gt;0,'Boletins Nuppa Site'!H977,"NULL")</f>
        <v>90</v>
      </c>
      <c r="F977" s="14">
        <f>IF('Boletins Nuppa Site'!I977&lt;&gt;0,'Boletins Nuppa Site'!I977,"NULL")</f>
        <v>90</v>
      </c>
      <c r="G977" s="14">
        <f>IF('Boletins Nuppa Site'!J977&lt;&gt;0,'Boletins Nuppa Site'!J977,"NULL")</f>
        <v>90</v>
      </c>
      <c r="H977" s="14">
        <f>IF('Boletins Nuppa Site'!K977&lt;&gt;0,'Boletins Nuppa Site'!K977,"NULL")</f>
        <v>90</v>
      </c>
      <c r="I977" t="str">
        <f t="shared" si="30"/>
        <v>INSERT INTO COTACAO (cot_id, cot_blt_id, cot_pap_id, cot_prc_comum, cot_prc_min, cot_prc_max, cot_prc_med, cot_prc_mediana) VALUES (976, 62, 24, NULL, 90, 90, 90, 90);</v>
      </c>
      <c r="J977" t="str">
        <f t="shared" si="31"/>
        <v>UPDATE COTACAO SET cot_id = 976, cot_blt_id = 62, cot_pap_id = 24, cot_prc_comum = NULL, cot_prc_min = 90, cot_prc_max = 90, cot_prc_med = 90, cot_prc_mediana = 90 WHERE cot_id = 976;</v>
      </c>
    </row>
    <row r="978" spans="1:10" x14ac:dyDescent="0.3">
      <c r="A978">
        <v>977</v>
      </c>
      <c r="B978">
        <f>IF('Boletins Nuppa Site'!A978&lt;&gt;0,'Boletins Nuppa Site'!A978,"NULL")</f>
        <v>62</v>
      </c>
      <c r="C978">
        <v>25</v>
      </c>
      <c r="D978" s="14">
        <f>IF('Boletins Nuppa Site'!G978&lt;&gt;0,'Boletins Nuppa Site'!G978,"NULL")</f>
        <v>65</v>
      </c>
      <c r="E978" s="14">
        <f>IF('Boletins Nuppa Site'!H978&lt;&gt;0,'Boletins Nuppa Site'!H978,"NULL")</f>
        <v>60</v>
      </c>
      <c r="F978" s="14">
        <f>IF('Boletins Nuppa Site'!I978&lt;&gt;0,'Boletins Nuppa Site'!I978,"NULL")</f>
        <v>65</v>
      </c>
      <c r="G978" t="str">
        <f>IF('Boletins Nuppa Site'!J978&lt;&gt;0,'Boletins Nuppa Site'!J978,"NULL")</f>
        <v>62.5</v>
      </c>
      <c r="H978" t="str">
        <f>IF('Boletins Nuppa Site'!K978&lt;&gt;0,'Boletins Nuppa Site'!K978,"NULL")</f>
        <v>62.5</v>
      </c>
      <c r="I978" t="str">
        <f t="shared" si="30"/>
        <v>INSERT INTO COTACAO (cot_id, cot_blt_id, cot_pap_id, cot_prc_comum, cot_prc_min, cot_prc_max, cot_prc_med, cot_prc_mediana) VALUES (977, 62, 25, 65, 60, 65, 62.5, 62.5);</v>
      </c>
      <c r="J978" t="str">
        <f t="shared" si="31"/>
        <v>UPDATE COTACAO SET cot_id = 977, cot_blt_id = 62, cot_pap_id = 25, cot_prc_comum = 65, cot_prc_min = 60, cot_prc_max = 65, cot_prc_med = 62.5, cot_prc_mediana = 62.5 WHERE cot_id = 977;</v>
      </c>
    </row>
    <row r="979" spans="1:10" x14ac:dyDescent="0.3">
      <c r="A979">
        <v>978</v>
      </c>
      <c r="B979">
        <f>IF('Boletins Nuppa Site'!A979&lt;&gt;0,'Boletins Nuppa Site'!A979,"NULL")</f>
        <v>62</v>
      </c>
      <c r="C979">
        <v>26</v>
      </c>
      <c r="D979" t="str">
        <f>IF('Boletins Nuppa Site'!G979&lt;&gt;0,'Boletins Nuppa Site'!G979,"NULL")</f>
        <v>NULL</v>
      </c>
      <c r="E979" s="14">
        <f>IF('Boletins Nuppa Site'!H979&lt;&gt;0,'Boletins Nuppa Site'!H979,"NULL")</f>
        <v>40</v>
      </c>
      <c r="F979" s="14">
        <f>IF('Boletins Nuppa Site'!I979&lt;&gt;0,'Boletins Nuppa Site'!I979,"NULL")</f>
        <v>65</v>
      </c>
      <c r="G979" t="str">
        <f>IF('Boletins Nuppa Site'!J979&lt;&gt;0,'Boletins Nuppa Site'!J979,"NULL")</f>
        <v>52.5</v>
      </c>
      <c r="H979" t="str">
        <f>IF('Boletins Nuppa Site'!K979&lt;&gt;0,'Boletins Nuppa Site'!K979,"NULL")</f>
        <v>52.5</v>
      </c>
      <c r="I979" t="str">
        <f t="shared" si="30"/>
        <v>INSERT INTO COTACAO (cot_id, cot_blt_id, cot_pap_id, cot_prc_comum, cot_prc_min, cot_prc_max, cot_prc_med, cot_prc_mediana) VALUES (978, 62, 26, NULL, 40, 65, 52.5, 52.5);</v>
      </c>
      <c r="J979" t="str">
        <f t="shared" si="31"/>
        <v>UPDATE COTACAO SET cot_id = 978, cot_blt_id = 62, cot_pap_id = 26, cot_prc_comum = NULL, cot_prc_min = 40, cot_prc_max = 65, cot_prc_med = 52.5, cot_prc_mediana = 52.5 WHERE cot_id = 978;</v>
      </c>
    </row>
    <row r="980" spans="1:10" x14ac:dyDescent="0.3">
      <c r="A980">
        <v>979</v>
      </c>
      <c r="B980">
        <f>IF('Boletins Nuppa Site'!A980&lt;&gt;0,'Boletins Nuppa Site'!A980,"NULL")</f>
        <v>62</v>
      </c>
      <c r="C980">
        <v>27</v>
      </c>
      <c r="D980" s="14">
        <f>IF('Boletins Nuppa Site'!G980&lt;&gt;0,'Boletins Nuppa Site'!G980,"NULL")</f>
        <v>40</v>
      </c>
      <c r="E980" s="14">
        <f>IF('Boletins Nuppa Site'!H980&lt;&gt;0,'Boletins Nuppa Site'!H980,"NULL")</f>
        <v>40</v>
      </c>
      <c r="F980" s="14">
        <f>IF('Boletins Nuppa Site'!I980&lt;&gt;0,'Boletins Nuppa Site'!I980,"NULL")</f>
        <v>60</v>
      </c>
      <c r="G980" s="14">
        <f>IF('Boletins Nuppa Site'!J980&lt;&gt;0,'Boletins Nuppa Site'!J980,"NULL")</f>
        <v>46</v>
      </c>
      <c r="H980" s="14">
        <f>IF('Boletins Nuppa Site'!K980&lt;&gt;0,'Boletins Nuppa Site'!K980,"NULL")</f>
        <v>40</v>
      </c>
      <c r="I980" t="str">
        <f t="shared" si="30"/>
        <v>INSERT INTO COTACAO (cot_id, cot_blt_id, cot_pap_id, cot_prc_comum, cot_prc_min, cot_prc_max, cot_prc_med, cot_prc_mediana) VALUES (979, 62, 27, 40, 40, 60, 46, 40);</v>
      </c>
      <c r="J980" t="str">
        <f t="shared" si="31"/>
        <v>UPDATE COTACAO SET cot_id = 979, cot_blt_id = 62, cot_pap_id = 27, cot_prc_comum = 40, cot_prc_min = 40, cot_prc_max = 60, cot_prc_med = 46, cot_prc_mediana = 40 WHERE cot_id = 979;</v>
      </c>
    </row>
    <row r="981" spans="1:10" x14ac:dyDescent="0.3">
      <c r="A981">
        <v>980</v>
      </c>
      <c r="B981">
        <f>IF('Boletins Nuppa Site'!A981&lt;&gt;0,'Boletins Nuppa Site'!A981,"NULL")</f>
        <v>62</v>
      </c>
      <c r="C981">
        <v>28</v>
      </c>
      <c r="D981" t="str">
        <f>IF('Boletins Nuppa Site'!G981&lt;&gt;0,'Boletins Nuppa Site'!G981,"NULL")</f>
        <v>NULL</v>
      </c>
      <c r="E981" s="14">
        <f>IF('Boletins Nuppa Site'!H981&lt;&gt;0,'Boletins Nuppa Site'!H981,"NULL")</f>
        <v>85</v>
      </c>
      <c r="F981" s="14">
        <f>IF('Boletins Nuppa Site'!I981&lt;&gt;0,'Boletins Nuppa Site'!I981,"NULL")</f>
        <v>100</v>
      </c>
      <c r="G981" t="str">
        <f>IF('Boletins Nuppa Site'!J981&lt;&gt;0,'Boletins Nuppa Site'!J981,"NULL")</f>
        <v>91.67</v>
      </c>
      <c r="H981" s="14">
        <f>IF('Boletins Nuppa Site'!K981&lt;&gt;0,'Boletins Nuppa Site'!K981,"NULL")</f>
        <v>90</v>
      </c>
      <c r="I981" t="str">
        <f t="shared" si="30"/>
        <v>INSERT INTO COTACAO (cot_id, cot_blt_id, cot_pap_id, cot_prc_comum, cot_prc_min, cot_prc_max, cot_prc_med, cot_prc_mediana) VALUES (980, 62, 28, NULL, 85, 100, 91.67, 90);</v>
      </c>
      <c r="J981" t="str">
        <f t="shared" si="31"/>
        <v>UPDATE COTACAO SET cot_id = 980, cot_blt_id = 62, cot_pap_id = 28, cot_prc_comum = NULL, cot_prc_min = 85, cot_prc_max = 100, cot_prc_med = 91.67, cot_prc_mediana = 90 WHERE cot_id = 980;</v>
      </c>
    </row>
    <row r="982" spans="1:10" x14ac:dyDescent="0.3">
      <c r="A982">
        <v>981</v>
      </c>
      <c r="B982">
        <f>IF('Boletins Nuppa Site'!A982&lt;&gt;0,'Boletins Nuppa Site'!A982,"NULL")</f>
        <v>62</v>
      </c>
      <c r="C982">
        <v>29</v>
      </c>
      <c r="D982" t="str">
        <f>IF('Boletins Nuppa Site'!G982&lt;&gt;0,'Boletins Nuppa Site'!G982,"NULL")</f>
        <v>NULL</v>
      </c>
      <c r="E982" s="14">
        <f>IF('Boletins Nuppa Site'!H982&lt;&gt;0,'Boletins Nuppa Site'!H982,"NULL")</f>
        <v>45</v>
      </c>
      <c r="F982" s="14">
        <f>IF('Boletins Nuppa Site'!I982&lt;&gt;0,'Boletins Nuppa Site'!I982,"NULL")</f>
        <v>60</v>
      </c>
      <c r="G982" t="str">
        <f>IF('Boletins Nuppa Site'!J982&lt;&gt;0,'Boletins Nuppa Site'!J982,"NULL")</f>
        <v>52.5</v>
      </c>
      <c r="H982" t="str">
        <f>IF('Boletins Nuppa Site'!K982&lt;&gt;0,'Boletins Nuppa Site'!K982,"NULL")</f>
        <v>52.5</v>
      </c>
      <c r="I982" t="str">
        <f t="shared" si="30"/>
        <v>INSERT INTO COTACAO (cot_id, cot_blt_id, cot_pap_id, cot_prc_comum, cot_prc_min, cot_prc_max, cot_prc_med, cot_prc_mediana) VALUES (981, 62, 29, NULL, 45, 60, 52.5, 52.5);</v>
      </c>
      <c r="J982" t="str">
        <f t="shared" si="31"/>
        <v>UPDATE COTACAO SET cot_id = 981, cot_blt_id = 62, cot_pap_id = 29, cot_prc_comum = NULL, cot_prc_min = 45, cot_prc_max = 60, cot_prc_med = 52.5, cot_prc_mediana = 52.5 WHERE cot_id = 981;</v>
      </c>
    </row>
    <row r="983" spans="1:10" x14ac:dyDescent="0.3">
      <c r="A983">
        <v>982</v>
      </c>
      <c r="B983">
        <f>IF('Boletins Nuppa Site'!A983&lt;&gt;0,'Boletins Nuppa Site'!A983,"NULL")</f>
        <v>62</v>
      </c>
      <c r="C983">
        <v>30</v>
      </c>
      <c r="D983" s="14">
        <f>IF('Boletins Nuppa Site'!G983&lt;&gt;0,'Boletins Nuppa Site'!G983,"NULL")</f>
        <v>50</v>
      </c>
      <c r="E983" s="14">
        <f>IF('Boletins Nuppa Site'!H983&lt;&gt;0,'Boletins Nuppa Site'!H983,"NULL")</f>
        <v>50</v>
      </c>
      <c r="F983" s="14">
        <f>IF('Boletins Nuppa Site'!I983&lt;&gt;0,'Boletins Nuppa Site'!I983,"NULL")</f>
        <v>60</v>
      </c>
      <c r="G983" t="str">
        <f>IF('Boletins Nuppa Site'!J983&lt;&gt;0,'Boletins Nuppa Site'!J983,"NULL")</f>
        <v>53.33</v>
      </c>
      <c r="H983" s="14">
        <f>IF('Boletins Nuppa Site'!K983&lt;&gt;0,'Boletins Nuppa Site'!K983,"NULL")</f>
        <v>50</v>
      </c>
      <c r="I983" t="str">
        <f t="shared" si="30"/>
        <v>INSERT INTO COTACAO (cot_id, cot_blt_id, cot_pap_id, cot_prc_comum, cot_prc_min, cot_prc_max, cot_prc_med, cot_prc_mediana) VALUES (982, 62, 30, 50, 50, 60, 53.33, 50);</v>
      </c>
      <c r="J983" t="str">
        <f t="shared" si="31"/>
        <v>UPDATE COTACAO SET cot_id = 982, cot_blt_id = 62, cot_pap_id = 30, cot_prc_comum = 50, cot_prc_min = 50, cot_prc_max = 60, cot_prc_med = 53.33, cot_prc_mediana = 50 WHERE cot_id = 982;</v>
      </c>
    </row>
    <row r="984" spans="1:10" x14ac:dyDescent="0.3">
      <c r="A984">
        <v>983</v>
      </c>
      <c r="B984">
        <f>IF('Boletins Nuppa Site'!A984&lt;&gt;0,'Boletins Nuppa Site'!A984,"NULL")</f>
        <v>62</v>
      </c>
      <c r="C984">
        <v>31</v>
      </c>
      <c r="D984" s="14">
        <f>IF('Boletins Nuppa Site'!G984&lt;&gt;0,'Boletins Nuppa Site'!G984,"NULL")</f>
        <v>80</v>
      </c>
      <c r="E984" s="14">
        <f>IF('Boletins Nuppa Site'!H984&lt;&gt;0,'Boletins Nuppa Site'!H984,"NULL")</f>
        <v>70</v>
      </c>
      <c r="F984" s="14">
        <f>IF('Boletins Nuppa Site'!I984&lt;&gt;0,'Boletins Nuppa Site'!I984,"NULL")</f>
        <v>80</v>
      </c>
      <c r="G984" s="14">
        <f>IF('Boletins Nuppa Site'!J984&lt;&gt;0,'Boletins Nuppa Site'!J984,"NULL")</f>
        <v>75</v>
      </c>
      <c r="H984" s="14">
        <f>IF('Boletins Nuppa Site'!K984&lt;&gt;0,'Boletins Nuppa Site'!K984,"NULL")</f>
        <v>75</v>
      </c>
      <c r="I984" t="str">
        <f t="shared" si="30"/>
        <v>INSERT INTO COTACAO (cot_id, cot_blt_id, cot_pap_id, cot_prc_comum, cot_prc_min, cot_prc_max, cot_prc_med, cot_prc_mediana) VALUES (983, 62, 31, 80, 70, 80, 75, 75);</v>
      </c>
      <c r="J984" t="str">
        <f t="shared" si="31"/>
        <v>UPDATE COTACAO SET cot_id = 983, cot_blt_id = 62, cot_pap_id = 31, cot_prc_comum = 80, cot_prc_min = 70, cot_prc_max = 80, cot_prc_med = 75, cot_prc_mediana = 75 WHERE cot_id = 983;</v>
      </c>
    </row>
    <row r="985" spans="1:10" x14ac:dyDescent="0.3">
      <c r="A985">
        <v>984</v>
      </c>
      <c r="B985">
        <f>IF('Boletins Nuppa Site'!A985&lt;&gt;0,'Boletins Nuppa Site'!A985,"NULL")</f>
        <v>62</v>
      </c>
      <c r="C985">
        <v>32</v>
      </c>
      <c r="D985" t="str">
        <f>IF('Boletins Nuppa Site'!G985&lt;&gt;0,'Boletins Nuppa Site'!G985,"NULL")</f>
        <v>NULL</v>
      </c>
      <c r="E985" s="14">
        <f>IF('Boletins Nuppa Site'!H985&lt;&gt;0,'Boletins Nuppa Site'!H985,"NULL")</f>
        <v>40</v>
      </c>
      <c r="F985" s="14">
        <f>IF('Boletins Nuppa Site'!I985&lt;&gt;0,'Boletins Nuppa Site'!I985,"NULL")</f>
        <v>60</v>
      </c>
      <c r="G985" t="str">
        <f>IF('Boletins Nuppa Site'!J985&lt;&gt;0,'Boletins Nuppa Site'!J985,"NULL")</f>
        <v>51.25</v>
      </c>
      <c r="H985" t="str">
        <f>IF('Boletins Nuppa Site'!K985&lt;&gt;0,'Boletins Nuppa Site'!K985,"NULL")</f>
        <v>52.5</v>
      </c>
      <c r="I985" t="str">
        <f t="shared" si="30"/>
        <v>INSERT INTO COTACAO (cot_id, cot_blt_id, cot_pap_id, cot_prc_comum, cot_prc_min, cot_prc_max, cot_prc_med, cot_prc_mediana) VALUES (984, 62, 32, NULL, 40, 60, 51.25, 52.5);</v>
      </c>
      <c r="J985" t="str">
        <f t="shared" si="31"/>
        <v>UPDATE COTACAO SET cot_id = 984, cot_blt_id = 62, cot_pap_id = 32, cot_prc_comum = NULL, cot_prc_min = 40, cot_prc_max = 60, cot_prc_med = 51.25, cot_prc_mediana = 52.5 WHERE cot_id = 984;</v>
      </c>
    </row>
    <row r="986" spans="1:10" x14ac:dyDescent="0.3">
      <c r="A986">
        <v>985</v>
      </c>
      <c r="B986">
        <f>IF('Boletins Nuppa Site'!A986&lt;&gt;0,'Boletins Nuppa Site'!A986,"NULL")</f>
        <v>62</v>
      </c>
      <c r="C986">
        <v>33</v>
      </c>
      <c r="D986" t="str">
        <f>IF('Boletins Nuppa Site'!G986&lt;&gt;0,'Boletins Nuppa Site'!G986,"NULL")</f>
        <v>NULL</v>
      </c>
      <c r="E986" s="14">
        <f>IF('Boletins Nuppa Site'!H986&lt;&gt;0,'Boletins Nuppa Site'!H986,"NULL")</f>
        <v>130</v>
      </c>
      <c r="F986" s="14">
        <f>IF('Boletins Nuppa Site'!I986&lt;&gt;0,'Boletins Nuppa Site'!I986,"NULL")</f>
        <v>150</v>
      </c>
      <c r="G986" s="14">
        <f>IF('Boletins Nuppa Site'!J986&lt;&gt;0,'Boletins Nuppa Site'!J986,"NULL")</f>
        <v>140</v>
      </c>
      <c r="H986" s="14">
        <f>IF('Boletins Nuppa Site'!K986&lt;&gt;0,'Boletins Nuppa Site'!K986,"NULL")</f>
        <v>140</v>
      </c>
      <c r="I986" t="str">
        <f t="shared" si="30"/>
        <v>INSERT INTO COTACAO (cot_id, cot_blt_id, cot_pap_id, cot_prc_comum, cot_prc_min, cot_prc_max, cot_prc_med, cot_prc_mediana) VALUES (985, 62, 33, NULL, 130, 150, 140, 140);</v>
      </c>
      <c r="J986" t="str">
        <f t="shared" si="31"/>
        <v>UPDATE COTACAO SET cot_id = 985, cot_blt_id = 62, cot_pap_id = 33, cot_prc_comum = NULL, cot_prc_min = 130, cot_prc_max = 150, cot_prc_med = 140, cot_prc_mediana = 140 WHERE cot_id = 985;</v>
      </c>
    </row>
    <row r="987" spans="1:10" x14ac:dyDescent="0.3">
      <c r="A987">
        <v>986</v>
      </c>
      <c r="B987">
        <f>IF('Boletins Nuppa Site'!A987&lt;&gt;0,'Boletins Nuppa Site'!A987,"NULL")</f>
        <v>62</v>
      </c>
      <c r="C987">
        <v>34</v>
      </c>
      <c r="D987" s="14">
        <f>IF('Boletins Nuppa Site'!G987&lt;&gt;0,'Boletins Nuppa Site'!G987,"NULL")</f>
        <v>70</v>
      </c>
      <c r="E987" s="14">
        <f>IF('Boletins Nuppa Site'!H987&lt;&gt;0,'Boletins Nuppa Site'!H987,"NULL")</f>
        <v>70</v>
      </c>
      <c r="F987" s="14">
        <f>IF('Boletins Nuppa Site'!I987&lt;&gt;0,'Boletins Nuppa Site'!I987,"NULL")</f>
        <v>100</v>
      </c>
      <c r="G987" s="14">
        <f>IF('Boletins Nuppa Site'!J987&lt;&gt;0,'Boletins Nuppa Site'!J987,"NULL")</f>
        <v>84</v>
      </c>
      <c r="H987" s="14">
        <f>IF('Boletins Nuppa Site'!K987&lt;&gt;0,'Boletins Nuppa Site'!K987,"NULL")</f>
        <v>90</v>
      </c>
      <c r="I987" t="str">
        <f t="shared" si="30"/>
        <v>INSERT INTO COTACAO (cot_id, cot_blt_id, cot_pap_id, cot_prc_comum, cot_prc_min, cot_prc_max, cot_prc_med, cot_prc_mediana) VALUES (986, 62, 34, 70, 70, 100, 84, 90);</v>
      </c>
      <c r="J987" t="str">
        <f t="shared" si="31"/>
        <v>UPDATE COTACAO SET cot_id = 986, cot_blt_id = 62, cot_pap_id = 34, cot_prc_comum = 70, cot_prc_min = 70, cot_prc_max = 100, cot_prc_med = 84, cot_prc_mediana = 90 WHERE cot_id = 986;</v>
      </c>
    </row>
    <row r="988" spans="1:10" x14ac:dyDescent="0.3">
      <c r="A988">
        <v>987</v>
      </c>
      <c r="B988">
        <f>IF('Boletins Nuppa Site'!A988&lt;&gt;0,'Boletins Nuppa Site'!A988,"NULL")</f>
        <v>62</v>
      </c>
      <c r="C988">
        <v>35</v>
      </c>
      <c r="D988" s="14">
        <f>IF('Boletins Nuppa Site'!G988&lt;&gt;0,'Boletins Nuppa Site'!G988,"NULL")</f>
        <v>140</v>
      </c>
      <c r="E988" s="14">
        <f>IF('Boletins Nuppa Site'!H988&lt;&gt;0,'Boletins Nuppa Site'!H988,"NULL")</f>
        <v>120</v>
      </c>
      <c r="F988" s="14">
        <f>IF('Boletins Nuppa Site'!I988&lt;&gt;0,'Boletins Nuppa Site'!I988,"NULL")</f>
        <v>140</v>
      </c>
      <c r="G988" t="str">
        <f>IF('Boletins Nuppa Site'!J988&lt;&gt;0,'Boletins Nuppa Site'!J988,"NULL")</f>
        <v>133.33</v>
      </c>
      <c r="H988" s="14">
        <f>IF('Boletins Nuppa Site'!K988&lt;&gt;0,'Boletins Nuppa Site'!K988,"NULL")</f>
        <v>140</v>
      </c>
      <c r="I988" t="str">
        <f t="shared" si="30"/>
        <v>INSERT INTO COTACAO (cot_id, cot_blt_id, cot_pap_id, cot_prc_comum, cot_prc_min, cot_prc_max, cot_prc_med, cot_prc_mediana) VALUES (987, 62, 35, 140, 120, 140, 133.33, 140);</v>
      </c>
      <c r="J988" t="str">
        <f t="shared" si="31"/>
        <v>UPDATE COTACAO SET cot_id = 987, cot_blt_id = 62, cot_pap_id = 35, cot_prc_comum = 140, cot_prc_min = 120, cot_prc_max = 140, cot_prc_med = 133.33, cot_prc_mediana = 140 WHERE cot_id = 987;</v>
      </c>
    </row>
    <row r="989" spans="1:10" x14ac:dyDescent="0.3">
      <c r="A989">
        <v>988</v>
      </c>
      <c r="B989">
        <f>IF('Boletins Nuppa Site'!A989&lt;&gt;0,'Boletins Nuppa Site'!A989,"NULL")</f>
        <v>62</v>
      </c>
      <c r="C989">
        <v>36</v>
      </c>
      <c r="D989" t="str">
        <f>IF('Boletins Nuppa Site'!G989&lt;&gt;0,'Boletins Nuppa Site'!G989,"NULL")</f>
        <v>NULL</v>
      </c>
      <c r="E989" t="str">
        <f>IF('Boletins Nuppa Site'!H989&lt;&gt;0,'Boletins Nuppa Site'!H989,"NULL")</f>
        <v>NULL</v>
      </c>
      <c r="F989" t="str">
        <f>IF('Boletins Nuppa Site'!I989&lt;&gt;0,'Boletins Nuppa Site'!I989,"NULL")</f>
        <v>NULL</v>
      </c>
      <c r="G989" t="str">
        <f>IF('Boletins Nuppa Site'!J989&lt;&gt;0,'Boletins Nuppa Site'!J989,"NULL")</f>
        <v>NULL</v>
      </c>
      <c r="H989" t="str">
        <f>IF('Boletins Nuppa Site'!K989&lt;&gt;0,'Boletins Nuppa Site'!K989,"NULL")</f>
        <v>NULL</v>
      </c>
      <c r="I989" t="str">
        <f t="shared" si="30"/>
        <v>INSERT INTO COTACAO (cot_id, cot_blt_id, cot_pap_id, cot_prc_comum, cot_prc_min, cot_prc_max, cot_prc_med, cot_prc_mediana) VALUES (988, 62, 36, NULL, NULL, NULL, NULL, NULL);</v>
      </c>
      <c r="J989" t="str">
        <f t="shared" si="31"/>
        <v>UPDATE COTACAO SET cot_id = 988, cot_blt_id = 62, cot_pap_id = 36, cot_prc_comum = NULL, cot_prc_min = NULL, cot_prc_max = NULL, cot_prc_med = NULL, cot_prc_mediana = NULL WHERE cot_id = 988;</v>
      </c>
    </row>
    <row r="990" spans="1:10" x14ac:dyDescent="0.3">
      <c r="A990">
        <v>989</v>
      </c>
      <c r="B990">
        <f>IF('Boletins Nuppa Site'!A990&lt;&gt;0,'Boletins Nuppa Site'!A990,"NULL")</f>
        <v>62</v>
      </c>
      <c r="C990">
        <v>37</v>
      </c>
      <c r="D990" t="str">
        <f>IF('Boletins Nuppa Site'!G990&lt;&gt;0,'Boletins Nuppa Site'!G990,"NULL")</f>
        <v>NULL</v>
      </c>
      <c r="E990" t="str">
        <f>IF('Boletins Nuppa Site'!H990&lt;&gt;0,'Boletins Nuppa Site'!H990,"NULL")</f>
        <v>NULL</v>
      </c>
      <c r="F990" t="str">
        <f>IF('Boletins Nuppa Site'!I990&lt;&gt;0,'Boletins Nuppa Site'!I990,"NULL")</f>
        <v>NULL</v>
      </c>
      <c r="G990" t="str">
        <f>IF('Boletins Nuppa Site'!J990&lt;&gt;0,'Boletins Nuppa Site'!J990,"NULL")</f>
        <v>NULL</v>
      </c>
      <c r="H990" t="str">
        <f>IF('Boletins Nuppa Site'!K990&lt;&gt;0,'Boletins Nuppa Site'!K990,"NULL")</f>
        <v>NULL</v>
      </c>
      <c r="I990" t="str">
        <f t="shared" si="30"/>
        <v>INSERT INTO COTACAO (cot_id, cot_blt_id, cot_pap_id, cot_prc_comum, cot_prc_min, cot_prc_max, cot_prc_med, cot_prc_mediana) VALUES (989, 62, 37, NULL, NULL, NULL, NULL, NULL);</v>
      </c>
      <c r="J990" t="str">
        <f t="shared" si="31"/>
        <v>UPDATE COTACAO SET cot_id = 989, cot_blt_id = 62, cot_pap_id = 37, cot_prc_comum = NULL, cot_prc_min = NULL, cot_prc_max = NULL, cot_prc_med = NULL, cot_prc_mediana = NULL WHERE cot_id = 989;</v>
      </c>
    </row>
    <row r="991" spans="1:10" x14ac:dyDescent="0.3">
      <c r="A991">
        <v>990</v>
      </c>
      <c r="B991">
        <f>IF('Boletins Nuppa Site'!A991&lt;&gt;0,'Boletins Nuppa Site'!A991,"NULL")</f>
        <v>62</v>
      </c>
      <c r="C991">
        <v>38</v>
      </c>
      <c r="D991" t="str">
        <f>IF('Boletins Nuppa Site'!G991&lt;&gt;0,'Boletins Nuppa Site'!G991,"NULL")</f>
        <v>NULL</v>
      </c>
      <c r="E991" t="str">
        <f>IF('Boletins Nuppa Site'!H991&lt;&gt;0,'Boletins Nuppa Site'!H991,"NULL")</f>
        <v>NULL</v>
      </c>
      <c r="F991" t="str">
        <f>IF('Boletins Nuppa Site'!I991&lt;&gt;0,'Boletins Nuppa Site'!I991,"NULL")</f>
        <v>NULL</v>
      </c>
      <c r="G991" t="str">
        <f>IF('Boletins Nuppa Site'!J991&lt;&gt;0,'Boletins Nuppa Site'!J991,"NULL")</f>
        <v>NULL</v>
      </c>
      <c r="H991" t="str">
        <f>IF('Boletins Nuppa Site'!K991&lt;&gt;0,'Boletins Nuppa Site'!K991,"NULL")</f>
        <v>NULL</v>
      </c>
      <c r="I991" t="str">
        <f t="shared" si="30"/>
        <v>INSERT INTO COTACAO (cot_id, cot_blt_id, cot_pap_id, cot_prc_comum, cot_prc_min, cot_prc_max, cot_prc_med, cot_prc_mediana) VALUES (990, 62, 38, NULL, NULL, NULL, NULL, NULL);</v>
      </c>
      <c r="J991" t="str">
        <f t="shared" si="31"/>
        <v>UPDATE COTACAO SET cot_id = 990, cot_blt_id = 62, cot_pap_id = 38, cot_prc_comum = NULL, cot_prc_min = NULL, cot_prc_max = NULL, cot_prc_med = NULL, cot_prc_mediana = NULL WHERE cot_id = 990;</v>
      </c>
    </row>
    <row r="992" spans="1:10" x14ac:dyDescent="0.3">
      <c r="A992">
        <v>991</v>
      </c>
      <c r="B992">
        <f>IF('Boletins Nuppa Site'!A992&lt;&gt;0,'Boletins Nuppa Site'!A992,"NULL")</f>
        <v>62</v>
      </c>
      <c r="C992">
        <v>39</v>
      </c>
      <c r="D992" t="str">
        <f>IF('Boletins Nuppa Site'!G992&lt;&gt;0,'Boletins Nuppa Site'!G992,"NULL")</f>
        <v>NULL</v>
      </c>
      <c r="E992" s="14">
        <f>IF('Boletins Nuppa Site'!H992&lt;&gt;0,'Boletins Nuppa Site'!H992,"NULL")</f>
        <v>60</v>
      </c>
      <c r="F992" s="14">
        <f>IF('Boletins Nuppa Site'!I992&lt;&gt;0,'Boletins Nuppa Site'!I992,"NULL")</f>
        <v>60</v>
      </c>
      <c r="G992" s="14">
        <f>IF('Boletins Nuppa Site'!J992&lt;&gt;0,'Boletins Nuppa Site'!J992,"NULL")</f>
        <v>60</v>
      </c>
      <c r="H992" s="14">
        <f>IF('Boletins Nuppa Site'!K992&lt;&gt;0,'Boletins Nuppa Site'!K992,"NULL")</f>
        <v>60</v>
      </c>
      <c r="I992" t="str">
        <f t="shared" si="30"/>
        <v>INSERT INTO COTACAO (cot_id, cot_blt_id, cot_pap_id, cot_prc_comum, cot_prc_min, cot_prc_max, cot_prc_med, cot_prc_mediana) VALUES (991, 62, 39, NULL, 60, 60, 60, 60);</v>
      </c>
      <c r="J992" t="str">
        <f t="shared" si="31"/>
        <v>UPDATE COTACAO SET cot_id = 991, cot_blt_id = 62, cot_pap_id = 39, cot_prc_comum = NULL, cot_prc_min = 60, cot_prc_max = 60, cot_prc_med = 60, cot_prc_mediana = 60 WHERE cot_id = 991;</v>
      </c>
    </row>
    <row r="993" spans="1:10" x14ac:dyDescent="0.3">
      <c r="A993">
        <v>992</v>
      </c>
      <c r="B993">
        <f>IF('Boletins Nuppa Site'!A993&lt;&gt;0,'Boletins Nuppa Site'!A993,"NULL")</f>
        <v>62</v>
      </c>
      <c r="C993">
        <v>40</v>
      </c>
      <c r="D993" t="str">
        <f>IF('Boletins Nuppa Site'!G993&lt;&gt;0,'Boletins Nuppa Site'!G993,"NULL")</f>
        <v>NULL</v>
      </c>
      <c r="E993" s="14">
        <f>IF('Boletins Nuppa Site'!H993&lt;&gt;0,'Boletins Nuppa Site'!H993,"NULL")</f>
        <v>80</v>
      </c>
      <c r="F993" s="14">
        <f>IF('Boletins Nuppa Site'!I993&lt;&gt;0,'Boletins Nuppa Site'!I993,"NULL")</f>
        <v>80</v>
      </c>
      <c r="G993" s="14">
        <f>IF('Boletins Nuppa Site'!J993&lt;&gt;0,'Boletins Nuppa Site'!J993,"NULL")</f>
        <v>80</v>
      </c>
      <c r="H993" s="14">
        <f>IF('Boletins Nuppa Site'!K993&lt;&gt;0,'Boletins Nuppa Site'!K993,"NULL")</f>
        <v>80</v>
      </c>
      <c r="I993" t="str">
        <f t="shared" si="30"/>
        <v>INSERT INTO COTACAO (cot_id, cot_blt_id, cot_pap_id, cot_prc_comum, cot_prc_min, cot_prc_max, cot_prc_med, cot_prc_mediana) VALUES (992, 62, 40, NULL, 80, 80, 80, 80);</v>
      </c>
      <c r="J993" t="str">
        <f t="shared" si="31"/>
        <v>UPDATE COTACAO SET cot_id = 992, cot_blt_id = 62, cot_pap_id = 40, cot_prc_comum = NULL, cot_prc_min = 80, cot_prc_max = 80, cot_prc_med = 80, cot_prc_mediana = 80 WHERE cot_id = 992;</v>
      </c>
    </row>
    <row r="994" spans="1:10" x14ac:dyDescent="0.3">
      <c r="A994">
        <v>993</v>
      </c>
      <c r="B994">
        <f>IF('Boletins Nuppa Site'!A994&lt;&gt;0,'Boletins Nuppa Site'!A994,"NULL")</f>
        <v>63</v>
      </c>
      <c r="C994">
        <v>1</v>
      </c>
      <c r="D994" s="14">
        <f>IF('Boletins Nuppa Site'!G994&lt;&gt;0,'Boletins Nuppa Site'!G994,"NULL")</f>
        <v>60</v>
      </c>
      <c r="E994" s="14">
        <f>IF('Boletins Nuppa Site'!H994&lt;&gt;0,'Boletins Nuppa Site'!H994,"NULL")</f>
        <v>48</v>
      </c>
      <c r="F994" s="14">
        <f>IF('Boletins Nuppa Site'!I994&lt;&gt;0,'Boletins Nuppa Site'!I994,"NULL")</f>
        <v>48</v>
      </c>
      <c r="G994" s="14">
        <f>IF('Boletins Nuppa Site'!J994&lt;&gt;0,'Boletins Nuppa Site'!J994,"NULL")</f>
        <v>60</v>
      </c>
      <c r="H994">
        <f>IF('Boletins Nuppa Site'!K994&lt;&gt;0,'Boletins Nuppa Site'!K994,"NULL")</f>
        <v>52.8</v>
      </c>
      <c r="I994" t="str">
        <f t="shared" si="30"/>
        <v>INSERT INTO COTACAO (cot_id, cot_blt_id, cot_pap_id, cot_prc_comum, cot_prc_min, cot_prc_max, cot_prc_med, cot_prc_mediana) VALUES (993, 63, 1, 60, 48, 48, 60, 52,8);</v>
      </c>
      <c r="J994" t="str">
        <f t="shared" si="31"/>
        <v>UPDATE COTACAO SET cot_id = 993, cot_blt_id = 63, cot_pap_id = 1, cot_prc_comum = 60, cot_prc_min = 48, cot_prc_max = 48, cot_prc_med = 60, cot_prc_mediana = 52,8 WHERE cot_id = 993;</v>
      </c>
    </row>
    <row r="995" spans="1:10" x14ac:dyDescent="0.3">
      <c r="A995">
        <v>994</v>
      </c>
      <c r="B995">
        <f>IF('Boletins Nuppa Site'!A995&lt;&gt;0,'Boletins Nuppa Site'!A995,"NULL")</f>
        <v>63</v>
      </c>
      <c r="C995">
        <v>2</v>
      </c>
      <c r="D995" s="14">
        <f>IF('Boletins Nuppa Site'!G995&lt;&gt;0,'Boletins Nuppa Site'!G995,"NULL")</f>
        <v>84</v>
      </c>
      <c r="E995" s="14">
        <f>IF('Boletins Nuppa Site'!H995&lt;&gt;0,'Boletins Nuppa Site'!H995,"NULL")</f>
        <v>72</v>
      </c>
      <c r="F995" s="14">
        <f>IF('Boletins Nuppa Site'!I995&lt;&gt;0,'Boletins Nuppa Site'!I995,"NULL")</f>
        <v>72</v>
      </c>
      <c r="G995" s="14">
        <f>IF('Boletins Nuppa Site'!J995&lt;&gt;0,'Boletins Nuppa Site'!J995,"NULL")</f>
        <v>84</v>
      </c>
      <c r="H995" s="14">
        <f>IF('Boletins Nuppa Site'!K995&lt;&gt;0,'Boletins Nuppa Site'!K995,"NULL")</f>
        <v>78</v>
      </c>
      <c r="I995" t="str">
        <f t="shared" si="30"/>
        <v>INSERT INTO COTACAO (cot_id, cot_blt_id, cot_pap_id, cot_prc_comum, cot_prc_min, cot_prc_max, cot_prc_med, cot_prc_mediana) VALUES (994, 63, 2, 84, 72, 72, 84, 78);</v>
      </c>
      <c r="J995" t="str">
        <f t="shared" si="31"/>
        <v>UPDATE COTACAO SET cot_id = 994, cot_blt_id = 63, cot_pap_id = 2, cot_prc_comum = 84, cot_prc_min = 72, cot_prc_max = 72, cot_prc_med = 84, cot_prc_mediana = 78 WHERE cot_id = 994;</v>
      </c>
    </row>
    <row r="996" spans="1:10" x14ac:dyDescent="0.3">
      <c r="A996">
        <v>995</v>
      </c>
      <c r="B996">
        <f>IF('Boletins Nuppa Site'!A996&lt;&gt;0,'Boletins Nuppa Site'!A996,"NULL")</f>
        <v>63</v>
      </c>
      <c r="C996">
        <v>3</v>
      </c>
      <c r="D996" s="14">
        <f>IF('Boletins Nuppa Site'!G996&lt;&gt;0,'Boletins Nuppa Site'!G996,"NULL")</f>
        <v>36</v>
      </c>
      <c r="E996" s="14">
        <f>IF('Boletins Nuppa Site'!H996&lt;&gt;0,'Boletins Nuppa Site'!H996,"NULL")</f>
        <v>36</v>
      </c>
      <c r="F996" s="14">
        <f>IF('Boletins Nuppa Site'!I996&lt;&gt;0,'Boletins Nuppa Site'!I996,"NULL")</f>
        <v>30</v>
      </c>
      <c r="G996" s="14">
        <f>IF('Boletins Nuppa Site'!J996&lt;&gt;0,'Boletins Nuppa Site'!J996,"NULL")</f>
        <v>42</v>
      </c>
      <c r="H996">
        <f>IF('Boletins Nuppa Site'!K996&lt;&gt;0,'Boletins Nuppa Site'!K996,"NULL")</f>
        <v>35.799999999999997</v>
      </c>
      <c r="I996" t="str">
        <f t="shared" si="30"/>
        <v>INSERT INTO COTACAO (cot_id, cot_blt_id, cot_pap_id, cot_prc_comum, cot_prc_min, cot_prc_max, cot_prc_med, cot_prc_mediana) VALUES (995, 63, 3, 36, 36, 30, 42, 35,8);</v>
      </c>
      <c r="J996" t="str">
        <f t="shared" si="31"/>
        <v>UPDATE COTACAO SET cot_id = 995, cot_blt_id = 63, cot_pap_id = 3, cot_prc_comum = 36, cot_prc_min = 36, cot_prc_max = 30, cot_prc_med = 42, cot_prc_mediana = 35,8 WHERE cot_id = 995;</v>
      </c>
    </row>
    <row r="997" spans="1:10" x14ac:dyDescent="0.3">
      <c r="A997">
        <v>996</v>
      </c>
      <c r="B997">
        <f>IF('Boletins Nuppa Site'!A997&lt;&gt;0,'Boletins Nuppa Site'!A997,"NULL")</f>
        <v>63</v>
      </c>
      <c r="C997">
        <v>4</v>
      </c>
      <c r="D997" s="14">
        <f>IF('Boletins Nuppa Site'!G997&lt;&gt;0,'Boletins Nuppa Site'!G997,"NULL")</f>
        <v>24</v>
      </c>
      <c r="E997" s="14">
        <f>IF('Boletins Nuppa Site'!H997&lt;&gt;0,'Boletins Nuppa Site'!H997,"NULL")</f>
        <v>18</v>
      </c>
      <c r="F997" s="14">
        <f>IF('Boletins Nuppa Site'!I997&lt;&gt;0,'Boletins Nuppa Site'!I997,"NULL")</f>
        <v>18</v>
      </c>
      <c r="G997" s="14">
        <f>IF('Boletins Nuppa Site'!J997&lt;&gt;0,'Boletins Nuppa Site'!J997,"NULL")</f>
        <v>24</v>
      </c>
      <c r="H997">
        <f>IF('Boletins Nuppa Site'!K997&lt;&gt;0,'Boletins Nuppa Site'!K997,"NULL")</f>
        <v>20.8</v>
      </c>
      <c r="I997" t="str">
        <f t="shared" si="30"/>
        <v>INSERT INTO COTACAO (cot_id, cot_blt_id, cot_pap_id, cot_prc_comum, cot_prc_min, cot_prc_max, cot_prc_med, cot_prc_mediana) VALUES (996, 63, 4, 24, 18, 18, 24, 20,8);</v>
      </c>
      <c r="J997" t="str">
        <f t="shared" si="31"/>
        <v>UPDATE COTACAO SET cot_id = 996, cot_blt_id = 63, cot_pap_id = 4, cot_prc_comum = 24, cot_prc_min = 18, cot_prc_max = 18, cot_prc_med = 24, cot_prc_mediana = 20,8 WHERE cot_id = 996;</v>
      </c>
    </row>
    <row r="998" spans="1:10" x14ac:dyDescent="0.3">
      <c r="A998">
        <v>997</v>
      </c>
      <c r="B998">
        <f>IF('Boletins Nuppa Site'!A998&lt;&gt;0,'Boletins Nuppa Site'!A998,"NULL")</f>
        <v>63</v>
      </c>
      <c r="C998">
        <v>5</v>
      </c>
      <c r="D998" s="14">
        <f>IF('Boletins Nuppa Site'!G998&lt;&gt;0,'Boletins Nuppa Site'!G998,"NULL")</f>
        <v>30</v>
      </c>
      <c r="E998" s="14">
        <f>IF('Boletins Nuppa Site'!H998&lt;&gt;0,'Boletins Nuppa Site'!H998,"NULL")</f>
        <v>24</v>
      </c>
      <c r="F998" s="14">
        <f>IF('Boletins Nuppa Site'!I998&lt;&gt;0,'Boletins Nuppa Site'!I998,"NULL")</f>
        <v>18</v>
      </c>
      <c r="G998" s="14">
        <f>IF('Boletins Nuppa Site'!J998&lt;&gt;0,'Boletins Nuppa Site'!J998,"NULL")</f>
        <v>24</v>
      </c>
      <c r="H998">
        <f>IF('Boletins Nuppa Site'!K998&lt;&gt;0,'Boletins Nuppa Site'!K998,"NULL")</f>
        <v>21.5</v>
      </c>
      <c r="I998" t="str">
        <f t="shared" si="30"/>
        <v>INSERT INTO COTACAO (cot_id, cot_blt_id, cot_pap_id, cot_prc_comum, cot_prc_min, cot_prc_max, cot_prc_med, cot_prc_mediana) VALUES (997, 63, 5, 30, 24, 18, 24, 21,5);</v>
      </c>
      <c r="J998" t="str">
        <f t="shared" si="31"/>
        <v>UPDATE COTACAO SET cot_id = 997, cot_blt_id = 63, cot_pap_id = 5, cot_prc_comum = 30, cot_prc_min = 24, cot_prc_max = 18, cot_prc_med = 24, cot_prc_mediana = 21,5 WHERE cot_id = 997;</v>
      </c>
    </row>
    <row r="999" spans="1:10" x14ac:dyDescent="0.3">
      <c r="A999">
        <v>998</v>
      </c>
      <c r="B999">
        <f>IF('Boletins Nuppa Site'!A999&lt;&gt;0,'Boletins Nuppa Site'!A999,"NULL")</f>
        <v>63</v>
      </c>
      <c r="C999">
        <v>6</v>
      </c>
      <c r="D999" s="14">
        <f>IF('Boletins Nuppa Site'!G999&lt;&gt;0,'Boletins Nuppa Site'!G999,"NULL")</f>
        <v>60</v>
      </c>
      <c r="E999" s="14">
        <f>IF('Boletins Nuppa Site'!H999&lt;&gt;0,'Boletins Nuppa Site'!H999,"NULL")</f>
        <v>60</v>
      </c>
      <c r="F999" s="14">
        <f>IF('Boletins Nuppa Site'!I999&lt;&gt;0,'Boletins Nuppa Site'!I999,"NULL")</f>
        <v>60</v>
      </c>
      <c r="G999" s="14">
        <f>IF('Boletins Nuppa Site'!J999&lt;&gt;0,'Boletins Nuppa Site'!J999,"NULL")</f>
        <v>60</v>
      </c>
      <c r="H999" s="14">
        <f>IF('Boletins Nuppa Site'!K999&lt;&gt;0,'Boletins Nuppa Site'!K999,"NULL")</f>
        <v>60</v>
      </c>
      <c r="I999" t="str">
        <f t="shared" si="30"/>
        <v>INSERT INTO COTACAO (cot_id, cot_blt_id, cot_pap_id, cot_prc_comum, cot_prc_min, cot_prc_max, cot_prc_med, cot_prc_mediana) VALUES (998, 63, 6, 60, 60, 60, 60, 60);</v>
      </c>
      <c r="J999" t="str">
        <f t="shared" si="31"/>
        <v>UPDATE COTACAO SET cot_id = 998, cot_blt_id = 63, cot_pap_id = 6, cot_prc_comum = 60, cot_prc_min = 60, cot_prc_max = 60, cot_prc_med = 60, cot_prc_mediana = 60 WHERE cot_id = 998;</v>
      </c>
    </row>
    <row r="1000" spans="1:10" x14ac:dyDescent="0.3">
      <c r="A1000">
        <v>999</v>
      </c>
      <c r="B1000">
        <f>IF('Boletins Nuppa Site'!A1000&lt;&gt;0,'Boletins Nuppa Site'!A1000,"NULL")</f>
        <v>63</v>
      </c>
      <c r="C1000">
        <v>7</v>
      </c>
      <c r="D1000" s="14">
        <f>IF('Boletins Nuppa Site'!G1000&lt;&gt;0,'Boletins Nuppa Site'!G1000,"NULL")</f>
        <v>60</v>
      </c>
      <c r="E1000" s="14">
        <f>IF('Boletins Nuppa Site'!H1000&lt;&gt;0,'Boletins Nuppa Site'!H1000,"NULL")</f>
        <v>48</v>
      </c>
      <c r="F1000" s="14">
        <f>IF('Boletins Nuppa Site'!I1000&lt;&gt;0,'Boletins Nuppa Site'!I1000,"NULL")</f>
        <v>48</v>
      </c>
      <c r="G1000" s="14">
        <f>IF('Boletins Nuppa Site'!J1000&lt;&gt;0,'Boletins Nuppa Site'!J1000,"NULL")</f>
        <v>60</v>
      </c>
      <c r="H1000" s="14">
        <f>IF('Boletins Nuppa Site'!K1000&lt;&gt;0,'Boletins Nuppa Site'!K1000,"NULL")</f>
        <v>54</v>
      </c>
      <c r="I1000" t="str">
        <f t="shared" si="30"/>
        <v>INSERT INTO COTACAO (cot_id, cot_blt_id, cot_pap_id, cot_prc_comum, cot_prc_min, cot_prc_max, cot_prc_med, cot_prc_mediana) VALUES (999, 63, 7, 60, 48, 48, 60, 54);</v>
      </c>
      <c r="J1000" t="str">
        <f t="shared" si="31"/>
        <v>UPDATE COTACAO SET cot_id = 999, cot_blt_id = 63, cot_pap_id = 7, cot_prc_comum = 60, cot_prc_min = 48, cot_prc_max = 48, cot_prc_med = 60, cot_prc_mediana = 54 WHERE cot_id = 999;</v>
      </c>
    </row>
    <row r="1001" spans="1:10" x14ac:dyDescent="0.3">
      <c r="A1001">
        <v>1000</v>
      </c>
      <c r="B1001">
        <f>IF('Boletins Nuppa Site'!A1001&lt;&gt;0,'Boletins Nuppa Site'!A1001,"NULL")</f>
        <v>63</v>
      </c>
      <c r="C1001">
        <v>8</v>
      </c>
      <c r="D1001" s="14">
        <f>IF('Boletins Nuppa Site'!G1001&lt;&gt;0,'Boletins Nuppa Site'!G1001,"NULL")</f>
        <v>84</v>
      </c>
      <c r="E1001" s="14">
        <f>IF('Boletins Nuppa Site'!H1001&lt;&gt;0,'Boletins Nuppa Site'!H1001,"NULL")</f>
        <v>60</v>
      </c>
      <c r="F1001" s="14">
        <f>IF('Boletins Nuppa Site'!I1001&lt;&gt;0,'Boletins Nuppa Site'!I1001,"NULL")</f>
        <v>60</v>
      </c>
      <c r="G1001" s="14">
        <f>IF('Boletins Nuppa Site'!J1001&lt;&gt;0,'Boletins Nuppa Site'!J1001,"NULL")</f>
        <v>84</v>
      </c>
      <c r="H1001" s="14">
        <f>IF('Boletins Nuppa Site'!K1001&lt;&gt;0,'Boletins Nuppa Site'!K1001,"NULL")</f>
        <v>72</v>
      </c>
      <c r="I1001" t="str">
        <f t="shared" si="30"/>
        <v>INSERT INTO COTACAO (cot_id, cot_blt_id, cot_pap_id, cot_prc_comum, cot_prc_min, cot_prc_max, cot_prc_med, cot_prc_mediana) VALUES (1000, 63, 8, 84, 60, 60, 84, 72);</v>
      </c>
      <c r="J1001" t="str">
        <f t="shared" si="31"/>
        <v>UPDATE COTACAO SET cot_id = 1000, cot_blt_id = 63, cot_pap_id = 8, cot_prc_comum = 84, cot_prc_min = 60, cot_prc_max = 60, cot_prc_med = 84, cot_prc_mediana = 72 WHERE cot_id = 1000;</v>
      </c>
    </row>
    <row r="1002" spans="1:10" x14ac:dyDescent="0.3">
      <c r="A1002">
        <v>1001</v>
      </c>
      <c r="B1002">
        <f>IF('Boletins Nuppa Site'!A1002&lt;&gt;0,'Boletins Nuppa Site'!A1002,"NULL")</f>
        <v>63</v>
      </c>
      <c r="C1002">
        <v>9</v>
      </c>
      <c r="D1002" s="14">
        <f>IF('Boletins Nuppa Site'!G1002&lt;&gt;0,'Boletins Nuppa Site'!G1002,"NULL")</f>
        <v>24</v>
      </c>
      <c r="E1002" s="14">
        <f>IF('Boletins Nuppa Site'!H1002&lt;&gt;0,'Boletins Nuppa Site'!H1002,"NULL")</f>
        <v>18</v>
      </c>
      <c r="F1002" s="14">
        <f>IF('Boletins Nuppa Site'!I1002&lt;&gt;0,'Boletins Nuppa Site'!I1002,"NULL")</f>
        <v>18</v>
      </c>
      <c r="G1002" s="14">
        <f>IF('Boletins Nuppa Site'!J1002&lt;&gt;0,'Boletins Nuppa Site'!J1002,"NULL")</f>
        <v>25</v>
      </c>
      <c r="H1002">
        <f>IF('Boletins Nuppa Site'!K1002&lt;&gt;0,'Boletins Nuppa Site'!K1002,"NULL")</f>
        <v>21.8</v>
      </c>
      <c r="I1002" t="str">
        <f t="shared" si="30"/>
        <v>INSERT INTO COTACAO (cot_id, cot_blt_id, cot_pap_id, cot_prc_comum, cot_prc_min, cot_prc_max, cot_prc_med, cot_prc_mediana) VALUES (1001, 63, 9, 24, 18, 18, 25, 21,8);</v>
      </c>
      <c r="J1002" t="str">
        <f t="shared" si="31"/>
        <v>UPDATE COTACAO SET cot_id = 1001, cot_blt_id = 63, cot_pap_id = 9, cot_prc_comum = 24, cot_prc_min = 18, cot_prc_max = 18, cot_prc_med = 25, cot_prc_mediana = 21,8 WHERE cot_id = 1001;</v>
      </c>
    </row>
    <row r="1003" spans="1:10" x14ac:dyDescent="0.3">
      <c r="A1003">
        <v>1002</v>
      </c>
      <c r="B1003">
        <f>IF('Boletins Nuppa Site'!A1003&lt;&gt;0,'Boletins Nuppa Site'!A1003,"NULL")</f>
        <v>63</v>
      </c>
      <c r="C1003">
        <v>10</v>
      </c>
      <c r="D1003" s="14">
        <f>IF('Boletins Nuppa Site'!G1003&lt;&gt;0,'Boletins Nuppa Site'!G1003,"NULL")</f>
        <v>72</v>
      </c>
      <c r="E1003" s="14">
        <f>IF('Boletins Nuppa Site'!H1003&lt;&gt;0,'Boletins Nuppa Site'!H1003,"NULL")</f>
        <v>60</v>
      </c>
      <c r="F1003" s="14">
        <f>IF('Boletins Nuppa Site'!I1003&lt;&gt;0,'Boletins Nuppa Site'!I1003,"NULL")</f>
        <v>60</v>
      </c>
      <c r="G1003" s="14">
        <f>IF('Boletins Nuppa Site'!J1003&lt;&gt;0,'Boletins Nuppa Site'!J1003,"NULL")</f>
        <v>84</v>
      </c>
      <c r="H1003" s="14">
        <f>IF('Boletins Nuppa Site'!K1003&lt;&gt;0,'Boletins Nuppa Site'!K1003,"NULL")</f>
        <v>72</v>
      </c>
      <c r="I1003" t="str">
        <f t="shared" si="30"/>
        <v>INSERT INTO COTACAO (cot_id, cot_blt_id, cot_pap_id, cot_prc_comum, cot_prc_min, cot_prc_max, cot_prc_med, cot_prc_mediana) VALUES (1002, 63, 10, 72, 60, 60, 84, 72);</v>
      </c>
      <c r="J1003" t="str">
        <f t="shared" si="31"/>
        <v>UPDATE COTACAO SET cot_id = 1002, cot_blt_id = 63, cot_pap_id = 10, cot_prc_comum = 72, cot_prc_min = 60, cot_prc_max = 60, cot_prc_med = 84, cot_prc_mediana = 72 WHERE cot_id = 1002;</v>
      </c>
    </row>
    <row r="1004" spans="1:10" x14ac:dyDescent="0.3">
      <c r="A1004">
        <v>1003</v>
      </c>
      <c r="B1004">
        <f>IF('Boletins Nuppa Site'!A1004&lt;&gt;0,'Boletins Nuppa Site'!A1004,"NULL")</f>
        <v>63</v>
      </c>
      <c r="C1004">
        <v>11</v>
      </c>
      <c r="D1004" s="14">
        <f>IF('Boletins Nuppa Site'!G1004&lt;&gt;0,'Boletins Nuppa Site'!G1004,"NULL")</f>
        <v>30</v>
      </c>
      <c r="E1004" s="14">
        <f>IF('Boletins Nuppa Site'!H1004&lt;&gt;0,'Boletins Nuppa Site'!H1004,"NULL")</f>
        <v>24</v>
      </c>
      <c r="F1004" s="14">
        <f>IF('Boletins Nuppa Site'!I1004&lt;&gt;0,'Boletins Nuppa Site'!I1004,"NULL")</f>
        <v>18</v>
      </c>
      <c r="G1004" s="14">
        <f>IF('Boletins Nuppa Site'!J1004&lt;&gt;0,'Boletins Nuppa Site'!J1004,"NULL")</f>
        <v>24</v>
      </c>
      <c r="H1004" s="14">
        <f>IF('Boletins Nuppa Site'!K1004&lt;&gt;0,'Boletins Nuppa Site'!K1004,"NULL")</f>
        <v>22</v>
      </c>
      <c r="I1004" t="str">
        <f t="shared" si="30"/>
        <v>INSERT INTO COTACAO (cot_id, cot_blt_id, cot_pap_id, cot_prc_comum, cot_prc_min, cot_prc_max, cot_prc_med, cot_prc_mediana) VALUES (1003, 63, 11, 30, 24, 18, 24, 22);</v>
      </c>
      <c r="J1004" t="str">
        <f t="shared" si="31"/>
        <v>UPDATE COTACAO SET cot_id = 1003, cot_blt_id = 63, cot_pap_id = 11, cot_prc_comum = 30, cot_prc_min = 24, cot_prc_max = 18, cot_prc_med = 24, cot_prc_mediana = 22 WHERE cot_id = 1003;</v>
      </c>
    </row>
    <row r="1005" spans="1:10" x14ac:dyDescent="0.3">
      <c r="A1005">
        <v>1004</v>
      </c>
      <c r="B1005">
        <f>IF('Boletins Nuppa Site'!A1005&lt;&gt;0,'Boletins Nuppa Site'!A1005,"NULL")</f>
        <v>63</v>
      </c>
      <c r="C1005">
        <v>12</v>
      </c>
      <c r="D1005" s="14">
        <f>IF('Boletins Nuppa Site'!G1005&lt;&gt;0,'Boletins Nuppa Site'!G1005,"NULL")</f>
        <v>60</v>
      </c>
      <c r="E1005" s="14">
        <f>IF('Boletins Nuppa Site'!H1005&lt;&gt;0,'Boletins Nuppa Site'!H1005,"NULL")</f>
        <v>60</v>
      </c>
      <c r="F1005" s="14">
        <f>IF('Boletins Nuppa Site'!I1005&lt;&gt;0,'Boletins Nuppa Site'!I1005,"NULL")</f>
        <v>60</v>
      </c>
      <c r="G1005" s="14">
        <f>IF('Boletins Nuppa Site'!J1005&lt;&gt;0,'Boletins Nuppa Site'!J1005,"NULL")</f>
        <v>72</v>
      </c>
      <c r="H1005" s="14">
        <f>IF('Boletins Nuppa Site'!K1005&lt;&gt;0,'Boletins Nuppa Site'!K1005,"NULL")</f>
        <v>66</v>
      </c>
      <c r="I1005" t="str">
        <f t="shared" si="30"/>
        <v>INSERT INTO COTACAO (cot_id, cot_blt_id, cot_pap_id, cot_prc_comum, cot_prc_min, cot_prc_max, cot_prc_med, cot_prc_mediana) VALUES (1004, 63, 12, 60, 60, 60, 72, 66);</v>
      </c>
      <c r="J1005" t="str">
        <f t="shared" si="31"/>
        <v>UPDATE COTACAO SET cot_id = 1004, cot_blt_id = 63, cot_pap_id = 12, cot_prc_comum = 60, cot_prc_min = 60, cot_prc_max = 60, cot_prc_med = 72, cot_prc_mediana = 66 WHERE cot_id = 1004;</v>
      </c>
    </row>
    <row r="1006" spans="1:10" x14ac:dyDescent="0.3">
      <c r="A1006">
        <v>1005</v>
      </c>
      <c r="B1006">
        <f>IF('Boletins Nuppa Site'!A1006&lt;&gt;0,'Boletins Nuppa Site'!A1006,"NULL")</f>
        <v>63</v>
      </c>
      <c r="C1006">
        <v>13</v>
      </c>
      <c r="D1006" s="14">
        <f>IF('Boletins Nuppa Site'!G1006&lt;&gt;0,'Boletins Nuppa Site'!G1006,"NULL")</f>
        <v>60</v>
      </c>
      <c r="E1006" s="14">
        <f>IF('Boletins Nuppa Site'!H1006&lt;&gt;0,'Boletins Nuppa Site'!H1006,"NULL")</f>
        <v>60</v>
      </c>
      <c r="F1006" s="14">
        <f>IF('Boletins Nuppa Site'!I1006&lt;&gt;0,'Boletins Nuppa Site'!I1006,"NULL")</f>
        <v>48</v>
      </c>
      <c r="G1006" s="14">
        <f>IF('Boletins Nuppa Site'!J1006&lt;&gt;0,'Boletins Nuppa Site'!J1006,"NULL")</f>
        <v>60</v>
      </c>
      <c r="H1006">
        <f>IF('Boletins Nuppa Site'!K1006&lt;&gt;0,'Boletins Nuppa Site'!K1006,"NULL")</f>
        <v>55.2</v>
      </c>
      <c r="I1006" t="str">
        <f t="shared" si="30"/>
        <v>INSERT INTO COTACAO (cot_id, cot_blt_id, cot_pap_id, cot_prc_comum, cot_prc_min, cot_prc_max, cot_prc_med, cot_prc_mediana) VALUES (1005, 63, 13, 60, 60, 48, 60, 55,2);</v>
      </c>
      <c r="J1006" t="str">
        <f t="shared" si="31"/>
        <v>UPDATE COTACAO SET cot_id = 1005, cot_blt_id = 63, cot_pap_id = 13, cot_prc_comum = 60, cot_prc_min = 60, cot_prc_max = 48, cot_prc_med = 60, cot_prc_mediana = 55,2 WHERE cot_id = 1005;</v>
      </c>
    </row>
    <row r="1007" spans="1:10" x14ac:dyDescent="0.3">
      <c r="A1007">
        <v>1006</v>
      </c>
      <c r="B1007">
        <f>IF('Boletins Nuppa Site'!A1007&lt;&gt;0,'Boletins Nuppa Site'!A1007,"NULL")</f>
        <v>63</v>
      </c>
      <c r="C1007">
        <v>14</v>
      </c>
      <c r="D1007" s="14">
        <f>IF('Boletins Nuppa Site'!G1007&lt;&gt;0,'Boletins Nuppa Site'!G1007,"NULL")</f>
        <v>60</v>
      </c>
      <c r="E1007">
        <f>IF('Boletins Nuppa Site'!H1007&lt;&gt;0,'Boletins Nuppa Site'!H1007,"NULL")</f>
        <v>48</v>
      </c>
      <c r="F1007" s="14">
        <f>IF('Boletins Nuppa Site'!I1007&lt;&gt;0,'Boletins Nuppa Site'!I1007,"NULL")</f>
        <v>48</v>
      </c>
      <c r="G1007" s="14">
        <f>IF('Boletins Nuppa Site'!J1007&lt;&gt;0,'Boletins Nuppa Site'!J1007,"NULL")</f>
        <v>78</v>
      </c>
      <c r="H1007" s="14">
        <f>IF('Boletins Nuppa Site'!K1007&lt;&gt;0,'Boletins Nuppa Site'!K1007,"NULL")</f>
        <v>59</v>
      </c>
      <c r="I1007" t="str">
        <f t="shared" si="30"/>
        <v>INSERT INTO COTACAO (cot_id, cot_blt_id, cot_pap_id, cot_prc_comum, cot_prc_min, cot_prc_max, cot_prc_med, cot_prc_mediana) VALUES (1006, 63, 14, 60, 48, 48, 78, 59);</v>
      </c>
      <c r="J1007" t="str">
        <f t="shared" si="31"/>
        <v>UPDATE COTACAO SET cot_id = 1006, cot_blt_id = 63, cot_pap_id = 14, cot_prc_comum = 60, cot_prc_min = 48, cot_prc_max = 48, cot_prc_med = 78, cot_prc_mediana = 59 WHERE cot_id = 1006;</v>
      </c>
    </row>
    <row r="1008" spans="1:10" x14ac:dyDescent="0.3">
      <c r="A1008">
        <v>1007</v>
      </c>
      <c r="B1008">
        <f>IF('Boletins Nuppa Site'!A1008&lt;&gt;0,'Boletins Nuppa Site'!A1008,"NULL")</f>
        <v>63</v>
      </c>
      <c r="C1008">
        <v>15</v>
      </c>
      <c r="D1008" s="14">
        <f>IF('Boletins Nuppa Site'!G1008&lt;&gt;0,'Boletins Nuppa Site'!G1008,"NULL")</f>
        <v>48</v>
      </c>
      <c r="E1008" s="14">
        <f>IF('Boletins Nuppa Site'!H1008&lt;&gt;0,'Boletins Nuppa Site'!H1008,"NULL")</f>
        <v>48</v>
      </c>
      <c r="F1008" s="14">
        <f>IF('Boletins Nuppa Site'!I1008&lt;&gt;0,'Boletins Nuppa Site'!I1008,"NULL")</f>
        <v>36</v>
      </c>
      <c r="G1008" s="14">
        <f>IF('Boletins Nuppa Site'!J1008&lt;&gt;0,'Boletins Nuppa Site'!J1008,"NULL")</f>
        <v>48</v>
      </c>
      <c r="H1008">
        <f>IF('Boletins Nuppa Site'!K1008&lt;&gt;0,'Boletins Nuppa Site'!K1008,"NULL")</f>
        <v>41.6</v>
      </c>
      <c r="I1008" t="str">
        <f t="shared" si="30"/>
        <v>INSERT INTO COTACAO (cot_id, cot_blt_id, cot_pap_id, cot_prc_comum, cot_prc_min, cot_prc_max, cot_prc_med, cot_prc_mediana) VALUES (1007, 63, 15, 48, 48, 36, 48, 41,6);</v>
      </c>
      <c r="J1008" t="str">
        <f t="shared" si="31"/>
        <v>UPDATE COTACAO SET cot_id = 1007, cot_blt_id = 63, cot_pap_id = 15, cot_prc_comum = 48, cot_prc_min = 48, cot_prc_max = 36, cot_prc_med = 48, cot_prc_mediana = 41,6 WHERE cot_id = 1007;</v>
      </c>
    </row>
    <row r="1009" spans="1:10" x14ac:dyDescent="0.3">
      <c r="A1009">
        <v>1008</v>
      </c>
      <c r="B1009">
        <f>IF('Boletins Nuppa Site'!A1009&lt;&gt;0,'Boletins Nuppa Site'!A1009,"NULL")</f>
        <v>63</v>
      </c>
      <c r="C1009">
        <v>16</v>
      </c>
      <c r="D1009" s="14">
        <f>IF('Boletins Nuppa Site'!G1009&lt;&gt;0,'Boletins Nuppa Site'!G1009,"NULL")</f>
        <v>54</v>
      </c>
      <c r="E1009" s="14" t="str">
        <f>IF('Boletins Nuppa Site'!H1009&lt;&gt;0,'Boletins Nuppa Site'!H1009,"NULL")</f>
        <v>NULL</v>
      </c>
      <c r="F1009" s="14">
        <f>IF('Boletins Nuppa Site'!I1009&lt;&gt;0,'Boletins Nuppa Site'!I1009,"NULL")</f>
        <v>48</v>
      </c>
      <c r="G1009" s="14">
        <f>IF('Boletins Nuppa Site'!J1009&lt;&gt;0,'Boletins Nuppa Site'!J1009,"NULL")</f>
        <v>54</v>
      </c>
      <c r="H1009">
        <f>IF('Boletins Nuppa Site'!K1009&lt;&gt;0,'Boletins Nuppa Site'!K1009,"NULL")</f>
        <v>50.4</v>
      </c>
      <c r="I1009" t="str">
        <f t="shared" si="30"/>
        <v>INSERT INTO COTACAO (cot_id, cot_blt_id, cot_pap_id, cot_prc_comum, cot_prc_min, cot_prc_max, cot_prc_med, cot_prc_mediana) VALUES (1008, 63, 16, 54, NULL, 48, 54, 50,4);</v>
      </c>
      <c r="J1009" t="str">
        <f t="shared" si="31"/>
        <v>UPDATE COTACAO SET cot_id = 1008, cot_blt_id = 63, cot_pap_id = 16, cot_prc_comum = 54, cot_prc_min = NULL, cot_prc_max = 48, cot_prc_med = 54, cot_prc_mediana = 50,4 WHERE cot_id = 1008;</v>
      </c>
    </row>
    <row r="1010" spans="1:10" x14ac:dyDescent="0.3">
      <c r="A1010">
        <v>1009</v>
      </c>
      <c r="B1010">
        <f>IF('Boletins Nuppa Site'!A1010&lt;&gt;0,'Boletins Nuppa Site'!A1010,"NULL")</f>
        <v>63</v>
      </c>
      <c r="C1010">
        <v>17</v>
      </c>
      <c r="D1010" s="14">
        <f>IF('Boletins Nuppa Site'!G1010&lt;&gt;0,'Boletins Nuppa Site'!G1010,"NULL")</f>
        <v>5</v>
      </c>
      <c r="E1010" s="14">
        <f>IF('Boletins Nuppa Site'!H1010&lt;&gt;0,'Boletins Nuppa Site'!H1010,"NULL")</f>
        <v>4</v>
      </c>
      <c r="F1010" s="14">
        <f>IF('Boletins Nuppa Site'!I1010&lt;&gt;0,'Boletins Nuppa Site'!I1010,"NULL")</f>
        <v>5</v>
      </c>
      <c r="G1010">
        <f>IF('Boletins Nuppa Site'!J1010&lt;&gt;0,'Boletins Nuppa Site'!J1010,"NULL")</f>
        <v>4.8</v>
      </c>
      <c r="H1010" s="14">
        <f>IF('Boletins Nuppa Site'!K1010&lt;&gt;0,'Boletins Nuppa Site'!K1010,"NULL")</f>
        <v>5</v>
      </c>
      <c r="I1010" t="str">
        <f t="shared" si="30"/>
        <v>INSERT INTO COTACAO (cot_id, cot_blt_id, cot_pap_id, cot_prc_comum, cot_prc_min, cot_prc_max, cot_prc_med, cot_prc_mediana) VALUES (1009, 63, 17, 5, 4, 5, 4,8, 5);</v>
      </c>
      <c r="J1010" t="str">
        <f t="shared" si="31"/>
        <v>UPDATE COTACAO SET cot_id = 1009, cot_blt_id = 63, cot_pap_id = 17, cot_prc_comum = 5, cot_prc_min = 4, cot_prc_max = 5, cot_prc_med = 4,8, cot_prc_mediana = 5 WHERE cot_id = 1009;</v>
      </c>
    </row>
    <row r="1011" spans="1:10" x14ac:dyDescent="0.3">
      <c r="A1011">
        <v>1010</v>
      </c>
      <c r="B1011">
        <f>IF('Boletins Nuppa Site'!A1011&lt;&gt;0,'Boletins Nuppa Site'!A1011,"NULL")</f>
        <v>63</v>
      </c>
      <c r="C1011">
        <v>18</v>
      </c>
      <c r="D1011" s="14">
        <f>IF('Boletins Nuppa Site'!G1011&lt;&gt;0,'Boletins Nuppa Site'!G1011,"NULL")</f>
        <v>12</v>
      </c>
      <c r="E1011" s="14">
        <f>IF('Boletins Nuppa Site'!H1011&lt;&gt;0,'Boletins Nuppa Site'!H1011,"NULL")</f>
        <v>10</v>
      </c>
      <c r="F1011" s="14">
        <f>IF('Boletins Nuppa Site'!I1011&lt;&gt;0,'Boletins Nuppa Site'!I1011,"NULL")</f>
        <v>12</v>
      </c>
      <c r="G1011">
        <f>IF('Boletins Nuppa Site'!J1011&lt;&gt;0,'Boletins Nuppa Site'!J1011,"NULL")</f>
        <v>11.2</v>
      </c>
      <c r="H1011" s="14">
        <f>IF('Boletins Nuppa Site'!K1011&lt;&gt;0,'Boletins Nuppa Site'!K1011,"NULL")</f>
        <v>12</v>
      </c>
      <c r="I1011" t="str">
        <f t="shared" si="30"/>
        <v>INSERT INTO COTACAO (cot_id, cot_blt_id, cot_pap_id, cot_prc_comum, cot_prc_min, cot_prc_max, cot_prc_med, cot_prc_mediana) VALUES (1010, 63, 18, 12, 10, 12, 11,2, 12);</v>
      </c>
      <c r="J1011" t="str">
        <f t="shared" si="31"/>
        <v>UPDATE COTACAO SET cot_id = 1010, cot_blt_id = 63, cot_pap_id = 18, cot_prc_comum = 12, cot_prc_min = 10, cot_prc_max = 12, cot_prc_med = 11,2, cot_prc_mediana = 12 WHERE cot_id = 1010;</v>
      </c>
    </row>
    <row r="1012" spans="1:10" x14ac:dyDescent="0.3">
      <c r="A1012">
        <v>1011</v>
      </c>
      <c r="B1012">
        <f>IF('Boletins Nuppa Site'!A1012&lt;&gt;0,'Boletins Nuppa Site'!A1012,"NULL")</f>
        <v>63</v>
      </c>
      <c r="C1012">
        <v>19</v>
      </c>
      <c r="D1012" s="14">
        <f>IF('Boletins Nuppa Site'!G1012&lt;&gt;0,'Boletins Nuppa Site'!G1012,"NULL")</f>
        <v>20</v>
      </c>
      <c r="E1012" s="14">
        <f>IF('Boletins Nuppa Site'!H1012&lt;&gt;0,'Boletins Nuppa Site'!H1012,"NULL")</f>
        <v>20</v>
      </c>
      <c r="F1012" s="14">
        <f>IF('Boletins Nuppa Site'!I1012&lt;&gt;0,'Boletins Nuppa Site'!I1012,"NULL")</f>
        <v>30</v>
      </c>
      <c r="G1012" s="14">
        <f>IF('Boletins Nuppa Site'!J1012&lt;&gt;0,'Boletins Nuppa Site'!J1012,"NULL")</f>
        <v>24</v>
      </c>
      <c r="H1012" s="14">
        <f>IF('Boletins Nuppa Site'!K1012&lt;&gt;0,'Boletins Nuppa Site'!K1012,"NULL")</f>
        <v>20</v>
      </c>
      <c r="I1012" t="str">
        <f t="shared" si="30"/>
        <v>INSERT INTO COTACAO (cot_id, cot_blt_id, cot_pap_id, cot_prc_comum, cot_prc_min, cot_prc_max, cot_prc_med, cot_prc_mediana) VALUES (1011, 63, 19, 20, 20, 30, 24, 20);</v>
      </c>
      <c r="J1012" t="str">
        <f t="shared" si="31"/>
        <v>UPDATE COTACAO SET cot_id = 1011, cot_blt_id = 63, cot_pap_id = 19, cot_prc_comum = 20, cot_prc_min = 20, cot_prc_max = 30, cot_prc_med = 24, cot_prc_mediana = 20 WHERE cot_id = 1011;</v>
      </c>
    </row>
    <row r="1013" spans="1:10" x14ac:dyDescent="0.3">
      <c r="A1013">
        <v>1012</v>
      </c>
      <c r="B1013">
        <f>IF('Boletins Nuppa Site'!A1013&lt;&gt;0,'Boletins Nuppa Site'!A1013,"NULL")</f>
        <v>63</v>
      </c>
      <c r="C1013">
        <v>20</v>
      </c>
      <c r="D1013" t="str">
        <f>IF('Boletins Nuppa Site'!G1013&lt;&gt;0,'Boletins Nuppa Site'!G1013,"NULL")</f>
        <v>NULL</v>
      </c>
      <c r="E1013" s="14">
        <f>IF('Boletins Nuppa Site'!H1013&lt;&gt;0,'Boletins Nuppa Site'!H1013,"NULL")</f>
        <v>80</v>
      </c>
      <c r="F1013" s="14">
        <f>IF('Boletins Nuppa Site'!I1013&lt;&gt;0,'Boletins Nuppa Site'!I1013,"NULL")</f>
        <v>80</v>
      </c>
      <c r="G1013" s="14">
        <f>IF('Boletins Nuppa Site'!J1013&lt;&gt;0,'Boletins Nuppa Site'!J1013,"NULL")</f>
        <v>80</v>
      </c>
      <c r="H1013" s="14">
        <f>IF('Boletins Nuppa Site'!K1013&lt;&gt;0,'Boletins Nuppa Site'!K1013,"NULL")</f>
        <v>80</v>
      </c>
      <c r="I1013" t="str">
        <f t="shared" si="30"/>
        <v>INSERT INTO COTACAO (cot_id, cot_blt_id, cot_pap_id, cot_prc_comum, cot_prc_min, cot_prc_max, cot_prc_med, cot_prc_mediana) VALUES (1012, 63, 20, NULL, 80, 80, 80, 80);</v>
      </c>
      <c r="J1013" t="str">
        <f t="shared" si="31"/>
        <v>UPDATE COTACAO SET cot_id = 1012, cot_blt_id = 63, cot_pap_id = 20, cot_prc_comum = NULL, cot_prc_min = 80, cot_prc_max = 80, cot_prc_med = 80, cot_prc_mediana = 80 WHERE cot_id = 1012;</v>
      </c>
    </row>
    <row r="1014" spans="1:10" x14ac:dyDescent="0.3">
      <c r="A1014">
        <v>1013</v>
      </c>
      <c r="B1014">
        <f>IF('Boletins Nuppa Site'!A1014&lt;&gt;0,'Boletins Nuppa Site'!A1014,"NULL")</f>
        <v>63</v>
      </c>
      <c r="C1014">
        <v>21</v>
      </c>
      <c r="D1014" s="14">
        <f>IF('Boletins Nuppa Site'!G1014&lt;&gt;0,'Boletins Nuppa Site'!G1014,"NULL")</f>
        <v>60</v>
      </c>
      <c r="E1014" s="14">
        <f>IF('Boletins Nuppa Site'!H1014&lt;&gt;0,'Boletins Nuppa Site'!H1014,"NULL")</f>
        <v>40</v>
      </c>
      <c r="F1014" s="14">
        <f>IF('Boletins Nuppa Site'!I1014&lt;&gt;0,'Boletins Nuppa Site'!I1014,"NULL")</f>
        <v>75</v>
      </c>
      <c r="G1014" t="str">
        <f>IF('Boletins Nuppa Site'!J1014&lt;&gt;0,'Boletins Nuppa Site'!J1014,"NULL")</f>
        <v>58.33</v>
      </c>
      <c r="H1014" s="14">
        <f>IF('Boletins Nuppa Site'!K1014&lt;&gt;0,'Boletins Nuppa Site'!K1014,"NULL")</f>
        <v>60</v>
      </c>
      <c r="I1014" t="str">
        <f t="shared" si="30"/>
        <v>INSERT INTO COTACAO (cot_id, cot_blt_id, cot_pap_id, cot_prc_comum, cot_prc_min, cot_prc_max, cot_prc_med, cot_prc_mediana) VALUES (1013, 63, 21, 60, 40, 75, 58.33, 60);</v>
      </c>
      <c r="J1014" t="str">
        <f t="shared" si="31"/>
        <v>UPDATE COTACAO SET cot_id = 1013, cot_blt_id = 63, cot_pap_id = 21, cot_prc_comum = 60, cot_prc_min = 40, cot_prc_max = 75, cot_prc_med = 58.33, cot_prc_mediana = 60 WHERE cot_id = 1013;</v>
      </c>
    </row>
    <row r="1015" spans="1:10" x14ac:dyDescent="0.3">
      <c r="A1015">
        <v>1014</v>
      </c>
      <c r="B1015">
        <f>IF('Boletins Nuppa Site'!A1015&lt;&gt;0,'Boletins Nuppa Site'!A1015,"NULL")</f>
        <v>63</v>
      </c>
      <c r="C1015">
        <v>22</v>
      </c>
      <c r="D1015" s="14">
        <f>IF('Boletins Nuppa Site'!G1015&lt;&gt;0,'Boletins Nuppa Site'!G1015,"NULL")</f>
        <v>70</v>
      </c>
      <c r="E1015" s="14">
        <f>IF('Boletins Nuppa Site'!H1015&lt;&gt;0,'Boletins Nuppa Site'!H1015,"NULL")</f>
        <v>45</v>
      </c>
      <c r="F1015" s="14">
        <f>IF('Boletins Nuppa Site'!I1015&lt;&gt;0,'Boletins Nuppa Site'!I1015,"NULL")</f>
        <v>75</v>
      </c>
      <c r="G1015" t="str">
        <f>IF('Boletins Nuppa Site'!J1015&lt;&gt;0,'Boletins Nuppa Site'!J1015,"NULL")</f>
        <v>61.67</v>
      </c>
      <c r="H1015" s="14">
        <f>IF('Boletins Nuppa Site'!K1015&lt;&gt;0,'Boletins Nuppa Site'!K1015,"NULL")</f>
        <v>65</v>
      </c>
      <c r="I1015" t="str">
        <f t="shared" si="30"/>
        <v>INSERT INTO COTACAO (cot_id, cot_blt_id, cot_pap_id, cot_prc_comum, cot_prc_min, cot_prc_max, cot_prc_med, cot_prc_mediana) VALUES (1014, 63, 22, 70, 45, 75, 61.67, 65);</v>
      </c>
      <c r="J1015" t="str">
        <f t="shared" si="31"/>
        <v>UPDATE COTACAO SET cot_id = 1014, cot_blt_id = 63, cot_pap_id = 22, cot_prc_comum = 70, cot_prc_min = 45, cot_prc_max = 75, cot_prc_med = 61.67, cot_prc_mediana = 65 WHERE cot_id = 1014;</v>
      </c>
    </row>
    <row r="1016" spans="1:10" x14ac:dyDescent="0.3">
      <c r="A1016">
        <v>1015</v>
      </c>
      <c r="B1016">
        <f>IF('Boletins Nuppa Site'!A1016&lt;&gt;0,'Boletins Nuppa Site'!A1016,"NULL")</f>
        <v>63</v>
      </c>
      <c r="C1016">
        <v>23</v>
      </c>
      <c r="D1016" s="14">
        <f>IF('Boletins Nuppa Site'!G1016&lt;&gt;0,'Boletins Nuppa Site'!G1016,"NULL")</f>
        <v>40</v>
      </c>
      <c r="E1016" s="14">
        <f>IF('Boletins Nuppa Site'!H1016&lt;&gt;0,'Boletins Nuppa Site'!H1016,"NULL")</f>
        <v>40</v>
      </c>
      <c r="F1016" s="14">
        <f>IF('Boletins Nuppa Site'!I1016&lt;&gt;0,'Boletins Nuppa Site'!I1016,"NULL")</f>
        <v>50</v>
      </c>
      <c r="G1016" t="str">
        <f>IF('Boletins Nuppa Site'!J1016&lt;&gt;0,'Boletins Nuppa Site'!J1016,"NULL")</f>
        <v>43.75</v>
      </c>
      <c r="H1016" t="str">
        <f>IF('Boletins Nuppa Site'!K1016&lt;&gt;0,'Boletins Nuppa Site'!K1016,"NULL")</f>
        <v>42.5</v>
      </c>
      <c r="I1016" t="str">
        <f t="shared" si="30"/>
        <v>INSERT INTO COTACAO (cot_id, cot_blt_id, cot_pap_id, cot_prc_comum, cot_prc_min, cot_prc_max, cot_prc_med, cot_prc_mediana) VALUES (1015, 63, 23, 40, 40, 50, 43.75, 42.5);</v>
      </c>
      <c r="J1016" t="str">
        <f t="shared" si="31"/>
        <v>UPDATE COTACAO SET cot_id = 1015, cot_blt_id = 63, cot_pap_id = 23, cot_prc_comum = 40, cot_prc_min = 40, cot_prc_max = 50, cot_prc_med = 43.75, cot_prc_mediana = 42.5 WHERE cot_id = 1015;</v>
      </c>
    </row>
    <row r="1017" spans="1:10" x14ac:dyDescent="0.3">
      <c r="A1017">
        <v>1016</v>
      </c>
      <c r="B1017">
        <f>IF('Boletins Nuppa Site'!A1017&lt;&gt;0,'Boletins Nuppa Site'!A1017,"NULL")</f>
        <v>63</v>
      </c>
      <c r="C1017">
        <v>24</v>
      </c>
      <c r="D1017" t="str">
        <f>IF('Boletins Nuppa Site'!G1017&lt;&gt;0,'Boletins Nuppa Site'!G1017,"NULL")</f>
        <v>NULL</v>
      </c>
      <c r="E1017" s="14">
        <f>IF('Boletins Nuppa Site'!H1017&lt;&gt;0,'Boletins Nuppa Site'!H1017,"NULL")</f>
        <v>90</v>
      </c>
      <c r="F1017" s="14">
        <f>IF('Boletins Nuppa Site'!I1017&lt;&gt;0,'Boletins Nuppa Site'!I1017,"NULL")</f>
        <v>105</v>
      </c>
      <c r="G1017" t="str">
        <f>IF('Boletins Nuppa Site'!J1017&lt;&gt;0,'Boletins Nuppa Site'!J1017,"NULL")</f>
        <v>97.5</v>
      </c>
      <c r="H1017" t="str">
        <f>IF('Boletins Nuppa Site'!K1017&lt;&gt;0,'Boletins Nuppa Site'!K1017,"NULL")</f>
        <v>97.5</v>
      </c>
      <c r="I1017" t="str">
        <f t="shared" si="30"/>
        <v>INSERT INTO COTACAO (cot_id, cot_blt_id, cot_pap_id, cot_prc_comum, cot_prc_min, cot_prc_max, cot_prc_med, cot_prc_mediana) VALUES (1016, 63, 24, NULL, 90, 105, 97.5, 97.5);</v>
      </c>
      <c r="J1017" t="str">
        <f t="shared" si="31"/>
        <v>UPDATE COTACAO SET cot_id = 1016, cot_blt_id = 63, cot_pap_id = 24, cot_prc_comum = NULL, cot_prc_min = 90, cot_prc_max = 105, cot_prc_med = 97.5, cot_prc_mediana = 97.5 WHERE cot_id = 1016;</v>
      </c>
    </row>
    <row r="1018" spans="1:10" x14ac:dyDescent="0.3">
      <c r="A1018">
        <v>1017</v>
      </c>
      <c r="B1018">
        <f>IF('Boletins Nuppa Site'!A1018&lt;&gt;0,'Boletins Nuppa Site'!A1018,"NULL")</f>
        <v>63</v>
      </c>
      <c r="C1018">
        <v>25</v>
      </c>
      <c r="D1018" s="14">
        <f>IF('Boletins Nuppa Site'!G1018&lt;&gt;0,'Boletins Nuppa Site'!G1018,"NULL")</f>
        <v>55</v>
      </c>
      <c r="E1018" s="14">
        <f>IF('Boletins Nuppa Site'!H1018&lt;&gt;0,'Boletins Nuppa Site'!H1018,"NULL")</f>
        <v>55</v>
      </c>
      <c r="F1018" s="14">
        <f>IF('Boletins Nuppa Site'!I1018&lt;&gt;0,'Boletins Nuppa Site'!I1018,"NULL")</f>
        <v>60</v>
      </c>
      <c r="G1018" t="str">
        <f>IF('Boletins Nuppa Site'!J1018&lt;&gt;0,'Boletins Nuppa Site'!J1018,"NULL")</f>
        <v>56.67</v>
      </c>
      <c r="H1018" s="14">
        <f>IF('Boletins Nuppa Site'!K1018&lt;&gt;0,'Boletins Nuppa Site'!K1018,"NULL")</f>
        <v>55</v>
      </c>
      <c r="I1018" t="str">
        <f t="shared" si="30"/>
        <v>INSERT INTO COTACAO (cot_id, cot_blt_id, cot_pap_id, cot_prc_comum, cot_prc_min, cot_prc_max, cot_prc_med, cot_prc_mediana) VALUES (1017, 63, 25, 55, 55, 60, 56.67, 55);</v>
      </c>
      <c r="J1018" t="str">
        <f t="shared" si="31"/>
        <v>UPDATE COTACAO SET cot_id = 1017, cot_blt_id = 63, cot_pap_id = 25, cot_prc_comum = 55, cot_prc_min = 55, cot_prc_max = 60, cot_prc_med = 56.67, cot_prc_mediana = 55 WHERE cot_id = 1017;</v>
      </c>
    </row>
    <row r="1019" spans="1:10" x14ac:dyDescent="0.3">
      <c r="A1019">
        <v>1018</v>
      </c>
      <c r="B1019">
        <f>IF('Boletins Nuppa Site'!A1019&lt;&gt;0,'Boletins Nuppa Site'!A1019,"NULL")</f>
        <v>63</v>
      </c>
      <c r="C1019">
        <v>26</v>
      </c>
      <c r="D1019" s="14">
        <f>IF('Boletins Nuppa Site'!G1019&lt;&gt;0,'Boletins Nuppa Site'!G1019,"NULL")</f>
        <v>60</v>
      </c>
      <c r="E1019" s="14">
        <f>IF('Boletins Nuppa Site'!H1019&lt;&gt;0,'Boletins Nuppa Site'!H1019,"NULL")</f>
        <v>45</v>
      </c>
      <c r="F1019" s="14">
        <f>IF('Boletins Nuppa Site'!I1019&lt;&gt;0,'Boletins Nuppa Site'!I1019,"NULL")</f>
        <v>60</v>
      </c>
      <c r="G1019" t="str">
        <f>IF('Boletins Nuppa Site'!J1019&lt;&gt;0,'Boletins Nuppa Site'!J1019,"NULL")</f>
        <v>53.33</v>
      </c>
      <c r="H1019" s="14">
        <f>IF('Boletins Nuppa Site'!K1019&lt;&gt;0,'Boletins Nuppa Site'!K1019,"NULL")</f>
        <v>55</v>
      </c>
      <c r="I1019" t="str">
        <f t="shared" si="30"/>
        <v>INSERT INTO COTACAO (cot_id, cot_blt_id, cot_pap_id, cot_prc_comum, cot_prc_min, cot_prc_max, cot_prc_med, cot_prc_mediana) VALUES (1018, 63, 26, 60, 45, 60, 53.33, 55);</v>
      </c>
      <c r="J1019" t="str">
        <f t="shared" si="31"/>
        <v>UPDATE COTACAO SET cot_id = 1018, cot_blt_id = 63, cot_pap_id = 26, cot_prc_comum = 60, cot_prc_min = 45, cot_prc_max = 60, cot_prc_med = 53.33, cot_prc_mediana = 55 WHERE cot_id = 1018;</v>
      </c>
    </row>
    <row r="1020" spans="1:10" x14ac:dyDescent="0.3">
      <c r="A1020">
        <v>1019</v>
      </c>
      <c r="B1020">
        <f>IF('Boletins Nuppa Site'!A1020&lt;&gt;0,'Boletins Nuppa Site'!A1020,"NULL")</f>
        <v>63</v>
      </c>
      <c r="C1020">
        <v>27</v>
      </c>
      <c r="D1020" s="14">
        <f>IF('Boletins Nuppa Site'!G1020&lt;&gt;0,'Boletins Nuppa Site'!G1020,"NULL")</f>
        <v>60</v>
      </c>
      <c r="E1020" s="14">
        <f>IF('Boletins Nuppa Site'!H1020&lt;&gt;0,'Boletins Nuppa Site'!H1020,"NULL")</f>
        <v>45</v>
      </c>
      <c r="F1020" s="14">
        <f>IF('Boletins Nuppa Site'!I1020&lt;&gt;0,'Boletins Nuppa Site'!I1020,"NULL")</f>
        <v>65</v>
      </c>
      <c r="G1020" t="str">
        <f>IF('Boletins Nuppa Site'!J1020&lt;&gt;0,'Boletins Nuppa Site'!J1020,"NULL")</f>
        <v>58.33</v>
      </c>
      <c r="H1020" s="14">
        <f>IF('Boletins Nuppa Site'!K1020&lt;&gt;0,'Boletins Nuppa Site'!K1020,"NULL")</f>
        <v>60</v>
      </c>
      <c r="I1020" t="str">
        <f t="shared" si="30"/>
        <v>INSERT INTO COTACAO (cot_id, cot_blt_id, cot_pap_id, cot_prc_comum, cot_prc_min, cot_prc_max, cot_prc_med, cot_prc_mediana) VALUES (1019, 63, 27, 60, 45, 65, 58.33, 60);</v>
      </c>
      <c r="J1020" t="str">
        <f t="shared" si="31"/>
        <v>UPDATE COTACAO SET cot_id = 1019, cot_blt_id = 63, cot_pap_id = 27, cot_prc_comum = 60, cot_prc_min = 45, cot_prc_max = 65, cot_prc_med = 58.33, cot_prc_mediana = 60 WHERE cot_id = 1019;</v>
      </c>
    </row>
    <row r="1021" spans="1:10" x14ac:dyDescent="0.3">
      <c r="A1021">
        <v>1020</v>
      </c>
      <c r="B1021">
        <f>IF('Boletins Nuppa Site'!A1021&lt;&gt;0,'Boletins Nuppa Site'!A1021,"NULL")</f>
        <v>63</v>
      </c>
      <c r="C1021">
        <v>28</v>
      </c>
      <c r="D1021" s="14">
        <f>IF('Boletins Nuppa Site'!G1021&lt;&gt;0,'Boletins Nuppa Site'!G1021,"NULL")</f>
        <v>90</v>
      </c>
      <c r="E1021" s="14">
        <f>IF('Boletins Nuppa Site'!H1021&lt;&gt;0,'Boletins Nuppa Site'!H1021,"NULL")</f>
        <v>60</v>
      </c>
      <c r="F1021" s="14">
        <f>IF('Boletins Nuppa Site'!I1021&lt;&gt;0,'Boletins Nuppa Site'!I1021,"NULL")</f>
        <v>100</v>
      </c>
      <c r="G1021" s="14">
        <f>IF('Boletins Nuppa Site'!J1021&lt;&gt;0,'Boletins Nuppa Site'!J1021,"NULL")</f>
        <v>86</v>
      </c>
      <c r="H1021" s="14">
        <f>IF('Boletins Nuppa Site'!K1021&lt;&gt;0,'Boletins Nuppa Site'!K1021,"NULL")</f>
        <v>90</v>
      </c>
      <c r="I1021" t="str">
        <f t="shared" si="30"/>
        <v>INSERT INTO COTACAO (cot_id, cot_blt_id, cot_pap_id, cot_prc_comum, cot_prc_min, cot_prc_max, cot_prc_med, cot_prc_mediana) VALUES (1020, 63, 28, 90, 60, 100, 86, 90);</v>
      </c>
      <c r="J1021" t="str">
        <f t="shared" si="31"/>
        <v>UPDATE COTACAO SET cot_id = 1020, cot_blt_id = 63, cot_pap_id = 28, cot_prc_comum = 90, cot_prc_min = 60, cot_prc_max = 100, cot_prc_med = 86, cot_prc_mediana = 90 WHERE cot_id = 1020;</v>
      </c>
    </row>
    <row r="1022" spans="1:10" x14ac:dyDescent="0.3">
      <c r="A1022">
        <v>1021</v>
      </c>
      <c r="B1022">
        <f>IF('Boletins Nuppa Site'!A1022&lt;&gt;0,'Boletins Nuppa Site'!A1022,"NULL")</f>
        <v>63</v>
      </c>
      <c r="C1022">
        <v>29</v>
      </c>
      <c r="D1022" s="14">
        <f>IF('Boletins Nuppa Site'!G1022&lt;&gt;0,'Boletins Nuppa Site'!G1022,"NULL")</f>
        <v>60</v>
      </c>
      <c r="E1022" s="14">
        <f>IF('Boletins Nuppa Site'!H1022&lt;&gt;0,'Boletins Nuppa Site'!H1022,"NULL")</f>
        <v>60</v>
      </c>
      <c r="F1022" s="14">
        <f>IF('Boletins Nuppa Site'!I1022&lt;&gt;0,'Boletins Nuppa Site'!I1022,"NULL")</f>
        <v>60</v>
      </c>
      <c r="G1022" s="14">
        <f>IF('Boletins Nuppa Site'!J1022&lt;&gt;0,'Boletins Nuppa Site'!J1022,"NULL")</f>
        <v>60</v>
      </c>
      <c r="H1022" s="14">
        <f>IF('Boletins Nuppa Site'!K1022&lt;&gt;0,'Boletins Nuppa Site'!K1022,"NULL")</f>
        <v>60</v>
      </c>
      <c r="I1022" t="str">
        <f t="shared" si="30"/>
        <v>INSERT INTO COTACAO (cot_id, cot_blt_id, cot_pap_id, cot_prc_comum, cot_prc_min, cot_prc_max, cot_prc_med, cot_prc_mediana) VALUES (1021, 63, 29, 60, 60, 60, 60, 60);</v>
      </c>
      <c r="J1022" t="str">
        <f t="shared" si="31"/>
        <v>UPDATE COTACAO SET cot_id = 1021, cot_blt_id = 63, cot_pap_id = 29, cot_prc_comum = 60, cot_prc_min = 60, cot_prc_max = 60, cot_prc_med = 60, cot_prc_mediana = 60 WHERE cot_id = 1021;</v>
      </c>
    </row>
    <row r="1023" spans="1:10" x14ac:dyDescent="0.3">
      <c r="A1023">
        <v>1022</v>
      </c>
      <c r="B1023">
        <f>IF('Boletins Nuppa Site'!A1023&lt;&gt;0,'Boletins Nuppa Site'!A1023,"NULL")</f>
        <v>63</v>
      </c>
      <c r="C1023">
        <v>30</v>
      </c>
      <c r="D1023" s="14">
        <f>IF('Boletins Nuppa Site'!G1023&lt;&gt;0,'Boletins Nuppa Site'!G1023,"NULL")</f>
        <v>65</v>
      </c>
      <c r="E1023" s="14">
        <f>IF('Boletins Nuppa Site'!H1023&lt;&gt;0,'Boletins Nuppa Site'!H1023,"NULL")</f>
        <v>50</v>
      </c>
      <c r="F1023" s="14">
        <f>IF('Boletins Nuppa Site'!I1023&lt;&gt;0,'Boletins Nuppa Site'!I1023,"NULL")</f>
        <v>65</v>
      </c>
      <c r="G1023" s="14">
        <f>IF('Boletins Nuppa Site'!J1023&lt;&gt;0,'Boletins Nuppa Site'!J1023,"NULL")</f>
        <v>60</v>
      </c>
      <c r="H1023" t="str">
        <f>IF('Boletins Nuppa Site'!K1023&lt;&gt;0,'Boletins Nuppa Site'!K1023,"NULL")</f>
        <v>62.5</v>
      </c>
      <c r="I1023" t="str">
        <f t="shared" si="30"/>
        <v>INSERT INTO COTACAO (cot_id, cot_blt_id, cot_pap_id, cot_prc_comum, cot_prc_min, cot_prc_max, cot_prc_med, cot_prc_mediana) VALUES (1022, 63, 30, 65, 50, 65, 60, 62.5);</v>
      </c>
      <c r="J1023" t="str">
        <f t="shared" si="31"/>
        <v>UPDATE COTACAO SET cot_id = 1022, cot_blt_id = 63, cot_pap_id = 30, cot_prc_comum = 65, cot_prc_min = 50, cot_prc_max = 65, cot_prc_med = 60, cot_prc_mediana = 62.5 WHERE cot_id = 1022;</v>
      </c>
    </row>
    <row r="1024" spans="1:10" x14ac:dyDescent="0.3">
      <c r="A1024">
        <v>1023</v>
      </c>
      <c r="B1024">
        <f>IF('Boletins Nuppa Site'!A1024&lt;&gt;0,'Boletins Nuppa Site'!A1024,"NULL")</f>
        <v>63</v>
      </c>
      <c r="C1024">
        <v>31</v>
      </c>
      <c r="D1024" s="14">
        <f>IF('Boletins Nuppa Site'!G1024&lt;&gt;0,'Boletins Nuppa Site'!G1024,"NULL")</f>
        <v>90</v>
      </c>
      <c r="E1024" s="14">
        <f>IF('Boletins Nuppa Site'!H1024&lt;&gt;0,'Boletins Nuppa Site'!H1024,"NULL")</f>
        <v>50</v>
      </c>
      <c r="F1024" s="14">
        <f>IF('Boletins Nuppa Site'!I1024&lt;&gt;0,'Boletins Nuppa Site'!I1024,"NULL")</f>
        <v>90</v>
      </c>
      <c r="G1024" t="str">
        <f>IF('Boletins Nuppa Site'!J1024&lt;&gt;0,'Boletins Nuppa Site'!J1024,"NULL")</f>
        <v>76.67</v>
      </c>
      <c r="H1024" s="14">
        <f>IF('Boletins Nuppa Site'!K1024&lt;&gt;0,'Boletins Nuppa Site'!K1024,"NULL")</f>
        <v>80</v>
      </c>
      <c r="I1024" t="str">
        <f t="shared" si="30"/>
        <v>INSERT INTO COTACAO (cot_id, cot_blt_id, cot_pap_id, cot_prc_comum, cot_prc_min, cot_prc_max, cot_prc_med, cot_prc_mediana) VALUES (1023, 63, 31, 90, 50, 90, 76.67, 80);</v>
      </c>
      <c r="J1024" t="str">
        <f t="shared" si="31"/>
        <v>UPDATE COTACAO SET cot_id = 1023, cot_blt_id = 63, cot_pap_id = 31, cot_prc_comum = 90, cot_prc_min = 50, cot_prc_max = 90, cot_prc_med = 76.67, cot_prc_mediana = 80 WHERE cot_id = 1023;</v>
      </c>
    </row>
    <row r="1025" spans="1:10" x14ac:dyDescent="0.3">
      <c r="A1025">
        <v>1024</v>
      </c>
      <c r="B1025">
        <f>IF('Boletins Nuppa Site'!A1025&lt;&gt;0,'Boletins Nuppa Site'!A1025,"NULL")</f>
        <v>63</v>
      </c>
      <c r="C1025">
        <v>32</v>
      </c>
      <c r="D1025" s="14">
        <f>IF('Boletins Nuppa Site'!G1025&lt;&gt;0,'Boletins Nuppa Site'!G1025,"NULL")</f>
        <v>50</v>
      </c>
      <c r="E1025" s="14">
        <f>IF('Boletins Nuppa Site'!H1025&lt;&gt;0,'Boletins Nuppa Site'!H1025,"NULL")</f>
        <v>40</v>
      </c>
      <c r="F1025" s="14">
        <f>IF('Boletins Nuppa Site'!I1025&lt;&gt;0,'Boletins Nuppa Site'!I1025,"NULL")</f>
        <v>80</v>
      </c>
      <c r="G1025" s="14">
        <f>IF('Boletins Nuppa Site'!J1025&lt;&gt;0,'Boletins Nuppa Site'!J1025,"NULL")</f>
        <v>55</v>
      </c>
      <c r="H1025" s="14">
        <f>IF('Boletins Nuppa Site'!K1025&lt;&gt;0,'Boletins Nuppa Site'!K1025,"NULL")</f>
        <v>50</v>
      </c>
      <c r="I1025" t="str">
        <f t="shared" si="30"/>
        <v>INSERT INTO COTACAO (cot_id, cot_blt_id, cot_pap_id, cot_prc_comum, cot_prc_min, cot_prc_max, cot_prc_med, cot_prc_mediana) VALUES (1024, 63, 32, 50, 40, 80, 55, 50);</v>
      </c>
      <c r="J1025" t="str">
        <f t="shared" si="31"/>
        <v>UPDATE COTACAO SET cot_id = 1024, cot_blt_id = 63, cot_pap_id = 32, cot_prc_comum = 50, cot_prc_min = 40, cot_prc_max = 80, cot_prc_med = 55, cot_prc_mediana = 50 WHERE cot_id = 1024;</v>
      </c>
    </row>
    <row r="1026" spans="1:10" x14ac:dyDescent="0.3">
      <c r="A1026">
        <v>1025</v>
      </c>
      <c r="B1026">
        <f>IF('Boletins Nuppa Site'!A1026&lt;&gt;0,'Boletins Nuppa Site'!A1026,"NULL")</f>
        <v>63</v>
      </c>
      <c r="C1026">
        <v>33</v>
      </c>
      <c r="D1026" s="14">
        <f>IF('Boletins Nuppa Site'!G1026&lt;&gt;0,'Boletins Nuppa Site'!G1026,"NULL")</f>
        <v>120</v>
      </c>
      <c r="E1026" s="14">
        <f>IF('Boletins Nuppa Site'!H1026&lt;&gt;0,'Boletins Nuppa Site'!H1026,"NULL")</f>
        <v>100</v>
      </c>
      <c r="F1026" s="14">
        <f>IF('Boletins Nuppa Site'!I1026&lt;&gt;0,'Boletins Nuppa Site'!I1026,"NULL")</f>
        <v>150</v>
      </c>
      <c r="G1026" s="14">
        <f>IF('Boletins Nuppa Site'!J1026&lt;&gt;0,'Boletins Nuppa Site'!J1026,"NULL")</f>
        <v>125</v>
      </c>
      <c r="H1026" s="14">
        <f>IF('Boletins Nuppa Site'!K1026&lt;&gt;0,'Boletins Nuppa Site'!K1026,"NULL")</f>
        <v>125</v>
      </c>
      <c r="I1026" t="str">
        <f t="shared" si="30"/>
        <v>INSERT INTO COTACAO (cot_id, cot_blt_id, cot_pap_id, cot_prc_comum, cot_prc_min, cot_prc_max, cot_prc_med, cot_prc_mediana) VALUES (1025, 63, 33, 120, 100, 150, 125, 125);</v>
      </c>
      <c r="J1026" t="str">
        <f t="shared" si="31"/>
        <v>UPDATE COTACAO SET cot_id = 1025, cot_blt_id = 63, cot_pap_id = 33, cot_prc_comum = 120, cot_prc_min = 100, cot_prc_max = 150, cot_prc_med = 125, cot_prc_mediana = 125 WHERE cot_id = 1025;</v>
      </c>
    </row>
    <row r="1027" spans="1:10" x14ac:dyDescent="0.3">
      <c r="A1027">
        <v>1026</v>
      </c>
      <c r="B1027">
        <f>IF('Boletins Nuppa Site'!A1027&lt;&gt;0,'Boletins Nuppa Site'!A1027,"NULL")</f>
        <v>63</v>
      </c>
      <c r="C1027">
        <v>34</v>
      </c>
      <c r="D1027" s="14">
        <f>IF('Boletins Nuppa Site'!G1027&lt;&gt;0,'Boletins Nuppa Site'!G1027,"NULL")</f>
        <v>80</v>
      </c>
      <c r="E1027" s="14">
        <f>IF('Boletins Nuppa Site'!H1027&lt;&gt;0,'Boletins Nuppa Site'!H1027,"NULL")</f>
        <v>50</v>
      </c>
      <c r="F1027" s="14">
        <f>IF('Boletins Nuppa Site'!I1027&lt;&gt;0,'Boletins Nuppa Site'!I1027,"NULL")</f>
        <v>90</v>
      </c>
      <c r="G1027" t="str">
        <f>IF('Boletins Nuppa Site'!J1027&lt;&gt;0,'Boletins Nuppa Site'!J1027,"NULL")</f>
        <v>72.14</v>
      </c>
      <c r="H1027" s="14">
        <f>IF('Boletins Nuppa Site'!K1027&lt;&gt;0,'Boletins Nuppa Site'!K1027,"NULL")</f>
        <v>75</v>
      </c>
      <c r="I1027" t="str">
        <f t="shared" ref="I1027:I1090" si="32">"INSERT INTO COTACAO (cot_id, cot_blt_id, cot_pap_id, cot_prc_comum, cot_prc_min, cot_prc_max, cot_prc_med, cot_prc_mediana) VALUES ("&amp;A1027&amp;", "&amp;B1027&amp;", "&amp;C1027&amp;", "&amp;D1027&amp;", "&amp;E1027&amp;", "&amp;F1027&amp;", "&amp;G1027&amp;", "&amp;H1027&amp;");"</f>
        <v>INSERT INTO COTACAO (cot_id, cot_blt_id, cot_pap_id, cot_prc_comum, cot_prc_min, cot_prc_max, cot_prc_med, cot_prc_mediana) VALUES (1026, 63, 34, 80, 50, 90, 72.14, 75);</v>
      </c>
      <c r="J1027" t="str">
        <f t="shared" ref="J1027:J1090" si="33">"UPDATE COTACAO SET cot_id = "&amp;A1027&amp;", cot_blt_id = "&amp;B1027&amp;", cot_pap_id = "&amp;C1027&amp;", cot_prc_comum = "&amp;D1027&amp;", cot_prc_min = "&amp;E1027&amp;", cot_prc_max = "&amp;F1027&amp;", cot_prc_med = "&amp;G1027&amp;", cot_prc_mediana = "&amp;H1027&amp;" WHERE cot_id = "&amp;A1027&amp;";"</f>
        <v>UPDATE COTACAO SET cot_id = 1026, cot_blt_id = 63, cot_pap_id = 34, cot_prc_comum = 80, cot_prc_min = 50, cot_prc_max = 90, cot_prc_med = 72.14, cot_prc_mediana = 75 WHERE cot_id = 1026;</v>
      </c>
    </row>
    <row r="1028" spans="1:10" x14ac:dyDescent="0.3">
      <c r="A1028">
        <v>1027</v>
      </c>
      <c r="B1028">
        <f>IF('Boletins Nuppa Site'!A1028&lt;&gt;0,'Boletins Nuppa Site'!A1028,"NULL")</f>
        <v>63</v>
      </c>
      <c r="C1028">
        <v>35</v>
      </c>
      <c r="D1028" t="str">
        <f>IF('Boletins Nuppa Site'!G1028&lt;&gt;0,'Boletins Nuppa Site'!G1028,"NULL")</f>
        <v>NULL</v>
      </c>
      <c r="E1028" s="14">
        <f>IF('Boletins Nuppa Site'!H1028&lt;&gt;0,'Boletins Nuppa Site'!H1028,"NULL")</f>
        <v>85</v>
      </c>
      <c r="F1028" s="14">
        <f>IF('Boletins Nuppa Site'!I1028&lt;&gt;0,'Boletins Nuppa Site'!I1028,"NULL")</f>
        <v>190</v>
      </c>
      <c r="G1028" t="str">
        <f>IF('Boletins Nuppa Site'!J1028&lt;&gt;0,'Boletins Nuppa Site'!J1028,"NULL")</f>
        <v>143.75</v>
      </c>
      <c r="H1028" s="14">
        <f>IF('Boletins Nuppa Site'!K1028&lt;&gt;0,'Boletins Nuppa Site'!K1028,"NULL")</f>
        <v>150</v>
      </c>
      <c r="I1028" t="str">
        <f t="shared" si="32"/>
        <v>INSERT INTO COTACAO (cot_id, cot_blt_id, cot_pap_id, cot_prc_comum, cot_prc_min, cot_prc_max, cot_prc_med, cot_prc_mediana) VALUES (1027, 63, 35, NULL, 85, 190, 143.75, 150);</v>
      </c>
      <c r="J1028" t="str">
        <f t="shared" si="33"/>
        <v>UPDATE COTACAO SET cot_id = 1027, cot_blt_id = 63, cot_pap_id = 35, cot_prc_comum = NULL, cot_prc_min = 85, cot_prc_max = 190, cot_prc_med = 143.75, cot_prc_mediana = 150 WHERE cot_id = 1027;</v>
      </c>
    </row>
    <row r="1029" spans="1:10" x14ac:dyDescent="0.3">
      <c r="A1029">
        <v>1028</v>
      </c>
      <c r="B1029">
        <f>IF('Boletins Nuppa Site'!A1029&lt;&gt;0,'Boletins Nuppa Site'!A1029,"NULL")</f>
        <v>63</v>
      </c>
      <c r="C1029">
        <v>36</v>
      </c>
      <c r="D1029" t="str">
        <f>IF('Boletins Nuppa Site'!G1029&lt;&gt;0,'Boletins Nuppa Site'!G1029,"NULL")</f>
        <v>NULL</v>
      </c>
      <c r="E1029" t="str">
        <f>IF('Boletins Nuppa Site'!H1029&lt;&gt;0,'Boletins Nuppa Site'!H1029,"NULL")</f>
        <v>NULL</v>
      </c>
      <c r="F1029" t="str">
        <f>IF('Boletins Nuppa Site'!I1029&lt;&gt;0,'Boletins Nuppa Site'!I1029,"NULL")</f>
        <v>NULL</v>
      </c>
      <c r="G1029" t="str">
        <f>IF('Boletins Nuppa Site'!J1029&lt;&gt;0,'Boletins Nuppa Site'!J1029,"NULL")</f>
        <v>NULL</v>
      </c>
      <c r="H1029" t="str">
        <f>IF('Boletins Nuppa Site'!K1029&lt;&gt;0,'Boletins Nuppa Site'!K1029,"NULL")</f>
        <v>NULL</v>
      </c>
      <c r="I1029" t="str">
        <f t="shared" si="32"/>
        <v>INSERT INTO COTACAO (cot_id, cot_blt_id, cot_pap_id, cot_prc_comum, cot_prc_min, cot_prc_max, cot_prc_med, cot_prc_mediana) VALUES (1028, 63, 36, NULL, NULL, NULL, NULL, NULL);</v>
      </c>
      <c r="J1029" t="str">
        <f t="shared" si="33"/>
        <v>UPDATE COTACAO SET cot_id = 1028, cot_blt_id = 63, cot_pap_id = 36, cot_prc_comum = NULL, cot_prc_min = NULL, cot_prc_max = NULL, cot_prc_med = NULL, cot_prc_mediana = NULL WHERE cot_id = 1028;</v>
      </c>
    </row>
    <row r="1030" spans="1:10" x14ac:dyDescent="0.3">
      <c r="A1030">
        <v>1029</v>
      </c>
      <c r="B1030">
        <f>IF('Boletins Nuppa Site'!A1030&lt;&gt;0,'Boletins Nuppa Site'!A1030,"NULL")</f>
        <v>63</v>
      </c>
      <c r="C1030">
        <v>37</v>
      </c>
      <c r="D1030" t="str">
        <f>IF('Boletins Nuppa Site'!G1030&lt;&gt;0,'Boletins Nuppa Site'!G1030,"NULL")</f>
        <v>NULL</v>
      </c>
      <c r="E1030" t="str">
        <f>IF('Boletins Nuppa Site'!H1030&lt;&gt;0,'Boletins Nuppa Site'!H1030,"NULL")</f>
        <v>NULL</v>
      </c>
      <c r="F1030" t="str">
        <f>IF('Boletins Nuppa Site'!I1030&lt;&gt;0,'Boletins Nuppa Site'!I1030,"NULL")</f>
        <v>NULL</v>
      </c>
      <c r="G1030" t="str">
        <f>IF('Boletins Nuppa Site'!J1030&lt;&gt;0,'Boletins Nuppa Site'!J1030,"NULL")</f>
        <v>NULL</v>
      </c>
      <c r="H1030" t="str">
        <f>IF('Boletins Nuppa Site'!K1030&lt;&gt;0,'Boletins Nuppa Site'!K1030,"NULL")</f>
        <v>NULL</v>
      </c>
      <c r="I1030" t="str">
        <f t="shared" si="32"/>
        <v>INSERT INTO COTACAO (cot_id, cot_blt_id, cot_pap_id, cot_prc_comum, cot_prc_min, cot_prc_max, cot_prc_med, cot_prc_mediana) VALUES (1029, 63, 37, NULL, NULL, NULL, NULL, NULL);</v>
      </c>
      <c r="J1030" t="str">
        <f t="shared" si="33"/>
        <v>UPDATE COTACAO SET cot_id = 1029, cot_blt_id = 63, cot_pap_id = 37, cot_prc_comum = NULL, cot_prc_min = NULL, cot_prc_max = NULL, cot_prc_med = NULL, cot_prc_mediana = NULL WHERE cot_id = 1029;</v>
      </c>
    </row>
    <row r="1031" spans="1:10" x14ac:dyDescent="0.3">
      <c r="A1031">
        <v>1030</v>
      </c>
      <c r="B1031">
        <f>IF('Boletins Nuppa Site'!A1031&lt;&gt;0,'Boletins Nuppa Site'!A1031,"NULL")</f>
        <v>63</v>
      </c>
      <c r="C1031">
        <v>38</v>
      </c>
      <c r="D1031" t="str">
        <f>IF('Boletins Nuppa Site'!G1031&lt;&gt;0,'Boletins Nuppa Site'!G1031,"NULL")</f>
        <v>NULL</v>
      </c>
      <c r="E1031" t="str">
        <f>IF('Boletins Nuppa Site'!H1031&lt;&gt;0,'Boletins Nuppa Site'!H1031,"NULL")</f>
        <v>NULL</v>
      </c>
      <c r="F1031" t="str">
        <f>IF('Boletins Nuppa Site'!I1031&lt;&gt;0,'Boletins Nuppa Site'!I1031,"NULL")</f>
        <v>NULL</v>
      </c>
      <c r="G1031" t="str">
        <f>IF('Boletins Nuppa Site'!J1031&lt;&gt;0,'Boletins Nuppa Site'!J1031,"NULL")</f>
        <v>NULL</v>
      </c>
      <c r="H1031" t="str">
        <f>IF('Boletins Nuppa Site'!K1031&lt;&gt;0,'Boletins Nuppa Site'!K1031,"NULL")</f>
        <v>NULL</v>
      </c>
      <c r="I1031" t="str">
        <f t="shared" si="32"/>
        <v>INSERT INTO COTACAO (cot_id, cot_blt_id, cot_pap_id, cot_prc_comum, cot_prc_min, cot_prc_max, cot_prc_med, cot_prc_mediana) VALUES (1030, 63, 38, NULL, NULL, NULL, NULL, NULL);</v>
      </c>
      <c r="J1031" t="str">
        <f t="shared" si="33"/>
        <v>UPDATE COTACAO SET cot_id = 1030, cot_blt_id = 63, cot_pap_id = 38, cot_prc_comum = NULL, cot_prc_min = NULL, cot_prc_max = NULL, cot_prc_med = NULL, cot_prc_mediana = NULL WHERE cot_id = 1030;</v>
      </c>
    </row>
    <row r="1032" spans="1:10" x14ac:dyDescent="0.3">
      <c r="A1032">
        <v>1031</v>
      </c>
      <c r="B1032">
        <f>IF('Boletins Nuppa Site'!A1032&lt;&gt;0,'Boletins Nuppa Site'!A1032,"NULL")</f>
        <v>63</v>
      </c>
      <c r="C1032">
        <v>39</v>
      </c>
      <c r="D1032">
        <f>IF('Boletins Nuppa Site'!G1032&lt;&gt;0,'Boletins Nuppa Site'!G1032,"NULL")</f>
        <v>65</v>
      </c>
      <c r="E1032" s="14">
        <f>IF('Boletins Nuppa Site'!H1032&lt;&gt;0,'Boletins Nuppa Site'!H1032,"NULL")</f>
        <v>65</v>
      </c>
      <c r="F1032" s="14">
        <f>IF('Boletins Nuppa Site'!I1032&lt;&gt;0,'Boletins Nuppa Site'!I1032,"NULL")</f>
        <v>65</v>
      </c>
      <c r="G1032" s="14">
        <f>IF('Boletins Nuppa Site'!J1032&lt;&gt;0,'Boletins Nuppa Site'!J1032,"NULL")</f>
        <v>65</v>
      </c>
      <c r="H1032" s="14">
        <f>IF('Boletins Nuppa Site'!K1032&lt;&gt;0,'Boletins Nuppa Site'!K1032,"NULL")</f>
        <v>65</v>
      </c>
      <c r="I1032" t="str">
        <f t="shared" si="32"/>
        <v>INSERT INTO COTACAO (cot_id, cot_blt_id, cot_pap_id, cot_prc_comum, cot_prc_min, cot_prc_max, cot_prc_med, cot_prc_mediana) VALUES (1031, 63, 39, 65, 65, 65, 65, 65);</v>
      </c>
      <c r="J1032" t="str">
        <f t="shared" si="33"/>
        <v>UPDATE COTACAO SET cot_id = 1031, cot_blt_id = 63, cot_pap_id = 39, cot_prc_comum = 65, cot_prc_min = 65, cot_prc_max = 65, cot_prc_med = 65, cot_prc_mediana = 65 WHERE cot_id = 1031;</v>
      </c>
    </row>
    <row r="1033" spans="1:10" x14ac:dyDescent="0.3">
      <c r="A1033">
        <v>1032</v>
      </c>
      <c r="B1033">
        <f>IF('Boletins Nuppa Site'!A1033&lt;&gt;0,'Boletins Nuppa Site'!A1033,"NULL")</f>
        <v>63</v>
      </c>
      <c r="C1033">
        <v>40</v>
      </c>
      <c r="D1033">
        <f>IF('Boletins Nuppa Site'!G1033&lt;&gt;0,'Boletins Nuppa Site'!G1033,"NULL")</f>
        <v>50</v>
      </c>
      <c r="E1033" s="14">
        <f>IF('Boletins Nuppa Site'!H1033&lt;&gt;0,'Boletins Nuppa Site'!H1033,"NULL")</f>
        <v>50</v>
      </c>
      <c r="F1033" s="14">
        <f>IF('Boletins Nuppa Site'!I1033&lt;&gt;0,'Boletins Nuppa Site'!I1033,"NULL")</f>
        <v>50</v>
      </c>
      <c r="G1033" s="14">
        <f>IF('Boletins Nuppa Site'!J1033&lt;&gt;0,'Boletins Nuppa Site'!J1033,"NULL")</f>
        <v>50</v>
      </c>
      <c r="H1033" s="14">
        <f>IF('Boletins Nuppa Site'!K1033&lt;&gt;0,'Boletins Nuppa Site'!K1033,"NULL")</f>
        <v>50</v>
      </c>
      <c r="I1033" t="str">
        <f t="shared" si="32"/>
        <v>INSERT INTO COTACAO (cot_id, cot_blt_id, cot_pap_id, cot_prc_comum, cot_prc_min, cot_prc_max, cot_prc_med, cot_prc_mediana) VALUES (1032, 63, 40, 50, 50, 50, 50, 50);</v>
      </c>
      <c r="J1033" t="str">
        <f t="shared" si="33"/>
        <v>UPDATE COTACAO SET cot_id = 1032, cot_blt_id = 63, cot_pap_id = 40, cot_prc_comum = 50, cot_prc_min = 50, cot_prc_max = 50, cot_prc_med = 50, cot_prc_mediana = 50 WHERE cot_id = 1032;</v>
      </c>
    </row>
    <row r="1034" spans="1:10" x14ac:dyDescent="0.3">
      <c r="A1034">
        <v>1033</v>
      </c>
      <c r="B1034">
        <f>IF('Boletins Nuppa Site'!A1034&lt;&gt;0,'Boletins Nuppa Site'!A1034,"NULL")</f>
        <v>64</v>
      </c>
      <c r="C1034">
        <v>1</v>
      </c>
      <c r="D1034" t="str">
        <f>IF('Boletins Nuppa Site'!G1034&lt;&gt;0,'Boletins Nuppa Site'!G1034,"NULL")</f>
        <v>NULL</v>
      </c>
      <c r="E1034" s="14">
        <f>IF('Boletins Nuppa Site'!H1034&lt;&gt;0,'Boletins Nuppa Site'!H1034,"NULL")</f>
        <v>48</v>
      </c>
      <c r="F1034" s="14">
        <f>IF('Boletins Nuppa Site'!I1034&lt;&gt;0,'Boletins Nuppa Site'!I1034,"NULL")</f>
        <v>60</v>
      </c>
      <c r="G1034" s="14">
        <f>IF('Boletins Nuppa Site'!J1034&lt;&gt;0,'Boletins Nuppa Site'!J1034,"NULL")</f>
        <v>54</v>
      </c>
      <c r="H1034" s="14">
        <f>IF('Boletins Nuppa Site'!K1034&lt;&gt;0,'Boletins Nuppa Site'!K1034,"NULL")</f>
        <v>54</v>
      </c>
      <c r="I1034" t="str">
        <f t="shared" si="32"/>
        <v>INSERT INTO COTACAO (cot_id, cot_blt_id, cot_pap_id, cot_prc_comum, cot_prc_min, cot_prc_max, cot_prc_med, cot_prc_mediana) VALUES (1033, 64, 1, NULL, 48, 60, 54, 54);</v>
      </c>
      <c r="J1034" t="str">
        <f t="shared" si="33"/>
        <v>UPDATE COTACAO SET cot_id = 1033, cot_blt_id = 64, cot_pap_id = 1, cot_prc_comum = NULL, cot_prc_min = 48, cot_prc_max = 60, cot_prc_med = 54, cot_prc_mediana = 54 WHERE cot_id = 1033;</v>
      </c>
    </row>
    <row r="1035" spans="1:10" x14ac:dyDescent="0.3">
      <c r="A1035">
        <v>1034</v>
      </c>
      <c r="B1035">
        <f>IF('Boletins Nuppa Site'!A1035&lt;&gt;0,'Boletins Nuppa Site'!A1035,"NULL")</f>
        <v>64</v>
      </c>
      <c r="C1035">
        <v>2</v>
      </c>
      <c r="D1035" t="str">
        <f>IF('Boletins Nuppa Site'!G1035&lt;&gt;0,'Boletins Nuppa Site'!G1035,"NULL")</f>
        <v>NULL</v>
      </c>
      <c r="E1035" s="14">
        <f>IF('Boletins Nuppa Site'!H1035&lt;&gt;0,'Boletins Nuppa Site'!H1035,"NULL")</f>
        <v>60</v>
      </c>
      <c r="F1035" s="14">
        <f>IF('Boletins Nuppa Site'!I1035&lt;&gt;0,'Boletins Nuppa Site'!I1035,"NULL")</f>
        <v>84</v>
      </c>
      <c r="G1035" s="14">
        <f>IF('Boletins Nuppa Site'!J1035&lt;&gt;0,'Boletins Nuppa Site'!J1035,"NULL")</f>
        <v>72</v>
      </c>
      <c r="H1035" s="14">
        <f>IF('Boletins Nuppa Site'!K1035&lt;&gt;0,'Boletins Nuppa Site'!K1035,"NULL")</f>
        <v>72</v>
      </c>
      <c r="I1035" t="str">
        <f t="shared" si="32"/>
        <v>INSERT INTO COTACAO (cot_id, cot_blt_id, cot_pap_id, cot_prc_comum, cot_prc_min, cot_prc_max, cot_prc_med, cot_prc_mediana) VALUES (1034, 64, 2, NULL, 60, 84, 72, 72);</v>
      </c>
      <c r="J1035" t="str">
        <f t="shared" si="33"/>
        <v>UPDATE COTACAO SET cot_id = 1034, cot_blt_id = 64, cot_pap_id = 2, cot_prc_comum = NULL, cot_prc_min = 60, cot_prc_max = 84, cot_prc_med = 72, cot_prc_mediana = 72 WHERE cot_id = 1034;</v>
      </c>
    </row>
    <row r="1036" spans="1:10" x14ac:dyDescent="0.3">
      <c r="A1036">
        <v>1035</v>
      </c>
      <c r="B1036">
        <f>IF('Boletins Nuppa Site'!A1036&lt;&gt;0,'Boletins Nuppa Site'!A1036,"NULL")</f>
        <v>64</v>
      </c>
      <c r="C1036">
        <v>3</v>
      </c>
      <c r="D1036" t="str">
        <f>IF('Boletins Nuppa Site'!G1036&lt;&gt;0,'Boletins Nuppa Site'!G1036,"NULL")</f>
        <v>NULL</v>
      </c>
      <c r="E1036" s="14">
        <f>IF('Boletins Nuppa Site'!H1036&lt;&gt;0,'Boletins Nuppa Site'!H1036,"NULL")</f>
        <v>30</v>
      </c>
      <c r="F1036" s="14">
        <f>IF('Boletins Nuppa Site'!I1036&lt;&gt;0,'Boletins Nuppa Site'!I1036,"NULL")</f>
        <v>36</v>
      </c>
      <c r="G1036" t="str">
        <f>IF('Boletins Nuppa Site'!J1036&lt;&gt;0,'Boletins Nuppa Site'!J1036,"NULL")</f>
        <v>33.67</v>
      </c>
      <c r="H1036" s="14">
        <f>IF('Boletins Nuppa Site'!K1036&lt;&gt;0,'Boletins Nuppa Site'!K1036,"NULL")</f>
        <v>35</v>
      </c>
      <c r="I1036" t="str">
        <f t="shared" si="32"/>
        <v>INSERT INTO COTACAO (cot_id, cot_blt_id, cot_pap_id, cot_prc_comum, cot_prc_min, cot_prc_max, cot_prc_med, cot_prc_mediana) VALUES (1035, 64, 3, NULL, 30, 36, 33.67, 35);</v>
      </c>
      <c r="J1036" t="str">
        <f t="shared" si="33"/>
        <v>UPDATE COTACAO SET cot_id = 1035, cot_blt_id = 64, cot_pap_id = 3, cot_prc_comum = NULL, cot_prc_min = 30, cot_prc_max = 36, cot_prc_med = 33.67, cot_prc_mediana = 35 WHERE cot_id = 1035;</v>
      </c>
    </row>
    <row r="1037" spans="1:10" x14ac:dyDescent="0.3">
      <c r="A1037">
        <v>1036</v>
      </c>
      <c r="B1037">
        <f>IF('Boletins Nuppa Site'!A1037&lt;&gt;0,'Boletins Nuppa Site'!A1037,"NULL")</f>
        <v>64</v>
      </c>
      <c r="C1037">
        <v>4</v>
      </c>
      <c r="D1037" s="14">
        <f>IF('Boletins Nuppa Site'!G1037&lt;&gt;0,'Boletins Nuppa Site'!G1037,"NULL")</f>
        <v>18</v>
      </c>
      <c r="E1037" s="14">
        <f>IF('Boletins Nuppa Site'!H1037&lt;&gt;0,'Boletins Nuppa Site'!H1037,"NULL")</f>
        <v>15</v>
      </c>
      <c r="F1037" s="14">
        <f>IF('Boletins Nuppa Site'!I1037&lt;&gt;0,'Boletins Nuppa Site'!I1037,"NULL")</f>
        <v>18</v>
      </c>
      <c r="G1037" s="14">
        <f>IF('Boletins Nuppa Site'!J1037&lt;&gt;0,'Boletins Nuppa Site'!J1037,"NULL")</f>
        <v>17</v>
      </c>
      <c r="H1037" s="14">
        <f>IF('Boletins Nuppa Site'!K1037&lt;&gt;0,'Boletins Nuppa Site'!K1037,"NULL")</f>
        <v>18</v>
      </c>
      <c r="I1037" t="str">
        <f t="shared" si="32"/>
        <v>INSERT INTO COTACAO (cot_id, cot_blt_id, cot_pap_id, cot_prc_comum, cot_prc_min, cot_prc_max, cot_prc_med, cot_prc_mediana) VALUES (1036, 64, 4, 18, 15, 18, 17, 18);</v>
      </c>
      <c r="J1037" t="str">
        <f t="shared" si="33"/>
        <v>UPDATE COTACAO SET cot_id = 1036, cot_blt_id = 64, cot_pap_id = 4, cot_prc_comum = 18, cot_prc_min = 15, cot_prc_max = 18, cot_prc_med = 17, cot_prc_mediana = 18 WHERE cot_id = 1036;</v>
      </c>
    </row>
    <row r="1038" spans="1:10" x14ac:dyDescent="0.3">
      <c r="A1038">
        <v>1037</v>
      </c>
      <c r="B1038">
        <f>IF('Boletins Nuppa Site'!A1038&lt;&gt;0,'Boletins Nuppa Site'!A1038,"NULL")</f>
        <v>64</v>
      </c>
      <c r="C1038">
        <v>5</v>
      </c>
      <c r="D1038" t="str">
        <f>IF('Boletins Nuppa Site'!G1038&lt;&gt;0,'Boletins Nuppa Site'!G1038,"NULL")</f>
        <v>NULL</v>
      </c>
      <c r="E1038" s="14">
        <f>IF('Boletins Nuppa Site'!H1038&lt;&gt;0,'Boletins Nuppa Site'!H1038,"NULL")</f>
        <v>15</v>
      </c>
      <c r="F1038" s="14">
        <f>IF('Boletins Nuppa Site'!I1038&lt;&gt;0,'Boletins Nuppa Site'!I1038,"NULL")</f>
        <v>60</v>
      </c>
      <c r="G1038" t="str">
        <f>IF('Boletins Nuppa Site'!J1038&lt;&gt;0,'Boletins Nuppa Site'!J1038,"NULL")</f>
        <v>37.5</v>
      </c>
      <c r="H1038" t="str">
        <f>IF('Boletins Nuppa Site'!K1038&lt;&gt;0,'Boletins Nuppa Site'!K1038,"NULL")</f>
        <v>37.5</v>
      </c>
      <c r="I1038" t="str">
        <f t="shared" si="32"/>
        <v>INSERT INTO COTACAO (cot_id, cot_blt_id, cot_pap_id, cot_prc_comum, cot_prc_min, cot_prc_max, cot_prc_med, cot_prc_mediana) VALUES (1037, 64, 5, NULL, 15, 60, 37.5, 37.5);</v>
      </c>
      <c r="J1038" t="str">
        <f t="shared" si="33"/>
        <v>UPDATE COTACAO SET cot_id = 1037, cot_blt_id = 64, cot_pap_id = 5, cot_prc_comum = NULL, cot_prc_min = 15, cot_prc_max = 60, cot_prc_med = 37.5, cot_prc_mediana = 37.5 WHERE cot_id = 1037;</v>
      </c>
    </row>
    <row r="1039" spans="1:10" x14ac:dyDescent="0.3">
      <c r="A1039">
        <v>1038</v>
      </c>
      <c r="B1039">
        <f>IF('Boletins Nuppa Site'!A1039&lt;&gt;0,'Boletins Nuppa Site'!A1039,"NULL")</f>
        <v>64</v>
      </c>
      <c r="C1039">
        <v>6</v>
      </c>
      <c r="D1039" s="14">
        <f>IF('Boletins Nuppa Site'!G1039&lt;&gt;0,'Boletins Nuppa Site'!G1039,"NULL")</f>
        <v>60</v>
      </c>
      <c r="E1039" s="14">
        <f>IF('Boletins Nuppa Site'!H1039&lt;&gt;0,'Boletins Nuppa Site'!H1039,"NULL")</f>
        <v>60</v>
      </c>
      <c r="F1039" s="14">
        <f>IF('Boletins Nuppa Site'!I1039&lt;&gt;0,'Boletins Nuppa Site'!I1039,"NULL")</f>
        <v>60</v>
      </c>
      <c r="G1039" s="14">
        <f>IF('Boletins Nuppa Site'!J1039&lt;&gt;0,'Boletins Nuppa Site'!J1039,"NULL")</f>
        <v>60</v>
      </c>
      <c r="H1039" s="14">
        <f>IF('Boletins Nuppa Site'!K1039&lt;&gt;0,'Boletins Nuppa Site'!K1039,"NULL")</f>
        <v>60</v>
      </c>
      <c r="I1039" t="str">
        <f t="shared" si="32"/>
        <v>INSERT INTO COTACAO (cot_id, cot_blt_id, cot_pap_id, cot_prc_comum, cot_prc_min, cot_prc_max, cot_prc_med, cot_prc_mediana) VALUES (1038, 64, 6, 60, 60, 60, 60, 60);</v>
      </c>
      <c r="J1039" t="str">
        <f t="shared" si="33"/>
        <v>UPDATE COTACAO SET cot_id = 1038, cot_blt_id = 64, cot_pap_id = 6, cot_prc_comum = 60, cot_prc_min = 60, cot_prc_max = 60, cot_prc_med = 60, cot_prc_mediana = 60 WHERE cot_id = 1038;</v>
      </c>
    </row>
    <row r="1040" spans="1:10" x14ac:dyDescent="0.3">
      <c r="A1040">
        <v>1039</v>
      </c>
      <c r="B1040">
        <f>IF('Boletins Nuppa Site'!A1040&lt;&gt;0,'Boletins Nuppa Site'!A1040,"NULL")</f>
        <v>64</v>
      </c>
      <c r="C1040">
        <v>7</v>
      </c>
      <c r="D1040" t="str">
        <f>IF('Boletins Nuppa Site'!G1040&lt;&gt;0,'Boletins Nuppa Site'!G1040,"NULL")</f>
        <v>NULL</v>
      </c>
      <c r="E1040" s="14">
        <f>IF('Boletins Nuppa Site'!H1040&lt;&gt;0,'Boletins Nuppa Site'!H1040,"NULL")</f>
        <v>60</v>
      </c>
      <c r="F1040" s="14">
        <f>IF('Boletins Nuppa Site'!I1040&lt;&gt;0,'Boletins Nuppa Site'!I1040,"NULL")</f>
        <v>72</v>
      </c>
      <c r="G1040" s="14">
        <f>IF('Boletins Nuppa Site'!J1040&lt;&gt;0,'Boletins Nuppa Site'!J1040,"NULL")</f>
        <v>66</v>
      </c>
      <c r="H1040" s="14">
        <f>IF('Boletins Nuppa Site'!K1040&lt;&gt;0,'Boletins Nuppa Site'!K1040,"NULL")</f>
        <v>66</v>
      </c>
      <c r="I1040" t="str">
        <f t="shared" si="32"/>
        <v>INSERT INTO COTACAO (cot_id, cot_blt_id, cot_pap_id, cot_prc_comum, cot_prc_min, cot_prc_max, cot_prc_med, cot_prc_mediana) VALUES (1039, 64, 7, NULL, 60, 72, 66, 66);</v>
      </c>
      <c r="J1040" t="str">
        <f t="shared" si="33"/>
        <v>UPDATE COTACAO SET cot_id = 1039, cot_blt_id = 64, cot_pap_id = 7, cot_prc_comum = NULL, cot_prc_min = 60, cot_prc_max = 72, cot_prc_med = 66, cot_prc_mediana = 66 WHERE cot_id = 1039;</v>
      </c>
    </row>
    <row r="1041" spans="1:10" x14ac:dyDescent="0.3">
      <c r="A1041">
        <v>1040</v>
      </c>
      <c r="B1041">
        <f>IF('Boletins Nuppa Site'!A1041&lt;&gt;0,'Boletins Nuppa Site'!A1041,"NULL")</f>
        <v>64</v>
      </c>
      <c r="C1041">
        <v>8</v>
      </c>
      <c r="D1041" s="14">
        <f>IF('Boletins Nuppa Site'!G1041&lt;&gt;0,'Boletins Nuppa Site'!G1041,"NULL")</f>
        <v>72</v>
      </c>
      <c r="E1041" s="14">
        <f>IF('Boletins Nuppa Site'!H1041&lt;&gt;0,'Boletins Nuppa Site'!H1041,"NULL")</f>
        <v>72</v>
      </c>
      <c r="F1041" s="14">
        <f>IF('Boletins Nuppa Site'!I1041&lt;&gt;0,'Boletins Nuppa Site'!I1041,"NULL")</f>
        <v>72</v>
      </c>
      <c r="G1041" s="14">
        <f>IF('Boletins Nuppa Site'!J1041&lt;&gt;0,'Boletins Nuppa Site'!J1041,"NULL")</f>
        <v>72</v>
      </c>
      <c r="H1041" s="14">
        <f>IF('Boletins Nuppa Site'!K1041&lt;&gt;0,'Boletins Nuppa Site'!K1041,"NULL")</f>
        <v>72</v>
      </c>
      <c r="I1041" t="str">
        <f t="shared" si="32"/>
        <v>INSERT INTO COTACAO (cot_id, cot_blt_id, cot_pap_id, cot_prc_comum, cot_prc_min, cot_prc_max, cot_prc_med, cot_prc_mediana) VALUES (1040, 64, 8, 72, 72, 72, 72, 72);</v>
      </c>
      <c r="J1041" t="str">
        <f t="shared" si="33"/>
        <v>UPDATE COTACAO SET cot_id = 1040, cot_blt_id = 64, cot_pap_id = 8, cot_prc_comum = 72, cot_prc_min = 72, cot_prc_max = 72, cot_prc_med = 72, cot_prc_mediana = 72 WHERE cot_id = 1040;</v>
      </c>
    </row>
    <row r="1042" spans="1:10" x14ac:dyDescent="0.3">
      <c r="A1042">
        <v>1041</v>
      </c>
      <c r="B1042">
        <f>IF('Boletins Nuppa Site'!A1042&lt;&gt;0,'Boletins Nuppa Site'!A1042,"NULL")</f>
        <v>64</v>
      </c>
      <c r="C1042">
        <v>9</v>
      </c>
      <c r="D1042" s="14">
        <f>IF('Boletins Nuppa Site'!G1042&lt;&gt;0,'Boletins Nuppa Site'!G1042,"NULL")</f>
        <v>18</v>
      </c>
      <c r="E1042" s="14">
        <f>IF('Boletins Nuppa Site'!H1042&lt;&gt;0,'Boletins Nuppa Site'!H1042,"NULL")</f>
        <v>18</v>
      </c>
      <c r="F1042" s="14">
        <f>IF('Boletins Nuppa Site'!I1042&lt;&gt;0,'Boletins Nuppa Site'!I1042,"NULL")</f>
        <v>24</v>
      </c>
      <c r="G1042" s="14">
        <f>IF('Boletins Nuppa Site'!J1042&lt;&gt;0,'Boletins Nuppa Site'!J1042,"NULL")</f>
        <v>20</v>
      </c>
      <c r="H1042" s="14">
        <f>IF('Boletins Nuppa Site'!K1042&lt;&gt;0,'Boletins Nuppa Site'!K1042,"NULL")</f>
        <v>18</v>
      </c>
      <c r="I1042" t="str">
        <f t="shared" si="32"/>
        <v>INSERT INTO COTACAO (cot_id, cot_blt_id, cot_pap_id, cot_prc_comum, cot_prc_min, cot_prc_max, cot_prc_med, cot_prc_mediana) VALUES (1041, 64, 9, 18, 18, 24, 20, 18);</v>
      </c>
      <c r="J1042" t="str">
        <f t="shared" si="33"/>
        <v>UPDATE COTACAO SET cot_id = 1041, cot_blt_id = 64, cot_pap_id = 9, cot_prc_comum = 18, cot_prc_min = 18, cot_prc_max = 24, cot_prc_med = 20, cot_prc_mediana = 18 WHERE cot_id = 1041;</v>
      </c>
    </row>
    <row r="1043" spans="1:10" x14ac:dyDescent="0.3">
      <c r="A1043">
        <v>1042</v>
      </c>
      <c r="B1043">
        <f>IF('Boletins Nuppa Site'!A1043&lt;&gt;0,'Boletins Nuppa Site'!A1043,"NULL")</f>
        <v>64</v>
      </c>
      <c r="C1043">
        <v>10</v>
      </c>
      <c r="D1043" t="str">
        <f>IF('Boletins Nuppa Site'!G1043&lt;&gt;0,'Boletins Nuppa Site'!G1043,"NULL")</f>
        <v>NULL</v>
      </c>
      <c r="E1043" s="14">
        <f>IF('Boletins Nuppa Site'!H1043&lt;&gt;0,'Boletins Nuppa Site'!H1043,"NULL")</f>
        <v>72</v>
      </c>
      <c r="F1043" s="14">
        <f>IF('Boletins Nuppa Site'!I1043&lt;&gt;0,'Boletins Nuppa Site'!I1043,"NULL")</f>
        <v>84</v>
      </c>
      <c r="G1043" s="14">
        <f>IF('Boletins Nuppa Site'!J1043&lt;&gt;0,'Boletins Nuppa Site'!J1043,"NULL")</f>
        <v>78</v>
      </c>
      <c r="H1043" s="14">
        <f>IF('Boletins Nuppa Site'!K1043&lt;&gt;0,'Boletins Nuppa Site'!K1043,"NULL")</f>
        <v>78</v>
      </c>
      <c r="I1043" t="str">
        <f t="shared" si="32"/>
        <v>INSERT INTO COTACAO (cot_id, cot_blt_id, cot_pap_id, cot_prc_comum, cot_prc_min, cot_prc_max, cot_prc_med, cot_prc_mediana) VALUES (1042, 64, 10, NULL, 72, 84, 78, 78);</v>
      </c>
      <c r="J1043" t="str">
        <f t="shared" si="33"/>
        <v>UPDATE COTACAO SET cot_id = 1042, cot_blt_id = 64, cot_pap_id = 10, cot_prc_comum = NULL, cot_prc_min = 72, cot_prc_max = 84, cot_prc_med = 78, cot_prc_mediana = 78 WHERE cot_id = 1042;</v>
      </c>
    </row>
    <row r="1044" spans="1:10" x14ac:dyDescent="0.3">
      <c r="A1044">
        <v>1043</v>
      </c>
      <c r="B1044">
        <f>IF('Boletins Nuppa Site'!A1044&lt;&gt;0,'Boletins Nuppa Site'!A1044,"NULL")</f>
        <v>64</v>
      </c>
      <c r="C1044">
        <v>11</v>
      </c>
      <c r="D1044" t="str">
        <f>IF('Boletins Nuppa Site'!G1044&lt;&gt;0,'Boletins Nuppa Site'!G1044,"NULL")</f>
        <v>NULL</v>
      </c>
      <c r="E1044" s="14">
        <f>IF('Boletins Nuppa Site'!H1044&lt;&gt;0,'Boletins Nuppa Site'!H1044,"NULL")</f>
        <v>15</v>
      </c>
      <c r="F1044" s="14">
        <f>IF('Boletins Nuppa Site'!I1044&lt;&gt;0,'Boletins Nuppa Site'!I1044,"NULL")</f>
        <v>24</v>
      </c>
      <c r="G1044" s="14">
        <f>IF('Boletins Nuppa Site'!J1044&lt;&gt;0,'Boletins Nuppa Site'!J1044,"NULL")</f>
        <v>19</v>
      </c>
      <c r="H1044" s="14">
        <f>IF('Boletins Nuppa Site'!K1044&lt;&gt;0,'Boletins Nuppa Site'!K1044,"NULL")</f>
        <v>18</v>
      </c>
      <c r="I1044" t="str">
        <f t="shared" si="32"/>
        <v>INSERT INTO COTACAO (cot_id, cot_blt_id, cot_pap_id, cot_prc_comum, cot_prc_min, cot_prc_max, cot_prc_med, cot_prc_mediana) VALUES (1043, 64, 11, NULL, 15, 24, 19, 18);</v>
      </c>
      <c r="J1044" t="str">
        <f t="shared" si="33"/>
        <v>UPDATE COTACAO SET cot_id = 1043, cot_blt_id = 64, cot_pap_id = 11, cot_prc_comum = NULL, cot_prc_min = 15, cot_prc_max = 24, cot_prc_med = 19, cot_prc_mediana = 18 WHERE cot_id = 1043;</v>
      </c>
    </row>
    <row r="1045" spans="1:10" x14ac:dyDescent="0.3">
      <c r="A1045">
        <v>1044</v>
      </c>
      <c r="B1045">
        <f>IF('Boletins Nuppa Site'!A1045&lt;&gt;0,'Boletins Nuppa Site'!A1045,"NULL")</f>
        <v>64</v>
      </c>
      <c r="C1045">
        <v>12</v>
      </c>
      <c r="D1045" t="str">
        <f>IF('Boletins Nuppa Site'!G1045&lt;&gt;0,'Boletins Nuppa Site'!G1045,"NULL")</f>
        <v>NULL</v>
      </c>
      <c r="E1045" s="14">
        <f>IF('Boletins Nuppa Site'!H1045&lt;&gt;0,'Boletins Nuppa Site'!H1045,"NULL")</f>
        <v>48</v>
      </c>
      <c r="F1045" s="14">
        <f>IF('Boletins Nuppa Site'!I1045&lt;&gt;0,'Boletins Nuppa Site'!I1045,"NULL")</f>
        <v>72</v>
      </c>
      <c r="G1045" s="14">
        <f>IF('Boletins Nuppa Site'!J1045&lt;&gt;0,'Boletins Nuppa Site'!J1045,"NULL")</f>
        <v>60</v>
      </c>
      <c r="H1045" s="14">
        <f>IF('Boletins Nuppa Site'!K1045&lt;&gt;0,'Boletins Nuppa Site'!K1045,"NULL")</f>
        <v>60</v>
      </c>
      <c r="I1045" t="str">
        <f t="shared" si="32"/>
        <v>INSERT INTO COTACAO (cot_id, cot_blt_id, cot_pap_id, cot_prc_comum, cot_prc_min, cot_prc_max, cot_prc_med, cot_prc_mediana) VALUES (1044, 64, 12, NULL, 48, 72, 60, 60);</v>
      </c>
      <c r="J1045" t="str">
        <f t="shared" si="33"/>
        <v>UPDATE COTACAO SET cot_id = 1044, cot_blt_id = 64, cot_pap_id = 12, cot_prc_comum = NULL, cot_prc_min = 48, cot_prc_max = 72, cot_prc_med = 60, cot_prc_mediana = 60 WHERE cot_id = 1044;</v>
      </c>
    </row>
    <row r="1046" spans="1:10" x14ac:dyDescent="0.3">
      <c r="A1046">
        <v>1045</v>
      </c>
      <c r="B1046">
        <f>IF('Boletins Nuppa Site'!A1046&lt;&gt;0,'Boletins Nuppa Site'!A1046,"NULL")</f>
        <v>64</v>
      </c>
      <c r="C1046">
        <v>13</v>
      </c>
      <c r="D1046" s="14">
        <f>IF('Boletins Nuppa Site'!G1046&lt;&gt;0,'Boletins Nuppa Site'!G1046,"NULL")</f>
        <v>60</v>
      </c>
      <c r="E1046" s="14">
        <f>IF('Boletins Nuppa Site'!H1046&lt;&gt;0,'Boletins Nuppa Site'!H1046,"NULL")</f>
        <v>48</v>
      </c>
      <c r="F1046" s="14">
        <f>IF('Boletins Nuppa Site'!I1046&lt;&gt;0,'Boletins Nuppa Site'!I1046,"NULL")</f>
        <v>60</v>
      </c>
      <c r="G1046" s="14">
        <f>IF('Boletins Nuppa Site'!J1046&lt;&gt;0,'Boletins Nuppa Site'!J1046,"NULL")</f>
        <v>56</v>
      </c>
      <c r="H1046" s="14">
        <f>IF('Boletins Nuppa Site'!K1046&lt;&gt;0,'Boletins Nuppa Site'!K1046,"NULL")</f>
        <v>60</v>
      </c>
      <c r="I1046" t="str">
        <f t="shared" si="32"/>
        <v>INSERT INTO COTACAO (cot_id, cot_blt_id, cot_pap_id, cot_prc_comum, cot_prc_min, cot_prc_max, cot_prc_med, cot_prc_mediana) VALUES (1045, 64, 13, 60, 48, 60, 56, 60);</v>
      </c>
      <c r="J1046" t="str">
        <f t="shared" si="33"/>
        <v>UPDATE COTACAO SET cot_id = 1045, cot_blt_id = 64, cot_pap_id = 13, cot_prc_comum = 60, cot_prc_min = 48, cot_prc_max = 60, cot_prc_med = 56, cot_prc_mediana = 60 WHERE cot_id = 1045;</v>
      </c>
    </row>
    <row r="1047" spans="1:10" x14ac:dyDescent="0.3">
      <c r="A1047">
        <v>1046</v>
      </c>
      <c r="B1047">
        <f>IF('Boletins Nuppa Site'!A1047&lt;&gt;0,'Boletins Nuppa Site'!A1047,"NULL")</f>
        <v>64</v>
      </c>
      <c r="C1047">
        <v>14</v>
      </c>
      <c r="D1047" t="str">
        <f>IF('Boletins Nuppa Site'!G1047&lt;&gt;0,'Boletins Nuppa Site'!G1047,"NULL")</f>
        <v>NULL</v>
      </c>
      <c r="E1047" s="14">
        <f>IF('Boletins Nuppa Site'!H1047&lt;&gt;0,'Boletins Nuppa Site'!H1047,"NULL")</f>
        <v>45</v>
      </c>
      <c r="F1047" s="14">
        <f>IF('Boletins Nuppa Site'!I1047&lt;&gt;0,'Boletins Nuppa Site'!I1047,"NULL")</f>
        <v>60</v>
      </c>
      <c r="G1047" t="str">
        <f>IF('Boletins Nuppa Site'!J1047&lt;&gt;0,'Boletins Nuppa Site'!J1047,"NULL")</f>
        <v>52.5</v>
      </c>
      <c r="H1047" t="str">
        <f>IF('Boletins Nuppa Site'!K1047&lt;&gt;0,'Boletins Nuppa Site'!K1047,"NULL")</f>
        <v>52.5</v>
      </c>
      <c r="I1047" t="str">
        <f t="shared" si="32"/>
        <v>INSERT INTO COTACAO (cot_id, cot_blt_id, cot_pap_id, cot_prc_comum, cot_prc_min, cot_prc_max, cot_prc_med, cot_prc_mediana) VALUES (1046, 64, 14, NULL, 45, 60, 52.5, 52.5);</v>
      </c>
      <c r="J1047" t="str">
        <f t="shared" si="33"/>
        <v>UPDATE COTACAO SET cot_id = 1046, cot_blt_id = 64, cot_pap_id = 14, cot_prc_comum = NULL, cot_prc_min = 45, cot_prc_max = 60, cot_prc_med = 52.5, cot_prc_mediana = 52.5 WHERE cot_id = 1046;</v>
      </c>
    </row>
    <row r="1048" spans="1:10" x14ac:dyDescent="0.3">
      <c r="A1048">
        <v>1047</v>
      </c>
      <c r="B1048">
        <f>IF('Boletins Nuppa Site'!A1048&lt;&gt;0,'Boletins Nuppa Site'!A1048,"NULL")</f>
        <v>64</v>
      </c>
      <c r="C1048">
        <v>15</v>
      </c>
      <c r="D1048" t="str">
        <f>IF('Boletins Nuppa Site'!G1048&lt;&gt;0,'Boletins Nuppa Site'!G1048,"NULL")</f>
        <v>NULL</v>
      </c>
      <c r="E1048" s="14">
        <f>IF('Boletins Nuppa Site'!H1048&lt;&gt;0,'Boletins Nuppa Site'!H1048,"NULL")</f>
        <v>36</v>
      </c>
      <c r="F1048" s="14">
        <f>IF('Boletins Nuppa Site'!I1048&lt;&gt;0,'Boletins Nuppa Site'!I1048,"NULL")</f>
        <v>40</v>
      </c>
      <c r="G1048" s="14">
        <f>IF('Boletins Nuppa Site'!J1048&lt;&gt;0,'Boletins Nuppa Site'!J1048,"NULL")</f>
        <v>38</v>
      </c>
      <c r="H1048" s="14">
        <f>IF('Boletins Nuppa Site'!K1048&lt;&gt;0,'Boletins Nuppa Site'!K1048,"NULL")</f>
        <v>38</v>
      </c>
      <c r="I1048" t="str">
        <f t="shared" si="32"/>
        <v>INSERT INTO COTACAO (cot_id, cot_blt_id, cot_pap_id, cot_prc_comum, cot_prc_min, cot_prc_max, cot_prc_med, cot_prc_mediana) VALUES (1047, 64, 15, NULL, 36, 40, 38, 38);</v>
      </c>
      <c r="J1048" t="str">
        <f t="shared" si="33"/>
        <v>UPDATE COTACAO SET cot_id = 1047, cot_blt_id = 64, cot_pap_id = 15, cot_prc_comum = NULL, cot_prc_min = 36, cot_prc_max = 40, cot_prc_med = 38, cot_prc_mediana = 38 WHERE cot_id = 1047;</v>
      </c>
    </row>
    <row r="1049" spans="1:10" x14ac:dyDescent="0.3">
      <c r="A1049">
        <v>1048</v>
      </c>
      <c r="B1049">
        <f>IF('Boletins Nuppa Site'!A1049&lt;&gt;0,'Boletins Nuppa Site'!A1049,"NULL")</f>
        <v>64</v>
      </c>
      <c r="C1049">
        <v>16</v>
      </c>
      <c r="D1049" t="str">
        <f>IF('Boletins Nuppa Site'!G1049&lt;&gt;0,'Boletins Nuppa Site'!G1049,"NULL")</f>
        <v>NULL</v>
      </c>
      <c r="E1049" s="14">
        <f>IF('Boletins Nuppa Site'!H1049&lt;&gt;0,'Boletins Nuppa Site'!H1049,"NULL")</f>
        <v>42</v>
      </c>
      <c r="F1049" s="14">
        <f>IF('Boletins Nuppa Site'!I1049&lt;&gt;0,'Boletins Nuppa Site'!I1049,"NULL")</f>
        <v>54</v>
      </c>
      <c r="G1049" s="14">
        <f>IF('Boletins Nuppa Site'!J1049&lt;&gt;0,'Boletins Nuppa Site'!J1049,"NULL")</f>
        <v>48</v>
      </c>
      <c r="H1049" s="14">
        <f>IF('Boletins Nuppa Site'!K1049&lt;&gt;0,'Boletins Nuppa Site'!K1049,"NULL")</f>
        <v>48</v>
      </c>
      <c r="I1049" t="str">
        <f t="shared" si="32"/>
        <v>INSERT INTO COTACAO (cot_id, cot_blt_id, cot_pap_id, cot_prc_comum, cot_prc_min, cot_prc_max, cot_prc_med, cot_prc_mediana) VALUES (1048, 64, 16, NULL, 42, 54, 48, 48);</v>
      </c>
      <c r="J1049" t="str">
        <f t="shared" si="33"/>
        <v>UPDATE COTACAO SET cot_id = 1048, cot_blt_id = 64, cot_pap_id = 16, cot_prc_comum = NULL, cot_prc_min = 42, cot_prc_max = 54, cot_prc_med = 48, cot_prc_mediana = 48 WHERE cot_id = 1048;</v>
      </c>
    </row>
    <row r="1050" spans="1:10" x14ac:dyDescent="0.3">
      <c r="A1050">
        <v>1049</v>
      </c>
      <c r="B1050">
        <f>IF('Boletins Nuppa Site'!A1050&lt;&gt;0,'Boletins Nuppa Site'!A1050,"NULL")</f>
        <v>64</v>
      </c>
      <c r="C1050">
        <v>17</v>
      </c>
      <c r="D1050" s="14">
        <f>IF('Boletins Nuppa Site'!G1050&lt;&gt;0,'Boletins Nuppa Site'!G1050,"NULL")</f>
        <v>5</v>
      </c>
      <c r="E1050" s="14">
        <f>IF('Boletins Nuppa Site'!H1050&lt;&gt;0,'Boletins Nuppa Site'!H1050,"NULL")</f>
        <v>5</v>
      </c>
      <c r="F1050" s="14">
        <f>IF('Boletins Nuppa Site'!I1050&lt;&gt;0,'Boletins Nuppa Site'!I1050,"NULL")</f>
        <v>5</v>
      </c>
      <c r="G1050" s="14">
        <f>IF('Boletins Nuppa Site'!J1050&lt;&gt;0,'Boletins Nuppa Site'!J1050,"NULL")</f>
        <v>5</v>
      </c>
      <c r="H1050" s="14">
        <f>IF('Boletins Nuppa Site'!K1050&lt;&gt;0,'Boletins Nuppa Site'!K1050,"NULL")</f>
        <v>5</v>
      </c>
      <c r="I1050" t="str">
        <f t="shared" si="32"/>
        <v>INSERT INTO COTACAO (cot_id, cot_blt_id, cot_pap_id, cot_prc_comum, cot_prc_min, cot_prc_max, cot_prc_med, cot_prc_mediana) VALUES (1049, 64, 17, 5, 5, 5, 5, 5);</v>
      </c>
      <c r="J1050" t="str">
        <f t="shared" si="33"/>
        <v>UPDATE COTACAO SET cot_id = 1049, cot_blt_id = 64, cot_pap_id = 17, cot_prc_comum = 5, cot_prc_min = 5, cot_prc_max = 5, cot_prc_med = 5, cot_prc_mediana = 5 WHERE cot_id = 1049;</v>
      </c>
    </row>
    <row r="1051" spans="1:10" x14ac:dyDescent="0.3">
      <c r="A1051">
        <v>1050</v>
      </c>
      <c r="B1051">
        <f>IF('Boletins Nuppa Site'!A1051&lt;&gt;0,'Boletins Nuppa Site'!A1051,"NULL")</f>
        <v>64</v>
      </c>
      <c r="C1051">
        <v>18</v>
      </c>
      <c r="D1051" s="14">
        <f>IF('Boletins Nuppa Site'!G1051&lt;&gt;0,'Boletins Nuppa Site'!G1051,"NULL")</f>
        <v>12</v>
      </c>
      <c r="E1051" s="14">
        <f>IF('Boletins Nuppa Site'!H1051&lt;&gt;0,'Boletins Nuppa Site'!H1051,"NULL")</f>
        <v>10</v>
      </c>
      <c r="F1051" s="14">
        <f>IF('Boletins Nuppa Site'!I1051&lt;&gt;0,'Boletins Nuppa Site'!I1051,"NULL")</f>
        <v>12</v>
      </c>
      <c r="G1051" t="str">
        <f>IF('Boletins Nuppa Site'!J1051&lt;&gt;0,'Boletins Nuppa Site'!J1051,"NULL")</f>
        <v>11.33</v>
      </c>
      <c r="H1051" s="14">
        <f>IF('Boletins Nuppa Site'!K1051&lt;&gt;0,'Boletins Nuppa Site'!K1051,"NULL")</f>
        <v>12</v>
      </c>
      <c r="I1051" t="str">
        <f t="shared" si="32"/>
        <v>INSERT INTO COTACAO (cot_id, cot_blt_id, cot_pap_id, cot_prc_comum, cot_prc_min, cot_prc_max, cot_prc_med, cot_prc_mediana) VALUES (1050, 64, 18, 12, 10, 12, 11.33, 12);</v>
      </c>
      <c r="J1051" t="str">
        <f t="shared" si="33"/>
        <v>UPDATE COTACAO SET cot_id = 1050, cot_blt_id = 64, cot_pap_id = 18, cot_prc_comum = 12, cot_prc_min = 10, cot_prc_max = 12, cot_prc_med = 11.33, cot_prc_mediana = 12 WHERE cot_id = 1050;</v>
      </c>
    </row>
    <row r="1052" spans="1:10" x14ac:dyDescent="0.3">
      <c r="A1052">
        <v>1051</v>
      </c>
      <c r="B1052">
        <f>IF('Boletins Nuppa Site'!A1052&lt;&gt;0,'Boletins Nuppa Site'!A1052,"NULL")</f>
        <v>64</v>
      </c>
      <c r="C1052">
        <v>19</v>
      </c>
      <c r="D1052" t="str">
        <f>IF('Boletins Nuppa Site'!G1052&lt;&gt;0,'Boletins Nuppa Site'!G1052,"NULL")</f>
        <v>NULL</v>
      </c>
      <c r="E1052" s="14">
        <f>IF('Boletins Nuppa Site'!H1052&lt;&gt;0,'Boletins Nuppa Site'!H1052,"NULL")</f>
        <v>15</v>
      </c>
      <c r="F1052" s="14">
        <f>IF('Boletins Nuppa Site'!I1052&lt;&gt;0,'Boletins Nuppa Site'!I1052,"NULL")</f>
        <v>30</v>
      </c>
      <c r="G1052" t="str">
        <f>IF('Boletins Nuppa Site'!J1052&lt;&gt;0,'Boletins Nuppa Site'!J1052,"NULL")</f>
        <v>21.67</v>
      </c>
      <c r="H1052" s="14">
        <f>IF('Boletins Nuppa Site'!K1052&lt;&gt;0,'Boletins Nuppa Site'!K1052,"NULL")</f>
        <v>20</v>
      </c>
      <c r="I1052" t="str">
        <f t="shared" si="32"/>
        <v>INSERT INTO COTACAO (cot_id, cot_blt_id, cot_pap_id, cot_prc_comum, cot_prc_min, cot_prc_max, cot_prc_med, cot_prc_mediana) VALUES (1051, 64, 19, NULL, 15, 30, 21.67, 20);</v>
      </c>
      <c r="J1052" t="str">
        <f t="shared" si="33"/>
        <v>UPDATE COTACAO SET cot_id = 1051, cot_blt_id = 64, cot_pap_id = 19, cot_prc_comum = NULL, cot_prc_min = 15, cot_prc_max = 30, cot_prc_med = 21.67, cot_prc_mediana = 20 WHERE cot_id = 1051;</v>
      </c>
    </row>
    <row r="1053" spans="1:10" x14ac:dyDescent="0.3">
      <c r="A1053">
        <v>1052</v>
      </c>
      <c r="B1053">
        <f>IF('Boletins Nuppa Site'!A1053&lt;&gt;0,'Boletins Nuppa Site'!A1053,"NULL")</f>
        <v>64</v>
      </c>
      <c r="C1053">
        <v>20</v>
      </c>
      <c r="D1053" t="str">
        <f>IF('Boletins Nuppa Site'!G1053&lt;&gt;0,'Boletins Nuppa Site'!G1053,"NULL")</f>
        <v>NULL</v>
      </c>
      <c r="E1053" s="14">
        <f>IF('Boletins Nuppa Site'!H1053&lt;&gt;0,'Boletins Nuppa Site'!H1053,"NULL")</f>
        <v>75</v>
      </c>
      <c r="F1053" s="14">
        <f>IF('Boletins Nuppa Site'!I1053&lt;&gt;0,'Boletins Nuppa Site'!I1053,"NULL")</f>
        <v>80</v>
      </c>
      <c r="G1053" t="str">
        <f>IF('Boletins Nuppa Site'!J1053&lt;&gt;0,'Boletins Nuppa Site'!J1053,"NULL")</f>
        <v>77.5</v>
      </c>
      <c r="H1053" t="str">
        <f>IF('Boletins Nuppa Site'!K1053&lt;&gt;0,'Boletins Nuppa Site'!K1053,"NULL")</f>
        <v>77.5</v>
      </c>
      <c r="I1053" t="str">
        <f t="shared" si="32"/>
        <v>INSERT INTO COTACAO (cot_id, cot_blt_id, cot_pap_id, cot_prc_comum, cot_prc_min, cot_prc_max, cot_prc_med, cot_prc_mediana) VALUES (1052, 64, 20, NULL, 75, 80, 77.5, 77.5);</v>
      </c>
      <c r="J1053" t="str">
        <f t="shared" si="33"/>
        <v>UPDATE COTACAO SET cot_id = 1052, cot_blt_id = 64, cot_pap_id = 20, cot_prc_comum = NULL, cot_prc_min = 75, cot_prc_max = 80, cot_prc_med = 77.5, cot_prc_mediana = 77.5 WHERE cot_id = 1052;</v>
      </c>
    </row>
    <row r="1054" spans="1:10" x14ac:dyDescent="0.3">
      <c r="A1054">
        <v>1053</v>
      </c>
      <c r="B1054">
        <f>IF('Boletins Nuppa Site'!A1054&lt;&gt;0,'Boletins Nuppa Site'!A1054,"NULL")</f>
        <v>64</v>
      </c>
      <c r="C1054">
        <v>21</v>
      </c>
      <c r="D1054" s="14">
        <f>IF('Boletins Nuppa Site'!G1054&lt;&gt;0,'Boletins Nuppa Site'!G1054,"NULL")</f>
        <v>50</v>
      </c>
      <c r="E1054" s="14">
        <f>IF('Boletins Nuppa Site'!H1054&lt;&gt;0,'Boletins Nuppa Site'!H1054,"NULL")</f>
        <v>40</v>
      </c>
      <c r="F1054" s="14">
        <f>IF('Boletins Nuppa Site'!I1054&lt;&gt;0,'Boletins Nuppa Site'!I1054,"NULL")</f>
        <v>60</v>
      </c>
      <c r="G1054" s="14">
        <f>IF('Boletins Nuppa Site'!J1054&lt;&gt;0,'Boletins Nuppa Site'!J1054,"NULL")</f>
        <v>51</v>
      </c>
      <c r="H1054" s="14">
        <f>IF('Boletins Nuppa Site'!K1054&lt;&gt;0,'Boletins Nuppa Site'!K1054,"NULL")</f>
        <v>50</v>
      </c>
      <c r="I1054" t="str">
        <f t="shared" si="32"/>
        <v>INSERT INTO COTACAO (cot_id, cot_blt_id, cot_pap_id, cot_prc_comum, cot_prc_min, cot_prc_max, cot_prc_med, cot_prc_mediana) VALUES (1053, 64, 21, 50, 40, 60, 51, 50);</v>
      </c>
      <c r="J1054" t="str">
        <f t="shared" si="33"/>
        <v>UPDATE COTACAO SET cot_id = 1053, cot_blt_id = 64, cot_pap_id = 21, cot_prc_comum = 50, cot_prc_min = 40, cot_prc_max = 60, cot_prc_med = 51, cot_prc_mediana = 50 WHERE cot_id = 1053;</v>
      </c>
    </row>
    <row r="1055" spans="1:10" x14ac:dyDescent="0.3">
      <c r="A1055">
        <v>1054</v>
      </c>
      <c r="B1055">
        <f>IF('Boletins Nuppa Site'!A1055&lt;&gt;0,'Boletins Nuppa Site'!A1055,"NULL")</f>
        <v>64</v>
      </c>
      <c r="C1055">
        <v>22</v>
      </c>
      <c r="D1055" s="14">
        <f>IF('Boletins Nuppa Site'!G1055&lt;&gt;0,'Boletins Nuppa Site'!G1055,"NULL")</f>
        <v>70</v>
      </c>
      <c r="E1055" s="14">
        <f>IF('Boletins Nuppa Site'!H1055&lt;&gt;0,'Boletins Nuppa Site'!H1055,"NULL")</f>
        <v>40</v>
      </c>
      <c r="F1055" s="14">
        <f>IF('Boletins Nuppa Site'!I1055&lt;&gt;0,'Boletins Nuppa Site'!I1055,"NULL")</f>
        <v>70</v>
      </c>
      <c r="G1055" s="14">
        <f>IF('Boletins Nuppa Site'!J1055&lt;&gt;0,'Boletins Nuppa Site'!J1055,"NULL")</f>
        <v>55</v>
      </c>
      <c r="H1055" s="14">
        <f>IF('Boletins Nuppa Site'!K1055&lt;&gt;0,'Boletins Nuppa Site'!K1055,"NULL")</f>
        <v>50</v>
      </c>
      <c r="I1055" t="str">
        <f t="shared" si="32"/>
        <v>INSERT INTO COTACAO (cot_id, cot_blt_id, cot_pap_id, cot_prc_comum, cot_prc_min, cot_prc_max, cot_prc_med, cot_prc_mediana) VALUES (1054, 64, 22, 70, 40, 70, 55, 50);</v>
      </c>
      <c r="J1055" t="str">
        <f t="shared" si="33"/>
        <v>UPDATE COTACAO SET cot_id = 1054, cot_blt_id = 64, cot_pap_id = 22, cot_prc_comum = 70, cot_prc_min = 40, cot_prc_max = 70, cot_prc_med = 55, cot_prc_mediana = 50 WHERE cot_id = 1054;</v>
      </c>
    </row>
    <row r="1056" spans="1:10" x14ac:dyDescent="0.3">
      <c r="A1056">
        <v>1055</v>
      </c>
      <c r="B1056">
        <f>IF('Boletins Nuppa Site'!A1056&lt;&gt;0,'Boletins Nuppa Site'!A1056,"NULL")</f>
        <v>64</v>
      </c>
      <c r="C1056">
        <v>23</v>
      </c>
      <c r="D1056" s="14">
        <f>IF('Boletins Nuppa Site'!G1056&lt;&gt;0,'Boletins Nuppa Site'!G1056,"NULL")</f>
        <v>50</v>
      </c>
      <c r="E1056" s="14">
        <f>IF('Boletins Nuppa Site'!H1056&lt;&gt;0,'Boletins Nuppa Site'!H1056,"NULL")</f>
        <v>35</v>
      </c>
      <c r="F1056" s="14">
        <f>IF('Boletins Nuppa Site'!I1056&lt;&gt;0,'Boletins Nuppa Site'!I1056,"NULL")</f>
        <v>50</v>
      </c>
      <c r="G1056" s="14">
        <f>IF('Boletins Nuppa Site'!J1056&lt;&gt;0,'Boletins Nuppa Site'!J1056,"NULL")</f>
        <v>44</v>
      </c>
      <c r="H1056" s="14">
        <f>IF('Boletins Nuppa Site'!K1056&lt;&gt;0,'Boletins Nuppa Site'!K1056,"NULL")</f>
        <v>45</v>
      </c>
      <c r="I1056" t="str">
        <f t="shared" si="32"/>
        <v>INSERT INTO COTACAO (cot_id, cot_blt_id, cot_pap_id, cot_prc_comum, cot_prc_min, cot_prc_max, cot_prc_med, cot_prc_mediana) VALUES (1055, 64, 23, 50, 35, 50, 44, 45);</v>
      </c>
      <c r="J1056" t="str">
        <f t="shared" si="33"/>
        <v>UPDATE COTACAO SET cot_id = 1055, cot_blt_id = 64, cot_pap_id = 23, cot_prc_comum = 50, cot_prc_min = 35, cot_prc_max = 50, cot_prc_med = 44, cot_prc_mediana = 45 WHERE cot_id = 1055;</v>
      </c>
    </row>
    <row r="1057" spans="1:10" x14ac:dyDescent="0.3">
      <c r="A1057">
        <v>1056</v>
      </c>
      <c r="B1057">
        <f>IF('Boletins Nuppa Site'!A1057&lt;&gt;0,'Boletins Nuppa Site'!A1057,"NULL")</f>
        <v>64</v>
      </c>
      <c r="C1057">
        <v>24</v>
      </c>
      <c r="D1057" t="str">
        <f>IF('Boletins Nuppa Site'!G1057&lt;&gt;0,'Boletins Nuppa Site'!G1057,"NULL")</f>
        <v>NULL</v>
      </c>
      <c r="E1057" s="14">
        <f>IF('Boletins Nuppa Site'!H1057&lt;&gt;0,'Boletins Nuppa Site'!H1057,"NULL")</f>
        <v>90</v>
      </c>
      <c r="F1057" s="14">
        <f>IF('Boletins Nuppa Site'!I1057&lt;&gt;0,'Boletins Nuppa Site'!I1057,"NULL")</f>
        <v>100</v>
      </c>
      <c r="G1057" s="14">
        <f>IF('Boletins Nuppa Site'!J1057&lt;&gt;0,'Boletins Nuppa Site'!J1057,"NULL")</f>
        <v>95</v>
      </c>
      <c r="H1057" s="14">
        <f>IF('Boletins Nuppa Site'!K1057&lt;&gt;0,'Boletins Nuppa Site'!K1057,"NULL")</f>
        <v>95</v>
      </c>
      <c r="I1057" t="str">
        <f t="shared" si="32"/>
        <v>INSERT INTO COTACAO (cot_id, cot_blt_id, cot_pap_id, cot_prc_comum, cot_prc_min, cot_prc_max, cot_prc_med, cot_prc_mediana) VALUES (1056, 64, 24, NULL, 90, 100, 95, 95);</v>
      </c>
      <c r="J1057" t="str">
        <f t="shared" si="33"/>
        <v>UPDATE COTACAO SET cot_id = 1056, cot_blt_id = 64, cot_pap_id = 24, cot_prc_comum = NULL, cot_prc_min = 90, cot_prc_max = 100, cot_prc_med = 95, cot_prc_mediana = 95 WHERE cot_id = 1056;</v>
      </c>
    </row>
    <row r="1058" spans="1:10" x14ac:dyDescent="0.3">
      <c r="A1058">
        <v>1057</v>
      </c>
      <c r="B1058">
        <f>IF('Boletins Nuppa Site'!A1058&lt;&gt;0,'Boletins Nuppa Site'!A1058,"NULL")</f>
        <v>64</v>
      </c>
      <c r="C1058">
        <v>25</v>
      </c>
      <c r="D1058" s="14">
        <f>IF('Boletins Nuppa Site'!G1058&lt;&gt;0,'Boletins Nuppa Site'!G1058,"NULL")</f>
        <v>60</v>
      </c>
      <c r="E1058" s="14">
        <f>IF('Boletins Nuppa Site'!H1058&lt;&gt;0,'Boletins Nuppa Site'!H1058,"NULL")</f>
        <v>57</v>
      </c>
      <c r="F1058" s="14">
        <f>IF('Boletins Nuppa Site'!I1058&lt;&gt;0,'Boletins Nuppa Site'!I1058,"NULL")</f>
        <v>60</v>
      </c>
      <c r="G1058" t="str">
        <f>IF('Boletins Nuppa Site'!J1058&lt;&gt;0,'Boletins Nuppa Site'!J1058,"NULL")</f>
        <v>59.4</v>
      </c>
      <c r="H1058" s="14">
        <f>IF('Boletins Nuppa Site'!K1058&lt;&gt;0,'Boletins Nuppa Site'!K1058,"NULL")</f>
        <v>60</v>
      </c>
      <c r="I1058" t="str">
        <f t="shared" si="32"/>
        <v>INSERT INTO COTACAO (cot_id, cot_blt_id, cot_pap_id, cot_prc_comum, cot_prc_min, cot_prc_max, cot_prc_med, cot_prc_mediana) VALUES (1057, 64, 25, 60, 57, 60, 59.4, 60);</v>
      </c>
      <c r="J1058" t="str">
        <f t="shared" si="33"/>
        <v>UPDATE COTACAO SET cot_id = 1057, cot_blt_id = 64, cot_pap_id = 25, cot_prc_comum = 60, cot_prc_min = 57, cot_prc_max = 60, cot_prc_med = 59.4, cot_prc_mediana = 60 WHERE cot_id = 1057;</v>
      </c>
    </row>
    <row r="1059" spans="1:10" x14ac:dyDescent="0.3">
      <c r="A1059">
        <v>1058</v>
      </c>
      <c r="B1059">
        <f>IF('Boletins Nuppa Site'!A1059&lt;&gt;0,'Boletins Nuppa Site'!A1059,"NULL")</f>
        <v>64</v>
      </c>
      <c r="C1059">
        <v>26</v>
      </c>
      <c r="D1059" s="14">
        <f>IF('Boletins Nuppa Site'!G1059&lt;&gt;0,'Boletins Nuppa Site'!G1059,"NULL")</f>
        <v>60</v>
      </c>
      <c r="E1059" s="14">
        <f>IF('Boletins Nuppa Site'!H1059&lt;&gt;0,'Boletins Nuppa Site'!H1059,"NULL")</f>
        <v>40</v>
      </c>
      <c r="F1059" s="14">
        <f>IF('Boletins Nuppa Site'!I1059&lt;&gt;0,'Boletins Nuppa Site'!I1059,"NULL")</f>
        <v>60</v>
      </c>
      <c r="G1059" s="14">
        <f>IF('Boletins Nuppa Site'!J1059&lt;&gt;0,'Boletins Nuppa Site'!J1059,"NULL")</f>
        <v>55</v>
      </c>
      <c r="H1059" s="14">
        <f>IF('Boletins Nuppa Site'!K1059&lt;&gt;0,'Boletins Nuppa Site'!K1059,"NULL")</f>
        <v>60</v>
      </c>
      <c r="I1059" t="str">
        <f t="shared" si="32"/>
        <v>INSERT INTO COTACAO (cot_id, cot_blt_id, cot_pap_id, cot_prc_comum, cot_prc_min, cot_prc_max, cot_prc_med, cot_prc_mediana) VALUES (1058, 64, 26, 60, 40, 60, 55, 60);</v>
      </c>
      <c r="J1059" t="str">
        <f t="shared" si="33"/>
        <v>UPDATE COTACAO SET cot_id = 1058, cot_blt_id = 64, cot_pap_id = 26, cot_prc_comum = 60, cot_prc_min = 40, cot_prc_max = 60, cot_prc_med = 55, cot_prc_mediana = 60 WHERE cot_id = 1058;</v>
      </c>
    </row>
    <row r="1060" spans="1:10" x14ac:dyDescent="0.3">
      <c r="A1060">
        <v>1059</v>
      </c>
      <c r="B1060">
        <f>IF('Boletins Nuppa Site'!A1060&lt;&gt;0,'Boletins Nuppa Site'!A1060,"NULL")</f>
        <v>64</v>
      </c>
      <c r="C1060">
        <v>27</v>
      </c>
      <c r="D1060" s="14">
        <f>IF('Boletins Nuppa Site'!G1060&lt;&gt;0,'Boletins Nuppa Site'!G1060,"NULL")</f>
        <v>45</v>
      </c>
      <c r="E1060" s="14">
        <f>IF('Boletins Nuppa Site'!H1060&lt;&gt;0,'Boletins Nuppa Site'!H1060,"NULL")</f>
        <v>45</v>
      </c>
      <c r="F1060" s="14">
        <f>IF('Boletins Nuppa Site'!I1060&lt;&gt;0,'Boletins Nuppa Site'!I1060,"NULL")</f>
        <v>75</v>
      </c>
      <c r="G1060" s="14">
        <f>IF('Boletins Nuppa Site'!J1060&lt;&gt;0,'Boletins Nuppa Site'!J1060,"NULL")</f>
        <v>57</v>
      </c>
      <c r="H1060" s="14">
        <f>IF('Boletins Nuppa Site'!K1060&lt;&gt;0,'Boletins Nuppa Site'!K1060,"NULL")</f>
        <v>60</v>
      </c>
      <c r="I1060" t="str">
        <f t="shared" si="32"/>
        <v>INSERT INTO COTACAO (cot_id, cot_blt_id, cot_pap_id, cot_prc_comum, cot_prc_min, cot_prc_max, cot_prc_med, cot_prc_mediana) VALUES (1059, 64, 27, 45, 45, 75, 57, 60);</v>
      </c>
      <c r="J1060" t="str">
        <f t="shared" si="33"/>
        <v>UPDATE COTACAO SET cot_id = 1059, cot_blt_id = 64, cot_pap_id = 27, cot_prc_comum = 45, cot_prc_min = 45, cot_prc_max = 75, cot_prc_med = 57, cot_prc_mediana = 60 WHERE cot_id = 1059;</v>
      </c>
    </row>
    <row r="1061" spans="1:10" x14ac:dyDescent="0.3">
      <c r="A1061">
        <v>1060</v>
      </c>
      <c r="B1061">
        <f>IF('Boletins Nuppa Site'!A1061&lt;&gt;0,'Boletins Nuppa Site'!A1061,"NULL")</f>
        <v>64</v>
      </c>
      <c r="C1061">
        <v>28</v>
      </c>
      <c r="D1061" t="str">
        <f>IF('Boletins Nuppa Site'!G1061&lt;&gt;0,'Boletins Nuppa Site'!G1061,"NULL")</f>
        <v>NULL</v>
      </c>
      <c r="E1061" s="14">
        <f>IF('Boletins Nuppa Site'!H1061&lt;&gt;0,'Boletins Nuppa Site'!H1061,"NULL")</f>
        <v>70</v>
      </c>
      <c r="F1061" s="14">
        <f>IF('Boletins Nuppa Site'!I1061&lt;&gt;0,'Boletins Nuppa Site'!I1061,"NULL")</f>
        <v>100</v>
      </c>
      <c r="G1061" s="14">
        <f>IF('Boletins Nuppa Site'!J1061&lt;&gt;0,'Boletins Nuppa Site'!J1061,"NULL")</f>
        <v>85</v>
      </c>
      <c r="H1061" s="14">
        <f>IF('Boletins Nuppa Site'!K1061&lt;&gt;0,'Boletins Nuppa Site'!K1061,"NULL")</f>
        <v>85</v>
      </c>
      <c r="I1061" t="str">
        <f t="shared" si="32"/>
        <v>INSERT INTO COTACAO (cot_id, cot_blt_id, cot_pap_id, cot_prc_comum, cot_prc_min, cot_prc_max, cot_prc_med, cot_prc_mediana) VALUES (1060, 64, 28, NULL, 70, 100, 85, 85);</v>
      </c>
      <c r="J1061" t="str">
        <f t="shared" si="33"/>
        <v>UPDATE COTACAO SET cot_id = 1060, cot_blt_id = 64, cot_pap_id = 28, cot_prc_comum = NULL, cot_prc_min = 70, cot_prc_max = 100, cot_prc_med = 85, cot_prc_mediana = 85 WHERE cot_id = 1060;</v>
      </c>
    </row>
    <row r="1062" spans="1:10" x14ac:dyDescent="0.3">
      <c r="A1062">
        <v>1061</v>
      </c>
      <c r="B1062">
        <f>IF('Boletins Nuppa Site'!A1062&lt;&gt;0,'Boletins Nuppa Site'!A1062,"NULL")</f>
        <v>64</v>
      </c>
      <c r="C1062">
        <v>29</v>
      </c>
      <c r="D1062" t="str">
        <f>IF('Boletins Nuppa Site'!G1062&lt;&gt;0,'Boletins Nuppa Site'!G1062,"NULL")</f>
        <v>NULL</v>
      </c>
      <c r="E1062" s="14">
        <f>IF('Boletins Nuppa Site'!H1062&lt;&gt;0,'Boletins Nuppa Site'!H1062,"NULL")</f>
        <v>60</v>
      </c>
      <c r="F1062" s="14">
        <f>IF('Boletins Nuppa Site'!I1062&lt;&gt;0,'Boletins Nuppa Site'!I1062,"NULL")</f>
        <v>65</v>
      </c>
      <c r="G1062" t="str">
        <f>IF('Boletins Nuppa Site'!J1062&lt;&gt;0,'Boletins Nuppa Site'!J1062,"NULL")</f>
        <v>62.5</v>
      </c>
      <c r="H1062" t="str">
        <f>IF('Boletins Nuppa Site'!K1062&lt;&gt;0,'Boletins Nuppa Site'!K1062,"NULL")</f>
        <v>62.5</v>
      </c>
      <c r="I1062" t="str">
        <f t="shared" si="32"/>
        <v>INSERT INTO COTACAO (cot_id, cot_blt_id, cot_pap_id, cot_prc_comum, cot_prc_min, cot_prc_max, cot_prc_med, cot_prc_mediana) VALUES (1061, 64, 29, NULL, 60, 65, 62.5, 62.5);</v>
      </c>
      <c r="J1062" t="str">
        <f t="shared" si="33"/>
        <v>UPDATE COTACAO SET cot_id = 1061, cot_blt_id = 64, cot_pap_id = 29, cot_prc_comum = NULL, cot_prc_min = 60, cot_prc_max = 65, cot_prc_med = 62.5, cot_prc_mediana = 62.5 WHERE cot_id = 1061;</v>
      </c>
    </row>
    <row r="1063" spans="1:10" x14ac:dyDescent="0.3">
      <c r="A1063">
        <v>1062</v>
      </c>
      <c r="B1063">
        <f>IF('Boletins Nuppa Site'!A1063&lt;&gt;0,'Boletins Nuppa Site'!A1063,"NULL")</f>
        <v>64</v>
      </c>
      <c r="C1063">
        <v>30</v>
      </c>
      <c r="D1063" s="14">
        <f>IF('Boletins Nuppa Site'!G1063&lt;&gt;0,'Boletins Nuppa Site'!G1063,"NULL")</f>
        <v>50</v>
      </c>
      <c r="E1063" s="14">
        <f>IF('Boletins Nuppa Site'!H1063&lt;&gt;0,'Boletins Nuppa Site'!H1063,"NULL")</f>
        <v>50</v>
      </c>
      <c r="F1063" s="14">
        <f>IF('Boletins Nuppa Site'!I1063&lt;&gt;0,'Boletins Nuppa Site'!I1063,"NULL")</f>
        <v>60</v>
      </c>
      <c r="G1063" t="str">
        <f>IF('Boletins Nuppa Site'!J1063&lt;&gt;0,'Boletins Nuppa Site'!J1063,"NULL")</f>
        <v>53.75</v>
      </c>
      <c r="H1063" t="str">
        <f>IF('Boletins Nuppa Site'!K1063&lt;&gt;0,'Boletins Nuppa Site'!K1063,"NULL")</f>
        <v>52.5</v>
      </c>
      <c r="I1063" t="str">
        <f t="shared" si="32"/>
        <v>INSERT INTO COTACAO (cot_id, cot_blt_id, cot_pap_id, cot_prc_comum, cot_prc_min, cot_prc_max, cot_prc_med, cot_prc_mediana) VALUES (1062, 64, 30, 50, 50, 60, 53.75, 52.5);</v>
      </c>
      <c r="J1063" t="str">
        <f t="shared" si="33"/>
        <v>UPDATE COTACAO SET cot_id = 1062, cot_blt_id = 64, cot_pap_id = 30, cot_prc_comum = 50, cot_prc_min = 50, cot_prc_max = 60, cot_prc_med = 53.75, cot_prc_mediana = 52.5 WHERE cot_id = 1062;</v>
      </c>
    </row>
    <row r="1064" spans="1:10" x14ac:dyDescent="0.3">
      <c r="A1064">
        <v>1063</v>
      </c>
      <c r="B1064">
        <f>IF('Boletins Nuppa Site'!A1064&lt;&gt;0,'Boletins Nuppa Site'!A1064,"NULL")</f>
        <v>64</v>
      </c>
      <c r="C1064">
        <v>31</v>
      </c>
      <c r="D1064" s="14">
        <f>IF('Boletins Nuppa Site'!G1064&lt;&gt;0,'Boletins Nuppa Site'!G1064,"NULL")</f>
        <v>80</v>
      </c>
      <c r="E1064" s="14">
        <f>IF('Boletins Nuppa Site'!H1064&lt;&gt;0,'Boletins Nuppa Site'!H1064,"NULL")</f>
        <v>70</v>
      </c>
      <c r="F1064" s="14">
        <f>IF('Boletins Nuppa Site'!I1064&lt;&gt;0,'Boletins Nuppa Site'!I1064,"NULL")</f>
        <v>80</v>
      </c>
      <c r="G1064" s="14">
        <f>IF('Boletins Nuppa Site'!J1064&lt;&gt;0,'Boletins Nuppa Site'!J1064,"NULL")</f>
        <v>77</v>
      </c>
      <c r="H1064" s="14">
        <f>IF('Boletins Nuppa Site'!K1064&lt;&gt;0,'Boletins Nuppa Site'!K1064,"NULL")</f>
        <v>80</v>
      </c>
      <c r="I1064" t="str">
        <f t="shared" si="32"/>
        <v>INSERT INTO COTACAO (cot_id, cot_blt_id, cot_pap_id, cot_prc_comum, cot_prc_min, cot_prc_max, cot_prc_med, cot_prc_mediana) VALUES (1063, 64, 31, 80, 70, 80, 77, 80);</v>
      </c>
      <c r="J1064" t="str">
        <f t="shared" si="33"/>
        <v>UPDATE COTACAO SET cot_id = 1063, cot_blt_id = 64, cot_pap_id = 31, cot_prc_comum = 80, cot_prc_min = 70, cot_prc_max = 80, cot_prc_med = 77, cot_prc_mediana = 80 WHERE cot_id = 1063;</v>
      </c>
    </row>
    <row r="1065" spans="1:10" x14ac:dyDescent="0.3">
      <c r="A1065">
        <v>1064</v>
      </c>
      <c r="B1065">
        <f>IF('Boletins Nuppa Site'!A1065&lt;&gt;0,'Boletins Nuppa Site'!A1065,"NULL")</f>
        <v>64</v>
      </c>
      <c r="C1065">
        <v>32</v>
      </c>
      <c r="D1065" s="14">
        <f>IF('Boletins Nuppa Site'!G1065&lt;&gt;0,'Boletins Nuppa Site'!G1065,"NULL")</f>
        <v>50</v>
      </c>
      <c r="E1065" s="14">
        <f>IF('Boletins Nuppa Site'!H1065&lt;&gt;0,'Boletins Nuppa Site'!H1065,"NULL")</f>
        <v>45</v>
      </c>
      <c r="F1065" s="14">
        <f>IF('Boletins Nuppa Site'!I1065&lt;&gt;0,'Boletins Nuppa Site'!I1065,"NULL")</f>
        <v>70</v>
      </c>
      <c r="G1065" s="14">
        <f>IF('Boletins Nuppa Site'!J1065&lt;&gt;0,'Boletins Nuppa Site'!J1065,"NULL")</f>
        <v>54</v>
      </c>
      <c r="H1065" s="14">
        <f>IF('Boletins Nuppa Site'!K1065&lt;&gt;0,'Boletins Nuppa Site'!K1065,"NULL")</f>
        <v>50</v>
      </c>
      <c r="I1065" t="str">
        <f t="shared" si="32"/>
        <v>INSERT INTO COTACAO (cot_id, cot_blt_id, cot_pap_id, cot_prc_comum, cot_prc_min, cot_prc_max, cot_prc_med, cot_prc_mediana) VALUES (1064, 64, 32, 50, 45, 70, 54, 50);</v>
      </c>
      <c r="J1065" t="str">
        <f t="shared" si="33"/>
        <v>UPDATE COTACAO SET cot_id = 1064, cot_blt_id = 64, cot_pap_id = 32, cot_prc_comum = 50, cot_prc_min = 45, cot_prc_max = 70, cot_prc_med = 54, cot_prc_mediana = 50 WHERE cot_id = 1064;</v>
      </c>
    </row>
    <row r="1066" spans="1:10" x14ac:dyDescent="0.3">
      <c r="A1066">
        <v>1065</v>
      </c>
      <c r="B1066">
        <f>IF('Boletins Nuppa Site'!A1066&lt;&gt;0,'Boletins Nuppa Site'!A1066,"NULL")</f>
        <v>64</v>
      </c>
      <c r="C1066">
        <v>33</v>
      </c>
      <c r="D1066" s="14">
        <f>IF('Boletins Nuppa Site'!G1066&lt;&gt;0,'Boletins Nuppa Site'!G1066,"NULL")</f>
        <v>110</v>
      </c>
      <c r="E1066" s="14">
        <f>IF('Boletins Nuppa Site'!H1066&lt;&gt;0,'Boletins Nuppa Site'!H1066,"NULL")</f>
        <v>100</v>
      </c>
      <c r="F1066" s="14">
        <f>IF('Boletins Nuppa Site'!I1066&lt;&gt;0,'Boletins Nuppa Site'!I1066,"NULL")</f>
        <v>155</v>
      </c>
      <c r="G1066" t="str">
        <f>IF('Boletins Nuppa Site'!J1066&lt;&gt;0,'Boletins Nuppa Site'!J1066,"NULL")</f>
        <v>118.75</v>
      </c>
      <c r="H1066" s="14">
        <f>IF('Boletins Nuppa Site'!K1066&lt;&gt;0,'Boletins Nuppa Site'!K1066,"NULL")</f>
        <v>110</v>
      </c>
      <c r="I1066" t="str">
        <f t="shared" si="32"/>
        <v>INSERT INTO COTACAO (cot_id, cot_blt_id, cot_pap_id, cot_prc_comum, cot_prc_min, cot_prc_max, cot_prc_med, cot_prc_mediana) VALUES (1065, 64, 33, 110, 100, 155, 118.75, 110);</v>
      </c>
      <c r="J1066" t="str">
        <f t="shared" si="33"/>
        <v>UPDATE COTACAO SET cot_id = 1065, cot_blt_id = 64, cot_pap_id = 33, cot_prc_comum = 110, cot_prc_min = 100, cot_prc_max = 155, cot_prc_med = 118.75, cot_prc_mediana = 110 WHERE cot_id = 1065;</v>
      </c>
    </row>
    <row r="1067" spans="1:10" x14ac:dyDescent="0.3">
      <c r="A1067">
        <v>1066</v>
      </c>
      <c r="B1067">
        <f>IF('Boletins Nuppa Site'!A1067&lt;&gt;0,'Boletins Nuppa Site'!A1067,"NULL")</f>
        <v>64</v>
      </c>
      <c r="C1067">
        <v>34</v>
      </c>
      <c r="D1067" s="14">
        <f>IF('Boletins Nuppa Site'!G1067&lt;&gt;0,'Boletins Nuppa Site'!G1067,"NULL")</f>
        <v>60</v>
      </c>
      <c r="E1067" s="14">
        <f>IF('Boletins Nuppa Site'!H1067&lt;&gt;0,'Boletins Nuppa Site'!H1067,"NULL")</f>
        <v>60</v>
      </c>
      <c r="F1067" s="14">
        <f>IF('Boletins Nuppa Site'!I1067&lt;&gt;0,'Boletins Nuppa Site'!I1067,"NULL")</f>
        <v>80</v>
      </c>
      <c r="G1067" s="14">
        <f>IF('Boletins Nuppa Site'!J1067&lt;&gt;0,'Boletins Nuppa Site'!J1067,"NULL")</f>
        <v>66</v>
      </c>
      <c r="H1067" s="14">
        <f>IF('Boletins Nuppa Site'!K1067&lt;&gt;0,'Boletins Nuppa Site'!K1067,"NULL")</f>
        <v>60</v>
      </c>
      <c r="I1067" t="str">
        <f t="shared" si="32"/>
        <v>INSERT INTO COTACAO (cot_id, cot_blt_id, cot_pap_id, cot_prc_comum, cot_prc_min, cot_prc_max, cot_prc_med, cot_prc_mediana) VALUES (1066, 64, 34, 60, 60, 80, 66, 60);</v>
      </c>
      <c r="J1067" t="str">
        <f t="shared" si="33"/>
        <v>UPDATE COTACAO SET cot_id = 1066, cot_blt_id = 64, cot_pap_id = 34, cot_prc_comum = 60, cot_prc_min = 60, cot_prc_max = 80, cot_prc_med = 66, cot_prc_mediana = 60 WHERE cot_id = 1066;</v>
      </c>
    </row>
    <row r="1068" spans="1:10" x14ac:dyDescent="0.3">
      <c r="A1068">
        <v>1067</v>
      </c>
      <c r="B1068">
        <f>IF('Boletins Nuppa Site'!A1068&lt;&gt;0,'Boletins Nuppa Site'!A1068,"NULL")</f>
        <v>64</v>
      </c>
      <c r="C1068">
        <v>35</v>
      </c>
      <c r="D1068" t="str">
        <f>IF('Boletins Nuppa Site'!G1068&lt;&gt;0,'Boletins Nuppa Site'!G1068,"NULL")</f>
        <v>NULL</v>
      </c>
      <c r="E1068" s="14">
        <f>IF('Boletins Nuppa Site'!H1068&lt;&gt;0,'Boletins Nuppa Site'!H1068,"NULL")</f>
        <v>150</v>
      </c>
      <c r="F1068" s="14">
        <f>IF('Boletins Nuppa Site'!I1068&lt;&gt;0,'Boletins Nuppa Site'!I1068,"NULL")</f>
        <v>160</v>
      </c>
      <c r="G1068" s="14">
        <f>IF('Boletins Nuppa Site'!J1068&lt;&gt;0,'Boletins Nuppa Site'!J1068,"NULL")</f>
        <v>155</v>
      </c>
      <c r="H1068" s="14">
        <f>IF('Boletins Nuppa Site'!K1068&lt;&gt;0,'Boletins Nuppa Site'!K1068,"NULL")</f>
        <v>155</v>
      </c>
      <c r="I1068" t="str">
        <f t="shared" si="32"/>
        <v>INSERT INTO COTACAO (cot_id, cot_blt_id, cot_pap_id, cot_prc_comum, cot_prc_min, cot_prc_max, cot_prc_med, cot_prc_mediana) VALUES (1067, 64, 35, NULL, 150, 160, 155, 155);</v>
      </c>
      <c r="J1068" t="str">
        <f t="shared" si="33"/>
        <v>UPDATE COTACAO SET cot_id = 1067, cot_blt_id = 64, cot_pap_id = 35, cot_prc_comum = NULL, cot_prc_min = 150, cot_prc_max = 160, cot_prc_med = 155, cot_prc_mediana = 155 WHERE cot_id = 1067;</v>
      </c>
    </row>
    <row r="1069" spans="1:10" x14ac:dyDescent="0.3">
      <c r="A1069">
        <v>1068</v>
      </c>
      <c r="B1069">
        <f>IF('Boletins Nuppa Site'!A1069&lt;&gt;0,'Boletins Nuppa Site'!A1069,"NULL")</f>
        <v>64</v>
      </c>
      <c r="C1069">
        <v>36</v>
      </c>
      <c r="D1069" t="str">
        <f>IF('Boletins Nuppa Site'!G1069&lt;&gt;0,'Boletins Nuppa Site'!G1069,"NULL")</f>
        <v>NULL</v>
      </c>
      <c r="E1069" t="str">
        <f>IF('Boletins Nuppa Site'!H1069&lt;&gt;0,'Boletins Nuppa Site'!H1069,"NULL")</f>
        <v>NULL</v>
      </c>
      <c r="F1069" t="str">
        <f>IF('Boletins Nuppa Site'!I1069&lt;&gt;0,'Boletins Nuppa Site'!I1069,"NULL")</f>
        <v>NULL</v>
      </c>
      <c r="G1069" t="str">
        <f>IF('Boletins Nuppa Site'!J1069&lt;&gt;0,'Boletins Nuppa Site'!J1069,"NULL")</f>
        <v>NULL</v>
      </c>
      <c r="H1069" t="str">
        <f>IF('Boletins Nuppa Site'!K1069&lt;&gt;0,'Boletins Nuppa Site'!K1069,"NULL")</f>
        <v>NULL</v>
      </c>
      <c r="I1069" t="str">
        <f t="shared" si="32"/>
        <v>INSERT INTO COTACAO (cot_id, cot_blt_id, cot_pap_id, cot_prc_comum, cot_prc_min, cot_prc_max, cot_prc_med, cot_prc_mediana) VALUES (1068, 64, 36, NULL, NULL, NULL, NULL, NULL);</v>
      </c>
      <c r="J1069" t="str">
        <f t="shared" si="33"/>
        <v>UPDATE COTACAO SET cot_id = 1068, cot_blt_id = 64, cot_pap_id = 36, cot_prc_comum = NULL, cot_prc_min = NULL, cot_prc_max = NULL, cot_prc_med = NULL, cot_prc_mediana = NULL WHERE cot_id = 1068;</v>
      </c>
    </row>
    <row r="1070" spans="1:10" x14ac:dyDescent="0.3">
      <c r="A1070">
        <v>1069</v>
      </c>
      <c r="B1070">
        <f>IF('Boletins Nuppa Site'!A1070&lt;&gt;0,'Boletins Nuppa Site'!A1070,"NULL")</f>
        <v>64</v>
      </c>
      <c r="C1070">
        <v>37</v>
      </c>
      <c r="D1070" t="str">
        <f>IF('Boletins Nuppa Site'!G1070&lt;&gt;0,'Boletins Nuppa Site'!G1070,"NULL")</f>
        <v>NULL</v>
      </c>
      <c r="E1070" t="str">
        <f>IF('Boletins Nuppa Site'!H1070&lt;&gt;0,'Boletins Nuppa Site'!H1070,"NULL")</f>
        <v>NULL</v>
      </c>
      <c r="F1070" t="str">
        <f>IF('Boletins Nuppa Site'!I1070&lt;&gt;0,'Boletins Nuppa Site'!I1070,"NULL")</f>
        <v>NULL</v>
      </c>
      <c r="G1070" t="str">
        <f>IF('Boletins Nuppa Site'!J1070&lt;&gt;0,'Boletins Nuppa Site'!J1070,"NULL")</f>
        <v>NULL</v>
      </c>
      <c r="H1070" t="str">
        <f>IF('Boletins Nuppa Site'!K1070&lt;&gt;0,'Boletins Nuppa Site'!K1070,"NULL")</f>
        <v>NULL</v>
      </c>
      <c r="I1070" t="str">
        <f t="shared" si="32"/>
        <v>INSERT INTO COTACAO (cot_id, cot_blt_id, cot_pap_id, cot_prc_comum, cot_prc_min, cot_prc_max, cot_prc_med, cot_prc_mediana) VALUES (1069, 64, 37, NULL, NULL, NULL, NULL, NULL);</v>
      </c>
      <c r="J1070" t="str">
        <f t="shared" si="33"/>
        <v>UPDATE COTACAO SET cot_id = 1069, cot_blt_id = 64, cot_pap_id = 37, cot_prc_comum = NULL, cot_prc_min = NULL, cot_prc_max = NULL, cot_prc_med = NULL, cot_prc_mediana = NULL WHERE cot_id = 1069;</v>
      </c>
    </row>
    <row r="1071" spans="1:10" x14ac:dyDescent="0.3">
      <c r="A1071">
        <v>1070</v>
      </c>
      <c r="B1071">
        <f>IF('Boletins Nuppa Site'!A1071&lt;&gt;0,'Boletins Nuppa Site'!A1071,"NULL")</f>
        <v>64</v>
      </c>
      <c r="C1071">
        <v>38</v>
      </c>
      <c r="D1071" t="str">
        <f>IF('Boletins Nuppa Site'!G1071&lt;&gt;0,'Boletins Nuppa Site'!G1071,"NULL")</f>
        <v>NULL</v>
      </c>
      <c r="E1071" t="str">
        <f>IF('Boletins Nuppa Site'!H1071&lt;&gt;0,'Boletins Nuppa Site'!H1071,"NULL")</f>
        <v>NULL</v>
      </c>
      <c r="F1071" t="str">
        <f>IF('Boletins Nuppa Site'!I1071&lt;&gt;0,'Boletins Nuppa Site'!I1071,"NULL")</f>
        <v>NULL</v>
      </c>
      <c r="G1071" t="str">
        <f>IF('Boletins Nuppa Site'!J1071&lt;&gt;0,'Boletins Nuppa Site'!J1071,"NULL")</f>
        <v>NULL</v>
      </c>
      <c r="H1071" t="str">
        <f>IF('Boletins Nuppa Site'!K1071&lt;&gt;0,'Boletins Nuppa Site'!K1071,"NULL")</f>
        <v>NULL</v>
      </c>
      <c r="I1071" t="str">
        <f t="shared" si="32"/>
        <v>INSERT INTO COTACAO (cot_id, cot_blt_id, cot_pap_id, cot_prc_comum, cot_prc_min, cot_prc_max, cot_prc_med, cot_prc_mediana) VALUES (1070, 64, 38, NULL, NULL, NULL, NULL, NULL);</v>
      </c>
      <c r="J1071" t="str">
        <f t="shared" si="33"/>
        <v>UPDATE COTACAO SET cot_id = 1070, cot_blt_id = 64, cot_pap_id = 38, cot_prc_comum = NULL, cot_prc_min = NULL, cot_prc_max = NULL, cot_prc_med = NULL, cot_prc_mediana = NULL WHERE cot_id = 1070;</v>
      </c>
    </row>
    <row r="1072" spans="1:10" x14ac:dyDescent="0.3">
      <c r="A1072">
        <v>1071</v>
      </c>
      <c r="B1072">
        <f>IF('Boletins Nuppa Site'!A1072&lt;&gt;0,'Boletins Nuppa Site'!A1072,"NULL")</f>
        <v>64</v>
      </c>
      <c r="C1072">
        <v>39</v>
      </c>
      <c r="D1072" t="str">
        <f>IF('Boletins Nuppa Site'!G1072&lt;&gt;0,'Boletins Nuppa Site'!G1072,"NULL")</f>
        <v>NULL</v>
      </c>
      <c r="E1072" s="14">
        <f>IF('Boletins Nuppa Site'!H1072&lt;&gt;0,'Boletins Nuppa Site'!H1072,"NULL")</f>
        <v>60</v>
      </c>
      <c r="F1072" s="14">
        <f>IF('Boletins Nuppa Site'!I1072&lt;&gt;0,'Boletins Nuppa Site'!I1072,"NULL")</f>
        <v>60</v>
      </c>
      <c r="G1072" s="14">
        <f>IF('Boletins Nuppa Site'!J1072&lt;&gt;0,'Boletins Nuppa Site'!J1072,"NULL")</f>
        <v>60</v>
      </c>
      <c r="H1072" s="14">
        <f>IF('Boletins Nuppa Site'!K1072&lt;&gt;0,'Boletins Nuppa Site'!K1072,"NULL")</f>
        <v>60</v>
      </c>
      <c r="I1072" t="str">
        <f t="shared" si="32"/>
        <v>INSERT INTO COTACAO (cot_id, cot_blt_id, cot_pap_id, cot_prc_comum, cot_prc_min, cot_prc_max, cot_prc_med, cot_prc_mediana) VALUES (1071, 64, 39, NULL, 60, 60, 60, 60);</v>
      </c>
      <c r="J1072" t="str">
        <f t="shared" si="33"/>
        <v>UPDATE COTACAO SET cot_id = 1071, cot_blt_id = 64, cot_pap_id = 39, cot_prc_comum = NULL, cot_prc_min = 60, cot_prc_max = 60, cot_prc_med = 60, cot_prc_mediana = 60 WHERE cot_id = 1071;</v>
      </c>
    </row>
    <row r="1073" spans="1:10" x14ac:dyDescent="0.3">
      <c r="A1073">
        <v>1072</v>
      </c>
      <c r="B1073">
        <f>IF('Boletins Nuppa Site'!A1073&lt;&gt;0,'Boletins Nuppa Site'!A1073,"NULL")</f>
        <v>64</v>
      </c>
      <c r="C1073">
        <v>40</v>
      </c>
      <c r="D1073" t="str">
        <f>IF('Boletins Nuppa Site'!G1073&lt;&gt;0,'Boletins Nuppa Site'!G1073,"NULL")</f>
        <v>NULL</v>
      </c>
      <c r="E1073" t="str">
        <f>IF('Boletins Nuppa Site'!H1073&lt;&gt;0,'Boletins Nuppa Site'!H1073,"NULL")</f>
        <v>NULL</v>
      </c>
      <c r="F1073" t="str">
        <f>IF('Boletins Nuppa Site'!I1073&lt;&gt;0,'Boletins Nuppa Site'!I1073,"NULL")</f>
        <v>NULL</v>
      </c>
      <c r="G1073" t="str">
        <f>IF('Boletins Nuppa Site'!J1073&lt;&gt;0,'Boletins Nuppa Site'!J1073,"NULL")</f>
        <v>NULL</v>
      </c>
      <c r="H1073" t="str">
        <f>IF('Boletins Nuppa Site'!K1073&lt;&gt;0,'Boletins Nuppa Site'!K1073,"NULL")</f>
        <v>NULL</v>
      </c>
      <c r="I1073" t="str">
        <f t="shared" si="32"/>
        <v>INSERT INTO COTACAO (cot_id, cot_blt_id, cot_pap_id, cot_prc_comum, cot_prc_min, cot_prc_max, cot_prc_med, cot_prc_mediana) VALUES (1072, 64, 40, NULL, NULL, NULL, NULL, NULL);</v>
      </c>
      <c r="J1073" t="str">
        <f t="shared" si="33"/>
        <v>UPDATE COTACAO SET cot_id = 1072, cot_blt_id = 64, cot_pap_id = 40, cot_prc_comum = NULL, cot_prc_min = NULL, cot_prc_max = NULL, cot_prc_med = NULL, cot_prc_mediana = NULL WHERE cot_id = 1072;</v>
      </c>
    </row>
    <row r="1074" spans="1:10" x14ac:dyDescent="0.3">
      <c r="A1074">
        <v>1073</v>
      </c>
      <c r="B1074">
        <f>IF('Boletins Nuppa Site'!A1074&lt;&gt;0,'Boletins Nuppa Site'!A1074,"NULL")</f>
        <v>65</v>
      </c>
      <c r="C1074">
        <v>1</v>
      </c>
      <c r="D1074" s="14">
        <f>IF('Boletins Nuppa Site'!G1074&lt;&gt;0,'Boletins Nuppa Site'!G1074,"NULL")</f>
        <v>48</v>
      </c>
      <c r="E1074" s="14">
        <f>IF('Boletins Nuppa Site'!H1074&lt;&gt;0,'Boletins Nuppa Site'!H1074,"NULL")</f>
        <v>48</v>
      </c>
      <c r="F1074" s="14">
        <f>IF('Boletins Nuppa Site'!I1074&lt;&gt;0,'Boletins Nuppa Site'!I1074,"NULL")</f>
        <v>80</v>
      </c>
      <c r="G1074" s="14">
        <f>IF('Boletins Nuppa Site'!J1074&lt;&gt;0,'Boletins Nuppa Site'!J1074,"NULL")</f>
        <v>56</v>
      </c>
      <c r="H1074" s="14">
        <f>IF('Boletins Nuppa Site'!K1074&lt;&gt;0,'Boletins Nuppa Site'!K1074,"NULL")</f>
        <v>48</v>
      </c>
      <c r="I1074" t="str">
        <f t="shared" si="32"/>
        <v>INSERT INTO COTACAO (cot_id, cot_blt_id, cot_pap_id, cot_prc_comum, cot_prc_min, cot_prc_max, cot_prc_med, cot_prc_mediana) VALUES (1073, 65, 1, 48, 48, 80, 56, 48);</v>
      </c>
      <c r="J1074" t="str">
        <f t="shared" si="33"/>
        <v>UPDATE COTACAO SET cot_id = 1073, cot_blt_id = 65, cot_pap_id = 1, cot_prc_comum = 48, cot_prc_min = 48, cot_prc_max = 80, cot_prc_med = 56, cot_prc_mediana = 48 WHERE cot_id = 1073;</v>
      </c>
    </row>
    <row r="1075" spans="1:10" x14ac:dyDescent="0.3">
      <c r="A1075">
        <v>1074</v>
      </c>
      <c r="B1075">
        <f>IF('Boletins Nuppa Site'!A1075&lt;&gt;0,'Boletins Nuppa Site'!A1075,"NULL")</f>
        <v>65</v>
      </c>
      <c r="C1075">
        <v>2</v>
      </c>
      <c r="D1075" s="14">
        <f>IF('Boletins Nuppa Site'!G1075&lt;&gt;0,'Boletins Nuppa Site'!G1075,"NULL")</f>
        <v>72</v>
      </c>
      <c r="E1075" s="14">
        <f>IF('Boletins Nuppa Site'!H1075&lt;&gt;0,'Boletins Nuppa Site'!H1075,"NULL")</f>
        <v>72</v>
      </c>
      <c r="F1075" s="14">
        <f>IF('Boletins Nuppa Site'!I1075&lt;&gt;0,'Boletins Nuppa Site'!I1075,"NULL")</f>
        <v>84</v>
      </c>
      <c r="G1075" s="14">
        <f>IF('Boletins Nuppa Site'!J1075&lt;&gt;0,'Boletins Nuppa Site'!J1075,"NULL")</f>
        <v>77</v>
      </c>
      <c r="H1075" s="14">
        <f>IF('Boletins Nuppa Site'!K1075&lt;&gt;0,'Boletins Nuppa Site'!K1075,"NULL")</f>
        <v>76</v>
      </c>
      <c r="I1075" t="str">
        <f t="shared" si="32"/>
        <v>INSERT INTO COTACAO (cot_id, cot_blt_id, cot_pap_id, cot_prc_comum, cot_prc_min, cot_prc_max, cot_prc_med, cot_prc_mediana) VALUES (1074, 65, 2, 72, 72, 84, 77, 76);</v>
      </c>
      <c r="J1075" t="str">
        <f t="shared" si="33"/>
        <v>UPDATE COTACAO SET cot_id = 1074, cot_blt_id = 65, cot_pap_id = 2, cot_prc_comum = 72, cot_prc_min = 72, cot_prc_max = 84, cot_prc_med = 77, cot_prc_mediana = 76 WHERE cot_id = 1074;</v>
      </c>
    </row>
    <row r="1076" spans="1:10" x14ac:dyDescent="0.3">
      <c r="A1076">
        <v>1075</v>
      </c>
      <c r="B1076">
        <f>IF('Boletins Nuppa Site'!A1076&lt;&gt;0,'Boletins Nuppa Site'!A1076,"NULL")</f>
        <v>65</v>
      </c>
      <c r="C1076">
        <v>3</v>
      </c>
      <c r="D1076" s="14">
        <f>IF('Boletins Nuppa Site'!G1076&lt;&gt;0,'Boletins Nuppa Site'!G1076,"NULL")</f>
        <v>36</v>
      </c>
      <c r="E1076" s="14">
        <f>IF('Boletins Nuppa Site'!H1076&lt;&gt;0,'Boletins Nuppa Site'!H1076,"NULL")</f>
        <v>30</v>
      </c>
      <c r="F1076" s="14">
        <f>IF('Boletins Nuppa Site'!I1076&lt;&gt;0,'Boletins Nuppa Site'!I1076,"NULL")</f>
        <v>142</v>
      </c>
      <c r="G1076" t="str">
        <f>IF('Boletins Nuppa Site'!J1076&lt;&gt;0,'Boletins Nuppa Site'!J1076,"NULL")</f>
        <v>55.8</v>
      </c>
      <c r="H1076" s="14">
        <f>IF('Boletins Nuppa Site'!K1076&lt;&gt;0,'Boletins Nuppa Site'!K1076,"NULL")</f>
        <v>36</v>
      </c>
      <c r="I1076" t="str">
        <f t="shared" si="32"/>
        <v>INSERT INTO COTACAO (cot_id, cot_blt_id, cot_pap_id, cot_prc_comum, cot_prc_min, cot_prc_max, cot_prc_med, cot_prc_mediana) VALUES (1075, 65, 3, 36, 30, 142, 55.8, 36);</v>
      </c>
      <c r="J1076" t="str">
        <f t="shared" si="33"/>
        <v>UPDATE COTACAO SET cot_id = 1075, cot_blt_id = 65, cot_pap_id = 3, cot_prc_comum = 36, cot_prc_min = 30, cot_prc_max = 142, cot_prc_med = 55.8, cot_prc_mediana = 36 WHERE cot_id = 1075;</v>
      </c>
    </row>
    <row r="1077" spans="1:10" x14ac:dyDescent="0.3">
      <c r="A1077">
        <v>1076</v>
      </c>
      <c r="B1077">
        <f>IF('Boletins Nuppa Site'!A1077&lt;&gt;0,'Boletins Nuppa Site'!A1077,"NULL")</f>
        <v>65</v>
      </c>
      <c r="C1077">
        <v>4</v>
      </c>
      <c r="D1077" s="14">
        <f>IF('Boletins Nuppa Site'!G1077&lt;&gt;0,'Boletins Nuppa Site'!G1077,"NULL")</f>
        <v>24</v>
      </c>
      <c r="E1077" s="14">
        <f>IF('Boletins Nuppa Site'!H1077&lt;&gt;0,'Boletins Nuppa Site'!H1077,"NULL")</f>
        <v>18</v>
      </c>
      <c r="F1077" s="14">
        <f>IF('Boletins Nuppa Site'!I1077&lt;&gt;0,'Boletins Nuppa Site'!I1077,"NULL")</f>
        <v>36</v>
      </c>
      <c r="G1077" t="str">
        <f>IF('Boletins Nuppa Site'!J1077&lt;&gt;0,'Boletins Nuppa Site'!J1077,"NULL")</f>
        <v>25.2</v>
      </c>
      <c r="H1077" s="14">
        <f>IF('Boletins Nuppa Site'!K1077&lt;&gt;0,'Boletins Nuppa Site'!K1077,"NULL")</f>
        <v>24</v>
      </c>
      <c r="I1077" t="str">
        <f t="shared" si="32"/>
        <v>INSERT INTO COTACAO (cot_id, cot_blt_id, cot_pap_id, cot_prc_comum, cot_prc_min, cot_prc_max, cot_prc_med, cot_prc_mediana) VALUES (1076, 65, 4, 24, 18, 36, 25.2, 24);</v>
      </c>
      <c r="J1077" t="str">
        <f t="shared" si="33"/>
        <v>UPDATE COTACAO SET cot_id = 1076, cot_blt_id = 65, cot_pap_id = 4, cot_prc_comum = 24, cot_prc_min = 18, cot_prc_max = 36, cot_prc_med = 25.2, cot_prc_mediana = 24 WHERE cot_id = 1076;</v>
      </c>
    </row>
    <row r="1078" spans="1:10" x14ac:dyDescent="0.3">
      <c r="A1078">
        <v>1077</v>
      </c>
      <c r="B1078">
        <f>IF('Boletins Nuppa Site'!A1078&lt;&gt;0,'Boletins Nuppa Site'!A1078,"NULL")</f>
        <v>65</v>
      </c>
      <c r="C1078">
        <v>5</v>
      </c>
      <c r="D1078" s="14">
        <f>IF('Boletins Nuppa Site'!G1078&lt;&gt;0,'Boletins Nuppa Site'!G1078,"NULL")</f>
        <v>24</v>
      </c>
      <c r="E1078" s="14">
        <f>IF('Boletins Nuppa Site'!H1078&lt;&gt;0,'Boletins Nuppa Site'!H1078,"NULL")</f>
        <v>18</v>
      </c>
      <c r="F1078" s="14">
        <f>IF('Boletins Nuppa Site'!I1078&lt;&gt;0,'Boletins Nuppa Site'!I1078,"NULL")</f>
        <v>24</v>
      </c>
      <c r="G1078" t="str">
        <f>IF('Boletins Nuppa Site'!J1078&lt;&gt;0,'Boletins Nuppa Site'!J1078,"NULL")</f>
        <v>22.8</v>
      </c>
      <c r="H1078" s="14">
        <f>IF('Boletins Nuppa Site'!K1078&lt;&gt;0,'Boletins Nuppa Site'!K1078,"NULL")</f>
        <v>24</v>
      </c>
      <c r="I1078" t="str">
        <f t="shared" si="32"/>
        <v>INSERT INTO COTACAO (cot_id, cot_blt_id, cot_pap_id, cot_prc_comum, cot_prc_min, cot_prc_max, cot_prc_med, cot_prc_mediana) VALUES (1077, 65, 5, 24, 18, 24, 22.8, 24);</v>
      </c>
      <c r="J1078" t="str">
        <f t="shared" si="33"/>
        <v>UPDATE COTACAO SET cot_id = 1077, cot_blt_id = 65, cot_pap_id = 5, cot_prc_comum = 24, cot_prc_min = 18, cot_prc_max = 24, cot_prc_med = 22.8, cot_prc_mediana = 24 WHERE cot_id = 1077;</v>
      </c>
    </row>
    <row r="1079" spans="1:10" x14ac:dyDescent="0.3">
      <c r="A1079">
        <v>1078</v>
      </c>
      <c r="B1079">
        <f>IF('Boletins Nuppa Site'!A1079&lt;&gt;0,'Boletins Nuppa Site'!A1079,"NULL")</f>
        <v>65</v>
      </c>
      <c r="C1079">
        <v>6</v>
      </c>
      <c r="D1079" s="14">
        <f>IF('Boletins Nuppa Site'!G1079&lt;&gt;0,'Boletins Nuppa Site'!G1079,"NULL")</f>
        <v>60</v>
      </c>
      <c r="E1079" s="14">
        <f>IF('Boletins Nuppa Site'!H1079&lt;&gt;0,'Boletins Nuppa Site'!H1079,"NULL")</f>
        <v>60</v>
      </c>
      <c r="F1079" s="14">
        <f>IF('Boletins Nuppa Site'!I1079&lt;&gt;0,'Boletins Nuppa Site'!I1079,"NULL")</f>
        <v>60</v>
      </c>
      <c r="G1079" s="14">
        <f>IF('Boletins Nuppa Site'!J1079&lt;&gt;0,'Boletins Nuppa Site'!J1079,"NULL")</f>
        <v>60</v>
      </c>
      <c r="H1079" s="14">
        <f>IF('Boletins Nuppa Site'!K1079&lt;&gt;0,'Boletins Nuppa Site'!K1079,"NULL")</f>
        <v>60</v>
      </c>
      <c r="I1079" t="str">
        <f t="shared" si="32"/>
        <v>INSERT INTO COTACAO (cot_id, cot_blt_id, cot_pap_id, cot_prc_comum, cot_prc_min, cot_prc_max, cot_prc_med, cot_prc_mediana) VALUES (1078, 65, 6, 60, 60, 60, 60, 60);</v>
      </c>
      <c r="J1079" t="str">
        <f t="shared" si="33"/>
        <v>UPDATE COTACAO SET cot_id = 1078, cot_blt_id = 65, cot_pap_id = 6, cot_prc_comum = 60, cot_prc_min = 60, cot_prc_max = 60, cot_prc_med = 60, cot_prc_mediana = 60 WHERE cot_id = 1078;</v>
      </c>
    </row>
    <row r="1080" spans="1:10" x14ac:dyDescent="0.3">
      <c r="A1080">
        <v>1079</v>
      </c>
      <c r="B1080">
        <f>IF('Boletins Nuppa Site'!A1080&lt;&gt;0,'Boletins Nuppa Site'!A1080,"NULL")</f>
        <v>65</v>
      </c>
      <c r="C1080">
        <v>7</v>
      </c>
      <c r="D1080" s="14">
        <f>IF('Boletins Nuppa Site'!G1080&lt;&gt;0,'Boletins Nuppa Site'!G1080,"NULL")</f>
        <v>72</v>
      </c>
      <c r="E1080" s="14">
        <f>IF('Boletins Nuppa Site'!H1080&lt;&gt;0,'Boletins Nuppa Site'!H1080,"NULL")</f>
        <v>60</v>
      </c>
      <c r="F1080" s="14">
        <f>IF('Boletins Nuppa Site'!I1080&lt;&gt;0,'Boletins Nuppa Site'!I1080,"NULL")</f>
        <v>84</v>
      </c>
      <c r="G1080" s="14">
        <f>IF('Boletins Nuppa Site'!J1080&lt;&gt;0,'Boletins Nuppa Site'!J1080,"NULL")</f>
        <v>72</v>
      </c>
      <c r="H1080" s="14">
        <f>IF('Boletins Nuppa Site'!K1080&lt;&gt;0,'Boletins Nuppa Site'!K1080,"NULL")</f>
        <v>72</v>
      </c>
      <c r="I1080" t="str">
        <f t="shared" si="32"/>
        <v>INSERT INTO COTACAO (cot_id, cot_blt_id, cot_pap_id, cot_prc_comum, cot_prc_min, cot_prc_max, cot_prc_med, cot_prc_mediana) VALUES (1079, 65, 7, 72, 60, 84, 72, 72);</v>
      </c>
      <c r="J1080" t="str">
        <f t="shared" si="33"/>
        <v>UPDATE COTACAO SET cot_id = 1079, cot_blt_id = 65, cot_pap_id = 7, cot_prc_comum = 72, cot_prc_min = 60, cot_prc_max = 84, cot_prc_med = 72, cot_prc_mediana = 72 WHERE cot_id = 1079;</v>
      </c>
    </row>
    <row r="1081" spans="1:10" x14ac:dyDescent="0.3">
      <c r="A1081">
        <v>1080</v>
      </c>
      <c r="B1081">
        <f>IF('Boletins Nuppa Site'!A1081&lt;&gt;0,'Boletins Nuppa Site'!A1081,"NULL")</f>
        <v>65</v>
      </c>
      <c r="C1081">
        <v>8</v>
      </c>
      <c r="D1081" s="14">
        <f>IF('Boletins Nuppa Site'!G1081&lt;&gt;0,'Boletins Nuppa Site'!G1081,"NULL")</f>
        <v>84</v>
      </c>
      <c r="E1081" s="14">
        <f>IF('Boletins Nuppa Site'!H1081&lt;&gt;0,'Boletins Nuppa Site'!H1081,"NULL")</f>
        <v>60</v>
      </c>
      <c r="F1081" s="14">
        <f>IF('Boletins Nuppa Site'!I1081&lt;&gt;0,'Boletins Nuppa Site'!I1081,"NULL")</f>
        <v>84</v>
      </c>
      <c r="G1081" t="str">
        <f>IF('Boletins Nuppa Site'!J1081&lt;&gt;0,'Boletins Nuppa Site'!J1081,"NULL")</f>
        <v>74.4</v>
      </c>
      <c r="H1081" s="14">
        <f>IF('Boletins Nuppa Site'!K1081&lt;&gt;0,'Boletins Nuppa Site'!K1081,"NULL")</f>
        <v>72</v>
      </c>
      <c r="I1081" t="str">
        <f t="shared" si="32"/>
        <v>INSERT INTO COTACAO (cot_id, cot_blt_id, cot_pap_id, cot_prc_comum, cot_prc_min, cot_prc_max, cot_prc_med, cot_prc_mediana) VALUES (1080, 65, 8, 84, 60, 84, 74.4, 72);</v>
      </c>
      <c r="J1081" t="str">
        <f t="shared" si="33"/>
        <v>UPDATE COTACAO SET cot_id = 1080, cot_blt_id = 65, cot_pap_id = 8, cot_prc_comum = 84, cot_prc_min = 60, cot_prc_max = 84, cot_prc_med = 74.4, cot_prc_mediana = 72 WHERE cot_id = 1080;</v>
      </c>
    </row>
    <row r="1082" spans="1:10" x14ac:dyDescent="0.3">
      <c r="A1082">
        <v>1081</v>
      </c>
      <c r="B1082">
        <f>IF('Boletins Nuppa Site'!A1082&lt;&gt;0,'Boletins Nuppa Site'!A1082,"NULL")</f>
        <v>65</v>
      </c>
      <c r="C1082">
        <v>9</v>
      </c>
      <c r="D1082" s="14">
        <f>IF('Boletins Nuppa Site'!G1082&lt;&gt;0,'Boletins Nuppa Site'!G1082,"NULL")</f>
        <v>24</v>
      </c>
      <c r="E1082" s="14">
        <f>IF('Boletins Nuppa Site'!H1082&lt;&gt;0,'Boletins Nuppa Site'!H1082,"NULL")</f>
        <v>18</v>
      </c>
      <c r="F1082" s="14">
        <f>IF('Boletins Nuppa Site'!I1082&lt;&gt;0,'Boletins Nuppa Site'!I1082,"NULL")</f>
        <v>25</v>
      </c>
      <c r="G1082" t="str">
        <f>IF('Boletins Nuppa Site'!J1082&lt;&gt;0,'Boletins Nuppa Site'!J1082,"NULL")</f>
        <v>21.8</v>
      </c>
      <c r="H1082" s="14">
        <f>IF('Boletins Nuppa Site'!K1082&lt;&gt;0,'Boletins Nuppa Site'!K1082,"NULL")</f>
        <v>24</v>
      </c>
      <c r="I1082" t="str">
        <f t="shared" si="32"/>
        <v>INSERT INTO COTACAO (cot_id, cot_blt_id, cot_pap_id, cot_prc_comum, cot_prc_min, cot_prc_max, cot_prc_med, cot_prc_mediana) VALUES (1081, 65, 9, 24, 18, 25, 21.8, 24);</v>
      </c>
      <c r="J1082" t="str">
        <f t="shared" si="33"/>
        <v>UPDATE COTACAO SET cot_id = 1081, cot_blt_id = 65, cot_pap_id = 9, cot_prc_comum = 24, cot_prc_min = 18, cot_prc_max = 25, cot_prc_med = 21.8, cot_prc_mediana = 24 WHERE cot_id = 1081;</v>
      </c>
    </row>
    <row r="1083" spans="1:10" x14ac:dyDescent="0.3">
      <c r="A1083">
        <v>1082</v>
      </c>
      <c r="B1083">
        <f>IF('Boletins Nuppa Site'!A1083&lt;&gt;0,'Boletins Nuppa Site'!A1083,"NULL")</f>
        <v>65</v>
      </c>
      <c r="C1083">
        <v>10</v>
      </c>
      <c r="D1083" s="14">
        <f>IF('Boletins Nuppa Site'!G1083&lt;&gt;0,'Boletins Nuppa Site'!G1083,"NULL")</f>
        <v>72</v>
      </c>
      <c r="E1083" s="14">
        <f>IF('Boletins Nuppa Site'!H1083&lt;&gt;0,'Boletins Nuppa Site'!H1083,"NULL")</f>
        <v>72</v>
      </c>
      <c r="F1083" s="14">
        <f>IF('Boletins Nuppa Site'!I1083&lt;&gt;0,'Boletins Nuppa Site'!I1083,"NULL")</f>
        <v>84</v>
      </c>
      <c r="G1083" s="14">
        <f>IF('Boletins Nuppa Site'!J1083&lt;&gt;0,'Boletins Nuppa Site'!J1083,"NULL")</f>
        <v>75</v>
      </c>
      <c r="H1083" s="14">
        <f>IF('Boletins Nuppa Site'!K1083&lt;&gt;0,'Boletins Nuppa Site'!K1083,"NULL")</f>
        <v>72</v>
      </c>
      <c r="I1083" t="str">
        <f t="shared" si="32"/>
        <v>INSERT INTO COTACAO (cot_id, cot_blt_id, cot_pap_id, cot_prc_comum, cot_prc_min, cot_prc_max, cot_prc_med, cot_prc_mediana) VALUES (1082, 65, 10, 72, 72, 84, 75, 72);</v>
      </c>
      <c r="J1083" t="str">
        <f t="shared" si="33"/>
        <v>UPDATE COTACAO SET cot_id = 1082, cot_blt_id = 65, cot_pap_id = 10, cot_prc_comum = 72, cot_prc_min = 72, cot_prc_max = 84, cot_prc_med = 75, cot_prc_mediana = 72 WHERE cot_id = 1082;</v>
      </c>
    </row>
    <row r="1084" spans="1:10" x14ac:dyDescent="0.3">
      <c r="A1084">
        <v>1083</v>
      </c>
      <c r="B1084">
        <f>IF('Boletins Nuppa Site'!A1084&lt;&gt;0,'Boletins Nuppa Site'!A1084,"NULL")</f>
        <v>65</v>
      </c>
      <c r="C1084">
        <v>11</v>
      </c>
      <c r="D1084" s="14">
        <f>IF('Boletins Nuppa Site'!G1084&lt;&gt;0,'Boletins Nuppa Site'!G1084,"NULL")</f>
        <v>24</v>
      </c>
      <c r="E1084" s="14">
        <f>IF('Boletins Nuppa Site'!H1084&lt;&gt;0,'Boletins Nuppa Site'!H1084,"NULL")</f>
        <v>18</v>
      </c>
      <c r="F1084" s="14">
        <f>IF('Boletins Nuppa Site'!I1084&lt;&gt;0,'Boletins Nuppa Site'!I1084,"NULL")</f>
        <v>24</v>
      </c>
      <c r="G1084" t="str">
        <f>IF('Boletins Nuppa Site'!J1084&lt;&gt;0,'Boletins Nuppa Site'!J1084,"NULL")</f>
        <v>22.8</v>
      </c>
      <c r="H1084" s="14">
        <f>IF('Boletins Nuppa Site'!K1084&lt;&gt;0,'Boletins Nuppa Site'!K1084,"NULL")</f>
        <v>24</v>
      </c>
      <c r="I1084" t="str">
        <f t="shared" si="32"/>
        <v>INSERT INTO COTACAO (cot_id, cot_blt_id, cot_pap_id, cot_prc_comum, cot_prc_min, cot_prc_max, cot_prc_med, cot_prc_mediana) VALUES (1083, 65, 11, 24, 18, 24, 22.8, 24);</v>
      </c>
      <c r="J1084" t="str">
        <f t="shared" si="33"/>
        <v>UPDATE COTACAO SET cot_id = 1083, cot_blt_id = 65, cot_pap_id = 11, cot_prc_comum = 24, cot_prc_min = 18, cot_prc_max = 24, cot_prc_med = 22.8, cot_prc_mediana = 24 WHERE cot_id = 1083;</v>
      </c>
    </row>
    <row r="1085" spans="1:10" x14ac:dyDescent="0.3">
      <c r="A1085">
        <v>1084</v>
      </c>
      <c r="B1085">
        <f>IF('Boletins Nuppa Site'!A1085&lt;&gt;0,'Boletins Nuppa Site'!A1085,"NULL")</f>
        <v>65</v>
      </c>
      <c r="C1085">
        <v>12</v>
      </c>
      <c r="D1085" s="14">
        <f>IF('Boletins Nuppa Site'!G1085&lt;&gt;0,'Boletins Nuppa Site'!G1085,"NULL")</f>
        <v>60</v>
      </c>
      <c r="E1085" s="14">
        <f>IF('Boletins Nuppa Site'!H1085&lt;&gt;0,'Boletins Nuppa Site'!H1085,"NULL")</f>
        <v>60</v>
      </c>
      <c r="F1085" s="14">
        <f>IF('Boletins Nuppa Site'!I1085&lt;&gt;0,'Boletins Nuppa Site'!I1085,"NULL")</f>
        <v>72</v>
      </c>
      <c r="G1085" s="14">
        <f>IF('Boletins Nuppa Site'!J1085&lt;&gt;0,'Boletins Nuppa Site'!J1085,"NULL")</f>
        <v>63</v>
      </c>
      <c r="H1085" s="14">
        <f>IF('Boletins Nuppa Site'!K1085&lt;&gt;0,'Boletins Nuppa Site'!K1085,"NULL")</f>
        <v>60</v>
      </c>
      <c r="I1085" t="str">
        <f t="shared" si="32"/>
        <v>INSERT INTO COTACAO (cot_id, cot_blt_id, cot_pap_id, cot_prc_comum, cot_prc_min, cot_prc_max, cot_prc_med, cot_prc_mediana) VALUES (1084, 65, 12, 60, 60, 72, 63, 60);</v>
      </c>
      <c r="J1085" t="str">
        <f t="shared" si="33"/>
        <v>UPDATE COTACAO SET cot_id = 1084, cot_blt_id = 65, cot_pap_id = 12, cot_prc_comum = 60, cot_prc_min = 60, cot_prc_max = 72, cot_prc_med = 63, cot_prc_mediana = 60 WHERE cot_id = 1084;</v>
      </c>
    </row>
    <row r="1086" spans="1:10" x14ac:dyDescent="0.3">
      <c r="A1086">
        <v>1085</v>
      </c>
      <c r="B1086">
        <f>IF('Boletins Nuppa Site'!A1086&lt;&gt;0,'Boletins Nuppa Site'!A1086,"NULL")</f>
        <v>65</v>
      </c>
      <c r="C1086">
        <v>13</v>
      </c>
      <c r="D1086" s="14">
        <f>IF('Boletins Nuppa Site'!G1086&lt;&gt;0,'Boletins Nuppa Site'!G1086,"NULL")</f>
        <v>60</v>
      </c>
      <c r="E1086" s="14">
        <f>IF('Boletins Nuppa Site'!H1086&lt;&gt;0,'Boletins Nuppa Site'!H1086,"NULL")</f>
        <v>48</v>
      </c>
      <c r="F1086" s="14">
        <f>IF('Boletins Nuppa Site'!I1086&lt;&gt;0,'Boletins Nuppa Site'!I1086,"NULL")</f>
        <v>60</v>
      </c>
      <c r="G1086" t="str">
        <f>IF('Boletins Nuppa Site'!J1086&lt;&gt;0,'Boletins Nuppa Site'!J1086,"NULL")</f>
        <v>55.2</v>
      </c>
      <c r="H1086" s="14">
        <f>IF('Boletins Nuppa Site'!K1086&lt;&gt;0,'Boletins Nuppa Site'!K1086,"NULL")</f>
        <v>60</v>
      </c>
      <c r="I1086" t="str">
        <f t="shared" si="32"/>
        <v>INSERT INTO COTACAO (cot_id, cot_blt_id, cot_pap_id, cot_prc_comum, cot_prc_min, cot_prc_max, cot_prc_med, cot_prc_mediana) VALUES (1085, 65, 13, 60, 48, 60, 55.2, 60);</v>
      </c>
      <c r="J1086" t="str">
        <f t="shared" si="33"/>
        <v>UPDATE COTACAO SET cot_id = 1085, cot_blt_id = 65, cot_pap_id = 13, cot_prc_comum = 60, cot_prc_min = 48, cot_prc_max = 60, cot_prc_med = 55.2, cot_prc_mediana = 60 WHERE cot_id = 1085;</v>
      </c>
    </row>
    <row r="1087" spans="1:10" x14ac:dyDescent="0.3">
      <c r="A1087">
        <v>1086</v>
      </c>
      <c r="B1087">
        <f>IF('Boletins Nuppa Site'!A1087&lt;&gt;0,'Boletins Nuppa Site'!A1087,"NULL")</f>
        <v>65</v>
      </c>
      <c r="C1087">
        <v>14</v>
      </c>
      <c r="D1087" s="14">
        <f>IF('Boletins Nuppa Site'!G1087&lt;&gt;0,'Boletins Nuppa Site'!G1087,"NULL")</f>
        <v>48</v>
      </c>
      <c r="E1087" s="14">
        <f>IF('Boletins Nuppa Site'!H1087&lt;&gt;0,'Boletins Nuppa Site'!H1087,"NULL")</f>
        <v>45</v>
      </c>
      <c r="F1087" s="14">
        <f>IF('Boletins Nuppa Site'!I1087&lt;&gt;0,'Boletins Nuppa Site'!I1087,"NULL")</f>
        <v>72</v>
      </c>
      <c r="G1087" t="str">
        <f>IF('Boletins Nuppa Site'!J1087&lt;&gt;0,'Boletins Nuppa Site'!J1087,"NULL")</f>
        <v>53.25</v>
      </c>
      <c r="H1087" s="14">
        <f>IF('Boletins Nuppa Site'!K1087&lt;&gt;0,'Boletins Nuppa Site'!K1087,"NULL")</f>
        <v>48</v>
      </c>
      <c r="I1087" t="str">
        <f t="shared" si="32"/>
        <v>INSERT INTO COTACAO (cot_id, cot_blt_id, cot_pap_id, cot_prc_comum, cot_prc_min, cot_prc_max, cot_prc_med, cot_prc_mediana) VALUES (1086, 65, 14, 48, 45, 72, 53.25, 48);</v>
      </c>
      <c r="J1087" t="str">
        <f t="shared" si="33"/>
        <v>UPDATE COTACAO SET cot_id = 1086, cot_blt_id = 65, cot_pap_id = 14, cot_prc_comum = 48, cot_prc_min = 45, cot_prc_max = 72, cot_prc_med = 53.25, cot_prc_mediana = 48 WHERE cot_id = 1086;</v>
      </c>
    </row>
    <row r="1088" spans="1:10" x14ac:dyDescent="0.3">
      <c r="A1088">
        <v>1087</v>
      </c>
      <c r="B1088">
        <f>IF('Boletins Nuppa Site'!A1088&lt;&gt;0,'Boletins Nuppa Site'!A1088,"NULL")</f>
        <v>65</v>
      </c>
      <c r="C1088">
        <v>15</v>
      </c>
      <c r="D1088" s="14">
        <f>IF('Boletins Nuppa Site'!G1088&lt;&gt;0,'Boletins Nuppa Site'!G1088,"NULL")</f>
        <v>40</v>
      </c>
      <c r="E1088" s="14">
        <f>IF('Boletins Nuppa Site'!H1088&lt;&gt;0,'Boletins Nuppa Site'!H1088,"NULL")</f>
        <v>36</v>
      </c>
      <c r="F1088" s="14">
        <f>IF('Boletins Nuppa Site'!I1088&lt;&gt;0,'Boletins Nuppa Site'!I1088,"NULL")</f>
        <v>42</v>
      </c>
      <c r="G1088" t="str">
        <f>IF('Boletins Nuppa Site'!J1088&lt;&gt;0,'Boletins Nuppa Site'!J1088,"NULL")</f>
        <v>38.8</v>
      </c>
      <c r="H1088" s="14">
        <f>IF('Boletins Nuppa Site'!K1088&lt;&gt;0,'Boletins Nuppa Site'!K1088,"NULL")</f>
        <v>40</v>
      </c>
      <c r="I1088" t="str">
        <f t="shared" si="32"/>
        <v>INSERT INTO COTACAO (cot_id, cot_blt_id, cot_pap_id, cot_prc_comum, cot_prc_min, cot_prc_max, cot_prc_med, cot_prc_mediana) VALUES (1087, 65, 15, 40, 36, 42, 38.8, 40);</v>
      </c>
      <c r="J1088" t="str">
        <f t="shared" si="33"/>
        <v>UPDATE COTACAO SET cot_id = 1087, cot_blt_id = 65, cot_pap_id = 15, cot_prc_comum = 40, cot_prc_min = 36, cot_prc_max = 42, cot_prc_med = 38.8, cot_prc_mediana = 40 WHERE cot_id = 1087;</v>
      </c>
    </row>
    <row r="1089" spans="1:10" x14ac:dyDescent="0.3">
      <c r="A1089">
        <v>1088</v>
      </c>
      <c r="B1089">
        <f>IF('Boletins Nuppa Site'!A1089&lt;&gt;0,'Boletins Nuppa Site'!A1089,"NULL")</f>
        <v>65</v>
      </c>
      <c r="C1089">
        <v>16</v>
      </c>
      <c r="D1089" s="14">
        <f>IF('Boletins Nuppa Site'!G1089&lt;&gt;0,'Boletins Nuppa Site'!G1089,"NULL")</f>
        <v>48</v>
      </c>
      <c r="E1089" s="14">
        <f>IF('Boletins Nuppa Site'!H1089&lt;&gt;0,'Boletins Nuppa Site'!H1089,"NULL")</f>
        <v>48</v>
      </c>
      <c r="F1089" s="14">
        <f>IF('Boletins Nuppa Site'!I1089&lt;&gt;0,'Boletins Nuppa Site'!I1089,"NULL")</f>
        <v>54</v>
      </c>
      <c r="G1089" t="str">
        <f>IF('Boletins Nuppa Site'!J1089&lt;&gt;0,'Boletins Nuppa Site'!J1089,"NULL")</f>
        <v>49.2</v>
      </c>
      <c r="H1089" s="14">
        <f>IF('Boletins Nuppa Site'!K1089&lt;&gt;0,'Boletins Nuppa Site'!K1089,"NULL")</f>
        <v>48</v>
      </c>
      <c r="I1089" t="str">
        <f t="shared" si="32"/>
        <v>INSERT INTO COTACAO (cot_id, cot_blt_id, cot_pap_id, cot_prc_comum, cot_prc_min, cot_prc_max, cot_prc_med, cot_prc_mediana) VALUES (1088, 65, 16, 48, 48, 54, 49.2, 48);</v>
      </c>
      <c r="J1089" t="str">
        <f t="shared" si="33"/>
        <v>UPDATE COTACAO SET cot_id = 1088, cot_blt_id = 65, cot_pap_id = 16, cot_prc_comum = 48, cot_prc_min = 48, cot_prc_max = 54, cot_prc_med = 49.2, cot_prc_mediana = 48 WHERE cot_id = 1088;</v>
      </c>
    </row>
    <row r="1090" spans="1:10" x14ac:dyDescent="0.3">
      <c r="A1090">
        <v>1089</v>
      </c>
      <c r="B1090">
        <f>IF('Boletins Nuppa Site'!A1090&lt;&gt;0,'Boletins Nuppa Site'!A1090,"NULL")</f>
        <v>65</v>
      </c>
      <c r="C1090">
        <v>17</v>
      </c>
      <c r="D1090" s="14">
        <f>IF('Boletins Nuppa Site'!G1090&lt;&gt;0,'Boletins Nuppa Site'!G1090,"NULL")</f>
        <v>48</v>
      </c>
      <c r="E1090" s="14">
        <f>IF('Boletins Nuppa Site'!H1090&lt;&gt;0,'Boletins Nuppa Site'!H1090,"NULL")</f>
        <v>48</v>
      </c>
      <c r="F1090" s="14">
        <f>IF('Boletins Nuppa Site'!I1090&lt;&gt;0,'Boletins Nuppa Site'!I1090,"NULL")</f>
        <v>80</v>
      </c>
      <c r="G1090" s="14">
        <f>IF('Boletins Nuppa Site'!J1090&lt;&gt;0,'Boletins Nuppa Site'!J1090,"NULL")</f>
        <v>56</v>
      </c>
      <c r="H1090" s="14">
        <f>IF('Boletins Nuppa Site'!K1090&lt;&gt;0,'Boletins Nuppa Site'!K1090,"NULL")</f>
        <v>48</v>
      </c>
      <c r="I1090" t="str">
        <f t="shared" si="32"/>
        <v>INSERT INTO COTACAO (cot_id, cot_blt_id, cot_pap_id, cot_prc_comum, cot_prc_min, cot_prc_max, cot_prc_med, cot_prc_mediana) VALUES (1089, 65, 17, 48, 48, 80, 56, 48);</v>
      </c>
      <c r="J1090" t="str">
        <f t="shared" si="33"/>
        <v>UPDATE COTACAO SET cot_id = 1089, cot_blt_id = 65, cot_pap_id = 17, cot_prc_comum = 48, cot_prc_min = 48, cot_prc_max = 80, cot_prc_med = 56, cot_prc_mediana = 48 WHERE cot_id = 1089;</v>
      </c>
    </row>
    <row r="1091" spans="1:10" x14ac:dyDescent="0.3">
      <c r="A1091">
        <v>1090</v>
      </c>
      <c r="B1091">
        <f>IF('Boletins Nuppa Site'!A1091&lt;&gt;0,'Boletins Nuppa Site'!A1091,"NULL")</f>
        <v>65</v>
      </c>
      <c r="C1091">
        <v>18</v>
      </c>
      <c r="D1091" s="14">
        <f>IF('Boletins Nuppa Site'!G1091&lt;&gt;0,'Boletins Nuppa Site'!G1091,"NULL")</f>
        <v>72</v>
      </c>
      <c r="E1091" s="14">
        <f>IF('Boletins Nuppa Site'!H1091&lt;&gt;0,'Boletins Nuppa Site'!H1091,"NULL")</f>
        <v>72</v>
      </c>
      <c r="F1091" s="14">
        <f>IF('Boletins Nuppa Site'!I1091&lt;&gt;0,'Boletins Nuppa Site'!I1091,"NULL")</f>
        <v>84</v>
      </c>
      <c r="G1091" s="14">
        <f>IF('Boletins Nuppa Site'!J1091&lt;&gt;0,'Boletins Nuppa Site'!J1091,"NULL")</f>
        <v>77</v>
      </c>
      <c r="H1091" s="14">
        <f>IF('Boletins Nuppa Site'!K1091&lt;&gt;0,'Boletins Nuppa Site'!K1091,"NULL")</f>
        <v>76</v>
      </c>
      <c r="I1091" t="str">
        <f t="shared" ref="I1091:I1154" si="34">"INSERT INTO COTACAO (cot_id, cot_blt_id, cot_pap_id, cot_prc_comum, cot_prc_min, cot_prc_max, cot_prc_med, cot_prc_mediana) VALUES ("&amp;A1091&amp;", "&amp;B1091&amp;", "&amp;C1091&amp;", "&amp;D1091&amp;", "&amp;E1091&amp;", "&amp;F1091&amp;", "&amp;G1091&amp;", "&amp;H1091&amp;");"</f>
        <v>INSERT INTO COTACAO (cot_id, cot_blt_id, cot_pap_id, cot_prc_comum, cot_prc_min, cot_prc_max, cot_prc_med, cot_prc_mediana) VALUES (1090, 65, 18, 72, 72, 84, 77, 76);</v>
      </c>
      <c r="J1091" t="str">
        <f t="shared" ref="J1091:J1154" si="35">"UPDATE COTACAO SET cot_id = "&amp;A1091&amp;", cot_blt_id = "&amp;B1091&amp;", cot_pap_id = "&amp;C1091&amp;", cot_prc_comum = "&amp;D1091&amp;", cot_prc_min = "&amp;E1091&amp;", cot_prc_max = "&amp;F1091&amp;", cot_prc_med = "&amp;G1091&amp;", cot_prc_mediana = "&amp;H1091&amp;" WHERE cot_id = "&amp;A1091&amp;";"</f>
        <v>UPDATE COTACAO SET cot_id = 1090, cot_blt_id = 65, cot_pap_id = 18, cot_prc_comum = 72, cot_prc_min = 72, cot_prc_max = 84, cot_prc_med = 77, cot_prc_mediana = 76 WHERE cot_id = 1090;</v>
      </c>
    </row>
    <row r="1092" spans="1:10" x14ac:dyDescent="0.3">
      <c r="A1092">
        <v>1091</v>
      </c>
      <c r="B1092">
        <f>IF('Boletins Nuppa Site'!A1092&lt;&gt;0,'Boletins Nuppa Site'!A1092,"NULL")</f>
        <v>65</v>
      </c>
      <c r="C1092">
        <v>19</v>
      </c>
      <c r="D1092" s="14">
        <f>IF('Boletins Nuppa Site'!G1092&lt;&gt;0,'Boletins Nuppa Site'!G1092,"NULL")</f>
        <v>36</v>
      </c>
      <c r="E1092" s="14">
        <f>IF('Boletins Nuppa Site'!H1092&lt;&gt;0,'Boletins Nuppa Site'!H1092,"NULL")</f>
        <v>30</v>
      </c>
      <c r="F1092" s="14">
        <f>IF('Boletins Nuppa Site'!I1092&lt;&gt;0,'Boletins Nuppa Site'!I1092,"NULL")</f>
        <v>142</v>
      </c>
      <c r="G1092" t="str">
        <f>IF('Boletins Nuppa Site'!J1092&lt;&gt;0,'Boletins Nuppa Site'!J1092,"NULL")</f>
        <v>55.8</v>
      </c>
      <c r="H1092" s="14">
        <f>IF('Boletins Nuppa Site'!K1092&lt;&gt;0,'Boletins Nuppa Site'!K1092,"NULL")</f>
        <v>36</v>
      </c>
      <c r="I1092" t="str">
        <f t="shared" si="34"/>
        <v>INSERT INTO COTACAO (cot_id, cot_blt_id, cot_pap_id, cot_prc_comum, cot_prc_min, cot_prc_max, cot_prc_med, cot_prc_mediana) VALUES (1091, 65, 19, 36, 30, 142, 55.8, 36);</v>
      </c>
      <c r="J1092" t="str">
        <f t="shared" si="35"/>
        <v>UPDATE COTACAO SET cot_id = 1091, cot_blt_id = 65, cot_pap_id = 19, cot_prc_comum = 36, cot_prc_min = 30, cot_prc_max = 142, cot_prc_med = 55.8, cot_prc_mediana = 36 WHERE cot_id = 1091;</v>
      </c>
    </row>
    <row r="1093" spans="1:10" x14ac:dyDescent="0.3">
      <c r="A1093">
        <v>1092</v>
      </c>
      <c r="B1093">
        <f>IF('Boletins Nuppa Site'!A1093&lt;&gt;0,'Boletins Nuppa Site'!A1093,"NULL")</f>
        <v>65</v>
      </c>
      <c r="C1093">
        <v>20</v>
      </c>
      <c r="D1093" t="str">
        <f>IF('Boletins Nuppa Site'!G1093&lt;&gt;0,'Boletins Nuppa Site'!G1093,"NULL")</f>
        <v>NULL</v>
      </c>
      <c r="E1093" s="14">
        <f>IF('Boletins Nuppa Site'!H1093&lt;&gt;0,'Boletins Nuppa Site'!H1093,"NULL")</f>
        <v>70</v>
      </c>
      <c r="F1093" s="14">
        <f>IF('Boletins Nuppa Site'!I1093&lt;&gt;0,'Boletins Nuppa Site'!I1093,"NULL")</f>
        <v>70</v>
      </c>
      <c r="G1093" s="14">
        <f>IF('Boletins Nuppa Site'!J1093&lt;&gt;0,'Boletins Nuppa Site'!J1093,"NULL")</f>
        <v>70</v>
      </c>
      <c r="H1093" s="14">
        <f>IF('Boletins Nuppa Site'!K1093&lt;&gt;0,'Boletins Nuppa Site'!K1093,"NULL")</f>
        <v>70</v>
      </c>
      <c r="I1093" t="str">
        <f t="shared" si="34"/>
        <v>INSERT INTO COTACAO (cot_id, cot_blt_id, cot_pap_id, cot_prc_comum, cot_prc_min, cot_prc_max, cot_prc_med, cot_prc_mediana) VALUES (1092, 65, 20, NULL, 70, 70, 70, 70);</v>
      </c>
      <c r="J1093" t="str">
        <f t="shared" si="35"/>
        <v>UPDATE COTACAO SET cot_id = 1092, cot_blt_id = 65, cot_pap_id = 20, cot_prc_comum = NULL, cot_prc_min = 70, cot_prc_max = 70, cot_prc_med = 70, cot_prc_mediana = 70 WHERE cot_id = 1092;</v>
      </c>
    </row>
    <row r="1094" spans="1:10" x14ac:dyDescent="0.3">
      <c r="A1094">
        <v>1093</v>
      </c>
      <c r="B1094">
        <f>IF('Boletins Nuppa Site'!A1094&lt;&gt;0,'Boletins Nuppa Site'!A1094,"NULL")</f>
        <v>65</v>
      </c>
      <c r="C1094">
        <v>21</v>
      </c>
      <c r="D1094" s="14">
        <f>IF('Boletins Nuppa Site'!G1094&lt;&gt;0,'Boletins Nuppa Site'!G1094,"NULL")</f>
        <v>80</v>
      </c>
      <c r="E1094" s="14">
        <f>IF('Boletins Nuppa Site'!H1094&lt;&gt;0,'Boletins Nuppa Site'!H1094,"NULL")</f>
        <v>70</v>
      </c>
      <c r="F1094" s="14">
        <f>IF('Boletins Nuppa Site'!I1094&lt;&gt;0,'Boletins Nuppa Site'!I1094,"NULL")</f>
        <v>80</v>
      </c>
      <c r="G1094" s="14">
        <f>IF('Boletins Nuppa Site'!J1094&lt;&gt;0,'Boletins Nuppa Site'!J1094,"NULL")</f>
        <v>75</v>
      </c>
      <c r="H1094" s="14">
        <f>IF('Boletins Nuppa Site'!K1094&lt;&gt;0,'Boletins Nuppa Site'!K1094,"NULL")</f>
        <v>75</v>
      </c>
      <c r="I1094" t="str">
        <f t="shared" si="34"/>
        <v>INSERT INTO COTACAO (cot_id, cot_blt_id, cot_pap_id, cot_prc_comum, cot_prc_min, cot_prc_max, cot_prc_med, cot_prc_mediana) VALUES (1093, 65, 21, 80, 70, 80, 75, 75);</v>
      </c>
      <c r="J1094" t="str">
        <f t="shared" si="35"/>
        <v>UPDATE COTACAO SET cot_id = 1093, cot_blt_id = 65, cot_pap_id = 21, cot_prc_comum = 80, cot_prc_min = 70, cot_prc_max = 80, cot_prc_med = 75, cot_prc_mediana = 75 WHERE cot_id = 1093;</v>
      </c>
    </row>
    <row r="1095" spans="1:10" x14ac:dyDescent="0.3">
      <c r="A1095">
        <v>1094</v>
      </c>
      <c r="B1095">
        <f>IF('Boletins Nuppa Site'!A1095&lt;&gt;0,'Boletins Nuppa Site'!A1095,"NULL")</f>
        <v>65</v>
      </c>
      <c r="C1095">
        <v>22</v>
      </c>
      <c r="D1095" s="14">
        <f>IF('Boletins Nuppa Site'!G1095&lt;&gt;0,'Boletins Nuppa Site'!G1095,"NULL")</f>
        <v>70</v>
      </c>
      <c r="E1095" s="14">
        <f>IF('Boletins Nuppa Site'!H1095&lt;&gt;0,'Boletins Nuppa Site'!H1095,"NULL")</f>
        <v>30</v>
      </c>
      <c r="F1095" s="14">
        <f>IF('Boletins Nuppa Site'!I1095&lt;&gt;0,'Boletins Nuppa Site'!I1095,"NULL")</f>
        <v>70</v>
      </c>
      <c r="G1095" s="14">
        <f>IF('Boletins Nuppa Site'!J1095&lt;&gt;0,'Boletins Nuppa Site'!J1095,"NULL")</f>
        <v>53</v>
      </c>
      <c r="H1095" s="14">
        <f>IF('Boletins Nuppa Site'!K1095&lt;&gt;0,'Boletins Nuppa Site'!K1095,"NULL")</f>
        <v>50</v>
      </c>
      <c r="I1095" t="str">
        <f t="shared" si="34"/>
        <v>INSERT INTO COTACAO (cot_id, cot_blt_id, cot_pap_id, cot_prc_comum, cot_prc_min, cot_prc_max, cot_prc_med, cot_prc_mediana) VALUES (1094, 65, 22, 70, 30, 70, 53, 50);</v>
      </c>
      <c r="J1095" t="str">
        <f t="shared" si="35"/>
        <v>UPDATE COTACAO SET cot_id = 1094, cot_blt_id = 65, cot_pap_id = 22, cot_prc_comum = 70, cot_prc_min = 30, cot_prc_max = 70, cot_prc_med = 53, cot_prc_mediana = 50 WHERE cot_id = 1094;</v>
      </c>
    </row>
    <row r="1096" spans="1:10" x14ac:dyDescent="0.3">
      <c r="A1096">
        <v>1095</v>
      </c>
      <c r="B1096">
        <f>IF('Boletins Nuppa Site'!A1096&lt;&gt;0,'Boletins Nuppa Site'!A1096,"NULL")</f>
        <v>65</v>
      </c>
      <c r="C1096">
        <v>23</v>
      </c>
      <c r="D1096" s="14">
        <f>IF('Boletins Nuppa Site'!G1096&lt;&gt;0,'Boletins Nuppa Site'!G1096,"NULL")</f>
        <v>50</v>
      </c>
      <c r="E1096" s="14">
        <f>IF('Boletins Nuppa Site'!H1096&lt;&gt;0,'Boletins Nuppa Site'!H1096,"NULL")</f>
        <v>45</v>
      </c>
      <c r="F1096" s="14">
        <f>IF('Boletins Nuppa Site'!I1096&lt;&gt;0,'Boletins Nuppa Site'!I1096,"NULL")</f>
        <v>60</v>
      </c>
      <c r="G1096" t="str">
        <f>IF('Boletins Nuppa Site'!J1096&lt;&gt;0,'Boletins Nuppa Site'!J1096,"NULL")</f>
        <v>51.25</v>
      </c>
      <c r="H1096" s="14">
        <f>IF('Boletins Nuppa Site'!K1096&lt;&gt;0,'Boletins Nuppa Site'!K1096,"NULL")</f>
        <v>50</v>
      </c>
      <c r="I1096" t="str">
        <f t="shared" si="34"/>
        <v>INSERT INTO COTACAO (cot_id, cot_blt_id, cot_pap_id, cot_prc_comum, cot_prc_min, cot_prc_max, cot_prc_med, cot_prc_mediana) VALUES (1095, 65, 23, 50, 45, 60, 51.25, 50);</v>
      </c>
      <c r="J1096" t="str">
        <f t="shared" si="35"/>
        <v>UPDATE COTACAO SET cot_id = 1095, cot_blt_id = 65, cot_pap_id = 23, cot_prc_comum = 50, cot_prc_min = 45, cot_prc_max = 60, cot_prc_med = 51.25, cot_prc_mediana = 50 WHERE cot_id = 1095;</v>
      </c>
    </row>
    <row r="1097" spans="1:10" x14ac:dyDescent="0.3">
      <c r="A1097">
        <v>1096</v>
      </c>
      <c r="B1097">
        <f>IF('Boletins Nuppa Site'!A1097&lt;&gt;0,'Boletins Nuppa Site'!A1097,"NULL")</f>
        <v>65</v>
      </c>
      <c r="C1097">
        <v>24</v>
      </c>
      <c r="D1097" t="str">
        <f>IF('Boletins Nuppa Site'!G1097&lt;&gt;0,'Boletins Nuppa Site'!G1097,"NULL")</f>
        <v>NULL</v>
      </c>
      <c r="E1097" s="14">
        <f>IF('Boletins Nuppa Site'!H1097&lt;&gt;0,'Boletins Nuppa Site'!H1097,"NULL")</f>
        <v>90</v>
      </c>
      <c r="F1097" s="14">
        <f>IF('Boletins Nuppa Site'!I1097&lt;&gt;0,'Boletins Nuppa Site'!I1097,"NULL")</f>
        <v>100</v>
      </c>
      <c r="G1097" s="14">
        <f>IF('Boletins Nuppa Site'!J1097&lt;&gt;0,'Boletins Nuppa Site'!J1097,"NULL")</f>
        <v>95</v>
      </c>
      <c r="H1097" s="14">
        <f>IF('Boletins Nuppa Site'!K1097&lt;&gt;0,'Boletins Nuppa Site'!K1097,"NULL")</f>
        <v>95</v>
      </c>
      <c r="I1097" t="str">
        <f t="shared" si="34"/>
        <v>INSERT INTO COTACAO (cot_id, cot_blt_id, cot_pap_id, cot_prc_comum, cot_prc_min, cot_prc_max, cot_prc_med, cot_prc_mediana) VALUES (1096, 65, 24, NULL, 90, 100, 95, 95);</v>
      </c>
      <c r="J1097" t="str">
        <f t="shared" si="35"/>
        <v>UPDATE COTACAO SET cot_id = 1096, cot_blt_id = 65, cot_pap_id = 24, cot_prc_comum = NULL, cot_prc_min = 90, cot_prc_max = 100, cot_prc_med = 95, cot_prc_mediana = 95 WHERE cot_id = 1096;</v>
      </c>
    </row>
    <row r="1098" spans="1:10" x14ac:dyDescent="0.3">
      <c r="A1098">
        <v>1097</v>
      </c>
      <c r="B1098">
        <f>IF('Boletins Nuppa Site'!A1098&lt;&gt;0,'Boletins Nuppa Site'!A1098,"NULL")</f>
        <v>65</v>
      </c>
      <c r="C1098">
        <v>25</v>
      </c>
      <c r="D1098" s="14">
        <f>IF('Boletins Nuppa Site'!G1098&lt;&gt;0,'Boletins Nuppa Site'!G1098,"NULL")</f>
        <v>70</v>
      </c>
      <c r="E1098" s="14">
        <f>IF('Boletins Nuppa Site'!H1098&lt;&gt;0,'Boletins Nuppa Site'!H1098,"NULL")</f>
        <v>60</v>
      </c>
      <c r="F1098" s="14">
        <f>IF('Boletins Nuppa Site'!I1098&lt;&gt;0,'Boletins Nuppa Site'!I1098,"NULL")</f>
        <v>70</v>
      </c>
      <c r="G1098" s="14">
        <f>IF('Boletins Nuppa Site'!J1098&lt;&gt;0,'Boletins Nuppa Site'!J1098,"NULL")</f>
        <v>65</v>
      </c>
      <c r="H1098" s="14">
        <f>IF('Boletins Nuppa Site'!K1098&lt;&gt;0,'Boletins Nuppa Site'!K1098,"NULL")</f>
        <v>65</v>
      </c>
      <c r="I1098" t="str">
        <f t="shared" si="34"/>
        <v>INSERT INTO COTACAO (cot_id, cot_blt_id, cot_pap_id, cot_prc_comum, cot_prc_min, cot_prc_max, cot_prc_med, cot_prc_mediana) VALUES (1097, 65, 25, 70, 60, 70, 65, 65);</v>
      </c>
      <c r="J1098" t="str">
        <f t="shared" si="35"/>
        <v>UPDATE COTACAO SET cot_id = 1097, cot_blt_id = 65, cot_pap_id = 25, cot_prc_comum = 70, cot_prc_min = 60, cot_prc_max = 70, cot_prc_med = 65, cot_prc_mediana = 65 WHERE cot_id = 1097;</v>
      </c>
    </row>
    <row r="1099" spans="1:10" x14ac:dyDescent="0.3">
      <c r="A1099">
        <v>1098</v>
      </c>
      <c r="B1099">
        <f>IF('Boletins Nuppa Site'!A1099&lt;&gt;0,'Boletins Nuppa Site'!A1099,"NULL")</f>
        <v>65</v>
      </c>
      <c r="C1099">
        <v>26</v>
      </c>
      <c r="D1099" s="14">
        <f>IF('Boletins Nuppa Site'!G1099&lt;&gt;0,'Boletins Nuppa Site'!G1099,"NULL")</f>
        <v>60</v>
      </c>
      <c r="E1099" s="14">
        <f>IF('Boletins Nuppa Site'!H1099&lt;&gt;0,'Boletins Nuppa Site'!H1099,"NULL")</f>
        <v>45</v>
      </c>
      <c r="F1099" s="14">
        <f>IF('Boletins Nuppa Site'!I1099&lt;&gt;0,'Boletins Nuppa Site'!I1099,"NULL")</f>
        <v>60</v>
      </c>
      <c r="G1099" t="str">
        <f>IF('Boletins Nuppa Site'!J1099&lt;&gt;0,'Boletins Nuppa Site'!J1099,"NULL")</f>
        <v>53.75</v>
      </c>
      <c r="H1099" s="14">
        <f>IF('Boletins Nuppa Site'!K1099&lt;&gt;0,'Boletins Nuppa Site'!K1099,"NULL")</f>
        <v>55</v>
      </c>
      <c r="I1099" t="str">
        <f t="shared" si="34"/>
        <v>INSERT INTO COTACAO (cot_id, cot_blt_id, cot_pap_id, cot_prc_comum, cot_prc_min, cot_prc_max, cot_prc_med, cot_prc_mediana) VALUES (1098, 65, 26, 60, 45, 60, 53.75, 55);</v>
      </c>
      <c r="J1099" t="str">
        <f t="shared" si="35"/>
        <v>UPDATE COTACAO SET cot_id = 1098, cot_blt_id = 65, cot_pap_id = 26, cot_prc_comum = 60, cot_prc_min = 45, cot_prc_max = 60, cot_prc_med = 53.75, cot_prc_mediana = 55 WHERE cot_id = 1098;</v>
      </c>
    </row>
    <row r="1100" spans="1:10" x14ac:dyDescent="0.3">
      <c r="A1100">
        <v>1099</v>
      </c>
      <c r="B1100">
        <f>IF('Boletins Nuppa Site'!A1100&lt;&gt;0,'Boletins Nuppa Site'!A1100,"NULL")</f>
        <v>65</v>
      </c>
      <c r="C1100">
        <v>27</v>
      </c>
      <c r="D1100" t="str">
        <f>IF('Boletins Nuppa Site'!G1100&lt;&gt;0,'Boletins Nuppa Site'!G1100,"NULL")</f>
        <v>NULL</v>
      </c>
      <c r="E1100" s="14">
        <f>IF('Boletins Nuppa Site'!H1100&lt;&gt;0,'Boletins Nuppa Site'!H1100,"NULL")</f>
        <v>50</v>
      </c>
      <c r="F1100" s="14">
        <f>IF('Boletins Nuppa Site'!I1100&lt;&gt;0,'Boletins Nuppa Site'!I1100,"NULL")</f>
        <v>70</v>
      </c>
      <c r="G1100" t="str">
        <f>IF('Boletins Nuppa Site'!J1100&lt;&gt;0,'Boletins Nuppa Site'!J1100,"NULL")</f>
        <v>61.25</v>
      </c>
      <c r="H1100" t="str">
        <f>IF('Boletins Nuppa Site'!K1100&lt;&gt;0,'Boletins Nuppa Site'!K1100,"NULL")</f>
        <v>62.5</v>
      </c>
      <c r="I1100" t="str">
        <f t="shared" si="34"/>
        <v>INSERT INTO COTACAO (cot_id, cot_blt_id, cot_pap_id, cot_prc_comum, cot_prc_min, cot_prc_max, cot_prc_med, cot_prc_mediana) VALUES (1099, 65, 27, NULL, 50, 70, 61.25, 62.5);</v>
      </c>
      <c r="J1100" t="str">
        <f t="shared" si="35"/>
        <v>UPDATE COTACAO SET cot_id = 1099, cot_blt_id = 65, cot_pap_id = 27, cot_prc_comum = NULL, cot_prc_min = 50, cot_prc_max = 70, cot_prc_med = 61.25, cot_prc_mediana = 62.5 WHERE cot_id = 1099;</v>
      </c>
    </row>
    <row r="1101" spans="1:10" x14ac:dyDescent="0.3">
      <c r="A1101">
        <v>1100</v>
      </c>
      <c r="B1101">
        <f>IF('Boletins Nuppa Site'!A1101&lt;&gt;0,'Boletins Nuppa Site'!A1101,"NULL")</f>
        <v>65</v>
      </c>
      <c r="C1101">
        <v>28</v>
      </c>
      <c r="D1101" t="str">
        <f>IF('Boletins Nuppa Site'!G1101&lt;&gt;0,'Boletins Nuppa Site'!G1101,"NULL")</f>
        <v>NULL</v>
      </c>
      <c r="E1101" s="14">
        <f>IF('Boletins Nuppa Site'!H1101&lt;&gt;0,'Boletins Nuppa Site'!H1101,"NULL")</f>
        <v>70</v>
      </c>
      <c r="F1101" s="14">
        <f>IF('Boletins Nuppa Site'!I1101&lt;&gt;0,'Boletins Nuppa Site'!I1101,"NULL")</f>
        <v>100</v>
      </c>
      <c r="G1101" t="str">
        <f>IF('Boletins Nuppa Site'!J1101&lt;&gt;0,'Boletins Nuppa Site'!J1101,"NULL")</f>
        <v>86.67</v>
      </c>
      <c r="H1101" s="14">
        <f>IF('Boletins Nuppa Site'!K1101&lt;&gt;0,'Boletins Nuppa Site'!K1101,"NULL")</f>
        <v>90</v>
      </c>
      <c r="I1101" t="str">
        <f t="shared" si="34"/>
        <v>INSERT INTO COTACAO (cot_id, cot_blt_id, cot_pap_id, cot_prc_comum, cot_prc_min, cot_prc_max, cot_prc_med, cot_prc_mediana) VALUES (1100, 65, 28, NULL, 70, 100, 86.67, 90);</v>
      </c>
      <c r="J1101" t="str">
        <f t="shared" si="35"/>
        <v>UPDATE COTACAO SET cot_id = 1100, cot_blt_id = 65, cot_pap_id = 28, cot_prc_comum = NULL, cot_prc_min = 70, cot_prc_max = 100, cot_prc_med = 86.67, cot_prc_mediana = 90 WHERE cot_id = 1100;</v>
      </c>
    </row>
    <row r="1102" spans="1:10" x14ac:dyDescent="0.3">
      <c r="A1102">
        <v>1101</v>
      </c>
      <c r="B1102">
        <f>IF('Boletins Nuppa Site'!A1102&lt;&gt;0,'Boletins Nuppa Site'!A1102,"NULL")</f>
        <v>65</v>
      </c>
      <c r="C1102">
        <v>29</v>
      </c>
      <c r="D1102" t="str">
        <f>IF('Boletins Nuppa Site'!G1102&lt;&gt;0,'Boletins Nuppa Site'!G1102,"NULL")</f>
        <v>NULL</v>
      </c>
      <c r="E1102" s="14">
        <f>IF('Boletins Nuppa Site'!H1102&lt;&gt;0,'Boletins Nuppa Site'!H1102,"NULL")</f>
        <v>60</v>
      </c>
      <c r="F1102" s="14">
        <f>IF('Boletins Nuppa Site'!I1102&lt;&gt;0,'Boletins Nuppa Site'!I1102,"NULL")</f>
        <v>65</v>
      </c>
      <c r="G1102" t="str">
        <f>IF('Boletins Nuppa Site'!J1102&lt;&gt;0,'Boletins Nuppa Site'!J1102,"NULL")</f>
        <v>62.5</v>
      </c>
      <c r="H1102" t="str">
        <f>IF('Boletins Nuppa Site'!K1102&lt;&gt;0,'Boletins Nuppa Site'!K1102,"NULL")</f>
        <v>62.5</v>
      </c>
      <c r="I1102" t="str">
        <f t="shared" si="34"/>
        <v>INSERT INTO COTACAO (cot_id, cot_blt_id, cot_pap_id, cot_prc_comum, cot_prc_min, cot_prc_max, cot_prc_med, cot_prc_mediana) VALUES (1101, 65, 29, NULL, 60, 65, 62.5, 62.5);</v>
      </c>
      <c r="J1102" t="str">
        <f t="shared" si="35"/>
        <v>UPDATE COTACAO SET cot_id = 1101, cot_blt_id = 65, cot_pap_id = 29, cot_prc_comum = NULL, cot_prc_min = 60, cot_prc_max = 65, cot_prc_med = 62.5, cot_prc_mediana = 62.5 WHERE cot_id = 1101;</v>
      </c>
    </row>
    <row r="1103" spans="1:10" x14ac:dyDescent="0.3">
      <c r="A1103">
        <v>1102</v>
      </c>
      <c r="B1103">
        <f>IF('Boletins Nuppa Site'!A1103&lt;&gt;0,'Boletins Nuppa Site'!A1103,"NULL")</f>
        <v>65</v>
      </c>
      <c r="C1103">
        <v>30</v>
      </c>
      <c r="D1103" t="str">
        <f>IF('Boletins Nuppa Site'!G1103&lt;&gt;0,'Boletins Nuppa Site'!G1103,"NULL")</f>
        <v>NULL</v>
      </c>
      <c r="E1103" s="14">
        <f>IF('Boletins Nuppa Site'!H1103&lt;&gt;0,'Boletins Nuppa Site'!H1103,"NULL")</f>
        <v>55</v>
      </c>
      <c r="F1103" s="14">
        <f>IF('Boletins Nuppa Site'!I1103&lt;&gt;0,'Boletins Nuppa Site'!I1103,"NULL")</f>
        <v>80</v>
      </c>
      <c r="G1103" t="str">
        <f>IF('Boletins Nuppa Site'!J1103&lt;&gt;0,'Boletins Nuppa Site'!J1103,"NULL")</f>
        <v>66.25</v>
      </c>
      <c r="H1103" s="14">
        <f>IF('Boletins Nuppa Site'!K1103&lt;&gt;0,'Boletins Nuppa Site'!K1103,"NULL")</f>
        <v>65</v>
      </c>
      <c r="I1103" t="str">
        <f t="shared" si="34"/>
        <v>INSERT INTO COTACAO (cot_id, cot_blt_id, cot_pap_id, cot_prc_comum, cot_prc_min, cot_prc_max, cot_prc_med, cot_prc_mediana) VALUES (1102, 65, 30, NULL, 55, 80, 66.25, 65);</v>
      </c>
      <c r="J1103" t="str">
        <f t="shared" si="35"/>
        <v>UPDATE COTACAO SET cot_id = 1102, cot_blt_id = 65, cot_pap_id = 30, cot_prc_comum = NULL, cot_prc_min = 55, cot_prc_max = 80, cot_prc_med = 66.25, cot_prc_mediana = 65 WHERE cot_id = 1102;</v>
      </c>
    </row>
    <row r="1104" spans="1:10" x14ac:dyDescent="0.3">
      <c r="A1104">
        <v>1103</v>
      </c>
      <c r="B1104">
        <f>IF('Boletins Nuppa Site'!A1104&lt;&gt;0,'Boletins Nuppa Site'!A1104,"NULL")</f>
        <v>65</v>
      </c>
      <c r="C1104">
        <v>31</v>
      </c>
      <c r="D1104" s="14">
        <f>IF('Boletins Nuppa Site'!G1104&lt;&gt;0,'Boletins Nuppa Site'!G1104,"NULL")</f>
        <v>90</v>
      </c>
      <c r="E1104" s="14">
        <f>IF('Boletins Nuppa Site'!H1104&lt;&gt;0,'Boletins Nuppa Site'!H1104,"NULL")</f>
        <v>70</v>
      </c>
      <c r="F1104" s="14">
        <f>IF('Boletins Nuppa Site'!I1104&lt;&gt;0,'Boletins Nuppa Site'!I1104,"NULL")</f>
        <v>100</v>
      </c>
      <c r="G1104" s="14">
        <f>IF('Boletins Nuppa Site'!J1104&lt;&gt;0,'Boletins Nuppa Site'!J1104,"NULL")</f>
        <v>86</v>
      </c>
      <c r="H1104" s="14">
        <f>IF('Boletins Nuppa Site'!K1104&lt;&gt;0,'Boletins Nuppa Site'!K1104,"NULL")</f>
        <v>90</v>
      </c>
      <c r="I1104" t="str">
        <f t="shared" si="34"/>
        <v>INSERT INTO COTACAO (cot_id, cot_blt_id, cot_pap_id, cot_prc_comum, cot_prc_min, cot_prc_max, cot_prc_med, cot_prc_mediana) VALUES (1103, 65, 31, 90, 70, 100, 86, 90);</v>
      </c>
      <c r="J1104" t="str">
        <f t="shared" si="35"/>
        <v>UPDATE COTACAO SET cot_id = 1103, cot_blt_id = 65, cot_pap_id = 31, cot_prc_comum = 90, cot_prc_min = 70, cot_prc_max = 100, cot_prc_med = 86, cot_prc_mediana = 90 WHERE cot_id = 1103;</v>
      </c>
    </row>
    <row r="1105" spans="1:10" x14ac:dyDescent="0.3">
      <c r="A1105">
        <v>1104</v>
      </c>
      <c r="B1105">
        <f>IF('Boletins Nuppa Site'!A1105&lt;&gt;0,'Boletins Nuppa Site'!A1105,"NULL")</f>
        <v>65</v>
      </c>
      <c r="C1105">
        <v>32</v>
      </c>
      <c r="D1105" s="14">
        <f>IF('Boletins Nuppa Site'!G1105&lt;&gt;0,'Boletins Nuppa Site'!G1105,"NULL")</f>
        <v>50</v>
      </c>
      <c r="E1105" s="14">
        <f>IF('Boletins Nuppa Site'!H1105&lt;&gt;0,'Boletins Nuppa Site'!H1105,"NULL")</f>
        <v>30</v>
      </c>
      <c r="F1105" s="14">
        <f>IF('Boletins Nuppa Site'!I1105&lt;&gt;0,'Boletins Nuppa Site'!I1105,"NULL")</f>
        <v>50</v>
      </c>
      <c r="G1105" s="14">
        <f>IF('Boletins Nuppa Site'!J1105&lt;&gt;0,'Boletins Nuppa Site'!J1105,"NULL")</f>
        <v>45</v>
      </c>
      <c r="H1105" s="14">
        <f>IF('Boletins Nuppa Site'!K1105&lt;&gt;0,'Boletins Nuppa Site'!K1105,"NULL")</f>
        <v>50</v>
      </c>
      <c r="I1105" t="str">
        <f t="shared" si="34"/>
        <v>INSERT INTO COTACAO (cot_id, cot_blt_id, cot_pap_id, cot_prc_comum, cot_prc_min, cot_prc_max, cot_prc_med, cot_prc_mediana) VALUES (1104, 65, 32, 50, 30, 50, 45, 50);</v>
      </c>
      <c r="J1105" t="str">
        <f t="shared" si="35"/>
        <v>UPDATE COTACAO SET cot_id = 1104, cot_blt_id = 65, cot_pap_id = 32, cot_prc_comum = 50, cot_prc_min = 30, cot_prc_max = 50, cot_prc_med = 45, cot_prc_mediana = 50 WHERE cot_id = 1104;</v>
      </c>
    </row>
    <row r="1106" spans="1:10" x14ac:dyDescent="0.3">
      <c r="A1106">
        <v>1105</v>
      </c>
      <c r="B1106">
        <f>IF('Boletins Nuppa Site'!A1106&lt;&gt;0,'Boletins Nuppa Site'!A1106,"NULL")</f>
        <v>65</v>
      </c>
      <c r="C1106">
        <v>33</v>
      </c>
      <c r="D1106" t="str">
        <f>IF('Boletins Nuppa Site'!G1106&lt;&gt;0,'Boletins Nuppa Site'!G1106,"NULL")</f>
        <v>NULL</v>
      </c>
      <c r="E1106" s="14">
        <f>IF('Boletins Nuppa Site'!H1106&lt;&gt;0,'Boletins Nuppa Site'!H1106,"NULL")</f>
        <v>100</v>
      </c>
      <c r="F1106" s="14">
        <f>IF('Boletins Nuppa Site'!I1106&lt;&gt;0,'Boletins Nuppa Site'!I1106,"NULL")</f>
        <v>200</v>
      </c>
      <c r="G1106" t="str">
        <f>IF('Boletins Nuppa Site'!J1106&lt;&gt;0,'Boletins Nuppa Site'!J1106,"NULL")</f>
        <v>157.5</v>
      </c>
      <c r="H1106" s="14">
        <f>IF('Boletins Nuppa Site'!K1106&lt;&gt;0,'Boletins Nuppa Site'!K1106,"NULL")</f>
        <v>165</v>
      </c>
      <c r="I1106" t="str">
        <f t="shared" si="34"/>
        <v>INSERT INTO COTACAO (cot_id, cot_blt_id, cot_pap_id, cot_prc_comum, cot_prc_min, cot_prc_max, cot_prc_med, cot_prc_mediana) VALUES (1105, 65, 33, NULL, 100, 200, 157.5, 165);</v>
      </c>
      <c r="J1106" t="str">
        <f t="shared" si="35"/>
        <v>UPDATE COTACAO SET cot_id = 1105, cot_blt_id = 65, cot_pap_id = 33, cot_prc_comum = NULL, cot_prc_min = 100, cot_prc_max = 200, cot_prc_med = 157.5, cot_prc_mediana = 165 WHERE cot_id = 1105;</v>
      </c>
    </row>
    <row r="1107" spans="1:10" x14ac:dyDescent="0.3">
      <c r="A1107">
        <v>1106</v>
      </c>
      <c r="B1107">
        <f>IF('Boletins Nuppa Site'!A1107&lt;&gt;0,'Boletins Nuppa Site'!A1107,"NULL")</f>
        <v>65</v>
      </c>
      <c r="C1107">
        <v>34</v>
      </c>
      <c r="D1107" s="14">
        <f>IF('Boletins Nuppa Site'!G1107&lt;&gt;0,'Boletins Nuppa Site'!G1107,"NULL")</f>
        <v>90</v>
      </c>
      <c r="E1107" s="14">
        <f>IF('Boletins Nuppa Site'!H1107&lt;&gt;0,'Boletins Nuppa Site'!H1107,"NULL")</f>
        <v>50</v>
      </c>
      <c r="F1107" s="14">
        <f>IF('Boletins Nuppa Site'!I1107&lt;&gt;0,'Boletins Nuppa Site'!I1107,"NULL")</f>
        <v>90</v>
      </c>
      <c r="G1107" s="14">
        <f>IF('Boletins Nuppa Site'!J1107&lt;&gt;0,'Boletins Nuppa Site'!J1107,"NULL")</f>
        <v>70</v>
      </c>
      <c r="H1107" s="14">
        <f>IF('Boletins Nuppa Site'!K1107&lt;&gt;0,'Boletins Nuppa Site'!K1107,"NULL")</f>
        <v>60</v>
      </c>
      <c r="I1107" t="str">
        <f t="shared" si="34"/>
        <v>INSERT INTO COTACAO (cot_id, cot_blt_id, cot_pap_id, cot_prc_comum, cot_prc_min, cot_prc_max, cot_prc_med, cot_prc_mediana) VALUES (1106, 65, 34, 90, 50, 90, 70, 60);</v>
      </c>
      <c r="J1107" t="str">
        <f t="shared" si="35"/>
        <v>UPDATE COTACAO SET cot_id = 1106, cot_blt_id = 65, cot_pap_id = 34, cot_prc_comum = 90, cot_prc_min = 50, cot_prc_max = 90, cot_prc_med = 70, cot_prc_mediana = 60 WHERE cot_id = 1106;</v>
      </c>
    </row>
    <row r="1108" spans="1:10" x14ac:dyDescent="0.3">
      <c r="A1108">
        <v>1107</v>
      </c>
      <c r="B1108">
        <f>IF('Boletins Nuppa Site'!A1108&lt;&gt;0,'Boletins Nuppa Site'!A1108,"NULL")</f>
        <v>65</v>
      </c>
      <c r="C1108">
        <v>35</v>
      </c>
      <c r="D1108" s="14">
        <f>IF('Boletins Nuppa Site'!G1108&lt;&gt;0,'Boletins Nuppa Site'!G1108,"NULL")</f>
        <v>150</v>
      </c>
      <c r="E1108" s="14">
        <f>IF('Boletins Nuppa Site'!H1108&lt;&gt;0,'Boletins Nuppa Site'!H1108,"NULL")</f>
        <v>100</v>
      </c>
      <c r="F1108" s="14">
        <f>IF('Boletins Nuppa Site'!I1108&lt;&gt;0,'Boletins Nuppa Site'!I1108,"NULL")</f>
        <v>200</v>
      </c>
      <c r="G1108" s="14">
        <f>IF('Boletins Nuppa Site'!J1108&lt;&gt;0,'Boletins Nuppa Site'!J1108,"NULL")</f>
        <v>150</v>
      </c>
      <c r="H1108" s="14">
        <f>IF('Boletins Nuppa Site'!K1108&lt;&gt;0,'Boletins Nuppa Site'!K1108,"NULL")</f>
        <v>150</v>
      </c>
      <c r="I1108" t="str">
        <f t="shared" si="34"/>
        <v>INSERT INTO COTACAO (cot_id, cot_blt_id, cot_pap_id, cot_prc_comum, cot_prc_min, cot_prc_max, cot_prc_med, cot_prc_mediana) VALUES (1107, 65, 35, 150, 100, 200, 150, 150);</v>
      </c>
      <c r="J1108" t="str">
        <f t="shared" si="35"/>
        <v>UPDATE COTACAO SET cot_id = 1107, cot_blt_id = 65, cot_pap_id = 35, cot_prc_comum = 150, cot_prc_min = 100, cot_prc_max = 200, cot_prc_med = 150, cot_prc_mediana = 150 WHERE cot_id = 1107;</v>
      </c>
    </row>
    <row r="1109" spans="1:10" x14ac:dyDescent="0.3">
      <c r="A1109">
        <v>1108</v>
      </c>
      <c r="B1109">
        <f>IF('Boletins Nuppa Site'!A1109&lt;&gt;0,'Boletins Nuppa Site'!A1109,"NULL")</f>
        <v>65</v>
      </c>
      <c r="C1109">
        <v>36</v>
      </c>
      <c r="D1109" t="str">
        <f>IF('Boletins Nuppa Site'!G1109&lt;&gt;0,'Boletins Nuppa Site'!G1109,"NULL")</f>
        <v>NULL</v>
      </c>
      <c r="E1109" t="str">
        <f>IF('Boletins Nuppa Site'!H1109&lt;&gt;0,'Boletins Nuppa Site'!H1109,"NULL")</f>
        <v>NULL</v>
      </c>
      <c r="F1109" t="str">
        <f>IF('Boletins Nuppa Site'!I1109&lt;&gt;0,'Boletins Nuppa Site'!I1109,"NULL")</f>
        <v>NULL</v>
      </c>
      <c r="G1109" t="str">
        <f>IF('Boletins Nuppa Site'!J1109&lt;&gt;0,'Boletins Nuppa Site'!J1109,"NULL")</f>
        <v>NULL</v>
      </c>
      <c r="H1109" t="str">
        <f>IF('Boletins Nuppa Site'!K1109&lt;&gt;0,'Boletins Nuppa Site'!K1109,"NULL")</f>
        <v>NULL</v>
      </c>
      <c r="I1109" t="str">
        <f t="shared" si="34"/>
        <v>INSERT INTO COTACAO (cot_id, cot_blt_id, cot_pap_id, cot_prc_comum, cot_prc_min, cot_prc_max, cot_prc_med, cot_prc_mediana) VALUES (1108, 65, 36, NULL, NULL, NULL, NULL, NULL);</v>
      </c>
      <c r="J1109" t="str">
        <f t="shared" si="35"/>
        <v>UPDATE COTACAO SET cot_id = 1108, cot_blt_id = 65, cot_pap_id = 36, cot_prc_comum = NULL, cot_prc_min = NULL, cot_prc_max = NULL, cot_prc_med = NULL, cot_prc_mediana = NULL WHERE cot_id = 1108;</v>
      </c>
    </row>
    <row r="1110" spans="1:10" x14ac:dyDescent="0.3">
      <c r="A1110">
        <v>1109</v>
      </c>
      <c r="B1110">
        <f>IF('Boletins Nuppa Site'!A1110&lt;&gt;0,'Boletins Nuppa Site'!A1110,"NULL")</f>
        <v>65</v>
      </c>
      <c r="C1110">
        <v>37</v>
      </c>
      <c r="D1110" t="str">
        <f>IF('Boletins Nuppa Site'!G1110&lt;&gt;0,'Boletins Nuppa Site'!G1110,"NULL")</f>
        <v>NULL</v>
      </c>
      <c r="E1110" t="str">
        <f>IF('Boletins Nuppa Site'!H1110&lt;&gt;0,'Boletins Nuppa Site'!H1110,"NULL")</f>
        <v>NULL</v>
      </c>
      <c r="F1110" t="str">
        <f>IF('Boletins Nuppa Site'!I1110&lt;&gt;0,'Boletins Nuppa Site'!I1110,"NULL")</f>
        <v>NULL</v>
      </c>
      <c r="G1110" t="str">
        <f>IF('Boletins Nuppa Site'!J1110&lt;&gt;0,'Boletins Nuppa Site'!J1110,"NULL")</f>
        <v>NULL</v>
      </c>
      <c r="H1110" t="str">
        <f>IF('Boletins Nuppa Site'!K1110&lt;&gt;0,'Boletins Nuppa Site'!K1110,"NULL")</f>
        <v>NULL</v>
      </c>
      <c r="I1110" t="str">
        <f t="shared" si="34"/>
        <v>INSERT INTO COTACAO (cot_id, cot_blt_id, cot_pap_id, cot_prc_comum, cot_prc_min, cot_prc_max, cot_prc_med, cot_prc_mediana) VALUES (1109, 65, 37, NULL, NULL, NULL, NULL, NULL);</v>
      </c>
      <c r="J1110" t="str">
        <f t="shared" si="35"/>
        <v>UPDATE COTACAO SET cot_id = 1109, cot_blt_id = 65, cot_pap_id = 37, cot_prc_comum = NULL, cot_prc_min = NULL, cot_prc_max = NULL, cot_prc_med = NULL, cot_prc_mediana = NULL WHERE cot_id = 1109;</v>
      </c>
    </row>
    <row r="1111" spans="1:10" x14ac:dyDescent="0.3">
      <c r="A1111">
        <v>1110</v>
      </c>
      <c r="B1111">
        <f>IF('Boletins Nuppa Site'!A1111&lt;&gt;0,'Boletins Nuppa Site'!A1111,"NULL")</f>
        <v>65</v>
      </c>
      <c r="C1111">
        <v>38</v>
      </c>
      <c r="D1111" t="str">
        <f>IF('Boletins Nuppa Site'!G1111&lt;&gt;0,'Boletins Nuppa Site'!G1111,"NULL")</f>
        <v>NULL</v>
      </c>
      <c r="E1111" t="str">
        <f>IF('Boletins Nuppa Site'!H1111&lt;&gt;0,'Boletins Nuppa Site'!H1111,"NULL")</f>
        <v>NULL</v>
      </c>
      <c r="F1111" t="str">
        <f>IF('Boletins Nuppa Site'!I1111&lt;&gt;0,'Boletins Nuppa Site'!I1111,"NULL")</f>
        <v>NULL</v>
      </c>
      <c r="G1111" t="str">
        <f>IF('Boletins Nuppa Site'!J1111&lt;&gt;0,'Boletins Nuppa Site'!J1111,"NULL")</f>
        <v>NULL</v>
      </c>
      <c r="H1111" t="str">
        <f>IF('Boletins Nuppa Site'!K1111&lt;&gt;0,'Boletins Nuppa Site'!K1111,"NULL")</f>
        <v>NULL</v>
      </c>
      <c r="I1111" t="str">
        <f t="shared" si="34"/>
        <v>INSERT INTO COTACAO (cot_id, cot_blt_id, cot_pap_id, cot_prc_comum, cot_prc_min, cot_prc_max, cot_prc_med, cot_prc_mediana) VALUES (1110, 65, 38, NULL, NULL, NULL, NULL, NULL);</v>
      </c>
      <c r="J1111" t="str">
        <f t="shared" si="35"/>
        <v>UPDATE COTACAO SET cot_id = 1110, cot_blt_id = 65, cot_pap_id = 38, cot_prc_comum = NULL, cot_prc_min = NULL, cot_prc_max = NULL, cot_prc_med = NULL, cot_prc_mediana = NULL WHERE cot_id = 1110;</v>
      </c>
    </row>
    <row r="1112" spans="1:10" x14ac:dyDescent="0.3">
      <c r="A1112">
        <v>1111</v>
      </c>
      <c r="B1112">
        <f>IF('Boletins Nuppa Site'!A1112&lt;&gt;0,'Boletins Nuppa Site'!A1112,"NULL")</f>
        <v>65</v>
      </c>
      <c r="C1112">
        <v>39</v>
      </c>
      <c r="D1112" t="str">
        <f>IF('Boletins Nuppa Site'!G1112&lt;&gt;0,'Boletins Nuppa Site'!G1112,"NULL")</f>
        <v>NULL</v>
      </c>
      <c r="E1112" s="14">
        <f>IF('Boletins Nuppa Site'!H1112&lt;&gt;0,'Boletins Nuppa Site'!H1112,"NULL")</f>
        <v>60</v>
      </c>
      <c r="F1112" s="14">
        <f>IF('Boletins Nuppa Site'!I1112&lt;&gt;0,'Boletins Nuppa Site'!I1112,"NULL")</f>
        <v>60</v>
      </c>
      <c r="G1112" s="14">
        <f>IF('Boletins Nuppa Site'!J1112&lt;&gt;0,'Boletins Nuppa Site'!J1112,"NULL")</f>
        <v>60</v>
      </c>
      <c r="H1112" s="14">
        <f>IF('Boletins Nuppa Site'!K1112&lt;&gt;0,'Boletins Nuppa Site'!K1112,"NULL")</f>
        <v>60</v>
      </c>
      <c r="I1112" t="str">
        <f t="shared" si="34"/>
        <v>INSERT INTO COTACAO (cot_id, cot_blt_id, cot_pap_id, cot_prc_comum, cot_prc_min, cot_prc_max, cot_prc_med, cot_prc_mediana) VALUES (1111, 65, 39, NULL, 60, 60, 60, 60);</v>
      </c>
      <c r="J1112" t="str">
        <f t="shared" si="35"/>
        <v>UPDATE COTACAO SET cot_id = 1111, cot_blt_id = 65, cot_pap_id = 39, cot_prc_comum = NULL, cot_prc_min = 60, cot_prc_max = 60, cot_prc_med = 60, cot_prc_mediana = 60 WHERE cot_id = 1111;</v>
      </c>
    </row>
    <row r="1113" spans="1:10" x14ac:dyDescent="0.3">
      <c r="A1113">
        <v>1112</v>
      </c>
      <c r="B1113">
        <f>IF('Boletins Nuppa Site'!A1113&lt;&gt;0,'Boletins Nuppa Site'!A1113,"NULL")</f>
        <v>65</v>
      </c>
      <c r="C1113">
        <v>40</v>
      </c>
      <c r="D1113" t="str">
        <f>IF('Boletins Nuppa Site'!G1113&lt;&gt;0,'Boletins Nuppa Site'!G1113,"NULL")</f>
        <v>NULL</v>
      </c>
      <c r="E1113" t="str">
        <f>IF('Boletins Nuppa Site'!H1113&lt;&gt;0,'Boletins Nuppa Site'!H1113,"NULL")</f>
        <v>NULL</v>
      </c>
      <c r="F1113" t="str">
        <f>IF('Boletins Nuppa Site'!I1113&lt;&gt;0,'Boletins Nuppa Site'!I1113,"NULL")</f>
        <v>NULL</v>
      </c>
      <c r="G1113" t="str">
        <f>IF('Boletins Nuppa Site'!J1113&lt;&gt;0,'Boletins Nuppa Site'!J1113,"NULL")</f>
        <v>NULL</v>
      </c>
      <c r="H1113" t="str">
        <f>IF('Boletins Nuppa Site'!K1113&lt;&gt;0,'Boletins Nuppa Site'!K1113,"NULL")</f>
        <v>NULL</v>
      </c>
      <c r="I1113" t="str">
        <f t="shared" si="34"/>
        <v>INSERT INTO COTACAO (cot_id, cot_blt_id, cot_pap_id, cot_prc_comum, cot_prc_min, cot_prc_max, cot_prc_med, cot_prc_mediana) VALUES (1112, 65, 40, NULL, NULL, NULL, NULL, NULL);</v>
      </c>
      <c r="J1113" t="str">
        <f t="shared" si="35"/>
        <v>UPDATE COTACAO SET cot_id = 1112, cot_blt_id = 65, cot_pap_id = 40, cot_prc_comum = NULL, cot_prc_min = NULL, cot_prc_max = NULL, cot_prc_med = NULL, cot_prc_mediana = NULL WHERE cot_id = 1112;</v>
      </c>
    </row>
    <row r="1114" spans="1:10" x14ac:dyDescent="0.3">
      <c r="A1114">
        <v>1113</v>
      </c>
      <c r="B1114">
        <f>IF('Boletins Nuppa Site'!A1114&lt;&gt;0,'Boletins Nuppa Site'!A1114,"NULL")</f>
        <v>66</v>
      </c>
      <c r="C1114">
        <v>1</v>
      </c>
      <c r="D1114" t="str">
        <f>IF('Boletins Nuppa Site'!G1114&lt;&gt;0,'Boletins Nuppa Site'!G1114,"NULL")</f>
        <v>NULL</v>
      </c>
      <c r="E1114" s="14">
        <f>IF('Boletins Nuppa Site'!H1114&lt;&gt;0,'Boletins Nuppa Site'!H1114,"NULL")</f>
        <v>36</v>
      </c>
      <c r="F1114" s="14">
        <f>IF('Boletins Nuppa Site'!I1114&lt;&gt;0,'Boletins Nuppa Site'!I1114,"NULL")</f>
        <v>60</v>
      </c>
      <c r="G1114" s="14">
        <f>IF('Boletins Nuppa Site'!J1114&lt;&gt;0,'Boletins Nuppa Site'!J1114,"NULL")</f>
        <v>48</v>
      </c>
      <c r="H1114" s="14">
        <f>IF('Boletins Nuppa Site'!K1114&lt;&gt;0,'Boletins Nuppa Site'!K1114,"NULL")</f>
        <v>48</v>
      </c>
      <c r="I1114" t="str">
        <f t="shared" si="34"/>
        <v>INSERT INTO COTACAO (cot_id, cot_blt_id, cot_pap_id, cot_prc_comum, cot_prc_min, cot_prc_max, cot_prc_med, cot_prc_mediana) VALUES (1113, 66, 1, NULL, 36, 60, 48, 48);</v>
      </c>
      <c r="J1114" t="str">
        <f t="shared" si="35"/>
        <v>UPDATE COTACAO SET cot_id = 1113, cot_blt_id = 66, cot_pap_id = 1, cot_prc_comum = NULL, cot_prc_min = 36, cot_prc_max = 60, cot_prc_med = 48, cot_prc_mediana = 48 WHERE cot_id = 1113;</v>
      </c>
    </row>
    <row r="1115" spans="1:10" x14ac:dyDescent="0.3">
      <c r="A1115">
        <v>1114</v>
      </c>
      <c r="B1115">
        <f>IF('Boletins Nuppa Site'!A1115&lt;&gt;0,'Boletins Nuppa Site'!A1115,"NULL")</f>
        <v>66</v>
      </c>
      <c r="C1115">
        <v>2</v>
      </c>
      <c r="D1115" s="14">
        <f>IF('Boletins Nuppa Site'!G1115&lt;&gt;0,'Boletins Nuppa Site'!G1115,"NULL")</f>
        <v>72</v>
      </c>
      <c r="E1115" s="14">
        <f>IF('Boletins Nuppa Site'!H1115&lt;&gt;0,'Boletins Nuppa Site'!H1115,"NULL")</f>
        <v>72</v>
      </c>
      <c r="F1115" s="14">
        <f>IF('Boletins Nuppa Site'!I1115&lt;&gt;0,'Boletins Nuppa Site'!I1115,"NULL")</f>
        <v>84</v>
      </c>
      <c r="G1115" s="14">
        <f>IF('Boletins Nuppa Site'!J1115&lt;&gt;0,'Boletins Nuppa Site'!J1115,"NULL")</f>
        <v>76</v>
      </c>
      <c r="H1115" s="14">
        <f>IF('Boletins Nuppa Site'!K1115&lt;&gt;0,'Boletins Nuppa Site'!K1115,"NULL")</f>
        <v>72</v>
      </c>
      <c r="I1115" t="str">
        <f t="shared" si="34"/>
        <v>INSERT INTO COTACAO (cot_id, cot_blt_id, cot_pap_id, cot_prc_comum, cot_prc_min, cot_prc_max, cot_prc_med, cot_prc_mediana) VALUES (1114, 66, 2, 72, 72, 84, 76, 72);</v>
      </c>
      <c r="J1115" t="str">
        <f t="shared" si="35"/>
        <v>UPDATE COTACAO SET cot_id = 1114, cot_blt_id = 66, cot_pap_id = 2, cot_prc_comum = 72, cot_prc_min = 72, cot_prc_max = 84, cot_prc_med = 76, cot_prc_mediana = 72 WHERE cot_id = 1114;</v>
      </c>
    </row>
    <row r="1116" spans="1:10" x14ac:dyDescent="0.3">
      <c r="A1116">
        <v>1115</v>
      </c>
      <c r="B1116">
        <f>IF('Boletins Nuppa Site'!A1116&lt;&gt;0,'Boletins Nuppa Site'!A1116,"NULL")</f>
        <v>66</v>
      </c>
      <c r="C1116">
        <v>3</v>
      </c>
      <c r="D1116" s="14">
        <f>IF('Boletins Nuppa Site'!G1116&lt;&gt;0,'Boletins Nuppa Site'!G1116,"NULL")</f>
        <v>36</v>
      </c>
      <c r="E1116" s="14">
        <f>IF('Boletins Nuppa Site'!H1116&lt;&gt;0,'Boletins Nuppa Site'!H1116,"NULL")</f>
        <v>30</v>
      </c>
      <c r="F1116" s="14">
        <f>IF('Boletins Nuppa Site'!I1116&lt;&gt;0,'Boletins Nuppa Site'!I1116,"NULL")</f>
        <v>42</v>
      </c>
      <c r="G1116" s="14">
        <f>IF('Boletins Nuppa Site'!J1116&lt;&gt;0,'Boletins Nuppa Site'!J1116,"NULL")</f>
        <v>36</v>
      </c>
      <c r="H1116" s="14">
        <f>IF('Boletins Nuppa Site'!K1116&lt;&gt;0,'Boletins Nuppa Site'!K1116,"NULL")</f>
        <v>36</v>
      </c>
      <c r="I1116" t="str">
        <f t="shared" si="34"/>
        <v>INSERT INTO COTACAO (cot_id, cot_blt_id, cot_pap_id, cot_prc_comum, cot_prc_min, cot_prc_max, cot_prc_med, cot_prc_mediana) VALUES (1115, 66, 3, 36, 30, 42, 36, 36);</v>
      </c>
      <c r="J1116" t="str">
        <f t="shared" si="35"/>
        <v>UPDATE COTACAO SET cot_id = 1115, cot_blt_id = 66, cot_pap_id = 3, cot_prc_comum = 36, cot_prc_min = 30, cot_prc_max = 42, cot_prc_med = 36, cot_prc_mediana = 36 WHERE cot_id = 1115;</v>
      </c>
    </row>
    <row r="1117" spans="1:10" x14ac:dyDescent="0.3">
      <c r="A1117">
        <v>1116</v>
      </c>
      <c r="B1117">
        <f>IF('Boletins Nuppa Site'!A1117&lt;&gt;0,'Boletins Nuppa Site'!A1117,"NULL")</f>
        <v>66</v>
      </c>
      <c r="C1117">
        <v>4</v>
      </c>
      <c r="D1117" s="14">
        <f>IF('Boletins Nuppa Site'!G1117&lt;&gt;0,'Boletins Nuppa Site'!G1117,"NULL")</f>
        <v>18</v>
      </c>
      <c r="E1117" s="14">
        <f>IF('Boletins Nuppa Site'!H1117&lt;&gt;0,'Boletins Nuppa Site'!H1117,"NULL")</f>
        <v>18</v>
      </c>
      <c r="F1117" s="14">
        <f>IF('Boletins Nuppa Site'!I1117&lt;&gt;0,'Boletins Nuppa Site'!I1117,"NULL")</f>
        <v>24</v>
      </c>
      <c r="G1117" s="14">
        <f>IF('Boletins Nuppa Site'!J1117&lt;&gt;0,'Boletins Nuppa Site'!J1117,"NULL")</f>
        <v>21</v>
      </c>
      <c r="H1117" s="14">
        <f>IF('Boletins Nuppa Site'!K1117&lt;&gt;0,'Boletins Nuppa Site'!K1117,"NULL")</f>
        <v>21</v>
      </c>
      <c r="I1117" t="str">
        <f t="shared" si="34"/>
        <v>INSERT INTO COTACAO (cot_id, cot_blt_id, cot_pap_id, cot_prc_comum, cot_prc_min, cot_prc_max, cot_prc_med, cot_prc_mediana) VALUES (1116, 66, 4, 18, 18, 24, 21, 21);</v>
      </c>
      <c r="J1117" t="str">
        <f t="shared" si="35"/>
        <v>UPDATE COTACAO SET cot_id = 1116, cot_blt_id = 66, cot_pap_id = 4, cot_prc_comum = 18, cot_prc_min = 18, cot_prc_max = 24, cot_prc_med = 21, cot_prc_mediana = 21 WHERE cot_id = 1116;</v>
      </c>
    </row>
    <row r="1118" spans="1:10" x14ac:dyDescent="0.3">
      <c r="A1118">
        <v>1117</v>
      </c>
      <c r="B1118">
        <f>IF('Boletins Nuppa Site'!A1118&lt;&gt;0,'Boletins Nuppa Site'!A1118,"NULL")</f>
        <v>66</v>
      </c>
      <c r="C1118">
        <v>5</v>
      </c>
      <c r="D1118" s="14">
        <f>IF('Boletins Nuppa Site'!G1118&lt;&gt;0,'Boletins Nuppa Site'!G1118,"NULL")</f>
        <v>24</v>
      </c>
      <c r="E1118" s="14">
        <f>IF('Boletins Nuppa Site'!H1118&lt;&gt;0,'Boletins Nuppa Site'!H1118,"NULL")</f>
        <v>18</v>
      </c>
      <c r="F1118" s="14">
        <f>IF('Boletins Nuppa Site'!I1118&lt;&gt;0,'Boletins Nuppa Site'!I1118,"NULL")</f>
        <v>24</v>
      </c>
      <c r="G1118" s="14">
        <f>IF('Boletins Nuppa Site'!J1118&lt;&gt;0,'Boletins Nuppa Site'!J1118,"NULL")</f>
        <v>22</v>
      </c>
      <c r="H1118" s="14">
        <f>IF('Boletins Nuppa Site'!K1118&lt;&gt;0,'Boletins Nuppa Site'!K1118,"NULL")</f>
        <v>24</v>
      </c>
      <c r="I1118" t="str">
        <f t="shared" si="34"/>
        <v>INSERT INTO COTACAO (cot_id, cot_blt_id, cot_pap_id, cot_prc_comum, cot_prc_min, cot_prc_max, cot_prc_med, cot_prc_mediana) VALUES (1117, 66, 5, 24, 18, 24, 22, 24);</v>
      </c>
      <c r="J1118" t="str">
        <f t="shared" si="35"/>
        <v>UPDATE COTACAO SET cot_id = 1117, cot_blt_id = 66, cot_pap_id = 5, cot_prc_comum = 24, cot_prc_min = 18, cot_prc_max = 24, cot_prc_med = 22, cot_prc_mediana = 24 WHERE cot_id = 1117;</v>
      </c>
    </row>
    <row r="1119" spans="1:10" x14ac:dyDescent="0.3">
      <c r="A1119">
        <v>1118</v>
      </c>
      <c r="B1119">
        <f>IF('Boletins Nuppa Site'!A1119&lt;&gt;0,'Boletins Nuppa Site'!A1119,"NULL")</f>
        <v>66</v>
      </c>
      <c r="C1119">
        <v>6</v>
      </c>
      <c r="D1119" s="14">
        <f>IF('Boletins Nuppa Site'!G1119&lt;&gt;0,'Boletins Nuppa Site'!G1119,"NULL")</f>
        <v>60</v>
      </c>
      <c r="E1119" s="14">
        <f>IF('Boletins Nuppa Site'!H1119&lt;&gt;0,'Boletins Nuppa Site'!H1119,"NULL")</f>
        <v>60</v>
      </c>
      <c r="F1119" s="14">
        <f>IF('Boletins Nuppa Site'!I1119&lt;&gt;0,'Boletins Nuppa Site'!I1119,"NULL")</f>
        <v>60</v>
      </c>
      <c r="G1119" s="14">
        <f>IF('Boletins Nuppa Site'!J1119&lt;&gt;0,'Boletins Nuppa Site'!J1119,"NULL")</f>
        <v>60</v>
      </c>
      <c r="H1119" s="14">
        <f>IF('Boletins Nuppa Site'!K1119&lt;&gt;0,'Boletins Nuppa Site'!K1119,"NULL")</f>
        <v>60</v>
      </c>
      <c r="I1119" t="str">
        <f t="shared" si="34"/>
        <v>INSERT INTO COTACAO (cot_id, cot_blt_id, cot_pap_id, cot_prc_comum, cot_prc_min, cot_prc_max, cot_prc_med, cot_prc_mediana) VALUES (1118, 66, 6, 60, 60, 60, 60, 60);</v>
      </c>
      <c r="J1119" t="str">
        <f t="shared" si="35"/>
        <v>UPDATE COTACAO SET cot_id = 1118, cot_blt_id = 66, cot_pap_id = 6, cot_prc_comum = 60, cot_prc_min = 60, cot_prc_max = 60, cot_prc_med = 60, cot_prc_mediana = 60 WHERE cot_id = 1118;</v>
      </c>
    </row>
    <row r="1120" spans="1:10" x14ac:dyDescent="0.3">
      <c r="A1120">
        <v>1119</v>
      </c>
      <c r="B1120">
        <f>IF('Boletins Nuppa Site'!A1120&lt;&gt;0,'Boletins Nuppa Site'!A1120,"NULL")</f>
        <v>66</v>
      </c>
      <c r="C1120">
        <v>7</v>
      </c>
      <c r="D1120" s="14">
        <f>IF('Boletins Nuppa Site'!G1120&lt;&gt;0,'Boletins Nuppa Site'!G1120,"NULL")</f>
        <v>60</v>
      </c>
      <c r="E1120" s="14">
        <f>IF('Boletins Nuppa Site'!H1120&lt;&gt;0,'Boletins Nuppa Site'!H1120,"NULL")</f>
        <v>48</v>
      </c>
      <c r="F1120" s="14">
        <f>IF('Boletins Nuppa Site'!I1120&lt;&gt;0,'Boletins Nuppa Site'!I1120,"NULL")</f>
        <v>66</v>
      </c>
      <c r="G1120" t="str">
        <f>IF('Boletins Nuppa Site'!J1120&lt;&gt;0,'Boletins Nuppa Site'!J1120,"NULL")</f>
        <v>58.5</v>
      </c>
      <c r="H1120" s="14">
        <f>IF('Boletins Nuppa Site'!K1120&lt;&gt;0,'Boletins Nuppa Site'!K1120,"NULL")</f>
        <v>60</v>
      </c>
      <c r="I1120" t="str">
        <f t="shared" si="34"/>
        <v>INSERT INTO COTACAO (cot_id, cot_blt_id, cot_pap_id, cot_prc_comum, cot_prc_min, cot_prc_max, cot_prc_med, cot_prc_mediana) VALUES (1119, 66, 7, 60, 48, 66, 58.5, 60);</v>
      </c>
      <c r="J1120" t="str">
        <f t="shared" si="35"/>
        <v>UPDATE COTACAO SET cot_id = 1119, cot_blt_id = 66, cot_pap_id = 7, cot_prc_comum = 60, cot_prc_min = 48, cot_prc_max = 66, cot_prc_med = 58.5, cot_prc_mediana = 60 WHERE cot_id = 1119;</v>
      </c>
    </row>
    <row r="1121" spans="1:10" x14ac:dyDescent="0.3">
      <c r="A1121">
        <v>1120</v>
      </c>
      <c r="B1121">
        <f>IF('Boletins Nuppa Site'!A1121&lt;&gt;0,'Boletins Nuppa Site'!A1121,"NULL")</f>
        <v>66</v>
      </c>
      <c r="C1121">
        <v>8</v>
      </c>
      <c r="D1121" s="14">
        <f>IF('Boletins Nuppa Site'!G1121&lt;&gt;0,'Boletins Nuppa Site'!G1121,"NULL")</f>
        <v>60</v>
      </c>
      <c r="E1121" s="14">
        <f>IF('Boletins Nuppa Site'!H1121&lt;&gt;0,'Boletins Nuppa Site'!H1121,"NULL")</f>
        <v>60</v>
      </c>
      <c r="F1121" s="14">
        <f>IF('Boletins Nuppa Site'!I1121&lt;&gt;0,'Boletins Nuppa Site'!I1121,"NULL")</f>
        <v>72</v>
      </c>
      <c r="G1121" s="14">
        <f>IF('Boletins Nuppa Site'!J1121&lt;&gt;0,'Boletins Nuppa Site'!J1121,"NULL")</f>
        <v>66</v>
      </c>
      <c r="H1121" s="14">
        <f>IF('Boletins Nuppa Site'!K1121&lt;&gt;0,'Boletins Nuppa Site'!K1121,"NULL")</f>
        <v>66</v>
      </c>
      <c r="I1121" t="str">
        <f t="shared" si="34"/>
        <v>INSERT INTO COTACAO (cot_id, cot_blt_id, cot_pap_id, cot_prc_comum, cot_prc_min, cot_prc_max, cot_prc_med, cot_prc_mediana) VALUES (1120, 66, 8, 60, 60, 72, 66, 66);</v>
      </c>
      <c r="J1121" t="str">
        <f t="shared" si="35"/>
        <v>UPDATE COTACAO SET cot_id = 1120, cot_blt_id = 66, cot_pap_id = 8, cot_prc_comum = 60, cot_prc_min = 60, cot_prc_max = 72, cot_prc_med = 66, cot_prc_mediana = 66 WHERE cot_id = 1120;</v>
      </c>
    </row>
    <row r="1122" spans="1:10" x14ac:dyDescent="0.3">
      <c r="A1122">
        <v>1121</v>
      </c>
      <c r="B1122">
        <f>IF('Boletins Nuppa Site'!A1122&lt;&gt;0,'Boletins Nuppa Site'!A1122,"NULL")</f>
        <v>66</v>
      </c>
      <c r="C1122">
        <v>9</v>
      </c>
      <c r="D1122" s="14">
        <f>IF('Boletins Nuppa Site'!G1122&lt;&gt;0,'Boletins Nuppa Site'!G1122,"NULL")</f>
        <v>18</v>
      </c>
      <c r="E1122" s="14">
        <f>IF('Boletins Nuppa Site'!H1122&lt;&gt;0,'Boletins Nuppa Site'!H1122,"NULL")</f>
        <v>18</v>
      </c>
      <c r="F1122" s="14">
        <f>IF('Boletins Nuppa Site'!I1122&lt;&gt;0,'Boletins Nuppa Site'!I1122,"NULL")</f>
        <v>24</v>
      </c>
      <c r="G1122" s="14">
        <f>IF('Boletins Nuppa Site'!J1122&lt;&gt;0,'Boletins Nuppa Site'!J1122,"NULL")</f>
        <v>20</v>
      </c>
      <c r="H1122" s="14">
        <f>IF('Boletins Nuppa Site'!K1122&lt;&gt;0,'Boletins Nuppa Site'!K1122,"NULL")</f>
        <v>19</v>
      </c>
      <c r="I1122" t="str">
        <f t="shared" si="34"/>
        <v>INSERT INTO COTACAO (cot_id, cot_blt_id, cot_pap_id, cot_prc_comum, cot_prc_min, cot_prc_max, cot_prc_med, cot_prc_mediana) VALUES (1121, 66, 9, 18, 18, 24, 20, 19);</v>
      </c>
      <c r="J1122" t="str">
        <f t="shared" si="35"/>
        <v>UPDATE COTACAO SET cot_id = 1121, cot_blt_id = 66, cot_pap_id = 9, cot_prc_comum = 18, cot_prc_min = 18, cot_prc_max = 24, cot_prc_med = 20, cot_prc_mediana = 19 WHERE cot_id = 1121;</v>
      </c>
    </row>
    <row r="1123" spans="1:10" x14ac:dyDescent="0.3">
      <c r="A1123">
        <v>1122</v>
      </c>
      <c r="B1123">
        <f>IF('Boletins Nuppa Site'!A1123&lt;&gt;0,'Boletins Nuppa Site'!A1123,"NULL")</f>
        <v>66</v>
      </c>
      <c r="C1123">
        <v>10</v>
      </c>
      <c r="D1123" t="str">
        <f>IF('Boletins Nuppa Site'!G1123&lt;&gt;0,'Boletins Nuppa Site'!G1123,"NULL")</f>
        <v>NULL</v>
      </c>
      <c r="E1123" s="14">
        <f>IF('Boletins Nuppa Site'!H1123&lt;&gt;0,'Boletins Nuppa Site'!H1123,"NULL")</f>
        <v>48</v>
      </c>
      <c r="F1123" s="14">
        <f>IF('Boletins Nuppa Site'!I1123&lt;&gt;0,'Boletins Nuppa Site'!I1123,"NULL")</f>
        <v>72</v>
      </c>
      <c r="G1123" t="str">
        <f>IF('Boletins Nuppa Site'!J1123&lt;&gt;0,'Boletins Nuppa Site'!J1123,"NULL")</f>
        <v>56.67</v>
      </c>
      <c r="H1123" s="14">
        <f>IF('Boletins Nuppa Site'!K1123&lt;&gt;0,'Boletins Nuppa Site'!K1123,"NULL")</f>
        <v>50</v>
      </c>
      <c r="I1123" t="str">
        <f t="shared" si="34"/>
        <v>INSERT INTO COTACAO (cot_id, cot_blt_id, cot_pap_id, cot_prc_comum, cot_prc_min, cot_prc_max, cot_prc_med, cot_prc_mediana) VALUES (1122, 66, 10, NULL, 48, 72, 56.67, 50);</v>
      </c>
      <c r="J1123" t="str">
        <f t="shared" si="35"/>
        <v>UPDATE COTACAO SET cot_id = 1122, cot_blt_id = 66, cot_pap_id = 10, cot_prc_comum = NULL, cot_prc_min = 48, cot_prc_max = 72, cot_prc_med = 56.67, cot_prc_mediana = 50 WHERE cot_id = 1122;</v>
      </c>
    </row>
    <row r="1124" spans="1:10" x14ac:dyDescent="0.3">
      <c r="A1124">
        <v>1123</v>
      </c>
      <c r="B1124">
        <f>IF('Boletins Nuppa Site'!A1124&lt;&gt;0,'Boletins Nuppa Site'!A1124,"NULL")</f>
        <v>66</v>
      </c>
      <c r="C1124">
        <v>11</v>
      </c>
      <c r="D1124" s="14">
        <f>IF('Boletins Nuppa Site'!G1124&lt;&gt;0,'Boletins Nuppa Site'!G1124,"NULL")</f>
        <v>18</v>
      </c>
      <c r="E1124" s="14">
        <f>IF('Boletins Nuppa Site'!H1124&lt;&gt;0,'Boletins Nuppa Site'!H1124,"NULL")</f>
        <v>18</v>
      </c>
      <c r="F1124" s="14">
        <f>IF('Boletins Nuppa Site'!I1124&lt;&gt;0,'Boletins Nuppa Site'!I1124,"NULL")</f>
        <v>24</v>
      </c>
      <c r="G1124" s="14">
        <f>IF('Boletins Nuppa Site'!J1124&lt;&gt;0,'Boletins Nuppa Site'!J1124,"NULL")</f>
        <v>21</v>
      </c>
      <c r="H1124" s="14">
        <f>IF('Boletins Nuppa Site'!K1124&lt;&gt;0,'Boletins Nuppa Site'!K1124,"NULL")</f>
        <v>21</v>
      </c>
      <c r="I1124" t="str">
        <f t="shared" si="34"/>
        <v>INSERT INTO COTACAO (cot_id, cot_blt_id, cot_pap_id, cot_prc_comum, cot_prc_min, cot_prc_max, cot_prc_med, cot_prc_mediana) VALUES (1123, 66, 11, 18, 18, 24, 21, 21);</v>
      </c>
      <c r="J1124" t="str">
        <f t="shared" si="35"/>
        <v>UPDATE COTACAO SET cot_id = 1123, cot_blt_id = 66, cot_pap_id = 11, cot_prc_comum = 18, cot_prc_min = 18, cot_prc_max = 24, cot_prc_med = 21, cot_prc_mediana = 21 WHERE cot_id = 1123;</v>
      </c>
    </row>
    <row r="1125" spans="1:10" x14ac:dyDescent="0.3">
      <c r="A1125">
        <v>1124</v>
      </c>
      <c r="B1125">
        <f>IF('Boletins Nuppa Site'!A1125&lt;&gt;0,'Boletins Nuppa Site'!A1125,"NULL")</f>
        <v>66</v>
      </c>
      <c r="C1125">
        <v>12</v>
      </c>
      <c r="D1125" s="14">
        <f>IF('Boletins Nuppa Site'!G1125&lt;&gt;0,'Boletins Nuppa Site'!G1125,"NULL")</f>
        <v>60</v>
      </c>
      <c r="E1125" s="14">
        <f>IF('Boletins Nuppa Site'!H1125&lt;&gt;0,'Boletins Nuppa Site'!H1125,"NULL")</f>
        <v>48</v>
      </c>
      <c r="F1125" s="14">
        <f>IF('Boletins Nuppa Site'!I1125&lt;&gt;0,'Boletins Nuppa Site'!I1125,"NULL")</f>
        <v>60</v>
      </c>
      <c r="G1125" s="14">
        <f>IF('Boletins Nuppa Site'!J1125&lt;&gt;0,'Boletins Nuppa Site'!J1125,"NULL")</f>
        <v>56</v>
      </c>
      <c r="H1125" s="14">
        <f>IF('Boletins Nuppa Site'!K1125&lt;&gt;0,'Boletins Nuppa Site'!K1125,"NULL")</f>
        <v>60</v>
      </c>
      <c r="I1125" t="str">
        <f t="shared" si="34"/>
        <v>INSERT INTO COTACAO (cot_id, cot_blt_id, cot_pap_id, cot_prc_comum, cot_prc_min, cot_prc_max, cot_prc_med, cot_prc_mediana) VALUES (1124, 66, 12, 60, 48, 60, 56, 60);</v>
      </c>
      <c r="J1125" t="str">
        <f t="shared" si="35"/>
        <v>UPDATE COTACAO SET cot_id = 1124, cot_blt_id = 66, cot_pap_id = 12, cot_prc_comum = 60, cot_prc_min = 48, cot_prc_max = 60, cot_prc_med = 56, cot_prc_mediana = 60 WHERE cot_id = 1124;</v>
      </c>
    </row>
    <row r="1126" spans="1:10" x14ac:dyDescent="0.3">
      <c r="A1126">
        <v>1125</v>
      </c>
      <c r="B1126">
        <f>IF('Boletins Nuppa Site'!A1126&lt;&gt;0,'Boletins Nuppa Site'!A1126,"NULL")</f>
        <v>66</v>
      </c>
      <c r="C1126">
        <v>13</v>
      </c>
      <c r="D1126" s="14">
        <f>IF('Boletins Nuppa Site'!G1126&lt;&gt;0,'Boletins Nuppa Site'!G1126,"NULL")</f>
        <v>48</v>
      </c>
      <c r="E1126" s="14">
        <f>IF('Boletins Nuppa Site'!H1126&lt;&gt;0,'Boletins Nuppa Site'!H1126,"NULL")</f>
        <v>48</v>
      </c>
      <c r="F1126" s="14">
        <f>IF('Boletins Nuppa Site'!I1126&lt;&gt;0,'Boletins Nuppa Site'!I1126,"NULL")</f>
        <v>60</v>
      </c>
      <c r="G1126" s="14">
        <f>IF('Boletins Nuppa Site'!J1126&lt;&gt;0,'Boletins Nuppa Site'!J1126,"NULL")</f>
        <v>54</v>
      </c>
      <c r="H1126" s="14">
        <f>IF('Boletins Nuppa Site'!K1126&lt;&gt;0,'Boletins Nuppa Site'!K1126,"NULL")</f>
        <v>54</v>
      </c>
      <c r="I1126" t="str">
        <f t="shared" si="34"/>
        <v>INSERT INTO COTACAO (cot_id, cot_blt_id, cot_pap_id, cot_prc_comum, cot_prc_min, cot_prc_max, cot_prc_med, cot_prc_mediana) VALUES (1125, 66, 13, 48, 48, 60, 54, 54);</v>
      </c>
      <c r="J1126" t="str">
        <f t="shared" si="35"/>
        <v>UPDATE COTACAO SET cot_id = 1125, cot_blt_id = 66, cot_pap_id = 13, cot_prc_comum = 48, cot_prc_min = 48, cot_prc_max = 60, cot_prc_med = 54, cot_prc_mediana = 54 WHERE cot_id = 1125;</v>
      </c>
    </row>
    <row r="1127" spans="1:10" x14ac:dyDescent="0.3">
      <c r="A1127">
        <v>1126</v>
      </c>
      <c r="B1127">
        <f>IF('Boletins Nuppa Site'!A1127&lt;&gt;0,'Boletins Nuppa Site'!A1127,"NULL")</f>
        <v>66</v>
      </c>
      <c r="C1127">
        <v>14</v>
      </c>
      <c r="D1127" s="14">
        <f>IF('Boletins Nuppa Site'!G1127&lt;&gt;0,'Boletins Nuppa Site'!G1127,"NULL")</f>
        <v>60</v>
      </c>
      <c r="E1127" s="14">
        <f>IF('Boletins Nuppa Site'!H1127&lt;&gt;0,'Boletins Nuppa Site'!H1127,"NULL")</f>
        <v>48</v>
      </c>
      <c r="F1127" s="14">
        <f>IF('Boletins Nuppa Site'!I1127&lt;&gt;0,'Boletins Nuppa Site'!I1127,"NULL")</f>
        <v>60</v>
      </c>
      <c r="G1127" s="14">
        <f>IF('Boletins Nuppa Site'!J1127&lt;&gt;0,'Boletins Nuppa Site'!J1127,"NULL")</f>
        <v>56</v>
      </c>
      <c r="H1127" s="14">
        <f>IF('Boletins Nuppa Site'!K1127&lt;&gt;0,'Boletins Nuppa Site'!K1127,"NULL")</f>
        <v>60</v>
      </c>
      <c r="I1127" t="str">
        <f t="shared" si="34"/>
        <v>INSERT INTO COTACAO (cot_id, cot_blt_id, cot_pap_id, cot_prc_comum, cot_prc_min, cot_prc_max, cot_prc_med, cot_prc_mediana) VALUES (1126, 66, 14, 60, 48, 60, 56, 60);</v>
      </c>
      <c r="J1127" t="str">
        <f t="shared" si="35"/>
        <v>UPDATE COTACAO SET cot_id = 1126, cot_blt_id = 66, cot_pap_id = 14, cot_prc_comum = 60, cot_prc_min = 48, cot_prc_max = 60, cot_prc_med = 56, cot_prc_mediana = 60 WHERE cot_id = 1126;</v>
      </c>
    </row>
    <row r="1128" spans="1:10" x14ac:dyDescent="0.3">
      <c r="A1128">
        <v>1127</v>
      </c>
      <c r="B1128">
        <f>IF('Boletins Nuppa Site'!A1128&lt;&gt;0,'Boletins Nuppa Site'!A1128,"NULL")</f>
        <v>66</v>
      </c>
      <c r="C1128">
        <v>15</v>
      </c>
      <c r="D1128" s="14">
        <f>IF('Boletins Nuppa Site'!G1128&lt;&gt;0,'Boletins Nuppa Site'!G1128,"NULL")</f>
        <v>36</v>
      </c>
      <c r="E1128" s="14">
        <f>IF('Boletins Nuppa Site'!H1128&lt;&gt;0,'Boletins Nuppa Site'!H1128,"NULL")</f>
        <v>36</v>
      </c>
      <c r="F1128" s="14">
        <f>IF('Boletins Nuppa Site'!I1128&lt;&gt;0,'Boletins Nuppa Site'!I1128,"NULL")</f>
        <v>45</v>
      </c>
      <c r="G1128" t="str">
        <f>IF('Boletins Nuppa Site'!J1128&lt;&gt;0,'Boletins Nuppa Site'!J1128,"NULL")</f>
        <v>39.25</v>
      </c>
      <c r="H1128" s="14">
        <f>IF('Boletins Nuppa Site'!K1128&lt;&gt;0,'Boletins Nuppa Site'!K1128,"NULL")</f>
        <v>38</v>
      </c>
      <c r="I1128" t="str">
        <f t="shared" si="34"/>
        <v>INSERT INTO COTACAO (cot_id, cot_blt_id, cot_pap_id, cot_prc_comum, cot_prc_min, cot_prc_max, cot_prc_med, cot_prc_mediana) VALUES (1127, 66, 15, 36, 36, 45, 39.25, 38);</v>
      </c>
      <c r="J1128" t="str">
        <f t="shared" si="35"/>
        <v>UPDATE COTACAO SET cot_id = 1127, cot_blt_id = 66, cot_pap_id = 15, cot_prc_comum = 36, cot_prc_min = 36, cot_prc_max = 45, cot_prc_med = 39.25, cot_prc_mediana = 38 WHERE cot_id = 1127;</v>
      </c>
    </row>
    <row r="1129" spans="1:10" x14ac:dyDescent="0.3">
      <c r="A1129">
        <v>1128</v>
      </c>
      <c r="B1129">
        <f>IF('Boletins Nuppa Site'!A1129&lt;&gt;0,'Boletins Nuppa Site'!A1129,"NULL")</f>
        <v>66</v>
      </c>
      <c r="C1129">
        <v>16</v>
      </c>
      <c r="D1129" s="14">
        <f>IF('Boletins Nuppa Site'!G1129&lt;&gt;0,'Boletins Nuppa Site'!G1129,"NULL")</f>
        <v>48</v>
      </c>
      <c r="E1129" s="14">
        <f>IF('Boletins Nuppa Site'!H1129&lt;&gt;0,'Boletins Nuppa Site'!H1129,"NULL")</f>
        <v>42</v>
      </c>
      <c r="F1129" s="14">
        <f>IF('Boletins Nuppa Site'!I1129&lt;&gt;0,'Boletins Nuppa Site'!I1129,"NULL")</f>
        <v>48</v>
      </c>
      <c r="G1129" t="str">
        <f>IF('Boletins Nuppa Site'!J1129&lt;&gt;0,'Boletins Nuppa Site'!J1129,"NULL")</f>
        <v>46.5</v>
      </c>
      <c r="H1129" s="14">
        <f>IF('Boletins Nuppa Site'!K1129&lt;&gt;0,'Boletins Nuppa Site'!K1129,"NULL")</f>
        <v>48</v>
      </c>
      <c r="I1129" t="str">
        <f t="shared" si="34"/>
        <v>INSERT INTO COTACAO (cot_id, cot_blt_id, cot_pap_id, cot_prc_comum, cot_prc_min, cot_prc_max, cot_prc_med, cot_prc_mediana) VALUES (1128, 66, 16, 48, 42, 48, 46.5, 48);</v>
      </c>
      <c r="J1129" t="str">
        <f t="shared" si="35"/>
        <v>UPDATE COTACAO SET cot_id = 1128, cot_blt_id = 66, cot_pap_id = 16, cot_prc_comum = 48, cot_prc_min = 42, cot_prc_max = 48, cot_prc_med = 46.5, cot_prc_mediana = 48 WHERE cot_id = 1128;</v>
      </c>
    </row>
    <row r="1130" spans="1:10" x14ac:dyDescent="0.3">
      <c r="A1130">
        <v>1129</v>
      </c>
      <c r="B1130">
        <f>IF('Boletins Nuppa Site'!A1130&lt;&gt;0,'Boletins Nuppa Site'!A1130,"NULL")</f>
        <v>66</v>
      </c>
      <c r="C1130">
        <v>17</v>
      </c>
      <c r="D1130" s="14">
        <f>IF('Boletins Nuppa Site'!G1130&lt;&gt;0,'Boletins Nuppa Site'!G1130,"NULL")</f>
        <v>5</v>
      </c>
      <c r="E1130" s="14">
        <f>IF('Boletins Nuppa Site'!H1130&lt;&gt;0,'Boletins Nuppa Site'!H1130,"NULL")</f>
        <v>5</v>
      </c>
      <c r="F1130" t="str">
        <f>IF('Boletins Nuppa Site'!I1130&lt;&gt;0,'Boletins Nuppa Site'!I1130,"NULL")</f>
        <v>5.5</v>
      </c>
      <c r="G1130" t="str">
        <f>IF('Boletins Nuppa Site'!J1130&lt;&gt;0,'Boletins Nuppa Site'!J1130,"NULL")</f>
        <v>5.13</v>
      </c>
      <c r="H1130" s="14">
        <f>IF('Boletins Nuppa Site'!K1130&lt;&gt;0,'Boletins Nuppa Site'!K1130,"NULL")</f>
        <v>5</v>
      </c>
      <c r="I1130" t="str">
        <f t="shared" si="34"/>
        <v>INSERT INTO COTACAO (cot_id, cot_blt_id, cot_pap_id, cot_prc_comum, cot_prc_min, cot_prc_max, cot_prc_med, cot_prc_mediana) VALUES (1129, 66, 17, 5, 5, 5.5, 5.13, 5);</v>
      </c>
      <c r="J1130" t="str">
        <f t="shared" si="35"/>
        <v>UPDATE COTACAO SET cot_id = 1129, cot_blt_id = 66, cot_pap_id = 17, cot_prc_comum = 5, cot_prc_min = 5, cot_prc_max = 5.5, cot_prc_med = 5.13, cot_prc_mediana = 5 WHERE cot_id = 1129;</v>
      </c>
    </row>
    <row r="1131" spans="1:10" x14ac:dyDescent="0.3">
      <c r="A1131">
        <v>1130</v>
      </c>
      <c r="B1131">
        <f>IF('Boletins Nuppa Site'!A1131&lt;&gt;0,'Boletins Nuppa Site'!A1131,"NULL")</f>
        <v>66</v>
      </c>
      <c r="C1131">
        <v>18</v>
      </c>
      <c r="D1131" s="14">
        <f>IF('Boletins Nuppa Site'!G1131&lt;&gt;0,'Boletins Nuppa Site'!G1131,"NULL")</f>
        <v>12</v>
      </c>
      <c r="E1131" s="14">
        <f>IF('Boletins Nuppa Site'!H1131&lt;&gt;0,'Boletins Nuppa Site'!H1131,"NULL")</f>
        <v>10</v>
      </c>
      <c r="F1131" s="14">
        <f>IF('Boletins Nuppa Site'!I1131&lt;&gt;0,'Boletins Nuppa Site'!I1131,"NULL")</f>
        <v>12</v>
      </c>
      <c r="G1131" s="14">
        <f>IF('Boletins Nuppa Site'!J1131&lt;&gt;0,'Boletins Nuppa Site'!J1131,"NULL")</f>
        <v>11</v>
      </c>
      <c r="H1131" s="14">
        <f>IF('Boletins Nuppa Site'!K1131&lt;&gt;0,'Boletins Nuppa Site'!K1131,"NULL")</f>
        <v>11</v>
      </c>
      <c r="I1131" t="str">
        <f t="shared" si="34"/>
        <v>INSERT INTO COTACAO (cot_id, cot_blt_id, cot_pap_id, cot_prc_comum, cot_prc_min, cot_prc_max, cot_prc_med, cot_prc_mediana) VALUES (1130, 66, 18, 12, 10, 12, 11, 11);</v>
      </c>
      <c r="J1131" t="str">
        <f t="shared" si="35"/>
        <v>UPDATE COTACAO SET cot_id = 1130, cot_blt_id = 66, cot_pap_id = 18, cot_prc_comum = 12, cot_prc_min = 10, cot_prc_max = 12, cot_prc_med = 11, cot_prc_mediana = 11 WHERE cot_id = 1130;</v>
      </c>
    </row>
    <row r="1132" spans="1:10" x14ac:dyDescent="0.3">
      <c r="A1132">
        <v>1131</v>
      </c>
      <c r="B1132">
        <f>IF('Boletins Nuppa Site'!A1132&lt;&gt;0,'Boletins Nuppa Site'!A1132,"NULL")</f>
        <v>66</v>
      </c>
      <c r="C1132">
        <v>19</v>
      </c>
      <c r="D1132" t="str">
        <f>IF('Boletins Nuppa Site'!G1132&lt;&gt;0,'Boletins Nuppa Site'!G1132,"NULL")</f>
        <v>NULL</v>
      </c>
      <c r="E1132" s="14">
        <f>IF('Boletins Nuppa Site'!H1132&lt;&gt;0,'Boletins Nuppa Site'!H1132,"NULL")</f>
        <v>10</v>
      </c>
      <c r="F1132" s="14">
        <f>IF('Boletins Nuppa Site'!I1132&lt;&gt;0,'Boletins Nuppa Site'!I1132,"NULL")</f>
        <v>30</v>
      </c>
      <c r="G1132" t="str">
        <f>IF('Boletins Nuppa Site'!J1132&lt;&gt;0,'Boletins Nuppa Site'!J1132,"NULL")</f>
        <v>18.75</v>
      </c>
      <c r="H1132" t="str">
        <f>IF('Boletins Nuppa Site'!K1132&lt;&gt;0,'Boletins Nuppa Site'!K1132,"NULL")</f>
        <v>17.5</v>
      </c>
      <c r="I1132" t="str">
        <f t="shared" si="34"/>
        <v>INSERT INTO COTACAO (cot_id, cot_blt_id, cot_pap_id, cot_prc_comum, cot_prc_min, cot_prc_max, cot_prc_med, cot_prc_mediana) VALUES (1131, 66, 19, NULL, 10, 30, 18.75, 17.5);</v>
      </c>
      <c r="J1132" t="str">
        <f t="shared" si="35"/>
        <v>UPDATE COTACAO SET cot_id = 1131, cot_blt_id = 66, cot_pap_id = 19, cot_prc_comum = NULL, cot_prc_min = 10, cot_prc_max = 30, cot_prc_med = 18.75, cot_prc_mediana = 17.5 WHERE cot_id = 1131;</v>
      </c>
    </row>
    <row r="1133" spans="1:10" x14ac:dyDescent="0.3">
      <c r="A1133">
        <v>1132</v>
      </c>
      <c r="B1133">
        <f>IF('Boletins Nuppa Site'!A1133&lt;&gt;0,'Boletins Nuppa Site'!A1133,"NULL")</f>
        <v>66</v>
      </c>
      <c r="C1133">
        <v>20</v>
      </c>
      <c r="D1133" t="str">
        <f>IF('Boletins Nuppa Site'!G1133&lt;&gt;0,'Boletins Nuppa Site'!G1133,"NULL")</f>
        <v>NULL</v>
      </c>
      <c r="E1133" s="14">
        <f>IF('Boletins Nuppa Site'!H1133&lt;&gt;0,'Boletins Nuppa Site'!H1133,"NULL")</f>
        <v>75</v>
      </c>
      <c r="F1133" s="14">
        <f>IF('Boletins Nuppa Site'!I1133&lt;&gt;0,'Boletins Nuppa Site'!I1133,"NULL")</f>
        <v>75</v>
      </c>
      <c r="G1133" s="14">
        <f>IF('Boletins Nuppa Site'!J1133&lt;&gt;0,'Boletins Nuppa Site'!J1133,"NULL")</f>
        <v>75</v>
      </c>
      <c r="H1133" s="14">
        <f>IF('Boletins Nuppa Site'!K1133&lt;&gt;0,'Boletins Nuppa Site'!K1133,"NULL")</f>
        <v>75</v>
      </c>
      <c r="I1133" t="str">
        <f t="shared" si="34"/>
        <v>INSERT INTO COTACAO (cot_id, cot_blt_id, cot_pap_id, cot_prc_comum, cot_prc_min, cot_prc_max, cot_prc_med, cot_prc_mediana) VALUES (1132, 66, 20, NULL, 75, 75, 75, 75);</v>
      </c>
      <c r="J1133" t="str">
        <f t="shared" si="35"/>
        <v>UPDATE COTACAO SET cot_id = 1132, cot_blt_id = 66, cot_pap_id = 20, cot_prc_comum = NULL, cot_prc_min = 75, cot_prc_max = 75, cot_prc_med = 75, cot_prc_mediana = 75 WHERE cot_id = 1132;</v>
      </c>
    </row>
    <row r="1134" spans="1:10" x14ac:dyDescent="0.3">
      <c r="A1134">
        <v>1133</v>
      </c>
      <c r="B1134">
        <f>IF('Boletins Nuppa Site'!A1134&lt;&gt;0,'Boletins Nuppa Site'!A1134,"NULL")</f>
        <v>66</v>
      </c>
      <c r="C1134">
        <v>21</v>
      </c>
      <c r="D1134" s="14">
        <f>IF('Boletins Nuppa Site'!G1134&lt;&gt;0,'Boletins Nuppa Site'!G1134,"NULL")</f>
        <v>60</v>
      </c>
      <c r="E1134" s="14">
        <f>IF('Boletins Nuppa Site'!H1134&lt;&gt;0,'Boletins Nuppa Site'!H1134,"NULL")</f>
        <v>50</v>
      </c>
      <c r="F1134" s="14">
        <f>IF('Boletins Nuppa Site'!I1134&lt;&gt;0,'Boletins Nuppa Site'!I1134,"NULL")</f>
        <v>60</v>
      </c>
      <c r="G1134" s="14">
        <f>IF('Boletins Nuppa Site'!J1134&lt;&gt;0,'Boletins Nuppa Site'!J1134,"NULL")</f>
        <v>57</v>
      </c>
      <c r="H1134" s="14">
        <f>IF('Boletins Nuppa Site'!K1134&lt;&gt;0,'Boletins Nuppa Site'!K1134,"NULL")</f>
        <v>60</v>
      </c>
      <c r="I1134" t="str">
        <f t="shared" si="34"/>
        <v>INSERT INTO COTACAO (cot_id, cot_blt_id, cot_pap_id, cot_prc_comum, cot_prc_min, cot_prc_max, cot_prc_med, cot_prc_mediana) VALUES (1133, 66, 21, 60, 50, 60, 57, 60);</v>
      </c>
      <c r="J1134" t="str">
        <f t="shared" si="35"/>
        <v>UPDATE COTACAO SET cot_id = 1133, cot_blt_id = 66, cot_pap_id = 21, cot_prc_comum = 60, cot_prc_min = 50, cot_prc_max = 60, cot_prc_med = 57, cot_prc_mediana = 60 WHERE cot_id = 1133;</v>
      </c>
    </row>
    <row r="1135" spans="1:10" x14ac:dyDescent="0.3">
      <c r="A1135">
        <v>1134</v>
      </c>
      <c r="B1135">
        <f>IF('Boletins Nuppa Site'!A1135&lt;&gt;0,'Boletins Nuppa Site'!A1135,"NULL")</f>
        <v>66</v>
      </c>
      <c r="C1135">
        <v>22</v>
      </c>
      <c r="D1135" s="14">
        <f>IF('Boletins Nuppa Site'!G1135&lt;&gt;0,'Boletins Nuppa Site'!G1135,"NULL")</f>
        <v>70</v>
      </c>
      <c r="E1135" s="14">
        <f>IF('Boletins Nuppa Site'!H1135&lt;&gt;0,'Boletins Nuppa Site'!H1135,"NULL")</f>
        <v>45</v>
      </c>
      <c r="F1135" s="14">
        <f>IF('Boletins Nuppa Site'!I1135&lt;&gt;0,'Boletins Nuppa Site'!I1135,"NULL")</f>
        <v>70</v>
      </c>
      <c r="G1135" s="14">
        <f>IF('Boletins Nuppa Site'!J1135&lt;&gt;0,'Boletins Nuppa Site'!J1135,"NULL")</f>
        <v>63</v>
      </c>
      <c r="H1135" s="14">
        <f>IF('Boletins Nuppa Site'!K1135&lt;&gt;0,'Boletins Nuppa Site'!K1135,"NULL")</f>
        <v>70</v>
      </c>
      <c r="I1135" t="str">
        <f t="shared" si="34"/>
        <v>INSERT INTO COTACAO (cot_id, cot_blt_id, cot_pap_id, cot_prc_comum, cot_prc_min, cot_prc_max, cot_prc_med, cot_prc_mediana) VALUES (1134, 66, 22, 70, 45, 70, 63, 70);</v>
      </c>
      <c r="J1135" t="str">
        <f t="shared" si="35"/>
        <v>UPDATE COTACAO SET cot_id = 1134, cot_blt_id = 66, cot_pap_id = 22, cot_prc_comum = 70, cot_prc_min = 45, cot_prc_max = 70, cot_prc_med = 63, cot_prc_mediana = 70 WHERE cot_id = 1134;</v>
      </c>
    </row>
    <row r="1136" spans="1:10" x14ac:dyDescent="0.3">
      <c r="A1136">
        <v>1135</v>
      </c>
      <c r="B1136">
        <f>IF('Boletins Nuppa Site'!A1136&lt;&gt;0,'Boletins Nuppa Site'!A1136,"NULL")</f>
        <v>66</v>
      </c>
      <c r="C1136">
        <v>23</v>
      </c>
      <c r="D1136" s="14">
        <f>IF('Boletins Nuppa Site'!G1136&lt;&gt;0,'Boletins Nuppa Site'!G1136,"NULL")</f>
        <v>50</v>
      </c>
      <c r="E1136" s="14">
        <f>IF('Boletins Nuppa Site'!H1136&lt;&gt;0,'Boletins Nuppa Site'!H1136,"NULL")</f>
        <v>45</v>
      </c>
      <c r="F1136" s="14">
        <f>IF('Boletins Nuppa Site'!I1136&lt;&gt;0,'Boletins Nuppa Site'!I1136,"NULL")</f>
        <v>60</v>
      </c>
      <c r="G1136" s="14">
        <f>IF('Boletins Nuppa Site'!J1136&lt;&gt;0,'Boletins Nuppa Site'!J1136,"NULL")</f>
        <v>52</v>
      </c>
      <c r="H1136" s="14">
        <f>IF('Boletins Nuppa Site'!K1136&lt;&gt;0,'Boletins Nuppa Site'!K1136,"NULL")</f>
        <v>50</v>
      </c>
      <c r="I1136" t="str">
        <f t="shared" si="34"/>
        <v>INSERT INTO COTACAO (cot_id, cot_blt_id, cot_pap_id, cot_prc_comum, cot_prc_min, cot_prc_max, cot_prc_med, cot_prc_mediana) VALUES (1135, 66, 23, 50, 45, 60, 52, 50);</v>
      </c>
      <c r="J1136" t="str">
        <f t="shared" si="35"/>
        <v>UPDATE COTACAO SET cot_id = 1135, cot_blt_id = 66, cot_pap_id = 23, cot_prc_comum = 50, cot_prc_min = 45, cot_prc_max = 60, cot_prc_med = 52, cot_prc_mediana = 50 WHERE cot_id = 1135;</v>
      </c>
    </row>
    <row r="1137" spans="1:10" x14ac:dyDescent="0.3">
      <c r="A1137">
        <v>1136</v>
      </c>
      <c r="B1137">
        <f>IF('Boletins Nuppa Site'!A1137&lt;&gt;0,'Boletins Nuppa Site'!A1137,"NULL")</f>
        <v>66</v>
      </c>
      <c r="C1137">
        <v>24</v>
      </c>
      <c r="D1137" t="str">
        <f>IF('Boletins Nuppa Site'!G1137&lt;&gt;0,'Boletins Nuppa Site'!G1137,"NULL")</f>
        <v>NULL</v>
      </c>
      <c r="E1137" s="14">
        <f>IF('Boletins Nuppa Site'!H1137&lt;&gt;0,'Boletins Nuppa Site'!H1137,"NULL")</f>
        <v>90</v>
      </c>
      <c r="F1137" s="14">
        <f>IF('Boletins Nuppa Site'!I1137&lt;&gt;0,'Boletins Nuppa Site'!I1137,"NULL")</f>
        <v>90</v>
      </c>
      <c r="G1137" s="14">
        <f>IF('Boletins Nuppa Site'!J1137&lt;&gt;0,'Boletins Nuppa Site'!J1137,"NULL")</f>
        <v>90</v>
      </c>
      <c r="H1137" s="14">
        <f>IF('Boletins Nuppa Site'!K1137&lt;&gt;0,'Boletins Nuppa Site'!K1137,"NULL")</f>
        <v>90</v>
      </c>
      <c r="I1137" t="str">
        <f t="shared" si="34"/>
        <v>INSERT INTO COTACAO (cot_id, cot_blt_id, cot_pap_id, cot_prc_comum, cot_prc_min, cot_prc_max, cot_prc_med, cot_prc_mediana) VALUES (1136, 66, 24, NULL, 90, 90, 90, 90);</v>
      </c>
      <c r="J1137" t="str">
        <f t="shared" si="35"/>
        <v>UPDATE COTACAO SET cot_id = 1136, cot_blt_id = 66, cot_pap_id = 24, cot_prc_comum = NULL, cot_prc_min = 90, cot_prc_max = 90, cot_prc_med = 90, cot_prc_mediana = 90 WHERE cot_id = 1136;</v>
      </c>
    </row>
    <row r="1138" spans="1:10" x14ac:dyDescent="0.3">
      <c r="A1138">
        <v>1137</v>
      </c>
      <c r="B1138">
        <f>IF('Boletins Nuppa Site'!A1138&lt;&gt;0,'Boletins Nuppa Site'!A1138,"NULL")</f>
        <v>66</v>
      </c>
      <c r="C1138">
        <v>25</v>
      </c>
      <c r="D1138" s="14">
        <f>IF('Boletins Nuppa Site'!G1138&lt;&gt;0,'Boletins Nuppa Site'!G1138,"NULL")</f>
        <v>70</v>
      </c>
      <c r="E1138" s="14">
        <f>IF('Boletins Nuppa Site'!H1138&lt;&gt;0,'Boletins Nuppa Site'!H1138,"NULL")</f>
        <v>60</v>
      </c>
      <c r="F1138" s="14">
        <f>IF('Boletins Nuppa Site'!I1138&lt;&gt;0,'Boletins Nuppa Site'!I1138,"NULL")</f>
        <v>70</v>
      </c>
      <c r="G1138" s="14">
        <f>IF('Boletins Nuppa Site'!J1138&lt;&gt;0,'Boletins Nuppa Site'!J1138,"NULL")</f>
        <v>65</v>
      </c>
      <c r="H1138" s="14">
        <f>IF('Boletins Nuppa Site'!K1138&lt;&gt;0,'Boletins Nuppa Site'!K1138,"NULL")</f>
        <v>65</v>
      </c>
      <c r="I1138" t="str">
        <f t="shared" si="34"/>
        <v>INSERT INTO COTACAO (cot_id, cot_blt_id, cot_pap_id, cot_prc_comum, cot_prc_min, cot_prc_max, cot_prc_med, cot_prc_mediana) VALUES (1137, 66, 25, 70, 60, 70, 65, 65);</v>
      </c>
      <c r="J1138" t="str">
        <f t="shared" si="35"/>
        <v>UPDATE COTACAO SET cot_id = 1137, cot_blt_id = 66, cot_pap_id = 25, cot_prc_comum = 70, cot_prc_min = 60, cot_prc_max = 70, cot_prc_med = 65, cot_prc_mediana = 65 WHERE cot_id = 1137;</v>
      </c>
    </row>
    <row r="1139" spans="1:10" x14ac:dyDescent="0.3">
      <c r="A1139">
        <v>1138</v>
      </c>
      <c r="B1139">
        <f>IF('Boletins Nuppa Site'!A1139&lt;&gt;0,'Boletins Nuppa Site'!A1139,"NULL")</f>
        <v>66</v>
      </c>
      <c r="C1139">
        <v>26</v>
      </c>
      <c r="D1139" s="14">
        <f>IF('Boletins Nuppa Site'!G1139&lt;&gt;0,'Boletins Nuppa Site'!G1139,"NULL")</f>
        <v>60</v>
      </c>
      <c r="E1139" s="14">
        <f>IF('Boletins Nuppa Site'!H1139&lt;&gt;0,'Boletins Nuppa Site'!H1139,"NULL")</f>
        <v>45</v>
      </c>
      <c r="F1139" s="14">
        <f>IF('Boletins Nuppa Site'!I1139&lt;&gt;0,'Boletins Nuppa Site'!I1139,"NULL")</f>
        <v>65</v>
      </c>
      <c r="G1139" s="14">
        <f>IF('Boletins Nuppa Site'!J1139&lt;&gt;0,'Boletins Nuppa Site'!J1139,"NULL")</f>
        <v>57</v>
      </c>
      <c r="H1139" s="14">
        <f>IF('Boletins Nuppa Site'!K1139&lt;&gt;0,'Boletins Nuppa Site'!K1139,"NULL")</f>
        <v>60</v>
      </c>
      <c r="I1139" t="str">
        <f t="shared" si="34"/>
        <v>INSERT INTO COTACAO (cot_id, cot_blt_id, cot_pap_id, cot_prc_comum, cot_prc_min, cot_prc_max, cot_prc_med, cot_prc_mediana) VALUES (1138, 66, 26, 60, 45, 65, 57, 60);</v>
      </c>
      <c r="J1139" t="str">
        <f t="shared" si="35"/>
        <v>UPDATE COTACAO SET cot_id = 1138, cot_blt_id = 66, cot_pap_id = 26, cot_prc_comum = 60, cot_prc_min = 45, cot_prc_max = 65, cot_prc_med = 57, cot_prc_mediana = 60 WHERE cot_id = 1138;</v>
      </c>
    </row>
    <row r="1140" spans="1:10" x14ac:dyDescent="0.3">
      <c r="A1140">
        <v>1139</v>
      </c>
      <c r="B1140">
        <f>IF('Boletins Nuppa Site'!A1140&lt;&gt;0,'Boletins Nuppa Site'!A1140,"NULL")</f>
        <v>66</v>
      </c>
      <c r="C1140">
        <v>27</v>
      </c>
      <c r="D1140" s="14">
        <f>IF('Boletins Nuppa Site'!G1140&lt;&gt;0,'Boletins Nuppa Site'!G1140,"NULL")</f>
        <v>60</v>
      </c>
      <c r="E1140" s="14">
        <f>IF('Boletins Nuppa Site'!H1140&lt;&gt;0,'Boletins Nuppa Site'!H1140,"NULL")</f>
        <v>55</v>
      </c>
      <c r="F1140" s="14">
        <f>IF('Boletins Nuppa Site'!I1140&lt;&gt;0,'Boletins Nuppa Site'!I1140,"NULL")</f>
        <v>80</v>
      </c>
      <c r="G1140" s="14">
        <f>IF('Boletins Nuppa Site'!J1140&lt;&gt;0,'Boletins Nuppa Site'!J1140,"NULL")</f>
        <v>66</v>
      </c>
      <c r="H1140" s="14">
        <f>IF('Boletins Nuppa Site'!K1140&lt;&gt;0,'Boletins Nuppa Site'!K1140,"NULL")</f>
        <v>60</v>
      </c>
      <c r="I1140" t="str">
        <f t="shared" si="34"/>
        <v>INSERT INTO COTACAO (cot_id, cot_blt_id, cot_pap_id, cot_prc_comum, cot_prc_min, cot_prc_max, cot_prc_med, cot_prc_mediana) VALUES (1139, 66, 27, 60, 55, 80, 66, 60);</v>
      </c>
      <c r="J1140" t="str">
        <f t="shared" si="35"/>
        <v>UPDATE COTACAO SET cot_id = 1139, cot_blt_id = 66, cot_pap_id = 27, cot_prc_comum = 60, cot_prc_min = 55, cot_prc_max = 80, cot_prc_med = 66, cot_prc_mediana = 60 WHERE cot_id = 1139;</v>
      </c>
    </row>
    <row r="1141" spans="1:10" x14ac:dyDescent="0.3">
      <c r="A1141">
        <v>1140</v>
      </c>
      <c r="B1141">
        <f>IF('Boletins Nuppa Site'!A1141&lt;&gt;0,'Boletins Nuppa Site'!A1141,"NULL")</f>
        <v>66</v>
      </c>
      <c r="C1141">
        <v>28</v>
      </c>
      <c r="D1141" s="14">
        <f>IF('Boletins Nuppa Site'!G1141&lt;&gt;0,'Boletins Nuppa Site'!G1141,"NULL")</f>
        <v>90</v>
      </c>
      <c r="E1141" s="14">
        <f>IF('Boletins Nuppa Site'!H1141&lt;&gt;0,'Boletins Nuppa Site'!H1141,"NULL")</f>
        <v>90</v>
      </c>
      <c r="F1141" s="14">
        <f>IF('Boletins Nuppa Site'!I1141&lt;&gt;0,'Boletins Nuppa Site'!I1141,"NULL")</f>
        <v>100</v>
      </c>
      <c r="G1141" t="str">
        <f>IF('Boletins Nuppa Site'!J1141&lt;&gt;0,'Boletins Nuppa Site'!J1141,"NULL")</f>
        <v>93.75</v>
      </c>
      <c r="H1141" t="str">
        <f>IF('Boletins Nuppa Site'!K1141&lt;&gt;0,'Boletins Nuppa Site'!K1141,"NULL")</f>
        <v>92.5</v>
      </c>
      <c r="I1141" t="str">
        <f t="shared" si="34"/>
        <v>INSERT INTO COTACAO (cot_id, cot_blt_id, cot_pap_id, cot_prc_comum, cot_prc_min, cot_prc_max, cot_prc_med, cot_prc_mediana) VALUES (1140, 66, 28, 90, 90, 100, 93.75, 92.5);</v>
      </c>
      <c r="J1141" t="str">
        <f t="shared" si="35"/>
        <v>UPDATE COTACAO SET cot_id = 1140, cot_blt_id = 66, cot_pap_id = 28, cot_prc_comum = 90, cot_prc_min = 90, cot_prc_max = 100, cot_prc_med = 93.75, cot_prc_mediana = 92.5 WHERE cot_id = 1140;</v>
      </c>
    </row>
    <row r="1142" spans="1:10" x14ac:dyDescent="0.3">
      <c r="A1142">
        <v>1141</v>
      </c>
      <c r="B1142">
        <f>IF('Boletins Nuppa Site'!A1142&lt;&gt;0,'Boletins Nuppa Site'!A1142,"NULL")</f>
        <v>66</v>
      </c>
      <c r="C1142">
        <v>29</v>
      </c>
      <c r="D1142" t="str">
        <f>IF('Boletins Nuppa Site'!G1142&lt;&gt;0,'Boletins Nuppa Site'!G1142,"NULL")</f>
        <v>NULL</v>
      </c>
      <c r="E1142" s="14">
        <f>IF('Boletins Nuppa Site'!H1142&lt;&gt;0,'Boletins Nuppa Site'!H1142,"NULL")</f>
        <v>50</v>
      </c>
      <c r="F1142" s="14">
        <f>IF('Boletins Nuppa Site'!I1142&lt;&gt;0,'Boletins Nuppa Site'!I1142,"NULL")</f>
        <v>65</v>
      </c>
      <c r="G1142" t="str">
        <f>IF('Boletins Nuppa Site'!J1142&lt;&gt;0,'Boletins Nuppa Site'!J1142,"NULL")</f>
        <v>57.5</v>
      </c>
      <c r="H1142" t="str">
        <f>IF('Boletins Nuppa Site'!K1142&lt;&gt;0,'Boletins Nuppa Site'!K1142,"NULL")</f>
        <v>57.5</v>
      </c>
      <c r="I1142" t="str">
        <f t="shared" si="34"/>
        <v>INSERT INTO COTACAO (cot_id, cot_blt_id, cot_pap_id, cot_prc_comum, cot_prc_min, cot_prc_max, cot_prc_med, cot_prc_mediana) VALUES (1141, 66, 29, NULL, 50, 65, 57.5, 57.5);</v>
      </c>
      <c r="J1142" t="str">
        <f t="shared" si="35"/>
        <v>UPDATE COTACAO SET cot_id = 1141, cot_blt_id = 66, cot_pap_id = 29, cot_prc_comum = NULL, cot_prc_min = 50, cot_prc_max = 65, cot_prc_med = 57.5, cot_prc_mediana = 57.5 WHERE cot_id = 1141;</v>
      </c>
    </row>
    <row r="1143" spans="1:10" x14ac:dyDescent="0.3">
      <c r="A1143">
        <v>1142</v>
      </c>
      <c r="B1143">
        <f>IF('Boletins Nuppa Site'!A1143&lt;&gt;0,'Boletins Nuppa Site'!A1143,"NULL")</f>
        <v>66</v>
      </c>
      <c r="C1143">
        <v>30</v>
      </c>
      <c r="D1143" t="str">
        <f>IF('Boletins Nuppa Site'!G1143&lt;&gt;0,'Boletins Nuppa Site'!G1143,"NULL")</f>
        <v>NULL</v>
      </c>
      <c r="E1143" s="14">
        <f>IF('Boletins Nuppa Site'!H1143&lt;&gt;0,'Boletins Nuppa Site'!H1143,"NULL")</f>
        <v>60</v>
      </c>
      <c r="F1143" s="14">
        <f>IF('Boletins Nuppa Site'!I1143&lt;&gt;0,'Boletins Nuppa Site'!I1143,"NULL")</f>
        <v>85</v>
      </c>
      <c r="G1143" t="str">
        <f>IF('Boletins Nuppa Site'!J1143&lt;&gt;0,'Boletins Nuppa Site'!J1143,"NULL")</f>
        <v>71.25</v>
      </c>
      <c r="H1143" s="14">
        <f>IF('Boletins Nuppa Site'!K1143&lt;&gt;0,'Boletins Nuppa Site'!K1143,"NULL")</f>
        <v>70</v>
      </c>
      <c r="I1143" t="str">
        <f t="shared" si="34"/>
        <v>INSERT INTO COTACAO (cot_id, cot_blt_id, cot_pap_id, cot_prc_comum, cot_prc_min, cot_prc_max, cot_prc_med, cot_prc_mediana) VALUES (1142, 66, 30, NULL, 60, 85, 71.25, 70);</v>
      </c>
      <c r="J1143" t="str">
        <f t="shared" si="35"/>
        <v>UPDATE COTACAO SET cot_id = 1142, cot_blt_id = 66, cot_pap_id = 30, cot_prc_comum = NULL, cot_prc_min = 60, cot_prc_max = 85, cot_prc_med = 71.25, cot_prc_mediana = 70 WHERE cot_id = 1142;</v>
      </c>
    </row>
    <row r="1144" spans="1:10" x14ac:dyDescent="0.3">
      <c r="A1144">
        <v>1143</v>
      </c>
      <c r="B1144">
        <f>IF('Boletins Nuppa Site'!A1144&lt;&gt;0,'Boletins Nuppa Site'!A1144,"NULL")</f>
        <v>66</v>
      </c>
      <c r="C1144">
        <v>31</v>
      </c>
      <c r="D1144" s="14">
        <f>IF('Boletins Nuppa Site'!G1144&lt;&gt;0,'Boletins Nuppa Site'!G1144,"NULL")</f>
        <v>90</v>
      </c>
      <c r="E1144" s="14">
        <f>IF('Boletins Nuppa Site'!H1144&lt;&gt;0,'Boletins Nuppa Site'!H1144,"NULL")</f>
        <v>80</v>
      </c>
      <c r="F1144" s="14">
        <f>IF('Boletins Nuppa Site'!I1144&lt;&gt;0,'Boletins Nuppa Site'!I1144,"NULL")</f>
        <v>100</v>
      </c>
      <c r="G1144" s="14">
        <f>IF('Boletins Nuppa Site'!J1144&lt;&gt;0,'Boletins Nuppa Site'!J1144,"NULL")</f>
        <v>90</v>
      </c>
      <c r="H1144" s="14">
        <f>IF('Boletins Nuppa Site'!K1144&lt;&gt;0,'Boletins Nuppa Site'!K1144,"NULL")</f>
        <v>90</v>
      </c>
      <c r="I1144" t="str">
        <f t="shared" si="34"/>
        <v>INSERT INTO COTACAO (cot_id, cot_blt_id, cot_pap_id, cot_prc_comum, cot_prc_min, cot_prc_max, cot_prc_med, cot_prc_mediana) VALUES (1143, 66, 31, 90, 80, 100, 90, 90);</v>
      </c>
      <c r="J1144" t="str">
        <f t="shared" si="35"/>
        <v>UPDATE COTACAO SET cot_id = 1143, cot_blt_id = 66, cot_pap_id = 31, cot_prc_comum = 90, cot_prc_min = 80, cot_prc_max = 100, cot_prc_med = 90, cot_prc_mediana = 90 WHERE cot_id = 1143;</v>
      </c>
    </row>
    <row r="1145" spans="1:10" x14ac:dyDescent="0.3">
      <c r="A1145">
        <v>1144</v>
      </c>
      <c r="B1145">
        <f>IF('Boletins Nuppa Site'!A1145&lt;&gt;0,'Boletins Nuppa Site'!A1145,"NULL")</f>
        <v>66</v>
      </c>
      <c r="C1145">
        <v>32</v>
      </c>
      <c r="D1145" s="14">
        <f>IF('Boletins Nuppa Site'!G1145&lt;&gt;0,'Boletins Nuppa Site'!G1145,"NULL")</f>
        <v>55</v>
      </c>
      <c r="E1145" s="14">
        <f>IF('Boletins Nuppa Site'!H1145&lt;&gt;0,'Boletins Nuppa Site'!H1145,"NULL")</f>
        <v>50</v>
      </c>
      <c r="F1145" s="14">
        <f>IF('Boletins Nuppa Site'!I1145&lt;&gt;0,'Boletins Nuppa Site'!I1145,"NULL")</f>
        <v>70</v>
      </c>
      <c r="G1145" s="14">
        <f>IF('Boletins Nuppa Site'!J1145&lt;&gt;0,'Boletins Nuppa Site'!J1145,"NULL")</f>
        <v>56</v>
      </c>
      <c r="H1145" s="14">
        <f>IF('Boletins Nuppa Site'!K1145&lt;&gt;0,'Boletins Nuppa Site'!K1145,"NULL")</f>
        <v>55</v>
      </c>
      <c r="I1145" t="str">
        <f t="shared" si="34"/>
        <v>INSERT INTO COTACAO (cot_id, cot_blt_id, cot_pap_id, cot_prc_comum, cot_prc_min, cot_prc_max, cot_prc_med, cot_prc_mediana) VALUES (1144, 66, 32, 55, 50, 70, 56, 55);</v>
      </c>
      <c r="J1145" t="str">
        <f t="shared" si="35"/>
        <v>UPDATE COTACAO SET cot_id = 1144, cot_blt_id = 66, cot_pap_id = 32, cot_prc_comum = 55, cot_prc_min = 50, cot_prc_max = 70, cot_prc_med = 56, cot_prc_mediana = 55 WHERE cot_id = 1144;</v>
      </c>
    </row>
    <row r="1146" spans="1:10" x14ac:dyDescent="0.3">
      <c r="A1146">
        <v>1145</v>
      </c>
      <c r="B1146">
        <f>IF('Boletins Nuppa Site'!A1146&lt;&gt;0,'Boletins Nuppa Site'!A1146,"NULL")</f>
        <v>66</v>
      </c>
      <c r="C1146">
        <v>33</v>
      </c>
      <c r="D1146" s="14">
        <f>IF('Boletins Nuppa Site'!G1146&lt;&gt;0,'Boletins Nuppa Site'!G1146,"NULL")</f>
        <v>130</v>
      </c>
      <c r="E1146" s="14">
        <f>IF('Boletins Nuppa Site'!H1146&lt;&gt;0,'Boletins Nuppa Site'!H1146,"NULL")</f>
        <v>130</v>
      </c>
      <c r="F1146" s="14">
        <f>IF('Boletins Nuppa Site'!I1146&lt;&gt;0,'Boletins Nuppa Site'!I1146,"NULL")</f>
        <v>150</v>
      </c>
      <c r="G1146" t="str">
        <f>IF('Boletins Nuppa Site'!J1146&lt;&gt;0,'Boletins Nuppa Site'!J1146,"NULL")</f>
        <v>137.5</v>
      </c>
      <c r="H1146" s="14">
        <f>IF('Boletins Nuppa Site'!K1146&lt;&gt;0,'Boletins Nuppa Site'!K1146,"NULL")</f>
        <v>135</v>
      </c>
      <c r="I1146" t="str">
        <f t="shared" si="34"/>
        <v>INSERT INTO COTACAO (cot_id, cot_blt_id, cot_pap_id, cot_prc_comum, cot_prc_min, cot_prc_max, cot_prc_med, cot_prc_mediana) VALUES (1145, 66, 33, 130, 130, 150, 137.5, 135);</v>
      </c>
      <c r="J1146" t="str">
        <f t="shared" si="35"/>
        <v>UPDATE COTACAO SET cot_id = 1145, cot_blt_id = 66, cot_pap_id = 33, cot_prc_comum = 130, cot_prc_min = 130, cot_prc_max = 150, cot_prc_med = 137.5, cot_prc_mediana = 135 WHERE cot_id = 1145;</v>
      </c>
    </row>
    <row r="1147" spans="1:10" x14ac:dyDescent="0.3">
      <c r="A1147">
        <v>1146</v>
      </c>
      <c r="B1147">
        <f>IF('Boletins Nuppa Site'!A1147&lt;&gt;0,'Boletins Nuppa Site'!A1147,"NULL")</f>
        <v>66</v>
      </c>
      <c r="C1147">
        <v>34</v>
      </c>
      <c r="D1147" s="14">
        <f>IF('Boletins Nuppa Site'!G1147&lt;&gt;0,'Boletins Nuppa Site'!G1147,"NULL")</f>
        <v>60</v>
      </c>
      <c r="E1147" s="14">
        <f>IF('Boletins Nuppa Site'!H1147&lt;&gt;0,'Boletins Nuppa Site'!H1147,"NULL")</f>
        <v>45</v>
      </c>
      <c r="F1147" s="14">
        <f>IF('Boletins Nuppa Site'!I1147&lt;&gt;0,'Boletins Nuppa Site'!I1147,"NULL")</f>
        <v>65</v>
      </c>
      <c r="G1147" s="14">
        <f>IF('Boletins Nuppa Site'!J1147&lt;&gt;0,'Boletins Nuppa Site'!J1147,"NULL")</f>
        <v>58</v>
      </c>
      <c r="H1147" s="14">
        <f>IF('Boletins Nuppa Site'!K1147&lt;&gt;0,'Boletins Nuppa Site'!K1147,"NULL")</f>
        <v>60</v>
      </c>
      <c r="I1147" t="str">
        <f t="shared" si="34"/>
        <v>INSERT INTO COTACAO (cot_id, cot_blt_id, cot_pap_id, cot_prc_comum, cot_prc_min, cot_prc_max, cot_prc_med, cot_prc_mediana) VALUES (1146, 66, 34, 60, 45, 65, 58, 60);</v>
      </c>
      <c r="J1147" t="str">
        <f t="shared" si="35"/>
        <v>UPDATE COTACAO SET cot_id = 1146, cot_blt_id = 66, cot_pap_id = 34, cot_prc_comum = 60, cot_prc_min = 45, cot_prc_max = 65, cot_prc_med = 58, cot_prc_mediana = 60 WHERE cot_id = 1146;</v>
      </c>
    </row>
    <row r="1148" spans="1:10" x14ac:dyDescent="0.3">
      <c r="A1148">
        <v>1147</v>
      </c>
      <c r="B1148">
        <f>IF('Boletins Nuppa Site'!A1148&lt;&gt;0,'Boletins Nuppa Site'!A1148,"NULL")</f>
        <v>66</v>
      </c>
      <c r="C1148">
        <v>35</v>
      </c>
      <c r="D1148" s="14">
        <f>IF('Boletins Nuppa Site'!G1148&lt;&gt;0,'Boletins Nuppa Site'!G1148,"NULL")</f>
        <v>150</v>
      </c>
      <c r="E1148" s="14">
        <f>IF('Boletins Nuppa Site'!H1148&lt;&gt;0,'Boletins Nuppa Site'!H1148,"NULL")</f>
        <v>140</v>
      </c>
      <c r="F1148" s="14">
        <f>IF('Boletins Nuppa Site'!I1148&lt;&gt;0,'Boletins Nuppa Site'!I1148,"NULL")</f>
        <v>150</v>
      </c>
      <c r="G1148" t="str">
        <f>IF('Boletins Nuppa Site'!J1148&lt;&gt;0,'Boletins Nuppa Site'!J1148,"NULL")</f>
        <v>147.5</v>
      </c>
      <c r="H1148" s="14">
        <f>IF('Boletins Nuppa Site'!K1148&lt;&gt;0,'Boletins Nuppa Site'!K1148,"NULL")</f>
        <v>150</v>
      </c>
      <c r="I1148" t="str">
        <f t="shared" si="34"/>
        <v>INSERT INTO COTACAO (cot_id, cot_blt_id, cot_pap_id, cot_prc_comum, cot_prc_min, cot_prc_max, cot_prc_med, cot_prc_mediana) VALUES (1147, 66, 35, 150, 140, 150, 147.5, 150);</v>
      </c>
      <c r="J1148" t="str">
        <f t="shared" si="35"/>
        <v>UPDATE COTACAO SET cot_id = 1147, cot_blt_id = 66, cot_pap_id = 35, cot_prc_comum = 150, cot_prc_min = 140, cot_prc_max = 150, cot_prc_med = 147.5, cot_prc_mediana = 150 WHERE cot_id = 1147;</v>
      </c>
    </row>
    <row r="1149" spans="1:10" x14ac:dyDescent="0.3">
      <c r="A1149">
        <v>1148</v>
      </c>
      <c r="B1149">
        <f>IF('Boletins Nuppa Site'!A1149&lt;&gt;0,'Boletins Nuppa Site'!A1149,"NULL")</f>
        <v>66</v>
      </c>
      <c r="C1149">
        <v>36</v>
      </c>
      <c r="D1149" t="str">
        <f>IF('Boletins Nuppa Site'!G1149&lt;&gt;0,'Boletins Nuppa Site'!G1149,"NULL")</f>
        <v>NULL</v>
      </c>
      <c r="E1149" t="str">
        <f>IF('Boletins Nuppa Site'!H1149&lt;&gt;0,'Boletins Nuppa Site'!H1149,"NULL")</f>
        <v>NULL</v>
      </c>
      <c r="F1149" t="str">
        <f>IF('Boletins Nuppa Site'!I1149&lt;&gt;0,'Boletins Nuppa Site'!I1149,"NULL")</f>
        <v>NULL</v>
      </c>
      <c r="G1149" t="str">
        <f>IF('Boletins Nuppa Site'!J1149&lt;&gt;0,'Boletins Nuppa Site'!J1149,"NULL")</f>
        <v>NULL</v>
      </c>
      <c r="H1149" t="str">
        <f>IF('Boletins Nuppa Site'!K1149&lt;&gt;0,'Boletins Nuppa Site'!K1149,"NULL")</f>
        <v>NULL</v>
      </c>
      <c r="I1149" t="str">
        <f t="shared" si="34"/>
        <v>INSERT INTO COTACAO (cot_id, cot_blt_id, cot_pap_id, cot_prc_comum, cot_prc_min, cot_prc_max, cot_prc_med, cot_prc_mediana) VALUES (1148, 66, 36, NULL, NULL, NULL, NULL, NULL);</v>
      </c>
      <c r="J1149" t="str">
        <f t="shared" si="35"/>
        <v>UPDATE COTACAO SET cot_id = 1148, cot_blt_id = 66, cot_pap_id = 36, cot_prc_comum = NULL, cot_prc_min = NULL, cot_prc_max = NULL, cot_prc_med = NULL, cot_prc_mediana = NULL WHERE cot_id = 1148;</v>
      </c>
    </row>
    <row r="1150" spans="1:10" x14ac:dyDescent="0.3">
      <c r="A1150">
        <v>1149</v>
      </c>
      <c r="B1150">
        <f>IF('Boletins Nuppa Site'!A1150&lt;&gt;0,'Boletins Nuppa Site'!A1150,"NULL")</f>
        <v>66</v>
      </c>
      <c r="C1150">
        <v>37</v>
      </c>
      <c r="D1150" t="str">
        <f>IF('Boletins Nuppa Site'!G1150&lt;&gt;0,'Boletins Nuppa Site'!G1150,"NULL")</f>
        <v>NULL</v>
      </c>
      <c r="E1150" t="str">
        <f>IF('Boletins Nuppa Site'!H1150&lt;&gt;0,'Boletins Nuppa Site'!H1150,"NULL")</f>
        <v>NULL</v>
      </c>
      <c r="F1150" t="str">
        <f>IF('Boletins Nuppa Site'!I1150&lt;&gt;0,'Boletins Nuppa Site'!I1150,"NULL")</f>
        <v>NULL</v>
      </c>
      <c r="G1150" t="str">
        <f>IF('Boletins Nuppa Site'!J1150&lt;&gt;0,'Boletins Nuppa Site'!J1150,"NULL")</f>
        <v>NULL</v>
      </c>
      <c r="H1150" t="str">
        <f>IF('Boletins Nuppa Site'!K1150&lt;&gt;0,'Boletins Nuppa Site'!K1150,"NULL")</f>
        <v>NULL</v>
      </c>
      <c r="I1150" t="str">
        <f t="shared" si="34"/>
        <v>INSERT INTO COTACAO (cot_id, cot_blt_id, cot_pap_id, cot_prc_comum, cot_prc_min, cot_prc_max, cot_prc_med, cot_prc_mediana) VALUES (1149, 66, 37, NULL, NULL, NULL, NULL, NULL);</v>
      </c>
      <c r="J1150" t="str">
        <f t="shared" si="35"/>
        <v>UPDATE COTACAO SET cot_id = 1149, cot_blt_id = 66, cot_pap_id = 37, cot_prc_comum = NULL, cot_prc_min = NULL, cot_prc_max = NULL, cot_prc_med = NULL, cot_prc_mediana = NULL WHERE cot_id = 1149;</v>
      </c>
    </row>
    <row r="1151" spans="1:10" x14ac:dyDescent="0.3">
      <c r="A1151">
        <v>1150</v>
      </c>
      <c r="B1151">
        <f>IF('Boletins Nuppa Site'!A1151&lt;&gt;0,'Boletins Nuppa Site'!A1151,"NULL")</f>
        <v>66</v>
      </c>
      <c r="C1151">
        <v>38</v>
      </c>
      <c r="D1151" t="str">
        <f>IF('Boletins Nuppa Site'!G1151&lt;&gt;0,'Boletins Nuppa Site'!G1151,"NULL")</f>
        <v>NULL</v>
      </c>
      <c r="E1151" t="str">
        <f>IF('Boletins Nuppa Site'!H1151&lt;&gt;0,'Boletins Nuppa Site'!H1151,"NULL")</f>
        <v>NULL</v>
      </c>
      <c r="F1151" t="str">
        <f>IF('Boletins Nuppa Site'!I1151&lt;&gt;0,'Boletins Nuppa Site'!I1151,"NULL")</f>
        <v>NULL</v>
      </c>
      <c r="G1151" t="str">
        <f>IF('Boletins Nuppa Site'!J1151&lt;&gt;0,'Boletins Nuppa Site'!J1151,"NULL")</f>
        <v>NULL</v>
      </c>
      <c r="H1151" t="str">
        <f>IF('Boletins Nuppa Site'!K1151&lt;&gt;0,'Boletins Nuppa Site'!K1151,"NULL")</f>
        <v>NULL</v>
      </c>
      <c r="I1151" t="str">
        <f t="shared" si="34"/>
        <v>INSERT INTO COTACAO (cot_id, cot_blt_id, cot_pap_id, cot_prc_comum, cot_prc_min, cot_prc_max, cot_prc_med, cot_prc_mediana) VALUES (1150, 66, 38, NULL, NULL, NULL, NULL, NULL);</v>
      </c>
      <c r="J1151" t="str">
        <f t="shared" si="35"/>
        <v>UPDATE COTACAO SET cot_id = 1150, cot_blt_id = 66, cot_pap_id = 38, cot_prc_comum = NULL, cot_prc_min = NULL, cot_prc_max = NULL, cot_prc_med = NULL, cot_prc_mediana = NULL WHERE cot_id = 1150;</v>
      </c>
    </row>
    <row r="1152" spans="1:10" x14ac:dyDescent="0.3">
      <c r="A1152">
        <v>1151</v>
      </c>
      <c r="B1152">
        <f>IF('Boletins Nuppa Site'!A1152&lt;&gt;0,'Boletins Nuppa Site'!A1152,"NULL")</f>
        <v>66</v>
      </c>
      <c r="C1152">
        <v>39</v>
      </c>
      <c r="D1152" t="str">
        <f>IF('Boletins Nuppa Site'!G1152&lt;&gt;0,'Boletins Nuppa Site'!G1152,"NULL")</f>
        <v>NULL</v>
      </c>
      <c r="E1152" s="14">
        <f>IF('Boletins Nuppa Site'!H1152&lt;&gt;0,'Boletins Nuppa Site'!H1152,"NULL")</f>
        <v>60</v>
      </c>
      <c r="F1152" s="14">
        <f>IF('Boletins Nuppa Site'!I1152&lt;&gt;0,'Boletins Nuppa Site'!I1152,"NULL")</f>
        <v>60</v>
      </c>
      <c r="G1152" s="14">
        <f>IF('Boletins Nuppa Site'!J1152&lt;&gt;0,'Boletins Nuppa Site'!J1152,"NULL")</f>
        <v>60</v>
      </c>
      <c r="H1152" s="14">
        <f>IF('Boletins Nuppa Site'!K1152&lt;&gt;0,'Boletins Nuppa Site'!K1152,"NULL")</f>
        <v>60</v>
      </c>
      <c r="I1152" t="str">
        <f t="shared" si="34"/>
        <v>INSERT INTO COTACAO (cot_id, cot_blt_id, cot_pap_id, cot_prc_comum, cot_prc_min, cot_prc_max, cot_prc_med, cot_prc_mediana) VALUES (1151, 66, 39, NULL, 60, 60, 60, 60);</v>
      </c>
      <c r="J1152" t="str">
        <f t="shared" si="35"/>
        <v>UPDATE COTACAO SET cot_id = 1151, cot_blt_id = 66, cot_pap_id = 39, cot_prc_comum = NULL, cot_prc_min = 60, cot_prc_max = 60, cot_prc_med = 60, cot_prc_mediana = 60 WHERE cot_id = 1151;</v>
      </c>
    </row>
    <row r="1153" spans="1:10" x14ac:dyDescent="0.3">
      <c r="A1153">
        <v>1152</v>
      </c>
      <c r="B1153">
        <f>IF('Boletins Nuppa Site'!A1153&lt;&gt;0,'Boletins Nuppa Site'!A1153,"NULL")</f>
        <v>66</v>
      </c>
      <c r="C1153">
        <v>40</v>
      </c>
      <c r="D1153" t="str">
        <f>IF('Boletins Nuppa Site'!G1153&lt;&gt;0,'Boletins Nuppa Site'!G1153,"NULL")</f>
        <v>NULL</v>
      </c>
      <c r="E1153" t="str">
        <f>IF('Boletins Nuppa Site'!H1153&lt;&gt;0,'Boletins Nuppa Site'!H1153,"NULL")</f>
        <v>NULL</v>
      </c>
      <c r="F1153" t="str">
        <f>IF('Boletins Nuppa Site'!I1153&lt;&gt;0,'Boletins Nuppa Site'!I1153,"NULL")</f>
        <v>NULL</v>
      </c>
      <c r="G1153" t="str">
        <f>IF('Boletins Nuppa Site'!J1153&lt;&gt;0,'Boletins Nuppa Site'!J1153,"NULL")</f>
        <v>NULL</v>
      </c>
      <c r="H1153" t="str">
        <f>IF('Boletins Nuppa Site'!K1153&lt;&gt;0,'Boletins Nuppa Site'!K1153,"NULL")</f>
        <v>NULL</v>
      </c>
      <c r="I1153" t="str">
        <f t="shared" si="34"/>
        <v>INSERT INTO COTACAO (cot_id, cot_blt_id, cot_pap_id, cot_prc_comum, cot_prc_min, cot_prc_max, cot_prc_med, cot_prc_mediana) VALUES (1152, 66, 40, NULL, NULL, NULL, NULL, NULL);</v>
      </c>
      <c r="J1153" t="str">
        <f t="shared" si="35"/>
        <v>UPDATE COTACAO SET cot_id = 1152, cot_blt_id = 66, cot_pap_id = 40, cot_prc_comum = NULL, cot_prc_min = NULL, cot_prc_max = NULL, cot_prc_med = NULL, cot_prc_mediana = NULL WHERE cot_id = 1152;</v>
      </c>
    </row>
    <row r="1154" spans="1:10" x14ac:dyDescent="0.3">
      <c r="A1154">
        <v>1153</v>
      </c>
      <c r="B1154">
        <f>IF('Boletins Nuppa Site'!A1154&lt;&gt;0,'Boletins Nuppa Site'!A1154,"NULL")</f>
        <v>67</v>
      </c>
      <c r="C1154">
        <v>1</v>
      </c>
      <c r="D1154" s="14">
        <f>IF('Boletins Nuppa Site'!G1154&lt;&gt;0,'Boletins Nuppa Site'!G1154,"NULL")</f>
        <v>48</v>
      </c>
      <c r="E1154" s="14">
        <f>IF('Boletins Nuppa Site'!H1154&lt;&gt;0,'Boletins Nuppa Site'!H1154,"NULL")</f>
        <v>48</v>
      </c>
      <c r="F1154" s="14">
        <f>IF('Boletins Nuppa Site'!I1154&lt;&gt;0,'Boletins Nuppa Site'!I1154,"NULL")</f>
        <v>48</v>
      </c>
      <c r="G1154" s="14">
        <f>IF('Boletins Nuppa Site'!J1154&lt;&gt;0,'Boletins Nuppa Site'!J1154,"NULL")</f>
        <v>48</v>
      </c>
      <c r="H1154" s="14">
        <f>IF('Boletins Nuppa Site'!K1154&lt;&gt;0,'Boletins Nuppa Site'!K1154,"NULL")</f>
        <v>48</v>
      </c>
      <c r="I1154" t="str">
        <f t="shared" si="34"/>
        <v>INSERT INTO COTACAO (cot_id, cot_blt_id, cot_pap_id, cot_prc_comum, cot_prc_min, cot_prc_max, cot_prc_med, cot_prc_mediana) VALUES (1153, 67, 1, 48, 48, 48, 48, 48);</v>
      </c>
      <c r="J1154" t="str">
        <f t="shared" si="35"/>
        <v>UPDATE COTACAO SET cot_id = 1153, cot_blt_id = 67, cot_pap_id = 1, cot_prc_comum = 48, cot_prc_min = 48, cot_prc_max = 48, cot_prc_med = 48, cot_prc_mediana = 48 WHERE cot_id = 1153;</v>
      </c>
    </row>
    <row r="1155" spans="1:10" x14ac:dyDescent="0.3">
      <c r="A1155">
        <v>1154</v>
      </c>
      <c r="B1155">
        <f>IF('Boletins Nuppa Site'!A1155&lt;&gt;0,'Boletins Nuppa Site'!A1155,"NULL")</f>
        <v>67</v>
      </c>
      <c r="C1155">
        <v>2</v>
      </c>
      <c r="D1155" t="str">
        <f>IF('Boletins Nuppa Site'!G1155&lt;&gt;0,'Boletins Nuppa Site'!G1155,"NULL")</f>
        <v>NULL</v>
      </c>
      <c r="E1155" s="14">
        <f>IF('Boletins Nuppa Site'!H1155&lt;&gt;0,'Boletins Nuppa Site'!H1155,"NULL")</f>
        <v>60</v>
      </c>
      <c r="F1155" s="14">
        <f>IF('Boletins Nuppa Site'!I1155&lt;&gt;0,'Boletins Nuppa Site'!I1155,"NULL")</f>
        <v>84</v>
      </c>
      <c r="G1155" s="14">
        <f>IF('Boletins Nuppa Site'!J1155&lt;&gt;0,'Boletins Nuppa Site'!J1155,"NULL")</f>
        <v>72</v>
      </c>
      <c r="H1155" s="14">
        <f>IF('Boletins Nuppa Site'!K1155&lt;&gt;0,'Boletins Nuppa Site'!K1155,"NULL")</f>
        <v>72</v>
      </c>
      <c r="I1155" t="str">
        <f t="shared" ref="I1155:I1218" si="36">"INSERT INTO COTACAO (cot_id, cot_blt_id, cot_pap_id, cot_prc_comum, cot_prc_min, cot_prc_max, cot_prc_med, cot_prc_mediana) VALUES ("&amp;A1155&amp;", "&amp;B1155&amp;", "&amp;C1155&amp;", "&amp;D1155&amp;", "&amp;E1155&amp;", "&amp;F1155&amp;", "&amp;G1155&amp;", "&amp;H1155&amp;");"</f>
        <v>INSERT INTO COTACAO (cot_id, cot_blt_id, cot_pap_id, cot_prc_comum, cot_prc_min, cot_prc_max, cot_prc_med, cot_prc_mediana) VALUES (1154, 67, 2, NULL, 60, 84, 72, 72);</v>
      </c>
      <c r="J1155" t="str">
        <f t="shared" ref="J1155:J1218" si="37">"UPDATE COTACAO SET cot_id = "&amp;A1155&amp;", cot_blt_id = "&amp;B1155&amp;", cot_pap_id = "&amp;C1155&amp;", cot_prc_comum = "&amp;D1155&amp;", cot_prc_min = "&amp;E1155&amp;", cot_prc_max = "&amp;F1155&amp;", cot_prc_med = "&amp;G1155&amp;", cot_prc_mediana = "&amp;H1155&amp;" WHERE cot_id = "&amp;A1155&amp;";"</f>
        <v>UPDATE COTACAO SET cot_id = 1154, cot_blt_id = 67, cot_pap_id = 2, cot_prc_comum = NULL, cot_prc_min = 60, cot_prc_max = 84, cot_prc_med = 72, cot_prc_mediana = 72 WHERE cot_id = 1154;</v>
      </c>
    </row>
    <row r="1156" spans="1:10" x14ac:dyDescent="0.3">
      <c r="A1156">
        <v>1155</v>
      </c>
      <c r="B1156">
        <f>IF('Boletins Nuppa Site'!A1156&lt;&gt;0,'Boletins Nuppa Site'!A1156,"NULL")</f>
        <v>67</v>
      </c>
      <c r="C1156">
        <v>3</v>
      </c>
      <c r="D1156" s="14">
        <f>IF('Boletins Nuppa Site'!G1156&lt;&gt;0,'Boletins Nuppa Site'!G1156,"NULL")</f>
        <v>30</v>
      </c>
      <c r="E1156" s="14">
        <f>IF('Boletins Nuppa Site'!H1156&lt;&gt;0,'Boletins Nuppa Site'!H1156,"NULL")</f>
        <v>30</v>
      </c>
      <c r="F1156" s="14">
        <f>IF('Boletins Nuppa Site'!I1156&lt;&gt;0,'Boletins Nuppa Site'!I1156,"NULL")</f>
        <v>42</v>
      </c>
      <c r="G1156" t="str">
        <f>IF('Boletins Nuppa Site'!J1156&lt;&gt;0,'Boletins Nuppa Site'!J1156,"NULL")</f>
        <v>34.5</v>
      </c>
      <c r="H1156" s="14">
        <f>IF('Boletins Nuppa Site'!K1156&lt;&gt;0,'Boletins Nuppa Site'!K1156,"NULL")</f>
        <v>33</v>
      </c>
      <c r="I1156" t="str">
        <f t="shared" si="36"/>
        <v>INSERT INTO COTACAO (cot_id, cot_blt_id, cot_pap_id, cot_prc_comum, cot_prc_min, cot_prc_max, cot_prc_med, cot_prc_mediana) VALUES (1155, 67, 3, 30, 30, 42, 34.5, 33);</v>
      </c>
      <c r="J1156" t="str">
        <f t="shared" si="37"/>
        <v>UPDATE COTACAO SET cot_id = 1155, cot_blt_id = 67, cot_pap_id = 3, cot_prc_comum = 30, cot_prc_min = 30, cot_prc_max = 42, cot_prc_med = 34.5, cot_prc_mediana = 33 WHERE cot_id = 1155;</v>
      </c>
    </row>
    <row r="1157" spans="1:10" x14ac:dyDescent="0.3">
      <c r="A1157">
        <v>1156</v>
      </c>
      <c r="B1157">
        <f>IF('Boletins Nuppa Site'!A1157&lt;&gt;0,'Boletins Nuppa Site'!A1157,"NULL")</f>
        <v>67</v>
      </c>
      <c r="C1157">
        <v>4</v>
      </c>
      <c r="D1157" s="14">
        <f>IF('Boletins Nuppa Site'!G1157&lt;&gt;0,'Boletins Nuppa Site'!G1157,"NULL")</f>
        <v>24</v>
      </c>
      <c r="E1157" s="14">
        <f>IF('Boletins Nuppa Site'!H1157&lt;&gt;0,'Boletins Nuppa Site'!H1157,"NULL")</f>
        <v>18</v>
      </c>
      <c r="F1157" s="14">
        <f>IF('Boletins Nuppa Site'!I1157&lt;&gt;0,'Boletins Nuppa Site'!I1157,"NULL")</f>
        <v>24</v>
      </c>
      <c r="G1157" s="14">
        <f>IF('Boletins Nuppa Site'!J1157&lt;&gt;0,'Boletins Nuppa Site'!J1157,"NULL")</f>
        <v>21</v>
      </c>
      <c r="H1157" s="14">
        <f>IF('Boletins Nuppa Site'!K1157&lt;&gt;0,'Boletins Nuppa Site'!K1157,"NULL")</f>
        <v>21</v>
      </c>
      <c r="I1157" t="str">
        <f t="shared" si="36"/>
        <v>INSERT INTO COTACAO (cot_id, cot_blt_id, cot_pap_id, cot_prc_comum, cot_prc_min, cot_prc_max, cot_prc_med, cot_prc_mediana) VALUES (1156, 67, 4, 24, 18, 24, 21, 21);</v>
      </c>
      <c r="J1157" t="str">
        <f t="shared" si="37"/>
        <v>UPDATE COTACAO SET cot_id = 1156, cot_blt_id = 67, cot_pap_id = 4, cot_prc_comum = 24, cot_prc_min = 18, cot_prc_max = 24, cot_prc_med = 21, cot_prc_mediana = 21 WHERE cot_id = 1156;</v>
      </c>
    </row>
    <row r="1158" spans="1:10" x14ac:dyDescent="0.3">
      <c r="A1158">
        <v>1157</v>
      </c>
      <c r="B1158">
        <f>IF('Boletins Nuppa Site'!A1158&lt;&gt;0,'Boletins Nuppa Site'!A1158,"NULL")</f>
        <v>67</v>
      </c>
      <c r="C1158">
        <v>5</v>
      </c>
      <c r="D1158" s="14">
        <f>IF('Boletins Nuppa Site'!G1158&lt;&gt;0,'Boletins Nuppa Site'!G1158,"NULL")</f>
        <v>24</v>
      </c>
      <c r="E1158" s="14">
        <f>IF('Boletins Nuppa Site'!H1158&lt;&gt;0,'Boletins Nuppa Site'!H1158,"NULL")</f>
        <v>18</v>
      </c>
      <c r="F1158" s="14">
        <f>IF('Boletins Nuppa Site'!I1158&lt;&gt;0,'Boletins Nuppa Site'!I1158,"NULL")</f>
        <v>24</v>
      </c>
      <c r="G1158" s="14">
        <f>IF('Boletins Nuppa Site'!J1158&lt;&gt;0,'Boletins Nuppa Site'!J1158,"NULL")</f>
        <v>22</v>
      </c>
      <c r="H1158" s="14">
        <f>IF('Boletins Nuppa Site'!K1158&lt;&gt;0,'Boletins Nuppa Site'!K1158,"NULL")</f>
        <v>24</v>
      </c>
      <c r="I1158" t="str">
        <f t="shared" si="36"/>
        <v>INSERT INTO COTACAO (cot_id, cot_blt_id, cot_pap_id, cot_prc_comum, cot_prc_min, cot_prc_max, cot_prc_med, cot_prc_mediana) VALUES (1157, 67, 5, 24, 18, 24, 22, 24);</v>
      </c>
      <c r="J1158" t="str">
        <f t="shared" si="37"/>
        <v>UPDATE COTACAO SET cot_id = 1157, cot_blt_id = 67, cot_pap_id = 5, cot_prc_comum = 24, cot_prc_min = 18, cot_prc_max = 24, cot_prc_med = 22, cot_prc_mediana = 24 WHERE cot_id = 1157;</v>
      </c>
    </row>
    <row r="1159" spans="1:10" x14ac:dyDescent="0.3">
      <c r="A1159">
        <v>1158</v>
      </c>
      <c r="B1159">
        <f>IF('Boletins Nuppa Site'!A1159&lt;&gt;0,'Boletins Nuppa Site'!A1159,"NULL")</f>
        <v>67</v>
      </c>
      <c r="C1159">
        <v>6</v>
      </c>
      <c r="D1159" s="14">
        <f>IF('Boletins Nuppa Site'!G1159&lt;&gt;0,'Boletins Nuppa Site'!G1159,"NULL")</f>
        <v>60</v>
      </c>
      <c r="E1159" s="14">
        <f>IF('Boletins Nuppa Site'!H1159&lt;&gt;0,'Boletins Nuppa Site'!H1159,"NULL")</f>
        <v>48</v>
      </c>
      <c r="F1159" s="14">
        <f>IF('Boletins Nuppa Site'!I1159&lt;&gt;0,'Boletins Nuppa Site'!I1159,"NULL")</f>
        <v>60</v>
      </c>
      <c r="G1159" s="14">
        <f>IF('Boletins Nuppa Site'!J1159&lt;&gt;0,'Boletins Nuppa Site'!J1159,"NULL")</f>
        <v>56</v>
      </c>
      <c r="H1159" s="14">
        <f>IF('Boletins Nuppa Site'!K1159&lt;&gt;0,'Boletins Nuppa Site'!K1159,"NULL")</f>
        <v>60</v>
      </c>
      <c r="I1159" t="str">
        <f t="shared" si="36"/>
        <v>INSERT INTO COTACAO (cot_id, cot_blt_id, cot_pap_id, cot_prc_comum, cot_prc_min, cot_prc_max, cot_prc_med, cot_prc_mediana) VALUES (1158, 67, 6, 60, 48, 60, 56, 60);</v>
      </c>
      <c r="J1159" t="str">
        <f t="shared" si="37"/>
        <v>UPDATE COTACAO SET cot_id = 1158, cot_blt_id = 67, cot_pap_id = 6, cot_prc_comum = 60, cot_prc_min = 48, cot_prc_max = 60, cot_prc_med = 56, cot_prc_mediana = 60 WHERE cot_id = 1158;</v>
      </c>
    </row>
    <row r="1160" spans="1:10" x14ac:dyDescent="0.3">
      <c r="A1160">
        <v>1159</v>
      </c>
      <c r="B1160">
        <f>IF('Boletins Nuppa Site'!A1160&lt;&gt;0,'Boletins Nuppa Site'!A1160,"NULL")</f>
        <v>67</v>
      </c>
      <c r="C1160">
        <v>7</v>
      </c>
      <c r="D1160" s="14">
        <f>IF('Boletins Nuppa Site'!G1160&lt;&gt;0,'Boletins Nuppa Site'!G1160,"NULL")</f>
        <v>60</v>
      </c>
      <c r="E1160" s="14">
        <f>IF('Boletins Nuppa Site'!H1160&lt;&gt;0,'Boletins Nuppa Site'!H1160,"NULL")</f>
        <v>60</v>
      </c>
      <c r="F1160" s="14">
        <f>IF('Boletins Nuppa Site'!I1160&lt;&gt;0,'Boletins Nuppa Site'!I1160,"NULL")</f>
        <v>60</v>
      </c>
      <c r="G1160" s="14">
        <f>IF('Boletins Nuppa Site'!J1160&lt;&gt;0,'Boletins Nuppa Site'!J1160,"NULL")</f>
        <v>60</v>
      </c>
      <c r="H1160" s="14">
        <f>IF('Boletins Nuppa Site'!K1160&lt;&gt;0,'Boletins Nuppa Site'!K1160,"NULL")</f>
        <v>60</v>
      </c>
      <c r="I1160" t="str">
        <f t="shared" si="36"/>
        <v>INSERT INTO COTACAO (cot_id, cot_blt_id, cot_pap_id, cot_prc_comum, cot_prc_min, cot_prc_max, cot_prc_med, cot_prc_mediana) VALUES (1159, 67, 7, 60, 60, 60, 60, 60);</v>
      </c>
      <c r="J1160" t="str">
        <f t="shared" si="37"/>
        <v>UPDATE COTACAO SET cot_id = 1159, cot_blt_id = 67, cot_pap_id = 7, cot_prc_comum = 60, cot_prc_min = 60, cot_prc_max = 60, cot_prc_med = 60, cot_prc_mediana = 60 WHERE cot_id = 1159;</v>
      </c>
    </row>
    <row r="1161" spans="1:10" x14ac:dyDescent="0.3">
      <c r="A1161">
        <v>1160</v>
      </c>
      <c r="B1161">
        <f>IF('Boletins Nuppa Site'!A1161&lt;&gt;0,'Boletins Nuppa Site'!A1161,"NULL")</f>
        <v>67</v>
      </c>
      <c r="C1161">
        <v>8</v>
      </c>
      <c r="D1161" s="14">
        <f>IF('Boletins Nuppa Site'!G1161&lt;&gt;0,'Boletins Nuppa Site'!G1161,"NULL")</f>
        <v>72</v>
      </c>
      <c r="E1161" s="14">
        <f>IF('Boletins Nuppa Site'!H1161&lt;&gt;0,'Boletins Nuppa Site'!H1161,"NULL")</f>
        <v>40</v>
      </c>
      <c r="F1161" s="14">
        <f>IF('Boletins Nuppa Site'!I1161&lt;&gt;0,'Boletins Nuppa Site'!I1161,"NULL")</f>
        <v>72</v>
      </c>
      <c r="G1161" s="14">
        <f>IF('Boletins Nuppa Site'!J1161&lt;&gt;0,'Boletins Nuppa Site'!J1161,"NULL")</f>
        <v>64</v>
      </c>
      <c r="H1161" s="14">
        <f>IF('Boletins Nuppa Site'!K1161&lt;&gt;0,'Boletins Nuppa Site'!K1161,"NULL")</f>
        <v>72</v>
      </c>
      <c r="I1161" t="str">
        <f t="shared" si="36"/>
        <v>INSERT INTO COTACAO (cot_id, cot_blt_id, cot_pap_id, cot_prc_comum, cot_prc_min, cot_prc_max, cot_prc_med, cot_prc_mediana) VALUES (1160, 67, 8, 72, 40, 72, 64, 72);</v>
      </c>
      <c r="J1161" t="str">
        <f t="shared" si="37"/>
        <v>UPDATE COTACAO SET cot_id = 1160, cot_blt_id = 67, cot_pap_id = 8, cot_prc_comum = 72, cot_prc_min = 40, cot_prc_max = 72, cot_prc_med = 64, cot_prc_mediana = 72 WHERE cot_id = 1160;</v>
      </c>
    </row>
    <row r="1162" spans="1:10" x14ac:dyDescent="0.3">
      <c r="A1162">
        <v>1161</v>
      </c>
      <c r="B1162">
        <f>IF('Boletins Nuppa Site'!A1162&lt;&gt;0,'Boletins Nuppa Site'!A1162,"NULL")</f>
        <v>67</v>
      </c>
      <c r="C1162">
        <v>9</v>
      </c>
      <c r="D1162" s="14">
        <f>IF('Boletins Nuppa Site'!G1162&lt;&gt;0,'Boletins Nuppa Site'!G1162,"NULL")</f>
        <v>24</v>
      </c>
      <c r="E1162" s="14">
        <f>IF('Boletins Nuppa Site'!H1162&lt;&gt;0,'Boletins Nuppa Site'!H1162,"NULL")</f>
        <v>15</v>
      </c>
      <c r="F1162" s="14">
        <f>IF('Boletins Nuppa Site'!I1162&lt;&gt;0,'Boletins Nuppa Site'!I1162,"NULL")</f>
        <v>24</v>
      </c>
      <c r="G1162" t="str">
        <f>IF('Boletins Nuppa Site'!J1162&lt;&gt;0,'Boletins Nuppa Site'!J1162,"NULL")</f>
        <v>20.25</v>
      </c>
      <c r="H1162" s="14">
        <f>IF('Boletins Nuppa Site'!K1162&lt;&gt;0,'Boletins Nuppa Site'!K1162,"NULL")</f>
        <v>21</v>
      </c>
      <c r="I1162" t="str">
        <f t="shared" si="36"/>
        <v>INSERT INTO COTACAO (cot_id, cot_blt_id, cot_pap_id, cot_prc_comum, cot_prc_min, cot_prc_max, cot_prc_med, cot_prc_mediana) VALUES (1161, 67, 9, 24, 15, 24, 20.25, 21);</v>
      </c>
      <c r="J1162" t="str">
        <f t="shared" si="37"/>
        <v>UPDATE COTACAO SET cot_id = 1161, cot_blt_id = 67, cot_pap_id = 9, cot_prc_comum = 24, cot_prc_min = 15, cot_prc_max = 24, cot_prc_med = 20.25, cot_prc_mediana = 21 WHERE cot_id = 1161;</v>
      </c>
    </row>
    <row r="1163" spans="1:10" x14ac:dyDescent="0.3">
      <c r="A1163">
        <v>1162</v>
      </c>
      <c r="B1163">
        <f>IF('Boletins Nuppa Site'!A1163&lt;&gt;0,'Boletins Nuppa Site'!A1163,"NULL")</f>
        <v>67</v>
      </c>
      <c r="C1163">
        <v>10</v>
      </c>
      <c r="D1163" s="14">
        <f>IF('Boletins Nuppa Site'!G1163&lt;&gt;0,'Boletins Nuppa Site'!G1163,"NULL")</f>
        <v>60</v>
      </c>
      <c r="E1163" s="14">
        <f>IF('Boletins Nuppa Site'!H1163&lt;&gt;0,'Boletins Nuppa Site'!H1163,"NULL")</f>
        <v>60</v>
      </c>
      <c r="F1163" s="14">
        <f>IF('Boletins Nuppa Site'!I1163&lt;&gt;0,'Boletins Nuppa Site'!I1163,"NULL")</f>
        <v>72</v>
      </c>
      <c r="G1163" s="14">
        <f>IF('Boletins Nuppa Site'!J1163&lt;&gt;0,'Boletins Nuppa Site'!J1163,"NULL")</f>
        <v>64</v>
      </c>
      <c r="H1163" s="14">
        <f>IF('Boletins Nuppa Site'!K1163&lt;&gt;0,'Boletins Nuppa Site'!K1163,"NULL")</f>
        <v>60</v>
      </c>
      <c r="I1163" t="str">
        <f t="shared" si="36"/>
        <v>INSERT INTO COTACAO (cot_id, cot_blt_id, cot_pap_id, cot_prc_comum, cot_prc_min, cot_prc_max, cot_prc_med, cot_prc_mediana) VALUES (1162, 67, 10, 60, 60, 72, 64, 60);</v>
      </c>
      <c r="J1163" t="str">
        <f t="shared" si="37"/>
        <v>UPDATE COTACAO SET cot_id = 1162, cot_blt_id = 67, cot_pap_id = 10, cot_prc_comum = 60, cot_prc_min = 60, cot_prc_max = 72, cot_prc_med = 64, cot_prc_mediana = 60 WHERE cot_id = 1162;</v>
      </c>
    </row>
    <row r="1164" spans="1:10" x14ac:dyDescent="0.3">
      <c r="A1164">
        <v>1163</v>
      </c>
      <c r="B1164">
        <f>IF('Boletins Nuppa Site'!A1164&lt;&gt;0,'Boletins Nuppa Site'!A1164,"NULL")</f>
        <v>67</v>
      </c>
      <c r="C1164">
        <v>11</v>
      </c>
      <c r="D1164" s="14">
        <f>IF('Boletins Nuppa Site'!G1164&lt;&gt;0,'Boletins Nuppa Site'!G1164,"NULL")</f>
        <v>24</v>
      </c>
      <c r="E1164" s="14">
        <f>IF('Boletins Nuppa Site'!H1164&lt;&gt;0,'Boletins Nuppa Site'!H1164,"NULL")</f>
        <v>18</v>
      </c>
      <c r="F1164" s="14">
        <f>IF('Boletins Nuppa Site'!I1164&lt;&gt;0,'Boletins Nuppa Site'!I1164,"NULL")</f>
        <v>24</v>
      </c>
      <c r="G1164" t="str">
        <f>IF('Boletins Nuppa Site'!J1164&lt;&gt;0,'Boletins Nuppa Site'!J1164,"NULL")</f>
        <v>22.5</v>
      </c>
      <c r="H1164" s="14">
        <f>IF('Boletins Nuppa Site'!K1164&lt;&gt;0,'Boletins Nuppa Site'!K1164,"NULL")</f>
        <v>24</v>
      </c>
      <c r="I1164" t="str">
        <f t="shared" si="36"/>
        <v>INSERT INTO COTACAO (cot_id, cot_blt_id, cot_pap_id, cot_prc_comum, cot_prc_min, cot_prc_max, cot_prc_med, cot_prc_mediana) VALUES (1163, 67, 11, 24, 18, 24, 22.5, 24);</v>
      </c>
      <c r="J1164" t="str">
        <f t="shared" si="37"/>
        <v>UPDATE COTACAO SET cot_id = 1163, cot_blt_id = 67, cot_pap_id = 11, cot_prc_comum = 24, cot_prc_min = 18, cot_prc_max = 24, cot_prc_med = 22.5, cot_prc_mediana = 24 WHERE cot_id = 1163;</v>
      </c>
    </row>
    <row r="1165" spans="1:10" x14ac:dyDescent="0.3">
      <c r="A1165">
        <v>1164</v>
      </c>
      <c r="B1165">
        <f>IF('Boletins Nuppa Site'!A1165&lt;&gt;0,'Boletins Nuppa Site'!A1165,"NULL")</f>
        <v>67</v>
      </c>
      <c r="C1165">
        <v>12</v>
      </c>
      <c r="D1165" s="14">
        <f>IF('Boletins Nuppa Site'!G1165&lt;&gt;0,'Boletins Nuppa Site'!G1165,"NULL")</f>
        <v>60</v>
      </c>
      <c r="E1165" s="14">
        <f>IF('Boletins Nuppa Site'!H1165&lt;&gt;0,'Boletins Nuppa Site'!H1165,"NULL")</f>
        <v>48</v>
      </c>
      <c r="F1165" s="14">
        <f>IF('Boletins Nuppa Site'!I1165&lt;&gt;0,'Boletins Nuppa Site'!I1165,"NULL")</f>
        <v>60</v>
      </c>
      <c r="G1165" s="14">
        <f>IF('Boletins Nuppa Site'!J1165&lt;&gt;0,'Boletins Nuppa Site'!J1165,"NULL")</f>
        <v>56</v>
      </c>
      <c r="H1165" s="14">
        <f>IF('Boletins Nuppa Site'!K1165&lt;&gt;0,'Boletins Nuppa Site'!K1165,"NULL")</f>
        <v>60</v>
      </c>
      <c r="I1165" t="str">
        <f t="shared" si="36"/>
        <v>INSERT INTO COTACAO (cot_id, cot_blt_id, cot_pap_id, cot_prc_comum, cot_prc_min, cot_prc_max, cot_prc_med, cot_prc_mediana) VALUES (1164, 67, 12, 60, 48, 60, 56, 60);</v>
      </c>
      <c r="J1165" t="str">
        <f t="shared" si="37"/>
        <v>UPDATE COTACAO SET cot_id = 1164, cot_blt_id = 67, cot_pap_id = 12, cot_prc_comum = 60, cot_prc_min = 48, cot_prc_max = 60, cot_prc_med = 56, cot_prc_mediana = 60 WHERE cot_id = 1164;</v>
      </c>
    </row>
    <row r="1166" spans="1:10" x14ac:dyDescent="0.3">
      <c r="A1166">
        <v>1165</v>
      </c>
      <c r="B1166">
        <f>IF('Boletins Nuppa Site'!A1166&lt;&gt;0,'Boletins Nuppa Site'!A1166,"NULL")</f>
        <v>67</v>
      </c>
      <c r="C1166">
        <v>13</v>
      </c>
      <c r="D1166" s="14">
        <f>IF('Boletins Nuppa Site'!G1166&lt;&gt;0,'Boletins Nuppa Site'!G1166,"NULL")</f>
        <v>48</v>
      </c>
      <c r="E1166" s="14">
        <f>IF('Boletins Nuppa Site'!H1166&lt;&gt;0,'Boletins Nuppa Site'!H1166,"NULL")</f>
        <v>42</v>
      </c>
      <c r="F1166" s="14">
        <f>IF('Boletins Nuppa Site'!I1166&lt;&gt;0,'Boletins Nuppa Site'!I1166,"NULL")</f>
        <v>48</v>
      </c>
      <c r="G1166" t="str">
        <f>IF('Boletins Nuppa Site'!J1166&lt;&gt;0,'Boletins Nuppa Site'!J1166,"NULL")</f>
        <v>46.5</v>
      </c>
      <c r="H1166" s="14">
        <f>IF('Boletins Nuppa Site'!K1166&lt;&gt;0,'Boletins Nuppa Site'!K1166,"NULL")</f>
        <v>48</v>
      </c>
      <c r="I1166" t="str">
        <f t="shared" si="36"/>
        <v>INSERT INTO COTACAO (cot_id, cot_blt_id, cot_pap_id, cot_prc_comum, cot_prc_min, cot_prc_max, cot_prc_med, cot_prc_mediana) VALUES (1165, 67, 13, 48, 42, 48, 46.5, 48);</v>
      </c>
      <c r="J1166" t="str">
        <f t="shared" si="37"/>
        <v>UPDATE COTACAO SET cot_id = 1165, cot_blt_id = 67, cot_pap_id = 13, cot_prc_comum = 48, cot_prc_min = 42, cot_prc_max = 48, cot_prc_med = 46.5, cot_prc_mediana = 48 WHERE cot_id = 1165;</v>
      </c>
    </row>
    <row r="1167" spans="1:10" x14ac:dyDescent="0.3">
      <c r="A1167">
        <v>1166</v>
      </c>
      <c r="B1167">
        <f>IF('Boletins Nuppa Site'!A1167&lt;&gt;0,'Boletins Nuppa Site'!A1167,"NULL")</f>
        <v>67</v>
      </c>
      <c r="C1167">
        <v>14</v>
      </c>
      <c r="D1167" s="14">
        <f>IF('Boletins Nuppa Site'!G1167&lt;&gt;0,'Boletins Nuppa Site'!G1167,"NULL")</f>
        <v>60</v>
      </c>
      <c r="E1167" s="14">
        <f>IF('Boletins Nuppa Site'!H1167&lt;&gt;0,'Boletins Nuppa Site'!H1167,"NULL")</f>
        <v>60</v>
      </c>
      <c r="F1167" s="14">
        <f>IF('Boletins Nuppa Site'!I1167&lt;&gt;0,'Boletins Nuppa Site'!I1167,"NULL")</f>
        <v>60</v>
      </c>
      <c r="G1167" s="14">
        <f>IF('Boletins Nuppa Site'!J1167&lt;&gt;0,'Boletins Nuppa Site'!J1167,"NULL")</f>
        <v>60</v>
      </c>
      <c r="H1167" s="14">
        <f>IF('Boletins Nuppa Site'!K1167&lt;&gt;0,'Boletins Nuppa Site'!K1167,"NULL")</f>
        <v>60</v>
      </c>
      <c r="I1167" t="str">
        <f t="shared" si="36"/>
        <v>INSERT INTO COTACAO (cot_id, cot_blt_id, cot_pap_id, cot_prc_comum, cot_prc_min, cot_prc_max, cot_prc_med, cot_prc_mediana) VALUES (1166, 67, 14, 60, 60, 60, 60, 60);</v>
      </c>
      <c r="J1167" t="str">
        <f t="shared" si="37"/>
        <v>UPDATE COTACAO SET cot_id = 1166, cot_blt_id = 67, cot_pap_id = 14, cot_prc_comum = 60, cot_prc_min = 60, cot_prc_max = 60, cot_prc_med = 60, cot_prc_mediana = 60 WHERE cot_id = 1166;</v>
      </c>
    </row>
    <row r="1168" spans="1:10" x14ac:dyDescent="0.3">
      <c r="A1168">
        <v>1167</v>
      </c>
      <c r="B1168">
        <f>IF('Boletins Nuppa Site'!A1168&lt;&gt;0,'Boletins Nuppa Site'!A1168,"NULL")</f>
        <v>67</v>
      </c>
      <c r="C1168">
        <v>15</v>
      </c>
      <c r="D1168" s="14">
        <f>IF('Boletins Nuppa Site'!G1168&lt;&gt;0,'Boletins Nuppa Site'!G1168,"NULL")</f>
        <v>36</v>
      </c>
      <c r="E1168" s="14">
        <f>IF('Boletins Nuppa Site'!H1168&lt;&gt;0,'Boletins Nuppa Site'!H1168,"NULL")</f>
        <v>30</v>
      </c>
      <c r="F1168" s="14">
        <f>IF('Boletins Nuppa Site'!I1168&lt;&gt;0,'Boletins Nuppa Site'!I1168,"NULL")</f>
        <v>36</v>
      </c>
      <c r="G1168" t="str">
        <f>IF('Boletins Nuppa Site'!J1168&lt;&gt;0,'Boletins Nuppa Site'!J1168,"NULL")</f>
        <v>34.25</v>
      </c>
      <c r="H1168" t="str">
        <f>IF('Boletins Nuppa Site'!K1168&lt;&gt;0,'Boletins Nuppa Site'!K1168,"NULL")</f>
        <v>35.5</v>
      </c>
      <c r="I1168" t="str">
        <f t="shared" si="36"/>
        <v>INSERT INTO COTACAO (cot_id, cot_blt_id, cot_pap_id, cot_prc_comum, cot_prc_min, cot_prc_max, cot_prc_med, cot_prc_mediana) VALUES (1167, 67, 15, 36, 30, 36, 34.25, 35.5);</v>
      </c>
      <c r="J1168" t="str">
        <f t="shared" si="37"/>
        <v>UPDATE COTACAO SET cot_id = 1167, cot_blt_id = 67, cot_pap_id = 15, cot_prc_comum = 36, cot_prc_min = 30, cot_prc_max = 36, cot_prc_med = 34.25, cot_prc_mediana = 35.5 WHERE cot_id = 1167;</v>
      </c>
    </row>
    <row r="1169" spans="1:10" x14ac:dyDescent="0.3">
      <c r="A1169">
        <v>1168</v>
      </c>
      <c r="B1169">
        <f>IF('Boletins Nuppa Site'!A1169&lt;&gt;0,'Boletins Nuppa Site'!A1169,"NULL")</f>
        <v>67</v>
      </c>
      <c r="C1169">
        <v>16</v>
      </c>
      <c r="D1169" s="14">
        <f>IF('Boletins Nuppa Site'!G1169&lt;&gt;0,'Boletins Nuppa Site'!G1169,"NULL")</f>
        <v>48</v>
      </c>
      <c r="E1169" s="14">
        <f>IF('Boletins Nuppa Site'!H1169&lt;&gt;0,'Boletins Nuppa Site'!H1169,"NULL")</f>
        <v>48</v>
      </c>
      <c r="F1169" s="14">
        <f>IF('Boletins Nuppa Site'!I1169&lt;&gt;0,'Boletins Nuppa Site'!I1169,"NULL")</f>
        <v>54</v>
      </c>
      <c r="G1169" t="str">
        <f>IF('Boletins Nuppa Site'!J1169&lt;&gt;0,'Boletins Nuppa Site'!J1169,"NULL")</f>
        <v>49.5</v>
      </c>
      <c r="H1169" s="14">
        <f>IF('Boletins Nuppa Site'!K1169&lt;&gt;0,'Boletins Nuppa Site'!K1169,"NULL")</f>
        <v>48</v>
      </c>
      <c r="I1169" t="str">
        <f t="shared" si="36"/>
        <v>INSERT INTO COTACAO (cot_id, cot_blt_id, cot_pap_id, cot_prc_comum, cot_prc_min, cot_prc_max, cot_prc_med, cot_prc_mediana) VALUES (1168, 67, 16, 48, 48, 54, 49.5, 48);</v>
      </c>
      <c r="J1169" t="str">
        <f t="shared" si="37"/>
        <v>UPDATE COTACAO SET cot_id = 1168, cot_blt_id = 67, cot_pap_id = 16, cot_prc_comum = 48, cot_prc_min = 48, cot_prc_max = 54, cot_prc_med = 49.5, cot_prc_mediana = 48 WHERE cot_id = 1168;</v>
      </c>
    </row>
    <row r="1170" spans="1:10" x14ac:dyDescent="0.3">
      <c r="A1170">
        <v>1169</v>
      </c>
      <c r="B1170">
        <f>IF('Boletins Nuppa Site'!A1170&lt;&gt;0,'Boletins Nuppa Site'!A1170,"NULL")</f>
        <v>67</v>
      </c>
      <c r="C1170">
        <v>17</v>
      </c>
      <c r="D1170" s="14">
        <f>IF('Boletins Nuppa Site'!G1170&lt;&gt;0,'Boletins Nuppa Site'!G1170,"NULL")</f>
        <v>5</v>
      </c>
      <c r="E1170" s="14">
        <f>IF('Boletins Nuppa Site'!H1170&lt;&gt;0,'Boletins Nuppa Site'!H1170,"NULL")</f>
        <v>5</v>
      </c>
      <c r="F1170" s="14">
        <f>IF('Boletins Nuppa Site'!I1170&lt;&gt;0,'Boletins Nuppa Site'!I1170,"NULL")</f>
        <v>5</v>
      </c>
      <c r="G1170" s="14">
        <f>IF('Boletins Nuppa Site'!J1170&lt;&gt;0,'Boletins Nuppa Site'!J1170,"NULL")</f>
        <v>5</v>
      </c>
      <c r="H1170" s="14">
        <f>IF('Boletins Nuppa Site'!K1170&lt;&gt;0,'Boletins Nuppa Site'!K1170,"NULL")</f>
        <v>5</v>
      </c>
      <c r="I1170" t="str">
        <f t="shared" si="36"/>
        <v>INSERT INTO COTACAO (cot_id, cot_blt_id, cot_pap_id, cot_prc_comum, cot_prc_min, cot_prc_max, cot_prc_med, cot_prc_mediana) VALUES (1169, 67, 17, 5, 5, 5, 5, 5);</v>
      </c>
      <c r="J1170" t="str">
        <f t="shared" si="37"/>
        <v>UPDATE COTACAO SET cot_id = 1169, cot_blt_id = 67, cot_pap_id = 17, cot_prc_comum = 5, cot_prc_min = 5, cot_prc_max = 5, cot_prc_med = 5, cot_prc_mediana = 5 WHERE cot_id = 1169;</v>
      </c>
    </row>
    <row r="1171" spans="1:10" x14ac:dyDescent="0.3">
      <c r="A1171">
        <v>1170</v>
      </c>
      <c r="B1171">
        <f>IF('Boletins Nuppa Site'!A1171&lt;&gt;0,'Boletins Nuppa Site'!A1171,"NULL")</f>
        <v>67</v>
      </c>
      <c r="C1171">
        <v>18</v>
      </c>
      <c r="D1171" s="14">
        <f>IF('Boletins Nuppa Site'!G1171&lt;&gt;0,'Boletins Nuppa Site'!G1171,"NULL")</f>
        <v>10</v>
      </c>
      <c r="E1171" s="14">
        <f>IF('Boletins Nuppa Site'!H1171&lt;&gt;0,'Boletins Nuppa Site'!H1171,"NULL")</f>
        <v>10</v>
      </c>
      <c r="F1171" s="14">
        <f>IF('Boletins Nuppa Site'!I1171&lt;&gt;0,'Boletins Nuppa Site'!I1171,"NULL")</f>
        <v>10</v>
      </c>
      <c r="G1171" s="14">
        <f>IF('Boletins Nuppa Site'!J1171&lt;&gt;0,'Boletins Nuppa Site'!J1171,"NULL")</f>
        <v>10</v>
      </c>
      <c r="H1171" s="14">
        <f>IF('Boletins Nuppa Site'!K1171&lt;&gt;0,'Boletins Nuppa Site'!K1171,"NULL")</f>
        <v>10</v>
      </c>
      <c r="I1171" t="str">
        <f t="shared" si="36"/>
        <v>INSERT INTO COTACAO (cot_id, cot_blt_id, cot_pap_id, cot_prc_comum, cot_prc_min, cot_prc_max, cot_prc_med, cot_prc_mediana) VALUES (1170, 67, 18, 10, 10, 10, 10, 10);</v>
      </c>
      <c r="J1171" t="str">
        <f t="shared" si="37"/>
        <v>UPDATE COTACAO SET cot_id = 1170, cot_blt_id = 67, cot_pap_id = 18, cot_prc_comum = 10, cot_prc_min = 10, cot_prc_max = 10, cot_prc_med = 10, cot_prc_mediana = 10 WHERE cot_id = 1170;</v>
      </c>
    </row>
    <row r="1172" spans="1:10" x14ac:dyDescent="0.3">
      <c r="A1172">
        <v>1171</v>
      </c>
      <c r="B1172">
        <f>IF('Boletins Nuppa Site'!A1172&lt;&gt;0,'Boletins Nuppa Site'!A1172,"NULL")</f>
        <v>67</v>
      </c>
      <c r="C1172">
        <v>19</v>
      </c>
      <c r="D1172" s="14">
        <f>IF('Boletins Nuppa Site'!G1172&lt;&gt;0,'Boletins Nuppa Site'!G1172,"NULL")</f>
        <v>20</v>
      </c>
      <c r="E1172" s="14">
        <f>IF('Boletins Nuppa Site'!H1172&lt;&gt;0,'Boletins Nuppa Site'!H1172,"NULL")</f>
        <v>20</v>
      </c>
      <c r="F1172" s="14">
        <f>IF('Boletins Nuppa Site'!I1172&lt;&gt;0,'Boletins Nuppa Site'!I1172,"NULL")</f>
        <v>30</v>
      </c>
      <c r="G1172" t="str">
        <f>IF('Boletins Nuppa Site'!J1172&lt;&gt;0,'Boletins Nuppa Site'!J1172,"NULL")</f>
        <v>23.75</v>
      </c>
      <c r="H1172" t="str">
        <f>IF('Boletins Nuppa Site'!K1172&lt;&gt;0,'Boletins Nuppa Site'!K1172,"NULL")</f>
        <v>22.5</v>
      </c>
      <c r="I1172" t="str">
        <f t="shared" si="36"/>
        <v>INSERT INTO COTACAO (cot_id, cot_blt_id, cot_pap_id, cot_prc_comum, cot_prc_min, cot_prc_max, cot_prc_med, cot_prc_mediana) VALUES (1171, 67, 19, 20, 20, 30, 23.75, 22.5);</v>
      </c>
      <c r="J1172" t="str">
        <f t="shared" si="37"/>
        <v>UPDATE COTACAO SET cot_id = 1171, cot_blt_id = 67, cot_pap_id = 19, cot_prc_comum = 20, cot_prc_min = 20, cot_prc_max = 30, cot_prc_med = 23.75, cot_prc_mediana = 22.5 WHERE cot_id = 1171;</v>
      </c>
    </row>
    <row r="1173" spans="1:10" x14ac:dyDescent="0.3">
      <c r="A1173">
        <v>1172</v>
      </c>
      <c r="B1173">
        <f>IF('Boletins Nuppa Site'!A1173&lt;&gt;0,'Boletins Nuppa Site'!A1173,"NULL")</f>
        <v>67</v>
      </c>
      <c r="C1173">
        <v>20</v>
      </c>
      <c r="D1173" t="str">
        <f>IF('Boletins Nuppa Site'!G1173&lt;&gt;0,'Boletins Nuppa Site'!G1173,"NULL")</f>
        <v>NULL</v>
      </c>
      <c r="E1173" s="14">
        <f>IF('Boletins Nuppa Site'!H1173&lt;&gt;0,'Boletins Nuppa Site'!H1173,"NULL")</f>
        <v>70</v>
      </c>
      <c r="F1173" s="14">
        <f>IF('Boletins Nuppa Site'!I1173&lt;&gt;0,'Boletins Nuppa Site'!I1173,"NULL")</f>
        <v>80</v>
      </c>
      <c r="G1173" s="14">
        <f>IF('Boletins Nuppa Site'!J1173&lt;&gt;0,'Boletins Nuppa Site'!J1173,"NULL")</f>
        <v>75</v>
      </c>
      <c r="H1173" s="14">
        <f>IF('Boletins Nuppa Site'!K1173&lt;&gt;0,'Boletins Nuppa Site'!K1173,"NULL")</f>
        <v>75</v>
      </c>
      <c r="I1173" t="str">
        <f t="shared" si="36"/>
        <v>INSERT INTO COTACAO (cot_id, cot_blt_id, cot_pap_id, cot_prc_comum, cot_prc_min, cot_prc_max, cot_prc_med, cot_prc_mediana) VALUES (1172, 67, 20, NULL, 70, 80, 75, 75);</v>
      </c>
      <c r="J1173" t="str">
        <f t="shared" si="37"/>
        <v>UPDATE COTACAO SET cot_id = 1172, cot_blt_id = 67, cot_pap_id = 20, cot_prc_comum = NULL, cot_prc_min = 70, cot_prc_max = 80, cot_prc_med = 75, cot_prc_mediana = 75 WHERE cot_id = 1172;</v>
      </c>
    </row>
    <row r="1174" spans="1:10" x14ac:dyDescent="0.3">
      <c r="A1174">
        <v>1173</v>
      </c>
      <c r="B1174">
        <f>IF('Boletins Nuppa Site'!A1174&lt;&gt;0,'Boletins Nuppa Site'!A1174,"NULL")</f>
        <v>67</v>
      </c>
      <c r="C1174">
        <v>21</v>
      </c>
      <c r="D1174" s="14">
        <f>IF('Boletins Nuppa Site'!G1174&lt;&gt;0,'Boletins Nuppa Site'!G1174,"NULL")</f>
        <v>60</v>
      </c>
      <c r="E1174" s="14">
        <f>IF('Boletins Nuppa Site'!H1174&lt;&gt;0,'Boletins Nuppa Site'!H1174,"NULL")</f>
        <v>50</v>
      </c>
      <c r="F1174" s="14">
        <f>IF('Boletins Nuppa Site'!I1174&lt;&gt;0,'Boletins Nuppa Site'!I1174,"NULL")</f>
        <v>60</v>
      </c>
      <c r="G1174" t="str">
        <f>IF('Boletins Nuppa Site'!J1174&lt;&gt;0,'Boletins Nuppa Site'!J1174,"NULL")</f>
        <v>57.5</v>
      </c>
      <c r="H1174" s="14">
        <f>IF('Boletins Nuppa Site'!K1174&lt;&gt;0,'Boletins Nuppa Site'!K1174,"NULL")</f>
        <v>60</v>
      </c>
      <c r="I1174" t="str">
        <f t="shared" si="36"/>
        <v>INSERT INTO COTACAO (cot_id, cot_blt_id, cot_pap_id, cot_prc_comum, cot_prc_min, cot_prc_max, cot_prc_med, cot_prc_mediana) VALUES (1173, 67, 21, 60, 50, 60, 57.5, 60);</v>
      </c>
      <c r="J1174" t="str">
        <f t="shared" si="37"/>
        <v>UPDATE COTACAO SET cot_id = 1173, cot_blt_id = 67, cot_pap_id = 21, cot_prc_comum = 60, cot_prc_min = 50, cot_prc_max = 60, cot_prc_med = 57.5, cot_prc_mediana = 60 WHERE cot_id = 1173;</v>
      </c>
    </row>
    <row r="1175" spans="1:10" x14ac:dyDescent="0.3">
      <c r="A1175">
        <v>1174</v>
      </c>
      <c r="B1175">
        <f>IF('Boletins Nuppa Site'!A1175&lt;&gt;0,'Boletins Nuppa Site'!A1175,"NULL")</f>
        <v>67</v>
      </c>
      <c r="C1175">
        <v>22</v>
      </c>
      <c r="D1175" t="str">
        <f>IF('Boletins Nuppa Site'!G1175&lt;&gt;0,'Boletins Nuppa Site'!G1175,"NULL")</f>
        <v>NULL</v>
      </c>
      <c r="E1175" s="14">
        <f>IF('Boletins Nuppa Site'!H1175&lt;&gt;0,'Boletins Nuppa Site'!H1175,"NULL")</f>
        <v>35</v>
      </c>
      <c r="F1175" s="14">
        <f>IF('Boletins Nuppa Site'!I1175&lt;&gt;0,'Boletins Nuppa Site'!I1175,"NULL")</f>
        <v>80</v>
      </c>
      <c r="G1175" s="14">
        <f>IF('Boletins Nuppa Site'!J1175&lt;&gt;0,'Boletins Nuppa Site'!J1175,"NULL")</f>
        <v>56</v>
      </c>
      <c r="H1175" s="14">
        <f>IF('Boletins Nuppa Site'!K1175&lt;&gt;0,'Boletins Nuppa Site'!K1175,"NULL")</f>
        <v>50</v>
      </c>
      <c r="I1175" t="str">
        <f t="shared" si="36"/>
        <v>INSERT INTO COTACAO (cot_id, cot_blt_id, cot_pap_id, cot_prc_comum, cot_prc_min, cot_prc_max, cot_prc_med, cot_prc_mediana) VALUES (1174, 67, 22, NULL, 35, 80, 56, 50);</v>
      </c>
      <c r="J1175" t="str">
        <f t="shared" si="37"/>
        <v>UPDATE COTACAO SET cot_id = 1174, cot_blt_id = 67, cot_pap_id = 22, cot_prc_comum = NULL, cot_prc_min = 35, cot_prc_max = 80, cot_prc_med = 56, cot_prc_mediana = 50 WHERE cot_id = 1174;</v>
      </c>
    </row>
    <row r="1176" spans="1:10" x14ac:dyDescent="0.3">
      <c r="A1176">
        <v>1175</v>
      </c>
      <c r="B1176">
        <f>IF('Boletins Nuppa Site'!A1176&lt;&gt;0,'Boletins Nuppa Site'!A1176,"NULL")</f>
        <v>67</v>
      </c>
      <c r="C1176">
        <v>23</v>
      </c>
      <c r="D1176" s="14">
        <f>IF('Boletins Nuppa Site'!G1176&lt;&gt;0,'Boletins Nuppa Site'!G1176,"NULL")</f>
        <v>45</v>
      </c>
      <c r="E1176" s="14">
        <f>IF('Boletins Nuppa Site'!H1176&lt;&gt;0,'Boletins Nuppa Site'!H1176,"NULL")</f>
        <v>45</v>
      </c>
      <c r="F1176" s="14">
        <f>IF('Boletins Nuppa Site'!I1176&lt;&gt;0,'Boletins Nuppa Site'!I1176,"NULL")</f>
        <v>60</v>
      </c>
      <c r="G1176" s="14">
        <f>IF('Boletins Nuppa Site'!J1176&lt;&gt;0,'Boletins Nuppa Site'!J1176,"NULL")</f>
        <v>50</v>
      </c>
      <c r="H1176" t="str">
        <f>IF('Boletins Nuppa Site'!K1176&lt;&gt;0,'Boletins Nuppa Site'!K1176,"NULL")</f>
        <v>47.5</v>
      </c>
      <c r="I1176" t="str">
        <f t="shared" si="36"/>
        <v>INSERT INTO COTACAO (cot_id, cot_blt_id, cot_pap_id, cot_prc_comum, cot_prc_min, cot_prc_max, cot_prc_med, cot_prc_mediana) VALUES (1175, 67, 23, 45, 45, 60, 50, 47.5);</v>
      </c>
      <c r="J1176" t="str">
        <f t="shared" si="37"/>
        <v>UPDATE COTACAO SET cot_id = 1175, cot_blt_id = 67, cot_pap_id = 23, cot_prc_comum = 45, cot_prc_min = 45, cot_prc_max = 60, cot_prc_med = 50, cot_prc_mediana = 47.5 WHERE cot_id = 1175;</v>
      </c>
    </row>
    <row r="1177" spans="1:10" x14ac:dyDescent="0.3">
      <c r="A1177">
        <v>1176</v>
      </c>
      <c r="B1177">
        <f>IF('Boletins Nuppa Site'!A1177&lt;&gt;0,'Boletins Nuppa Site'!A1177,"NULL")</f>
        <v>67</v>
      </c>
      <c r="C1177">
        <v>24</v>
      </c>
      <c r="D1177" t="str">
        <f>IF('Boletins Nuppa Site'!G1177&lt;&gt;0,'Boletins Nuppa Site'!G1177,"NULL")</f>
        <v>NULL</v>
      </c>
      <c r="E1177" t="str">
        <f>IF('Boletins Nuppa Site'!H1177&lt;&gt;0,'Boletins Nuppa Site'!H1177,"NULL")</f>
        <v>NULL</v>
      </c>
      <c r="F1177" t="str">
        <f>IF('Boletins Nuppa Site'!I1177&lt;&gt;0,'Boletins Nuppa Site'!I1177,"NULL")</f>
        <v>NULL</v>
      </c>
      <c r="G1177" t="str">
        <f>IF('Boletins Nuppa Site'!J1177&lt;&gt;0,'Boletins Nuppa Site'!J1177,"NULL")</f>
        <v>NULL</v>
      </c>
      <c r="H1177" t="str">
        <f>IF('Boletins Nuppa Site'!K1177&lt;&gt;0,'Boletins Nuppa Site'!K1177,"NULL")</f>
        <v>NULL</v>
      </c>
      <c r="I1177" t="str">
        <f t="shared" si="36"/>
        <v>INSERT INTO COTACAO (cot_id, cot_blt_id, cot_pap_id, cot_prc_comum, cot_prc_min, cot_prc_max, cot_prc_med, cot_prc_mediana) VALUES (1176, 67, 24, NULL, NULL, NULL, NULL, NULL);</v>
      </c>
      <c r="J1177" t="str">
        <f t="shared" si="37"/>
        <v>UPDATE COTACAO SET cot_id = 1176, cot_blt_id = 67, cot_pap_id = 24, cot_prc_comum = NULL, cot_prc_min = NULL, cot_prc_max = NULL, cot_prc_med = NULL, cot_prc_mediana = NULL WHERE cot_id = 1176;</v>
      </c>
    </row>
    <row r="1178" spans="1:10" x14ac:dyDescent="0.3">
      <c r="A1178">
        <v>1177</v>
      </c>
      <c r="B1178">
        <f>IF('Boletins Nuppa Site'!A1178&lt;&gt;0,'Boletins Nuppa Site'!A1178,"NULL")</f>
        <v>67</v>
      </c>
      <c r="C1178">
        <v>25</v>
      </c>
      <c r="D1178" s="14">
        <f>IF('Boletins Nuppa Site'!G1178&lt;&gt;0,'Boletins Nuppa Site'!G1178,"NULL")</f>
        <v>60</v>
      </c>
      <c r="E1178" s="14">
        <f>IF('Boletins Nuppa Site'!H1178&lt;&gt;0,'Boletins Nuppa Site'!H1178,"NULL")</f>
        <v>35</v>
      </c>
      <c r="F1178" s="14">
        <f>IF('Boletins Nuppa Site'!I1178&lt;&gt;0,'Boletins Nuppa Site'!I1178,"NULL")</f>
        <v>70</v>
      </c>
      <c r="G1178" s="14">
        <f>IF('Boletins Nuppa Site'!J1178&lt;&gt;0,'Boletins Nuppa Site'!J1178,"NULL")</f>
        <v>57</v>
      </c>
      <c r="H1178" s="14">
        <f>IF('Boletins Nuppa Site'!K1178&lt;&gt;0,'Boletins Nuppa Site'!K1178,"NULL")</f>
        <v>60</v>
      </c>
      <c r="I1178" t="str">
        <f t="shared" si="36"/>
        <v>INSERT INTO COTACAO (cot_id, cot_blt_id, cot_pap_id, cot_prc_comum, cot_prc_min, cot_prc_max, cot_prc_med, cot_prc_mediana) VALUES (1177, 67, 25, 60, 35, 70, 57, 60);</v>
      </c>
      <c r="J1178" t="str">
        <f t="shared" si="37"/>
        <v>UPDATE COTACAO SET cot_id = 1177, cot_blt_id = 67, cot_pap_id = 25, cot_prc_comum = 60, cot_prc_min = 35, cot_prc_max = 70, cot_prc_med = 57, cot_prc_mediana = 60 WHERE cot_id = 1177;</v>
      </c>
    </row>
    <row r="1179" spans="1:10" x14ac:dyDescent="0.3">
      <c r="A1179">
        <v>1178</v>
      </c>
      <c r="B1179">
        <f>IF('Boletins Nuppa Site'!A1179&lt;&gt;0,'Boletins Nuppa Site'!A1179,"NULL")</f>
        <v>67</v>
      </c>
      <c r="C1179">
        <v>26</v>
      </c>
      <c r="D1179" s="14">
        <f>IF('Boletins Nuppa Site'!G1179&lt;&gt;0,'Boletins Nuppa Site'!G1179,"NULL")</f>
        <v>60</v>
      </c>
      <c r="E1179" s="14">
        <f>IF('Boletins Nuppa Site'!H1179&lt;&gt;0,'Boletins Nuppa Site'!H1179,"NULL")</f>
        <v>35</v>
      </c>
      <c r="F1179" s="14">
        <f>IF('Boletins Nuppa Site'!I1179&lt;&gt;0,'Boletins Nuppa Site'!I1179,"NULL")</f>
        <v>60</v>
      </c>
      <c r="G1179" s="14">
        <f>IF('Boletins Nuppa Site'!J1179&lt;&gt;0,'Boletins Nuppa Site'!J1179,"NULL")</f>
        <v>46</v>
      </c>
      <c r="H1179" s="14">
        <f>IF('Boletins Nuppa Site'!K1179&lt;&gt;0,'Boletins Nuppa Site'!K1179,"NULL")</f>
        <v>40</v>
      </c>
      <c r="I1179" t="str">
        <f t="shared" si="36"/>
        <v>INSERT INTO COTACAO (cot_id, cot_blt_id, cot_pap_id, cot_prc_comum, cot_prc_min, cot_prc_max, cot_prc_med, cot_prc_mediana) VALUES (1178, 67, 26, 60, 35, 60, 46, 40);</v>
      </c>
      <c r="J1179" t="str">
        <f t="shared" si="37"/>
        <v>UPDATE COTACAO SET cot_id = 1178, cot_blt_id = 67, cot_pap_id = 26, cot_prc_comum = 60, cot_prc_min = 35, cot_prc_max = 60, cot_prc_med = 46, cot_prc_mediana = 40 WHERE cot_id = 1178;</v>
      </c>
    </row>
    <row r="1180" spans="1:10" x14ac:dyDescent="0.3">
      <c r="A1180">
        <v>1179</v>
      </c>
      <c r="B1180">
        <f>IF('Boletins Nuppa Site'!A1180&lt;&gt;0,'Boletins Nuppa Site'!A1180,"NULL")</f>
        <v>67</v>
      </c>
      <c r="C1180">
        <v>27</v>
      </c>
      <c r="D1180" t="str">
        <f>IF('Boletins Nuppa Site'!G1180&lt;&gt;0,'Boletins Nuppa Site'!G1180,"NULL")</f>
        <v>NULL</v>
      </c>
      <c r="E1180" s="14">
        <f>IF('Boletins Nuppa Site'!H1180&lt;&gt;0,'Boletins Nuppa Site'!H1180,"NULL")</f>
        <v>50</v>
      </c>
      <c r="F1180" s="14">
        <f>IF('Boletins Nuppa Site'!I1180&lt;&gt;0,'Boletins Nuppa Site'!I1180,"NULL")</f>
        <v>80</v>
      </c>
      <c r="G1180" s="14">
        <f>IF('Boletins Nuppa Site'!J1180&lt;&gt;0,'Boletins Nuppa Site'!J1180,"NULL")</f>
        <v>65</v>
      </c>
      <c r="H1180" s="14">
        <f>IF('Boletins Nuppa Site'!K1180&lt;&gt;0,'Boletins Nuppa Site'!K1180,"NULL")</f>
        <v>65</v>
      </c>
      <c r="I1180" t="str">
        <f t="shared" si="36"/>
        <v>INSERT INTO COTACAO (cot_id, cot_blt_id, cot_pap_id, cot_prc_comum, cot_prc_min, cot_prc_max, cot_prc_med, cot_prc_mediana) VALUES (1179, 67, 27, NULL, 50, 80, 65, 65);</v>
      </c>
      <c r="J1180" t="str">
        <f t="shared" si="37"/>
        <v>UPDATE COTACAO SET cot_id = 1179, cot_blt_id = 67, cot_pap_id = 27, cot_prc_comum = NULL, cot_prc_min = 50, cot_prc_max = 80, cot_prc_med = 65, cot_prc_mediana = 65 WHERE cot_id = 1179;</v>
      </c>
    </row>
    <row r="1181" spans="1:10" x14ac:dyDescent="0.3">
      <c r="A1181">
        <v>1180</v>
      </c>
      <c r="B1181">
        <f>IF('Boletins Nuppa Site'!A1181&lt;&gt;0,'Boletins Nuppa Site'!A1181,"NULL")</f>
        <v>67</v>
      </c>
      <c r="C1181">
        <v>28</v>
      </c>
      <c r="D1181" t="str">
        <f>IF('Boletins Nuppa Site'!G1181&lt;&gt;0,'Boletins Nuppa Site'!G1181,"NULL")</f>
        <v>NULL</v>
      </c>
      <c r="E1181" s="14">
        <f>IF('Boletins Nuppa Site'!H1181&lt;&gt;0,'Boletins Nuppa Site'!H1181,"NULL")</f>
        <v>80</v>
      </c>
      <c r="F1181" s="14">
        <f>IF('Boletins Nuppa Site'!I1181&lt;&gt;0,'Boletins Nuppa Site'!I1181,"NULL")</f>
        <v>110</v>
      </c>
      <c r="G1181" s="14">
        <f>IF('Boletins Nuppa Site'!J1181&lt;&gt;0,'Boletins Nuppa Site'!J1181,"NULL")</f>
        <v>95</v>
      </c>
      <c r="H1181" s="14">
        <f>IF('Boletins Nuppa Site'!K1181&lt;&gt;0,'Boletins Nuppa Site'!K1181,"NULL")</f>
        <v>95</v>
      </c>
      <c r="I1181" t="str">
        <f t="shared" si="36"/>
        <v>INSERT INTO COTACAO (cot_id, cot_blt_id, cot_pap_id, cot_prc_comum, cot_prc_min, cot_prc_max, cot_prc_med, cot_prc_mediana) VALUES (1180, 67, 28, NULL, 80, 110, 95, 95);</v>
      </c>
      <c r="J1181" t="str">
        <f t="shared" si="37"/>
        <v>UPDATE COTACAO SET cot_id = 1180, cot_blt_id = 67, cot_pap_id = 28, cot_prc_comum = NULL, cot_prc_min = 80, cot_prc_max = 110, cot_prc_med = 95, cot_prc_mediana = 95 WHERE cot_id = 1180;</v>
      </c>
    </row>
    <row r="1182" spans="1:10" x14ac:dyDescent="0.3">
      <c r="A1182">
        <v>1181</v>
      </c>
      <c r="B1182">
        <f>IF('Boletins Nuppa Site'!A1182&lt;&gt;0,'Boletins Nuppa Site'!A1182,"NULL")</f>
        <v>67</v>
      </c>
      <c r="C1182">
        <v>29</v>
      </c>
      <c r="D1182" t="str">
        <f>IF('Boletins Nuppa Site'!G1182&lt;&gt;0,'Boletins Nuppa Site'!G1182,"NULL")</f>
        <v>NULL</v>
      </c>
      <c r="E1182" t="str">
        <f>IF('Boletins Nuppa Site'!H1182&lt;&gt;0,'Boletins Nuppa Site'!H1182,"NULL")</f>
        <v>NULL</v>
      </c>
      <c r="F1182" t="str">
        <f>IF('Boletins Nuppa Site'!I1182&lt;&gt;0,'Boletins Nuppa Site'!I1182,"NULL")</f>
        <v>NULL</v>
      </c>
      <c r="G1182" t="str">
        <f>IF('Boletins Nuppa Site'!J1182&lt;&gt;0,'Boletins Nuppa Site'!J1182,"NULL")</f>
        <v>NULL</v>
      </c>
      <c r="H1182" t="str">
        <f>IF('Boletins Nuppa Site'!K1182&lt;&gt;0,'Boletins Nuppa Site'!K1182,"NULL")</f>
        <v>NULL</v>
      </c>
      <c r="I1182" t="str">
        <f t="shared" si="36"/>
        <v>INSERT INTO COTACAO (cot_id, cot_blt_id, cot_pap_id, cot_prc_comum, cot_prc_min, cot_prc_max, cot_prc_med, cot_prc_mediana) VALUES (1181, 67, 29, NULL, NULL, NULL, NULL, NULL);</v>
      </c>
      <c r="J1182" t="str">
        <f t="shared" si="37"/>
        <v>UPDATE COTACAO SET cot_id = 1181, cot_blt_id = 67, cot_pap_id = 29, cot_prc_comum = NULL, cot_prc_min = NULL, cot_prc_max = NULL, cot_prc_med = NULL, cot_prc_mediana = NULL WHERE cot_id = 1181;</v>
      </c>
    </row>
    <row r="1183" spans="1:10" x14ac:dyDescent="0.3">
      <c r="A1183">
        <v>1182</v>
      </c>
      <c r="B1183">
        <f>IF('Boletins Nuppa Site'!A1183&lt;&gt;0,'Boletins Nuppa Site'!A1183,"NULL")</f>
        <v>67</v>
      </c>
      <c r="C1183">
        <v>30</v>
      </c>
      <c r="D1183" t="str">
        <f>IF('Boletins Nuppa Site'!G1183&lt;&gt;0,'Boletins Nuppa Site'!G1183,"NULL")</f>
        <v>NULL</v>
      </c>
      <c r="E1183" s="14">
        <f>IF('Boletins Nuppa Site'!H1183&lt;&gt;0,'Boletins Nuppa Site'!H1183,"NULL")</f>
        <v>25</v>
      </c>
      <c r="F1183" s="14">
        <f>IF('Boletins Nuppa Site'!I1183&lt;&gt;0,'Boletins Nuppa Site'!I1183,"NULL")</f>
        <v>80</v>
      </c>
      <c r="G1183" t="str">
        <f>IF('Boletins Nuppa Site'!J1183&lt;&gt;0,'Boletins Nuppa Site'!J1183,"NULL")</f>
        <v>58.33</v>
      </c>
      <c r="H1183" s="14">
        <f>IF('Boletins Nuppa Site'!K1183&lt;&gt;0,'Boletins Nuppa Site'!K1183,"NULL")</f>
        <v>70</v>
      </c>
      <c r="I1183" t="str">
        <f t="shared" si="36"/>
        <v>INSERT INTO COTACAO (cot_id, cot_blt_id, cot_pap_id, cot_prc_comum, cot_prc_min, cot_prc_max, cot_prc_med, cot_prc_mediana) VALUES (1182, 67, 30, NULL, 25, 80, 58.33, 70);</v>
      </c>
      <c r="J1183" t="str">
        <f t="shared" si="37"/>
        <v>UPDATE COTACAO SET cot_id = 1182, cot_blt_id = 67, cot_pap_id = 30, cot_prc_comum = NULL, cot_prc_min = 25, cot_prc_max = 80, cot_prc_med = 58.33, cot_prc_mediana = 70 WHERE cot_id = 1182;</v>
      </c>
    </row>
    <row r="1184" spans="1:10" x14ac:dyDescent="0.3">
      <c r="A1184">
        <v>1183</v>
      </c>
      <c r="B1184">
        <f>IF('Boletins Nuppa Site'!A1184&lt;&gt;0,'Boletins Nuppa Site'!A1184,"NULL")</f>
        <v>67</v>
      </c>
      <c r="C1184">
        <v>31</v>
      </c>
      <c r="D1184" t="str">
        <f>IF('Boletins Nuppa Site'!G1184&lt;&gt;0,'Boletins Nuppa Site'!G1184,"NULL")</f>
        <v>NULL</v>
      </c>
      <c r="E1184" s="14">
        <f>IF('Boletins Nuppa Site'!H1184&lt;&gt;0,'Boletins Nuppa Site'!H1184,"NULL")</f>
        <v>70</v>
      </c>
      <c r="F1184" s="14">
        <f>IF('Boletins Nuppa Site'!I1184&lt;&gt;0,'Boletins Nuppa Site'!I1184,"NULL")</f>
        <v>120</v>
      </c>
      <c r="G1184" s="14">
        <f>IF('Boletins Nuppa Site'!J1184&lt;&gt;0,'Boletins Nuppa Site'!J1184,"NULL")</f>
        <v>90</v>
      </c>
      <c r="H1184" s="14">
        <f>IF('Boletins Nuppa Site'!K1184&lt;&gt;0,'Boletins Nuppa Site'!K1184,"NULL")</f>
        <v>80</v>
      </c>
      <c r="I1184" t="str">
        <f t="shared" si="36"/>
        <v>INSERT INTO COTACAO (cot_id, cot_blt_id, cot_pap_id, cot_prc_comum, cot_prc_min, cot_prc_max, cot_prc_med, cot_prc_mediana) VALUES (1183, 67, 31, NULL, 70, 120, 90, 80);</v>
      </c>
      <c r="J1184" t="str">
        <f t="shared" si="37"/>
        <v>UPDATE COTACAO SET cot_id = 1183, cot_blt_id = 67, cot_pap_id = 31, cot_prc_comum = NULL, cot_prc_min = 70, cot_prc_max = 120, cot_prc_med = 90, cot_prc_mediana = 80 WHERE cot_id = 1183;</v>
      </c>
    </row>
    <row r="1185" spans="1:10" x14ac:dyDescent="0.3">
      <c r="A1185">
        <v>1184</v>
      </c>
      <c r="B1185">
        <f>IF('Boletins Nuppa Site'!A1185&lt;&gt;0,'Boletins Nuppa Site'!A1185,"NULL")</f>
        <v>67</v>
      </c>
      <c r="C1185">
        <v>32</v>
      </c>
      <c r="D1185" s="14">
        <f>IF('Boletins Nuppa Site'!G1185&lt;&gt;0,'Boletins Nuppa Site'!G1185,"NULL")</f>
        <v>50</v>
      </c>
      <c r="E1185" s="14">
        <f>IF('Boletins Nuppa Site'!H1185&lt;&gt;0,'Boletins Nuppa Site'!H1185,"NULL")</f>
        <v>25</v>
      </c>
      <c r="F1185" s="14">
        <f>IF('Boletins Nuppa Site'!I1185&lt;&gt;0,'Boletins Nuppa Site'!I1185,"NULL")</f>
        <v>60</v>
      </c>
      <c r="G1185" s="14">
        <f>IF('Boletins Nuppa Site'!J1185&lt;&gt;0,'Boletins Nuppa Site'!J1185,"NULL")</f>
        <v>48</v>
      </c>
      <c r="H1185" s="14">
        <f>IF('Boletins Nuppa Site'!K1185&lt;&gt;0,'Boletins Nuppa Site'!K1185,"NULL")</f>
        <v>50</v>
      </c>
      <c r="I1185" t="str">
        <f t="shared" si="36"/>
        <v>INSERT INTO COTACAO (cot_id, cot_blt_id, cot_pap_id, cot_prc_comum, cot_prc_min, cot_prc_max, cot_prc_med, cot_prc_mediana) VALUES (1184, 67, 32, 50, 25, 60, 48, 50);</v>
      </c>
      <c r="J1185" t="str">
        <f t="shared" si="37"/>
        <v>UPDATE COTACAO SET cot_id = 1184, cot_blt_id = 67, cot_pap_id = 32, cot_prc_comum = 50, cot_prc_min = 25, cot_prc_max = 60, cot_prc_med = 48, cot_prc_mediana = 50 WHERE cot_id = 1184;</v>
      </c>
    </row>
    <row r="1186" spans="1:10" x14ac:dyDescent="0.3">
      <c r="A1186">
        <v>1185</v>
      </c>
      <c r="B1186">
        <f>IF('Boletins Nuppa Site'!A1186&lt;&gt;0,'Boletins Nuppa Site'!A1186,"NULL")</f>
        <v>67</v>
      </c>
      <c r="C1186">
        <v>33</v>
      </c>
      <c r="D1186" t="str">
        <f>IF('Boletins Nuppa Site'!G1186&lt;&gt;0,'Boletins Nuppa Site'!G1186,"NULL")</f>
        <v>NULL</v>
      </c>
      <c r="E1186" s="14">
        <f>IF('Boletins Nuppa Site'!H1186&lt;&gt;0,'Boletins Nuppa Site'!H1186,"NULL")</f>
        <v>120</v>
      </c>
      <c r="F1186" s="14">
        <f>IF('Boletins Nuppa Site'!I1186&lt;&gt;0,'Boletins Nuppa Site'!I1186,"NULL")</f>
        <v>140</v>
      </c>
      <c r="G1186" s="14">
        <f>IF('Boletins Nuppa Site'!J1186&lt;&gt;0,'Boletins Nuppa Site'!J1186,"NULL")</f>
        <v>130</v>
      </c>
      <c r="H1186" s="14">
        <f>IF('Boletins Nuppa Site'!K1186&lt;&gt;0,'Boletins Nuppa Site'!K1186,"NULL")</f>
        <v>130</v>
      </c>
      <c r="I1186" t="str">
        <f t="shared" si="36"/>
        <v>INSERT INTO COTACAO (cot_id, cot_blt_id, cot_pap_id, cot_prc_comum, cot_prc_min, cot_prc_max, cot_prc_med, cot_prc_mediana) VALUES (1185, 67, 33, NULL, 120, 140, 130, 130);</v>
      </c>
      <c r="J1186" t="str">
        <f t="shared" si="37"/>
        <v>UPDATE COTACAO SET cot_id = 1185, cot_blt_id = 67, cot_pap_id = 33, cot_prc_comum = NULL, cot_prc_min = 120, cot_prc_max = 140, cot_prc_med = 130, cot_prc_mediana = 130 WHERE cot_id = 1185;</v>
      </c>
    </row>
    <row r="1187" spans="1:10" x14ac:dyDescent="0.3">
      <c r="A1187">
        <v>1186</v>
      </c>
      <c r="B1187">
        <f>IF('Boletins Nuppa Site'!A1187&lt;&gt;0,'Boletins Nuppa Site'!A1187,"NULL")</f>
        <v>67</v>
      </c>
      <c r="C1187">
        <v>34</v>
      </c>
      <c r="D1187" s="14">
        <f>IF('Boletins Nuppa Site'!G1187&lt;&gt;0,'Boletins Nuppa Site'!G1187,"NULL")</f>
        <v>60</v>
      </c>
      <c r="E1187" s="14">
        <f>IF('Boletins Nuppa Site'!H1187&lt;&gt;0,'Boletins Nuppa Site'!H1187,"NULL")</f>
        <v>45</v>
      </c>
      <c r="F1187" s="14">
        <f>IF('Boletins Nuppa Site'!I1187&lt;&gt;0,'Boletins Nuppa Site'!I1187,"NULL")</f>
        <v>60</v>
      </c>
      <c r="G1187" t="str">
        <f>IF('Boletins Nuppa Site'!J1187&lt;&gt;0,'Boletins Nuppa Site'!J1187,"NULL")</f>
        <v>53.75</v>
      </c>
      <c r="H1187" s="14">
        <f>IF('Boletins Nuppa Site'!K1187&lt;&gt;0,'Boletins Nuppa Site'!K1187,"NULL")</f>
        <v>55</v>
      </c>
      <c r="I1187" t="str">
        <f t="shared" si="36"/>
        <v>INSERT INTO COTACAO (cot_id, cot_blt_id, cot_pap_id, cot_prc_comum, cot_prc_min, cot_prc_max, cot_prc_med, cot_prc_mediana) VALUES (1186, 67, 34, 60, 45, 60, 53.75, 55);</v>
      </c>
      <c r="J1187" t="str">
        <f t="shared" si="37"/>
        <v>UPDATE COTACAO SET cot_id = 1186, cot_blt_id = 67, cot_pap_id = 34, cot_prc_comum = 60, cot_prc_min = 45, cot_prc_max = 60, cot_prc_med = 53.75, cot_prc_mediana = 55 WHERE cot_id = 1186;</v>
      </c>
    </row>
    <row r="1188" spans="1:10" x14ac:dyDescent="0.3">
      <c r="A1188">
        <v>1187</v>
      </c>
      <c r="B1188">
        <f>IF('Boletins Nuppa Site'!A1188&lt;&gt;0,'Boletins Nuppa Site'!A1188,"NULL")</f>
        <v>67</v>
      </c>
      <c r="C1188">
        <v>35</v>
      </c>
      <c r="D1188" t="str">
        <f>IF('Boletins Nuppa Site'!G1188&lt;&gt;0,'Boletins Nuppa Site'!G1188,"NULL")</f>
        <v>NULL</v>
      </c>
      <c r="E1188" s="14">
        <f>IF('Boletins Nuppa Site'!H1188&lt;&gt;0,'Boletins Nuppa Site'!H1188,"NULL")</f>
        <v>120</v>
      </c>
      <c r="F1188" s="14">
        <f>IF('Boletins Nuppa Site'!I1188&lt;&gt;0,'Boletins Nuppa Site'!I1188,"NULL")</f>
        <v>120</v>
      </c>
      <c r="G1188" s="14">
        <f>IF('Boletins Nuppa Site'!J1188&lt;&gt;0,'Boletins Nuppa Site'!J1188,"NULL")</f>
        <v>120</v>
      </c>
      <c r="H1188" s="14">
        <f>IF('Boletins Nuppa Site'!K1188&lt;&gt;0,'Boletins Nuppa Site'!K1188,"NULL")</f>
        <v>120</v>
      </c>
      <c r="I1188" t="str">
        <f t="shared" si="36"/>
        <v>INSERT INTO COTACAO (cot_id, cot_blt_id, cot_pap_id, cot_prc_comum, cot_prc_min, cot_prc_max, cot_prc_med, cot_prc_mediana) VALUES (1187, 67, 35, NULL, 120, 120, 120, 120);</v>
      </c>
      <c r="J1188" t="str">
        <f t="shared" si="37"/>
        <v>UPDATE COTACAO SET cot_id = 1187, cot_blt_id = 67, cot_pap_id = 35, cot_prc_comum = NULL, cot_prc_min = 120, cot_prc_max = 120, cot_prc_med = 120, cot_prc_mediana = 120 WHERE cot_id = 1187;</v>
      </c>
    </row>
    <row r="1189" spans="1:10" x14ac:dyDescent="0.3">
      <c r="A1189">
        <v>1188</v>
      </c>
      <c r="B1189">
        <f>IF('Boletins Nuppa Site'!A1189&lt;&gt;0,'Boletins Nuppa Site'!A1189,"NULL")</f>
        <v>67</v>
      </c>
      <c r="C1189">
        <v>36</v>
      </c>
      <c r="D1189" t="str">
        <f>IF('Boletins Nuppa Site'!G1189&lt;&gt;0,'Boletins Nuppa Site'!G1189,"NULL")</f>
        <v>NULL</v>
      </c>
      <c r="E1189" t="str">
        <f>IF('Boletins Nuppa Site'!H1189&lt;&gt;0,'Boletins Nuppa Site'!H1189,"NULL")</f>
        <v>NULL</v>
      </c>
      <c r="F1189" t="str">
        <f>IF('Boletins Nuppa Site'!I1189&lt;&gt;0,'Boletins Nuppa Site'!I1189,"NULL")</f>
        <v>NULL</v>
      </c>
      <c r="G1189" t="str">
        <f>IF('Boletins Nuppa Site'!J1189&lt;&gt;0,'Boletins Nuppa Site'!J1189,"NULL")</f>
        <v>NULL</v>
      </c>
      <c r="H1189" t="str">
        <f>IF('Boletins Nuppa Site'!K1189&lt;&gt;0,'Boletins Nuppa Site'!K1189,"NULL")</f>
        <v>NULL</v>
      </c>
      <c r="I1189" t="str">
        <f t="shared" si="36"/>
        <v>INSERT INTO COTACAO (cot_id, cot_blt_id, cot_pap_id, cot_prc_comum, cot_prc_min, cot_prc_max, cot_prc_med, cot_prc_mediana) VALUES (1188, 67, 36, NULL, NULL, NULL, NULL, NULL);</v>
      </c>
      <c r="J1189" t="str">
        <f t="shared" si="37"/>
        <v>UPDATE COTACAO SET cot_id = 1188, cot_blt_id = 67, cot_pap_id = 36, cot_prc_comum = NULL, cot_prc_min = NULL, cot_prc_max = NULL, cot_prc_med = NULL, cot_prc_mediana = NULL WHERE cot_id = 1188;</v>
      </c>
    </row>
    <row r="1190" spans="1:10" x14ac:dyDescent="0.3">
      <c r="A1190">
        <v>1189</v>
      </c>
      <c r="B1190">
        <f>IF('Boletins Nuppa Site'!A1190&lt;&gt;0,'Boletins Nuppa Site'!A1190,"NULL")</f>
        <v>67</v>
      </c>
      <c r="C1190">
        <v>37</v>
      </c>
      <c r="D1190" t="str">
        <f>IF('Boletins Nuppa Site'!G1190&lt;&gt;0,'Boletins Nuppa Site'!G1190,"NULL")</f>
        <v>NULL</v>
      </c>
      <c r="E1190" t="str">
        <f>IF('Boletins Nuppa Site'!H1190&lt;&gt;0,'Boletins Nuppa Site'!H1190,"NULL")</f>
        <v>NULL</v>
      </c>
      <c r="F1190" t="str">
        <f>IF('Boletins Nuppa Site'!I1190&lt;&gt;0,'Boletins Nuppa Site'!I1190,"NULL")</f>
        <v>NULL</v>
      </c>
      <c r="G1190" t="str">
        <f>IF('Boletins Nuppa Site'!J1190&lt;&gt;0,'Boletins Nuppa Site'!J1190,"NULL")</f>
        <v>NULL</v>
      </c>
      <c r="H1190" t="str">
        <f>IF('Boletins Nuppa Site'!K1190&lt;&gt;0,'Boletins Nuppa Site'!K1190,"NULL")</f>
        <v>NULL</v>
      </c>
      <c r="I1190" t="str">
        <f t="shared" si="36"/>
        <v>INSERT INTO COTACAO (cot_id, cot_blt_id, cot_pap_id, cot_prc_comum, cot_prc_min, cot_prc_max, cot_prc_med, cot_prc_mediana) VALUES (1189, 67, 37, NULL, NULL, NULL, NULL, NULL);</v>
      </c>
      <c r="J1190" t="str">
        <f t="shared" si="37"/>
        <v>UPDATE COTACAO SET cot_id = 1189, cot_blt_id = 67, cot_pap_id = 37, cot_prc_comum = NULL, cot_prc_min = NULL, cot_prc_max = NULL, cot_prc_med = NULL, cot_prc_mediana = NULL WHERE cot_id = 1189;</v>
      </c>
    </row>
    <row r="1191" spans="1:10" x14ac:dyDescent="0.3">
      <c r="A1191">
        <v>1190</v>
      </c>
      <c r="B1191">
        <f>IF('Boletins Nuppa Site'!A1191&lt;&gt;0,'Boletins Nuppa Site'!A1191,"NULL")</f>
        <v>67</v>
      </c>
      <c r="C1191">
        <v>38</v>
      </c>
      <c r="D1191" t="str">
        <f>IF('Boletins Nuppa Site'!G1191&lt;&gt;0,'Boletins Nuppa Site'!G1191,"NULL")</f>
        <v>NULL</v>
      </c>
      <c r="E1191" t="str">
        <f>IF('Boletins Nuppa Site'!H1191&lt;&gt;0,'Boletins Nuppa Site'!H1191,"NULL")</f>
        <v>NULL</v>
      </c>
      <c r="F1191" t="str">
        <f>IF('Boletins Nuppa Site'!I1191&lt;&gt;0,'Boletins Nuppa Site'!I1191,"NULL")</f>
        <v>NULL</v>
      </c>
      <c r="G1191" t="str">
        <f>IF('Boletins Nuppa Site'!J1191&lt;&gt;0,'Boletins Nuppa Site'!J1191,"NULL")</f>
        <v>NULL</v>
      </c>
      <c r="H1191" t="str">
        <f>IF('Boletins Nuppa Site'!K1191&lt;&gt;0,'Boletins Nuppa Site'!K1191,"NULL")</f>
        <v>NULL</v>
      </c>
      <c r="I1191" t="str">
        <f t="shared" si="36"/>
        <v>INSERT INTO COTACAO (cot_id, cot_blt_id, cot_pap_id, cot_prc_comum, cot_prc_min, cot_prc_max, cot_prc_med, cot_prc_mediana) VALUES (1190, 67, 38, NULL, NULL, NULL, NULL, NULL);</v>
      </c>
      <c r="J1191" t="str">
        <f t="shared" si="37"/>
        <v>UPDATE COTACAO SET cot_id = 1190, cot_blt_id = 67, cot_pap_id = 38, cot_prc_comum = NULL, cot_prc_min = NULL, cot_prc_max = NULL, cot_prc_med = NULL, cot_prc_mediana = NULL WHERE cot_id = 1190;</v>
      </c>
    </row>
    <row r="1192" spans="1:10" x14ac:dyDescent="0.3">
      <c r="A1192">
        <v>1191</v>
      </c>
      <c r="B1192">
        <f>IF('Boletins Nuppa Site'!A1192&lt;&gt;0,'Boletins Nuppa Site'!A1192,"NULL")</f>
        <v>67</v>
      </c>
      <c r="C1192">
        <v>39</v>
      </c>
      <c r="D1192" t="str">
        <f>IF('Boletins Nuppa Site'!G1192&lt;&gt;0,'Boletins Nuppa Site'!G1192,"NULL")</f>
        <v>NULL</v>
      </c>
      <c r="E1192" s="14">
        <f>IF('Boletins Nuppa Site'!H1192&lt;&gt;0,'Boletins Nuppa Site'!H1192,"NULL")</f>
        <v>60</v>
      </c>
      <c r="F1192" s="14">
        <f>IF('Boletins Nuppa Site'!I1192&lt;&gt;0,'Boletins Nuppa Site'!I1192,"NULL")</f>
        <v>60</v>
      </c>
      <c r="G1192" s="14">
        <f>IF('Boletins Nuppa Site'!J1192&lt;&gt;0,'Boletins Nuppa Site'!J1192,"NULL")</f>
        <v>60</v>
      </c>
      <c r="H1192" s="14">
        <f>IF('Boletins Nuppa Site'!K1192&lt;&gt;0,'Boletins Nuppa Site'!K1192,"NULL")</f>
        <v>60</v>
      </c>
      <c r="I1192" t="str">
        <f t="shared" si="36"/>
        <v>INSERT INTO COTACAO (cot_id, cot_blt_id, cot_pap_id, cot_prc_comum, cot_prc_min, cot_prc_max, cot_prc_med, cot_prc_mediana) VALUES (1191, 67, 39, NULL, 60, 60, 60, 60);</v>
      </c>
      <c r="J1192" t="str">
        <f t="shared" si="37"/>
        <v>UPDATE COTACAO SET cot_id = 1191, cot_blt_id = 67, cot_pap_id = 39, cot_prc_comum = NULL, cot_prc_min = 60, cot_prc_max = 60, cot_prc_med = 60, cot_prc_mediana = 60 WHERE cot_id = 1191;</v>
      </c>
    </row>
    <row r="1193" spans="1:10" x14ac:dyDescent="0.3">
      <c r="A1193">
        <v>1192</v>
      </c>
      <c r="B1193">
        <f>IF('Boletins Nuppa Site'!A1193&lt;&gt;0,'Boletins Nuppa Site'!A1193,"NULL")</f>
        <v>67</v>
      </c>
      <c r="C1193">
        <v>40</v>
      </c>
      <c r="D1193" t="str">
        <f>IF('Boletins Nuppa Site'!G1193&lt;&gt;0,'Boletins Nuppa Site'!G1193,"NULL")</f>
        <v>NULL</v>
      </c>
      <c r="E1193" s="14">
        <f>IF('Boletins Nuppa Site'!H1193&lt;&gt;0,'Boletins Nuppa Site'!H1193,"NULL")</f>
        <v>80</v>
      </c>
      <c r="F1193" s="14">
        <f>IF('Boletins Nuppa Site'!I1193&lt;&gt;0,'Boletins Nuppa Site'!I1193,"NULL")</f>
        <v>80</v>
      </c>
      <c r="G1193" s="14">
        <f>IF('Boletins Nuppa Site'!J1193&lt;&gt;0,'Boletins Nuppa Site'!J1193,"NULL")</f>
        <v>80</v>
      </c>
      <c r="H1193" s="14">
        <f>IF('Boletins Nuppa Site'!K1193&lt;&gt;0,'Boletins Nuppa Site'!K1193,"NULL")</f>
        <v>80</v>
      </c>
      <c r="I1193" t="str">
        <f t="shared" si="36"/>
        <v>INSERT INTO COTACAO (cot_id, cot_blt_id, cot_pap_id, cot_prc_comum, cot_prc_min, cot_prc_max, cot_prc_med, cot_prc_mediana) VALUES (1192, 67, 40, NULL, 80, 80, 80, 80);</v>
      </c>
      <c r="J1193" t="str">
        <f t="shared" si="37"/>
        <v>UPDATE COTACAO SET cot_id = 1192, cot_blt_id = 67, cot_pap_id = 40, cot_prc_comum = NULL, cot_prc_min = 80, cot_prc_max = 80, cot_prc_med = 80, cot_prc_mediana = 80 WHERE cot_id = 1192;</v>
      </c>
    </row>
    <row r="1194" spans="1:10" x14ac:dyDescent="0.3">
      <c r="A1194">
        <v>1193</v>
      </c>
      <c r="B1194">
        <f>IF('Boletins Nuppa Site'!A1194&lt;&gt;0,'Boletins Nuppa Site'!A1194,"NULL")</f>
        <v>68</v>
      </c>
      <c r="C1194">
        <v>1</v>
      </c>
      <c r="D1194" s="14">
        <f>IF('Boletins Nuppa Site'!G1194&lt;&gt;0,'Boletins Nuppa Site'!G1194,"NULL")</f>
        <v>48</v>
      </c>
      <c r="E1194" s="14">
        <f>IF('Boletins Nuppa Site'!H1194&lt;&gt;0,'Boletins Nuppa Site'!H1194,"NULL")</f>
        <v>48</v>
      </c>
      <c r="F1194" s="14">
        <f>IF('Boletins Nuppa Site'!I1194&lt;&gt;0,'Boletins Nuppa Site'!I1194,"NULL")</f>
        <v>60</v>
      </c>
      <c r="G1194" t="str">
        <f>IF('Boletins Nuppa Site'!J1194&lt;&gt;0,'Boletins Nuppa Site'!J1194,"NULL")</f>
        <v>50.4</v>
      </c>
      <c r="H1194" s="14">
        <f>IF('Boletins Nuppa Site'!K1194&lt;&gt;0,'Boletins Nuppa Site'!K1194,"NULL")</f>
        <v>48</v>
      </c>
      <c r="I1194" t="str">
        <f t="shared" si="36"/>
        <v>INSERT INTO COTACAO (cot_id, cot_blt_id, cot_pap_id, cot_prc_comum, cot_prc_min, cot_prc_max, cot_prc_med, cot_prc_mediana) VALUES (1193, 68, 1, 48, 48, 60, 50.4, 48);</v>
      </c>
      <c r="J1194" t="str">
        <f t="shared" si="37"/>
        <v>UPDATE COTACAO SET cot_id = 1193, cot_blt_id = 68, cot_pap_id = 1, cot_prc_comum = 48, cot_prc_min = 48, cot_prc_max = 60, cot_prc_med = 50.4, cot_prc_mediana = 48 WHERE cot_id = 1193;</v>
      </c>
    </row>
    <row r="1195" spans="1:10" x14ac:dyDescent="0.3">
      <c r="A1195">
        <v>1194</v>
      </c>
      <c r="B1195">
        <f>IF('Boletins Nuppa Site'!A1195&lt;&gt;0,'Boletins Nuppa Site'!A1195,"NULL")</f>
        <v>68</v>
      </c>
      <c r="C1195">
        <v>2</v>
      </c>
      <c r="D1195" s="14">
        <f>IF('Boletins Nuppa Site'!G1195&lt;&gt;0,'Boletins Nuppa Site'!G1195,"NULL")</f>
        <v>72</v>
      </c>
      <c r="E1195" s="14">
        <f>IF('Boletins Nuppa Site'!H1195&lt;&gt;0,'Boletins Nuppa Site'!H1195,"NULL")</f>
        <v>72</v>
      </c>
      <c r="F1195" s="14">
        <f>IF('Boletins Nuppa Site'!I1195&lt;&gt;0,'Boletins Nuppa Site'!I1195,"NULL")</f>
        <v>96</v>
      </c>
      <c r="G1195" s="14">
        <f>IF('Boletins Nuppa Site'!J1195&lt;&gt;0,'Boletins Nuppa Site'!J1195,"NULL")</f>
        <v>81</v>
      </c>
      <c r="H1195" s="14">
        <f>IF('Boletins Nuppa Site'!K1195&lt;&gt;0,'Boletins Nuppa Site'!K1195,"NULL")</f>
        <v>78</v>
      </c>
      <c r="I1195" t="str">
        <f t="shared" si="36"/>
        <v>INSERT INTO COTACAO (cot_id, cot_blt_id, cot_pap_id, cot_prc_comum, cot_prc_min, cot_prc_max, cot_prc_med, cot_prc_mediana) VALUES (1194, 68, 2, 72, 72, 96, 81, 78);</v>
      </c>
      <c r="J1195" t="str">
        <f t="shared" si="37"/>
        <v>UPDATE COTACAO SET cot_id = 1194, cot_blt_id = 68, cot_pap_id = 2, cot_prc_comum = 72, cot_prc_min = 72, cot_prc_max = 96, cot_prc_med = 81, cot_prc_mediana = 78 WHERE cot_id = 1194;</v>
      </c>
    </row>
    <row r="1196" spans="1:10" x14ac:dyDescent="0.3">
      <c r="A1196">
        <v>1195</v>
      </c>
      <c r="B1196">
        <f>IF('Boletins Nuppa Site'!A1196&lt;&gt;0,'Boletins Nuppa Site'!A1196,"NULL")</f>
        <v>68</v>
      </c>
      <c r="C1196">
        <v>3</v>
      </c>
      <c r="D1196" s="14">
        <f>IF('Boletins Nuppa Site'!G1196&lt;&gt;0,'Boletins Nuppa Site'!G1196,"NULL")</f>
        <v>36</v>
      </c>
      <c r="E1196" s="14">
        <f>IF('Boletins Nuppa Site'!H1196&lt;&gt;0,'Boletins Nuppa Site'!H1196,"NULL")</f>
        <v>25</v>
      </c>
      <c r="F1196" s="14">
        <f>IF('Boletins Nuppa Site'!I1196&lt;&gt;0,'Boletins Nuppa Site'!I1196,"NULL")</f>
        <v>42</v>
      </c>
      <c r="G1196" s="14">
        <f>IF('Boletins Nuppa Site'!J1196&lt;&gt;0,'Boletins Nuppa Site'!J1196,"NULL")</f>
        <v>35</v>
      </c>
      <c r="H1196" s="14">
        <f>IF('Boletins Nuppa Site'!K1196&lt;&gt;0,'Boletins Nuppa Site'!K1196,"NULL")</f>
        <v>36</v>
      </c>
      <c r="I1196" t="str">
        <f t="shared" si="36"/>
        <v>INSERT INTO COTACAO (cot_id, cot_blt_id, cot_pap_id, cot_prc_comum, cot_prc_min, cot_prc_max, cot_prc_med, cot_prc_mediana) VALUES (1195, 68, 3, 36, 25, 42, 35, 36);</v>
      </c>
      <c r="J1196" t="str">
        <f t="shared" si="37"/>
        <v>UPDATE COTACAO SET cot_id = 1195, cot_blt_id = 68, cot_pap_id = 3, cot_prc_comum = 36, cot_prc_min = 25, cot_prc_max = 42, cot_prc_med = 35, cot_prc_mediana = 36 WHERE cot_id = 1195;</v>
      </c>
    </row>
    <row r="1197" spans="1:10" x14ac:dyDescent="0.3">
      <c r="A1197">
        <v>1196</v>
      </c>
      <c r="B1197">
        <f>IF('Boletins Nuppa Site'!A1197&lt;&gt;0,'Boletins Nuppa Site'!A1197,"NULL")</f>
        <v>68</v>
      </c>
      <c r="C1197">
        <v>4</v>
      </c>
      <c r="D1197" s="14">
        <f>IF('Boletins Nuppa Site'!G1197&lt;&gt;0,'Boletins Nuppa Site'!G1197,"NULL")</f>
        <v>24</v>
      </c>
      <c r="E1197" s="14">
        <f>IF('Boletins Nuppa Site'!H1197&lt;&gt;0,'Boletins Nuppa Site'!H1197,"NULL")</f>
        <v>18</v>
      </c>
      <c r="F1197" s="14">
        <f>IF('Boletins Nuppa Site'!I1197&lt;&gt;0,'Boletins Nuppa Site'!I1197,"NULL")</f>
        <v>24</v>
      </c>
      <c r="G1197" t="str">
        <f>IF('Boletins Nuppa Site'!J1197&lt;&gt;0,'Boletins Nuppa Site'!J1197,"NULL")</f>
        <v>21.6</v>
      </c>
      <c r="H1197" s="14">
        <f>IF('Boletins Nuppa Site'!K1197&lt;&gt;0,'Boletins Nuppa Site'!K1197,"NULL")</f>
        <v>24</v>
      </c>
      <c r="I1197" t="str">
        <f t="shared" si="36"/>
        <v>INSERT INTO COTACAO (cot_id, cot_blt_id, cot_pap_id, cot_prc_comum, cot_prc_min, cot_prc_max, cot_prc_med, cot_prc_mediana) VALUES (1196, 68, 4, 24, 18, 24, 21.6, 24);</v>
      </c>
      <c r="J1197" t="str">
        <f t="shared" si="37"/>
        <v>UPDATE COTACAO SET cot_id = 1196, cot_blt_id = 68, cot_pap_id = 4, cot_prc_comum = 24, cot_prc_min = 18, cot_prc_max = 24, cot_prc_med = 21.6, cot_prc_mediana = 24 WHERE cot_id = 1196;</v>
      </c>
    </row>
    <row r="1198" spans="1:10" x14ac:dyDescent="0.3">
      <c r="A1198">
        <v>1197</v>
      </c>
      <c r="B1198">
        <f>IF('Boletins Nuppa Site'!A1198&lt;&gt;0,'Boletins Nuppa Site'!A1198,"NULL")</f>
        <v>68</v>
      </c>
      <c r="C1198">
        <v>5</v>
      </c>
      <c r="D1198" s="14">
        <f>IF('Boletins Nuppa Site'!G1198&lt;&gt;0,'Boletins Nuppa Site'!G1198,"NULL")</f>
        <v>24</v>
      </c>
      <c r="E1198" s="14">
        <f>IF('Boletins Nuppa Site'!H1198&lt;&gt;0,'Boletins Nuppa Site'!H1198,"NULL")</f>
        <v>18</v>
      </c>
      <c r="F1198" s="14">
        <f>IF('Boletins Nuppa Site'!I1198&lt;&gt;0,'Boletins Nuppa Site'!I1198,"NULL")</f>
        <v>24</v>
      </c>
      <c r="G1198" s="14">
        <f>IF('Boletins Nuppa Site'!J1198&lt;&gt;0,'Boletins Nuppa Site'!J1198,"NULL")</f>
        <v>21</v>
      </c>
      <c r="H1198" s="14">
        <f>IF('Boletins Nuppa Site'!K1198&lt;&gt;0,'Boletins Nuppa Site'!K1198,"NULL")</f>
        <v>21</v>
      </c>
      <c r="I1198" t="str">
        <f t="shared" si="36"/>
        <v>INSERT INTO COTACAO (cot_id, cot_blt_id, cot_pap_id, cot_prc_comum, cot_prc_min, cot_prc_max, cot_prc_med, cot_prc_mediana) VALUES (1197, 68, 5, 24, 18, 24, 21, 21);</v>
      </c>
      <c r="J1198" t="str">
        <f t="shared" si="37"/>
        <v>UPDATE COTACAO SET cot_id = 1197, cot_blt_id = 68, cot_pap_id = 5, cot_prc_comum = 24, cot_prc_min = 18, cot_prc_max = 24, cot_prc_med = 21, cot_prc_mediana = 21 WHERE cot_id = 1197;</v>
      </c>
    </row>
    <row r="1199" spans="1:10" x14ac:dyDescent="0.3">
      <c r="A1199">
        <v>1198</v>
      </c>
      <c r="B1199">
        <f>IF('Boletins Nuppa Site'!A1199&lt;&gt;0,'Boletins Nuppa Site'!A1199,"NULL")</f>
        <v>68</v>
      </c>
      <c r="C1199">
        <v>6</v>
      </c>
      <c r="D1199" s="14">
        <f>IF('Boletins Nuppa Site'!G1199&lt;&gt;0,'Boletins Nuppa Site'!G1199,"NULL")</f>
        <v>60</v>
      </c>
      <c r="E1199" s="14">
        <f>IF('Boletins Nuppa Site'!H1199&lt;&gt;0,'Boletins Nuppa Site'!H1199,"NULL")</f>
        <v>48</v>
      </c>
      <c r="F1199" s="14">
        <f>IF('Boletins Nuppa Site'!I1199&lt;&gt;0,'Boletins Nuppa Site'!I1199,"NULL")</f>
        <v>60</v>
      </c>
      <c r="G1199" s="14">
        <f>IF('Boletins Nuppa Site'!J1199&lt;&gt;0,'Boletins Nuppa Site'!J1199,"NULL")</f>
        <v>54</v>
      </c>
      <c r="H1199" s="14">
        <f>IF('Boletins Nuppa Site'!K1199&lt;&gt;0,'Boletins Nuppa Site'!K1199,"NULL")</f>
        <v>54</v>
      </c>
      <c r="I1199" t="str">
        <f t="shared" si="36"/>
        <v>INSERT INTO COTACAO (cot_id, cot_blt_id, cot_pap_id, cot_prc_comum, cot_prc_min, cot_prc_max, cot_prc_med, cot_prc_mediana) VALUES (1198, 68, 6, 60, 48, 60, 54, 54);</v>
      </c>
      <c r="J1199" t="str">
        <f t="shared" si="37"/>
        <v>UPDATE COTACAO SET cot_id = 1198, cot_blt_id = 68, cot_pap_id = 6, cot_prc_comum = 60, cot_prc_min = 48, cot_prc_max = 60, cot_prc_med = 54, cot_prc_mediana = 54 WHERE cot_id = 1198;</v>
      </c>
    </row>
    <row r="1200" spans="1:10" x14ac:dyDescent="0.3">
      <c r="A1200">
        <v>1199</v>
      </c>
      <c r="B1200">
        <f>IF('Boletins Nuppa Site'!A1200&lt;&gt;0,'Boletins Nuppa Site'!A1200,"NULL")</f>
        <v>68</v>
      </c>
      <c r="C1200">
        <v>7</v>
      </c>
      <c r="D1200" s="14">
        <f>IF('Boletins Nuppa Site'!G1200&lt;&gt;0,'Boletins Nuppa Site'!G1200,"NULL")</f>
        <v>60</v>
      </c>
      <c r="E1200" s="14">
        <f>IF('Boletins Nuppa Site'!H1200&lt;&gt;0,'Boletins Nuppa Site'!H1200,"NULL")</f>
        <v>48</v>
      </c>
      <c r="F1200" s="14">
        <f>IF('Boletins Nuppa Site'!I1200&lt;&gt;0,'Boletins Nuppa Site'!I1200,"NULL")</f>
        <v>72</v>
      </c>
      <c r="G1200" s="14">
        <f>IF('Boletins Nuppa Site'!J1200&lt;&gt;0,'Boletins Nuppa Site'!J1200,"NULL")</f>
        <v>60</v>
      </c>
      <c r="H1200" s="14">
        <f>IF('Boletins Nuppa Site'!K1200&lt;&gt;0,'Boletins Nuppa Site'!K1200,"NULL")</f>
        <v>60</v>
      </c>
      <c r="I1200" t="str">
        <f t="shared" si="36"/>
        <v>INSERT INTO COTACAO (cot_id, cot_blt_id, cot_pap_id, cot_prc_comum, cot_prc_min, cot_prc_max, cot_prc_med, cot_prc_mediana) VALUES (1199, 68, 7, 60, 48, 72, 60, 60);</v>
      </c>
      <c r="J1200" t="str">
        <f t="shared" si="37"/>
        <v>UPDATE COTACAO SET cot_id = 1199, cot_blt_id = 68, cot_pap_id = 7, cot_prc_comum = 60, cot_prc_min = 48, cot_prc_max = 72, cot_prc_med = 60, cot_prc_mediana = 60 WHERE cot_id = 1199;</v>
      </c>
    </row>
    <row r="1201" spans="1:10" x14ac:dyDescent="0.3">
      <c r="A1201">
        <v>1200</v>
      </c>
      <c r="B1201">
        <f>IF('Boletins Nuppa Site'!A1201&lt;&gt;0,'Boletins Nuppa Site'!A1201,"NULL")</f>
        <v>68</v>
      </c>
      <c r="C1201">
        <v>8</v>
      </c>
      <c r="D1201" s="14">
        <f>IF('Boletins Nuppa Site'!G1201&lt;&gt;0,'Boletins Nuppa Site'!G1201,"NULL")</f>
        <v>72</v>
      </c>
      <c r="E1201" s="14">
        <f>IF('Boletins Nuppa Site'!H1201&lt;&gt;0,'Boletins Nuppa Site'!H1201,"NULL")</f>
        <v>60</v>
      </c>
      <c r="F1201" s="14">
        <f>IF('Boletins Nuppa Site'!I1201&lt;&gt;0,'Boletins Nuppa Site'!I1201,"NULL")</f>
        <v>72</v>
      </c>
      <c r="G1201" t="str">
        <f>IF('Boletins Nuppa Site'!J1201&lt;&gt;0,'Boletins Nuppa Site'!J1201,"NULL")</f>
        <v>69.6</v>
      </c>
      <c r="H1201" s="14">
        <f>IF('Boletins Nuppa Site'!K1201&lt;&gt;0,'Boletins Nuppa Site'!K1201,"NULL")</f>
        <v>72</v>
      </c>
      <c r="I1201" t="str">
        <f t="shared" si="36"/>
        <v>INSERT INTO COTACAO (cot_id, cot_blt_id, cot_pap_id, cot_prc_comum, cot_prc_min, cot_prc_max, cot_prc_med, cot_prc_mediana) VALUES (1200, 68, 8, 72, 60, 72, 69.6, 72);</v>
      </c>
      <c r="J1201" t="str">
        <f t="shared" si="37"/>
        <v>UPDATE COTACAO SET cot_id = 1200, cot_blt_id = 68, cot_pap_id = 8, cot_prc_comum = 72, cot_prc_min = 60, cot_prc_max = 72, cot_prc_med = 69.6, cot_prc_mediana = 72 WHERE cot_id = 1200;</v>
      </c>
    </row>
    <row r="1202" spans="1:10" x14ac:dyDescent="0.3">
      <c r="A1202">
        <v>1201</v>
      </c>
      <c r="B1202">
        <f>IF('Boletins Nuppa Site'!A1202&lt;&gt;0,'Boletins Nuppa Site'!A1202,"NULL")</f>
        <v>68</v>
      </c>
      <c r="C1202">
        <v>9</v>
      </c>
      <c r="D1202" s="14">
        <f>IF('Boletins Nuppa Site'!G1202&lt;&gt;0,'Boletins Nuppa Site'!G1202,"NULL")</f>
        <v>18</v>
      </c>
      <c r="E1202" s="14">
        <f>IF('Boletins Nuppa Site'!H1202&lt;&gt;0,'Boletins Nuppa Site'!H1202,"NULL")</f>
        <v>18</v>
      </c>
      <c r="F1202" s="14">
        <f>IF('Boletins Nuppa Site'!I1202&lt;&gt;0,'Boletins Nuppa Site'!I1202,"NULL")</f>
        <v>24</v>
      </c>
      <c r="G1202" t="str">
        <f>IF('Boletins Nuppa Site'!J1202&lt;&gt;0,'Boletins Nuppa Site'!J1202,"NULL")</f>
        <v>20.4</v>
      </c>
      <c r="H1202" s="14">
        <f>IF('Boletins Nuppa Site'!K1202&lt;&gt;0,'Boletins Nuppa Site'!K1202,"NULL")</f>
        <v>18</v>
      </c>
      <c r="I1202" t="str">
        <f t="shared" si="36"/>
        <v>INSERT INTO COTACAO (cot_id, cot_blt_id, cot_pap_id, cot_prc_comum, cot_prc_min, cot_prc_max, cot_prc_med, cot_prc_mediana) VALUES (1201, 68, 9, 18, 18, 24, 20.4, 18);</v>
      </c>
      <c r="J1202" t="str">
        <f t="shared" si="37"/>
        <v>UPDATE COTACAO SET cot_id = 1201, cot_blt_id = 68, cot_pap_id = 9, cot_prc_comum = 18, cot_prc_min = 18, cot_prc_max = 24, cot_prc_med = 20.4, cot_prc_mediana = 18 WHERE cot_id = 1201;</v>
      </c>
    </row>
    <row r="1203" spans="1:10" x14ac:dyDescent="0.3">
      <c r="A1203">
        <v>1202</v>
      </c>
      <c r="B1203">
        <f>IF('Boletins Nuppa Site'!A1203&lt;&gt;0,'Boletins Nuppa Site'!A1203,"NULL")</f>
        <v>68</v>
      </c>
      <c r="C1203">
        <v>10</v>
      </c>
      <c r="D1203" s="14">
        <f>IF('Boletins Nuppa Site'!G1203&lt;&gt;0,'Boletins Nuppa Site'!G1203,"NULL")</f>
        <v>60</v>
      </c>
      <c r="E1203" s="14">
        <f>IF('Boletins Nuppa Site'!H1203&lt;&gt;0,'Boletins Nuppa Site'!H1203,"NULL")</f>
        <v>60</v>
      </c>
      <c r="F1203" s="14">
        <f>IF('Boletins Nuppa Site'!I1203&lt;&gt;0,'Boletins Nuppa Site'!I1203,"NULL")</f>
        <v>78</v>
      </c>
      <c r="G1203" t="str">
        <f>IF('Boletins Nuppa Site'!J1203&lt;&gt;0,'Boletins Nuppa Site'!J1203,"NULL")</f>
        <v>64.5</v>
      </c>
      <c r="H1203" s="14">
        <f>IF('Boletins Nuppa Site'!K1203&lt;&gt;0,'Boletins Nuppa Site'!K1203,"NULL")</f>
        <v>60</v>
      </c>
      <c r="I1203" t="str">
        <f t="shared" si="36"/>
        <v>INSERT INTO COTACAO (cot_id, cot_blt_id, cot_pap_id, cot_prc_comum, cot_prc_min, cot_prc_max, cot_prc_med, cot_prc_mediana) VALUES (1202, 68, 10, 60, 60, 78, 64.5, 60);</v>
      </c>
      <c r="J1203" t="str">
        <f t="shared" si="37"/>
        <v>UPDATE COTACAO SET cot_id = 1202, cot_blt_id = 68, cot_pap_id = 10, cot_prc_comum = 60, cot_prc_min = 60, cot_prc_max = 78, cot_prc_med = 64.5, cot_prc_mediana = 60 WHERE cot_id = 1202;</v>
      </c>
    </row>
    <row r="1204" spans="1:10" x14ac:dyDescent="0.3">
      <c r="A1204">
        <v>1203</v>
      </c>
      <c r="B1204">
        <f>IF('Boletins Nuppa Site'!A1204&lt;&gt;0,'Boletins Nuppa Site'!A1204,"NULL")</f>
        <v>68</v>
      </c>
      <c r="C1204">
        <v>11</v>
      </c>
      <c r="D1204" s="14">
        <f>IF('Boletins Nuppa Site'!G1204&lt;&gt;0,'Boletins Nuppa Site'!G1204,"NULL")</f>
        <v>24</v>
      </c>
      <c r="E1204" s="14">
        <f>IF('Boletins Nuppa Site'!H1204&lt;&gt;0,'Boletins Nuppa Site'!H1204,"NULL")</f>
        <v>18</v>
      </c>
      <c r="F1204" s="14">
        <f>IF('Boletins Nuppa Site'!I1204&lt;&gt;0,'Boletins Nuppa Site'!I1204,"NULL")</f>
        <v>24</v>
      </c>
      <c r="G1204" t="str">
        <f>IF('Boletins Nuppa Site'!J1204&lt;&gt;0,'Boletins Nuppa Site'!J1204,"NULL")</f>
        <v>22.8</v>
      </c>
      <c r="H1204" s="14">
        <f>IF('Boletins Nuppa Site'!K1204&lt;&gt;0,'Boletins Nuppa Site'!K1204,"NULL")</f>
        <v>24</v>
      </c>
      <c r="I1204" t="str">
        <f t="shared" si="36"/>
        <v>INSERT INTO COTACAO (cot_id, cot_blt_id, cot_pap_id, cot_prc_comum, cot_prc_min, cot_prc_max, cot_prc_med, cot_prc_mediana) VALUES (1203, 68, 11, 24, 18, 24, 22.8, 24);</v>
      </c>
      <c r="J1204" t="str">
        <f t="shared" si="37"/>
        <v>UPDATE COTACAO SET cot_id = 1203, cot_blt_id = 68, cot_pap_id = 11, cot_prc_comum = 24, cot_prc_min = 18, cot_prc_max = 24, cot_prc_med = 22.8, cot_prc_mediana = 24 WHERE cot_id = 1203;</v>
      </c>
    </row>
    <row r="1205" spans="1:10" x14ac:dyDescent="0.3">
      <c r="A1205">
        <v>1204</v>
      </c>
      <c r="B1205">
        <f>IF('Boletins Nuppa Site'!A1205&lt;&gt;0,'Boletins Nuppa Site'!A1205,"NULL")</f>
        <v>68</v>
      </c>
      <c r="C1205">
        <v>12</v>
      </c>
      <c r="D1205" s="14">
        <f>IF('Boletins Nuppa Site'!G1205&lt;&gt;0,'Boletins Nuppa Site'!G1205,"NULL")</f>
        <v>60</v>
      </c>
      <c r="E1205" s="14">
        <f>IF('Boletins Nuppa Site'!H1205&lt;&gt;0,'Boletins Nuppa Site'!H1205,"NULL")</f>
        <v>48</v>
      </c>
      <c r="F1205" s="14">
        <f>IF('Boletins Nuppa Site'!I1205&lt;&gt;0,'Boletins Nuppa Site'!I1205,"NULL")</f>
        <v>60</v>
      </c>
      <c r="G1205" s="14">
        <f>IF('Boletins Nuppa Site'!J1205&lt;&gt;0,'Boletins Nuppa Site'!J1205,"NULL")</f>
        <v>54</v>
      </c>
      <c r="H1205" s="14">
        <f>IF('Boletins Nuppa Site'!K1205&lt;&gt;0,'Boletins Nuppa Site'!K1205,"NULL")</f>
        <v>54</v>
      </c>
      <c r="I1205" t="str">
        <f t="shared" si="36"/>
        <v>INSERT INTO COTACAO (cot_id, cot_blt_id, cot_pap_id, cot_prc_comum, cot_prc_min, cot_prc_max, cot_prc_med, cot_prc_mediana) VALUES (1204, 68, 12, 60, 48, 60, 54, 54);</v>
      </c>
      <c r="J1205" t="str">
        <f t="shared" si="37"/>
        <v>UPDATE COTACAO SET cot_id = 1204, cot_blt_id = 68, cot_pap_id = 12, cot_prc_comum = 60, cot_prc_min = 48, cot_prc_max = 60, cot_prc_med = 54, cot_prc_mediana = 54 WHERE cot_id = 1204;</v>
      </c>
    </row>
    <row r="1206" spans="1:10" x14ac:dyDescent="0.3">
      <c r="A1206">
        <v>1205</v>
      </c>
      <c r="B1206">
        <f>IF('Boletins Nuppa Site'!A1206&lt;&gt;0,'Boletins Nuppa Site'!A1206,"NULL")</f>
        <v>68</v>
      </c>
      <c r="C1206">
        <v>13</v>
      </c>
      <c r="D1206" s="14">
        <f>IF('Boletins Nuppa Site'!G1206&lt;&gt;0,'Boletins Nuppa Site'!G1206,"NULL")</f>
        <v>48</v>
      </c>
      <c r="E1206" s="14">
        <f>IF('Boletins Nuppa Site'!H1206&lt;&gt;0,'Boletins Nuppa Site'!H1206,"NULL")</f>
        <v>42</v>
      </c>
      <c r="F1206" s="14">
        <f>IF('Boletins Nuppa Site'!I1206&lt;&gt;0,'Boletins Nuppa Site'!I1206,"NULL")</f>
        <v>60</v>
      </c>
      <c r="G1206" t="str">
        <f>IF('Boletins Nuppa Site'!J1206&lt;&gt;0,'Boletins Nuppa Site'!J1206,"NULL")</f>
        <v>49.2</v>
      </c>
      <c r="H1206" s="14">
        <f>IF('Boletins Nuppa Site'!K1206&lt;&gt;0,'Boletins Nuppa Site'!K1206,"NULL")</f>
        <v>48</v>
      </c>
      <c r="I1206" t="str">
        <f t="shared" si="36"/>
        <v>INSERT INTO COTACAO (cot_id, cot_blt_id, cot_pap_id, cot_prc_comum, cot_prc_min, cot_prc_max, cot_prc_med, cot_prc_mediana) VALUES (1205, 68, 13, 48, 42, 60, 49.2, 48);</v>
      </c>
      <c r="J1206" t="str">
        <f t="shared" si="37"/>
        <v>UPDATE COTACAO SET cot_id = 1205, cot_blt_id = 68, cot_pap_id = 13, cot_prc_comum = 48, cot_prc_min = 42, cot_prc_max = 60, cot_prc_med = 49.2, cot_prc_mediana = 48 WHERE cot_id = 1205;</v>
      </c>
    </row>
    <row r="1207" spans="1:10" x14ac:dyDescent="0.3">
      <c r="A1207">
        <v>1206</v>
      </c>
      <c r="B1207">
        <f>IF('Boletins Nuppa Site'!A1207&lt;&gt;0,'Boletins Nuppa Site'!A1207,"NULL")</f>
        <v>68</v>
      </c>
      <c r="C1207">
        <v>14</v>
      </c>
      <c r="D1207" s="14">
        <f>IF('Boletins Nuppa Site'!G1207&lt;&gt;0,'Boletins Nuppa Site'!G1207,"NULL")</f>
        <v>48</v>
      </c>
      <c r="E1207" s="14">
        <f>IF('Boletins Nuppa Site'!H1207&lt;&gt;0,'Boletins Nuppa Site'!H1207,"NULL")</f>
        <v>48</v>
      </c>
      <c r="F1207" s="14">
        <f>IF('Boletins Nuppa Site'!I1207&lt;&gt;0,'Boletins Nuppa Site'!I1207,"NULL")</f>
        <v>84</v>
      </c>
      <c r="G1207" s="14">
        <f>IF('Boletins Nuppa Site'!J1207&lt;&gt;0,'Boletins Nuppa Site'!J1207,"NULL")</f>
        <v>60</v>
      </c>
      <c r="H1207" s="14">
        <f>IF('Boletins Nuppa Site'!K1207&lt;&gt;0,'Boletins Nuppa Site'!K1207,"NULL")</f>
        <v>54</v>
      </c>
      <c r="I1207" t="str">
        <f t="shared" si="36"/>
        <v>INSERT INTO COTACAO (cot_id, cot_blt_id, cot_pap_id, cot_prc_comum, cot_prc_min, cot_prc_max, cot_prc_med, cot_prc_mediana) VALUES (1206, 68, 14, 48, 48, 84, 60, 54);</v>
      </c>
      <c r="J1207" t="str">
        <f t="shared" si="37"/>
        <v>UPDATE COTACAO SET cot_id = 1206, cot_blt_id = 68, cot_pap_id = 14, cot_prc_comum = 48, cot_prc_min = 48, cot_prc_max = 84, cot_prc_med = 60, cot_prc_mediana = 54 WHERE cot_id = 1206;</v>
      </c>
    </row>
    <row r="1208" spans="1:10" x14ac:dyDescent="0.3">
      <c r="A1208">
        <v>1207</v>
      </c>
      <c r="B1208">
        <f>IF('Boletins Nuppa Site'!A1208&lt;&gt;0,'Boletins Nuppa Site'!A1208,"NULL")</f>
        <v>68</v>
      </c>
      <c r="C1208">
        <v>15</v>
      </c>
      <c r="D1208" s="14">
        <f>IF('Boletins Nuppa Site'!G1208&lt;&gt;0,'Boletins Nuppa Site'!G1208,"NULL")</f>
        <v>36</v>
      </c>
      <c r="E1208" s="14">
        <f>IF('Boletins Nuppa Site'!H1208&lt;&gt;0,'Boletins Nuppa Site'!H1208,"NULL")</f>
        <v>20</v>
      </c>
      <c r="F1208" s="14">
        <f>IF('Boletins Nuppa Site'!I1208&lt;&gt;0,'Boletins Nuppa Site'!I1208,"NULL")</f>
        <v>40</v>
      </c>
      <c r="G1208" t="str">
        <f>IF('Boletins Nuppa Site'!J1208&lt;&gt;0,'Boletins Nuppa Site'!J1208,"NULL")</f>
        <v>33.6</v>
      </c>
      <c r="H1208" s="14">
        <f>IF('Boletins Nuppa Site'!K1208&lt;&gt;0,'Boletins Nuppa Site'!K1208,"NULL")</f>
        <v>36</v>
      </c>
      <c r="I1208" t="str">
        <f t="shared" si="36"/>
        <v>INSERT INTO COTACAO (cot_id, cot_blt_id, cot_pap_id, cot_prc_comum, cot_prc_min, cot_prc_max, cot_prc_med, cot_prc_mediana) VALUES (1207, 68, 15, 36, 20, 40, 33.6, 36);</v>
      </c>
      <c r="J1208" t="str">
        <f t="shared" si="37"/>
        <v>UPDATE COTACAO SET cot_id = 1207, cot_blt_id = 68, cot_pap_id = 15, cot_prc_comum = 36, cot_prc_min = 20, cot_prc_max = 40, cot_prc_med = 33.6, cot_prc_mediana = 36 WHERE cot_id = 1207;</v>
      </c>
    </row>
    <row r="1209" spans="1:10" x14ac:dyDescent="0.3">
      <c r="A1209">
        <v>1208</v>
      </c>
      <c r="B1209">
        <f>IF('Boletins Nuppa Site'!A1209&lt;&gt;0,'Boletins Nuppa Site'!A1209,"NULL")</f>
        <v>68</v>
      </c>
      <c r="C1209">
        <v>16</v>
      </c>
      <c r="D1209" s="14">
        <f>IF('Boletins Nuppa Site'!G1209&lt;&gt;0,'Boletins Nuppa Site'!G1209,"NULL")</f>
        <v>48</v>
      </c>
      <c r="E1209" s="14">
        <f>IF('Boletins Nuppa Site'!H1209&lt;&gt;0,'Boletins Nuppa Site'!H1209,"NULL")</f>
        <v>48</v>
      </c>
      <c r="F1209" s="14">
        <f>IF('Boletins Nuppa Site'!I1209&lt;&gt;0,'Boletins Nuppa Site'!I1209,"NULL")</f>
        <v>54</v>
      </c>
      <c r="G1209" t="str">
        <f>IF('Boletins Nuppa Site'!J1209&lt;&gt;0,'Boletins Nuppa Site'!J1209,"NULL")</f>
        <v>49.2</v>
      </c>
      <c r="H1209" s="14">
        <f>IF('Boletins Nuppa Site'!K1209&lt;&gt;0,'Boletins Nuppa Site'!K1209,"NULL")</f>
        <v>48</v>
      </c>
      <c r="I1209" t="str">
        <f t="shared" si="36"/>
        <v>INSERT INTO COTACAO (cot_id, cot_blt_id, cot_pap_id, cot_prc_comum, cot_prc_min, cot_prc_max, cot_prc_med, cot_prc_mediana) VALUES (1208, 68, 16, 48, 48, 54, 49.2, 48);</v>
      </c>
      <c r="J1209" t="str">
        <f t="shared" si="37"/>
        <v>UPDATE COTACAO SET cot_id = 1208, cot_blt_id = 68, cot_pap_id = 16, cot_prc_comum = 48, cot_prc_min = 48, cot_prc_max = 54, cot_prc_med = 49.2, cot_prc_mediana = 48 WHERE cot_id = 1208;</v>
      </c>
    </row>
    <row r="1210" spans="1:10" x14ac:dyDescent="0.3">
      <c r="A1210">
        <v>1209</v>
      </c>
      <c r="B1210">
        <f>IF('Boletins Nuppa Site'!A1210&lt;&gt;0,'Boletins Nuppa Site'!A1210,"NULL")</f>
        <v>68</v>
      </c>
      <c r="C1210">
        <v>17</v>
      </c>
      <c r="D1210" s="14">
        <f>IF('Boletins Nuppa Site'!G1210&lt;&gt;0,'Boletins Nuppa Site'!G1210,"NULL")</f>
        <v>5</v>
      </c>
      <c r="E1210" s="14">
        <f>IF('Boletins Nuppa Site'!H1210&lt;&gt;0,'Boletins Nuppa Site'!H1210,"NULL")</f>
        <v>5</v>
      </c>
      <c r="F1210" s="14">
        <f>IF('Boletins Nuppa Site'!I1210&lt;&gt;0,'Boletins Nuppa Site'!I1210,"NULL")</f>
        <v>5</v>
      </c>
      <c r="G1210" s="14">
        <f>IF('Boletins Nuppa Site'!J1210&lt;&gt;0,'Boletins Nuppa Site'!J1210,"NULL")</f>
        <v>5</v>
      </c>
      <c r="H1210" s="14">
        <f>IF('Boletins Nuppa Site'!K1210&lt;&gt;0,'Boletins Nuppa Site'!K1210,"NULL")</f>
        <v>5</v>
      </c>
      <c r="I1210" t="str">
        <f t="shared" si="36"/>
        <v>INSERT INTO COTACAO (cot_id, cot_blt_id, cot_pap_id, cot_prc_comum, cot_prc_min, cot_prc_max, cot_prc_med, cot_prc_mediana) VALUES (1209, 68, 17, 5, 5, 5, 5, 5);</v>
      </c>
      <c r="J1210" t="str">
        <f t="shared" si="37"/>
        <v>UPDATE COTACAO SET cot_id = 1209, cot_blt_id = 68, cot_pap_id = 17, cot_prc_comum = 5, cot_prc_min = 5, cot_prc_max = 5, cot_prc_med = 5, cot_prc_mediana = 5 WHERE cot_id = 1209;</v>
      </c>
    </row>
    <row r="1211" spans="1:10" x14ac:dyDescent="0.3">
      <c r="A1211">
        <v>1210</v>
      </c>
      <c r="B1211">
        <f>IF('Boletins Nuppa Site'!A1211&lt;&gt;0,'Boletins Nuppa Site'!A1211,"NULL")</f>
        <v>68</v>
      </c>
      <c r="C1211">
        <v>18</v>
      </c>
      <c r="D1211" s="14">
        <f>IF('Boletins Nuppa Site'!G1211&lt;&gt;0,'Boletins Nuppa Site'!G1211,"NULL")</f>
        <v>10</v>
      </c>
      <c r="E1211" s="14">
        <f>IF('Boletins Nuppa Site'!H1211&lt;&gt;0,'Boletins Nuppa Site'!H1211,"NULL")</f>
        <v>10</v>
      </c>
      <c r="F1211" s="14">
        <f>IF('Boletins Nuppa Site'!I1211&lt;&gt;0,'Boletins Nuppa Site'!I1211,"NULL")</f>
        <v>10</v>
      </c>
      <c r="G1211" s="14">
        <f>IF('Boletins Nuppa Site'!J1211&lt;&gt;0,'Boletins Nuppa Site'!J1211,"NULL")</f>
        <v>10</v>
      </c>
      <c r="H1211" s="14">
        <f>IF('Boletins Nuppa Site'!K1211&lt;&gt;0,'Boletins Nuppa Site'!K1211,"NULL")</f>
        <v>10</v>
      </c>
      <c r="I1211" t="str">
        <f t="shared" si="36"/>
        <v>INSERT INTO COTACAO (cot_id, cot_blt_id, cot_pap_id, cot_prc_comum, cot_prc_min, cot_prc_max, cot_prc_med, cot_prc_mediana) VALUES (1210, 68, 18, 10, 10, 10, 10, 10);</v>
      </c>
      <c r="J1211" t="str">
        <f t="shared" si="37"/>
        <v>UPDATE COTACAO SET cot_id = 1210, cot_blt_id = 68, cot_pap_id = 18, cot_prc_comum = 10, cot_prc_min = 10, cot_prc_max = 10, cot_prc_med = 10, cot_prc_mediana = 10 WHERE cot_id = 1210;</v>
      </c>
    </row>
    <row r="1212" spans="1:10" x14ac:dyDescent="0.3">
      <c r="A1212">
        <v>1211</v>
      </c>
      <c r="B1212">
        <f>IF('Boletins Nuppa Site'!A1212&lt;&gt;0,'Boletins Nuppa Site'!A1212,"NULL")</f>
        <v>68</v>
      </c>
      <c r="C1212">
        <v>19</v>
      </c>
      <c r="D1212" s="14">
        <f>IF('Boletins Nuppa Site'!G1212&lt;&gt;0,'Boletins Nuppa Site'!G1212,"NULL")</f>
        <v>15</v>
      </c>
      <c r="E1212" s="14">
        <f>IF('Boletins Nuppa Site'!H1212&lt;&gt;0,'Boletins Nuppa Site'!H1212,"NULL")</f>
        <v>15</v>
      </c>
      <c r="F1212" s="14">
        <f>IF('Boletins Nuppa Site'!I1212&lt;&gt;0,'Boletins Nuppa Site'!I1212,"NULL")</f>
        <v>30</v>
      </c>
      <c r="G1212" s="14">
        <f>IF('Boletins Nuppa Site'!J1212&lt;&gt;0,'Boletins Nuppa Site'!J1212,"NULL")</f>
        <v>21</v>
      </c>
      <c r="H1212" s="14">
        <f>IF('Boletins Nuppa Site'!K1212&lt;&gt;0,'Boletins Nuppa Site'!K1212,"NULL")</f>
        <v>20</v>
      </c>
      <c r="I1212" t="str">
        <f t="shared" si="36"/>
        <v>INSERT INTO COTACAO (cot_id, cot_blt_id, cot_pap_id, cot_prc_comum, cot_prc_min, cot_prc_max, cot_prc_med, cot_prc_mediana) VALUES (1211, 68, 19, 15, 15, 30, 21, 20);</v>
      </c>
      <c r="J1212" t="str">
        <f t="shared" si="37"/>
        <v>UPDATE COTACAO SET cot_id = 1211, cot_blt_id = 68, cot_pap_id = 19, cot_prc_comum = 15, cot_prc_min = 15, cot_prc_max = 30, cot_prc_med = 21, cot_prc_mediana = 20 WHERE cot_id = 1211;</v>
      </c>
    </row>
    <row r="1213" spans="1:10" x14ac:dyDescent="0.3">
      <c r="A1213">
        <v>1212</v>
      </c>
      <c r="B1213">
        <f>IF('Boletins Nuppa Site'!A1213&lt;&gt;0,'Boletins Nuppa Site'!A1213,"NULL")</f>
        <v>68</v>
      </c>
      <c r="C1213">
        <v>20</v>
      </c>
      <c r="D1213" s="14">
        <f>IF('Boletins Nuppa Site'!G1213&lt;&gt;0,'Boletins Nuppa Site'!G1213,"NULL")</f>
        <v>75</v>
      </c>
      <c r="E1213" s="14">
        <f>IF('Boletins Nuppa Site'!H1213&lt;&gt;0,'Boletins Nuppa Site'!H1213,"NULL")</f>
        <v>75</v>
      </c>
      <c r="F1213" s="14">
        <f>IF('Boletins Nuppa Site'!I1213&lt;&gt;0,'Boletins Nuppa Site'!I1213,"NULL")</f>
        <v>75</v>
      </c>
      <c r="G1213" s="14">
        <f>IF('Boletins Nuppa Site'!J1213&lt;&gt;0,'Boletins Nuppa Site'!J1213,"NULL")</f>
        <v>75</v>
      </c>
      <c r="H1213" s="14">
        <f>IF('Boletins Nuppa Site'!K1213&lt;&gt;0,'Boletins Nuppa Site'!K1213,"NULL")</f>
        <v>75</v>
      </c>
      <c r="I1213" t="str">
        <f t="shared" si="36"/>
        <v>INSERT INTO COTACAO (cot_id, cot_blt_id, cot_pap_id, cot_prc_comum, cot_prc_min, cot_prc_max, cot_prc_med, cot_prc_mediana) VALUES (1212, 68, 20, 75, 75, 75, 75, 75);</v>
      </c>
      <c r="J1213" t="str">
        <f t="shared" si="37"/>
        <v>UPDATE COTACAO SET cot_id = 1212, cot_blt_id = 68, cot_pap_id = 20, cot_prc_comum = 75, cot_prc_min = 75, cot_prc_max = 75, cot_prc_med = 75, cot_prc_mediana = 75 WHERE cot_id = 1212;</v>
      </c>
    </row>
    <row r="1214" spans="1:10" x14ac:dyDescent="0.3">
      <c r="A1214">
        <v>1213</v>
      </c>
      <c r="B1214">
        <f>IF('Boletins Nuppa Site'!A1214&lt;&gt;0,'Boletins Nuppa Site'!A1214,"NULL")</f>
        <v>68</v>
      </c>
      <c r="C1214">
        <v>21</v>
      </c>
      <c r="D1214" s="14">
        <f>IF('Boletins Nuppa Site'!G1214&lt;&gt;0,'Boletins Nuppa Site'!G1214,"NULL")</f>
        <v>45</v>
      </c>
      <c r="E1214" s="14">
        <f>IF('Boletins Nuppa Site'!H1214&lt;&gt;0,'Boletins Nuppa Site'!H1214,"NULL")</f>
        <v>30</v>
      </c>
      <c r="F1214" s="14">
        <f>IF('Boletins Nuppa Site'!I1214&lt;&gt;0,'Boletins Nuppa Site'!I1214,"NULL")</f>
        <v>50</v>
      </c>
      <c r="G1214" s="14">
        <f>IF('Boletins Nuppa Site'!J1214&lt;&gt;0,'Boletins Nuppa Site'!J1214,"NULL")</f>
        <v>42</v>
      </c>
      <c r="H1214" s="14">
        <f>IF('Boletins Nuppa Site'!K1214&lt;&gt;0,'Boletins Nuppa Site'!K1214,"NULL")</f>
        <v>45</v>
      </c>
      <c r="I1214" t="str">
        <f t="shared" si="36"/>
        <v>INSERT INTO COTACAO (cot_id, cot_blt_id, cot_pap_id, cot_prc_comum, cot_prc_min, cot_prc_max, cot_prc_med, cot_prc_mediana) VALUES (1213, 68, 21, 45, 30, 50, 42, 45);</v>
      </c>
      <c r="J1214" t="str">
        <f t="shared" si="37"/>
        <v>UPDATE COTACAO SET cot_id = 1213, cot_blt_id = 68, cot_pap_id = 21, cot_prc_comum = 45, cot_prc_min = 30, cot_prc_max = 50, cot_prc_med = 42, cot_prc_mediana = 45 WHERE cot_id = 1213;</v>
      </c>
    </row>
    <row r="1215" spans="1:10" x14ac:dyDescent="0.3">
      <c r="A1215">
        <v>1214</v>
      </c>
      <c r="B1215">
        <f>IF('Boletins Nuppa Site'!A1215&lt;&gt;0,'Boletins Nuppa Site'!A1215,"NULL")</f>
        <v>68</v>
      </c>
      <c r="C1215">
        <v>22</v>
      </c>
      <c r="D1215" s="14">
        <f>IF('Boletins Nuppa Site'!G1215&lt;&gt;0,'Boletins Nuppa Site'!G1215,"NULL")</f>
        <v>70</v>
      </c>
      <c r="E1215" s="14">
        <f>IF('Boletins Nuppa Site'!H1215&lt;&gt;0,'Boletins Nuppa Site'!H1215,"NULL")</f>
        <v>45</v>
      </c>
      <c r="F1215" s="14">
        <f>IF('Boletins Nuppa Site'!I1215&lt;&gt;0,'Boletins Nuppa Site'!I1215,"NULL")</f>
        <v>70</v>
      </c>
      <c r="G1215" s="14">
        <f>IF('Boletins Nuppa Site'!J1215&lt;&gt;0,'Boletins Nuppa Site'!J1215,"NULL")</f>
        <v>60</v>
      </c>
      <c r="H1215" s="14">
        <f>IF('Boletins Nuppa Site'!K1215&lt;&gt;0,'Boletins Nuppa Site'!K1215,"NULL")</f>
        <v>65</v>
      </c>
      <c r="I1215" t="str">
        <f t="shared" si="36"/>
        <v>INSERT INTO COTACAO (cot_id, cot_blt_id, cot_pap_id, cot_prc_comum, cot_prc_min, cot_prc_max, cot_prc_med, cot_prc_mediana) VALUES (1214, 68, 22, 70, 45, 70, 60, 65);</v>
      </c>
      <c r="J1215" t="str">
        <f t="shared" si="37"/>
        <v>UPDATE COTACAO SET cot_id = 1214, cot_blt_id = 68, cot_pap_id = 22, cot_prc_comum = 70, cot_prc_min = 45, cot_prc_max = 70, cot_prc_med = 60, cot_prc_mediana = 65 WHERE cot_id = 1214;</v>
      </c>
    </row>
    <row r="1216" spans="1:10" x14ac:dyDescent="0.3">
      <c r="A1216">
        <v>1215</v>
      </c>
      <c r="B1216">
        <f>IF('Boletins Nuppa Site'!A1216&lt;&gt;0,'Boletins Nuppa Site'!A1216,"NULL")</f>
        <v>68</v>
      </c>
      <c r="C1216">
        <v>23</v>
      </c>
      <c r="D1216" s="14">
        <f>IF('Boletins Nuppa Site'!G1216&lt;&gt;0,'Boletins Nuppa Site'!G1216,"NULL")</f>
        <v>50</v>
      </c>
      <c r="E1216" s="14">
        <f>IF('Boletins Nuppa Site'!H1216&lt;&gt;0,'Boletins Nuppa Site'!H1216,"NULL")</f>
        <v>40</v>
      </c>
      <c r="F1216" s="14">
        <f>IF('Boletins Nuppa Site'!I1216&lt;&gt;0,'Boletins Nuppa Site'!I1216,"NULL")</f>
        <v>50</v>
      </c>
      <c r="G1216" s="14">
        <f>IF('Boletins Nuppa Site'!J1216&lt;&gt;0,'Boletins Nuppa Site'!J1216,"NULL")</f>
        <v>46</v>
      </c>
      <c r="H1216" s="14">
        <f>IF('Boletins Nuppa Site'!K1216&lt;&gt;0,'Boletins Nuppa Site'!K1216,"NULL")</f>
        <v>50</v>
      </c>
      <c r="I1216" t="str">
        <f t="shared" si="36"/>
        <v>INSERT INTO COTACAO (cot_id, cot_blt_id, cot_pap_id, cot_prc_comum, cot_prc_min, cot_prc_max, cot_prc_med, cot_prc_mediana) VALUES (1215, 68, 23, 50, 40, 50, 46, 50);</v>
      </c>
      <c r="J1216" t="str">
        <f t="shared" si="37"/>
        <v>UPDATE COTACAO SET cot_id = 1215, cot_blt_id = 68, cot_pap_id = 23, cot_prc_comum = 50, cot_prc_min = 40, cot_prc_max = 50, cot_prc_med = 46, cot_prc_mediana = 50 WHERE cot_id = 1215;</v>
      </c>
    </row>
    <row r="1217" spans="1:10" x14ac:dyDescent="0.3">
      <c r="A1217">
        <v>1216</v>
      </c>
      <c r="B1217">
        <f>IF('Boletins Nuppa Site'!A1217&lt;&gt;0,'Boletins Nuppa Site'!A1217,"NULL")</f>
        <v>68</v>
      </c>
      <c r="C1217">
        <v>24</v>
      </c>
      <c r="D1217" t="str">
        <f>IF('Boletins Nuppa Site'!G1217&lt;&gt;0,'Boletins Nuppa Site'!G1217,"NULL")</f>
        <v>NULL</v>
      </c>
      <c r="E1217" s="14">
        <f>IF('Boletins Nuppa Site'!H1217&lt;&gt;0,'Boletins Nuppa Site'!H1217,"NULL")</f>
        <v>90</v>
      </c>
      <c r="F1217" s="14">
        <f>IF('Boletins Nuppa Site'!I1217&lt;&gt;0,'Boletins Nuppa Site'!I1217,"NULL")</f>
        <v>100</v>
      </c>
      <c r="G1217" s="14">
        <f>IF('Boletins Nuppa Site'!J1217&lt;&gt;0,'Boletins Nuppa Site'!J1217,"NULL")</f>
        <v>95</v>
      </c>
      <c r="H1217" s="14">
        <f>IF('Boletins Nuppa Site'!K1217&lt;&gt;0,'Boletins Nuppa Site'!K1217,"NULL")</f>
        <v>95</v>
      </c>
      <c r="I1217" t="str">
        <f t="shared" si="36"/>
        <v>INSERT INTO COTACAO (cot_id, cot_blt_id, cot_pap_id, cot_prc_comum, cot_prc_min, cot_prc_max, cot_prc_med, cot_prc_mediana) VALUES (1216, 68, 24, NULL, 90, 100, 95, 95);</v>
      </c>
      <c r="J1217" t="str">
        <f t="shared" si="37"/>
        <v>UPDATE COTACAO SET cot_id = 1216, cot_blt_id = 68, cot_pap_id = 24, cot_prc_comum = NULL, cot_prc_min = 90, cot_prc_max = 100, cot_prc_med = 95, cot_prc_mediana = 95 WHERE cot_id = 1216;</v>
      </c>
    </row>
    <row r="1218" spans="1:10" x14ac:dyDescent="0.3">
      <c r="A1218">
        <v>1217</v>
      </c>
      <c r="B1218">
        <f>IF('Boletins Nuppa Site'!A1218&lt;&gt;0,'Boletins Nuppa Site'!A1218,"NULL")</f>
        <v>68</v>
      </c>
      <c r="C1218">
        <v>25</v>
      </c>
      <c r="D1218" s="14">
        <f>IF('Boletins Nuppa Site'!G1218&lt;&gt;0,'Boletins Nuppa Site'!G1218,"NULL")</f>
        <v>60</v>
      </c>
      <c r="E1218" s="14">
        <f>IF('Boletins Nuppa Site'!H1218&lt;&gt;0,'Boletins Nuppa Site'!H1218,"NULL")</f>
        <v>60</v>
      </c>
      <c r="F1218" s="14">
        <f>IF('Boletins Nuppa Site'!I1218&lt;&gt;0,'Boletins Nuppa Site'!I1218,"NULL")</f>
        <v>65</v>
      </c>
      <c r="G1218" s="14">
        <f>IF('Boletins Nuppa Site'!J1218&lt;&gt;0,'Boletins Nuppa Site'!J1218,"NULL")</f>
        <v>62</v>
      </c>
      <c r="H1218" s="14">
        <f>IF('Boletins Nuppa Site'!K1218&lt;&gt;0,'Boletins Nuppa Site'!K1218,"NULL")</f>
        <v>60</v>
      </c>
      <c r="I1218" t="str">
        <f t="shared" si="36"/>
        <v>INSERT INTO COTACAO (cot_id, cot_blt_id, cot_pap_id, cot_prc_comum, cot_prc_min, cot_prc_max, cot_prc_med, cot_prc_mediana) VALUES (1217, 68, 25, 60, 60, 65, 62, 60);</v>
      </c>
      <c r="J1218" t="str">
        <f t="shared" si="37"/>
        <v>UPDATE COTACAO SET cot_id = 1217, cot_blt_id = 68, cot_pap_id = 25, cot_prc_comum = 60, cot_prc_min = 60, cot_prc_max = 65, cot_prc_med = 62, cot_prc_mediana = 60 WHERE cot_id = 1217;</v>
      </c>
    </row>
    <row r="1219" spans="1:10" x14ac:dyDescent="0.3">
      <c r="A1219">
        <v>1218</v>
      </c>
      <c r="B1219">
        <f>IF('Boletins Nuppa Site'!A1219&lt;&gt;0,'Boletins Nuppa Site'!A1219,"NULL")</f>
        <v>68</v>
      </c>
      <c r="C1219">
        <v>26</v>
      </c>
      <c r="D1219" s="14">
        <f>IF('Boletins Nuppa Site'!G1219&lt;&gt;0,'Boletins Nuppa Site'!G1219,"NULL")</f>
        <v>55</v>
      </c>
      <c r="E1219" s="14">
        <f>IF('Boletins Nuppa Site'!H1219&lt;&gt;0,'Boletins Nuppa Site'!H1219,"NULL")</f>
        <v>35</v>
      </c>
      <c r="F1219" s="14">
        <f>IF('Boletins Nuppa Site'!I1219&lt;&gt;0,'Boletins Nuppa Site'!I1219,"NULL")</f>
        <v>60</v>
      </c>
      <c r="G1219" s="14">
        <f>IF('Boletins Nuppa Site'!J1219&lt;&gt;0,'Boletins Nuppa Site'!J1219,"NULL")</f>
        <v>51</v>
      </c>
      <c r="H1219" s="14">
        <f>IF('Boletins Nuppa Site'!K1219&lt;&gt;0,'Boletins Nuppa Site'!K1219,"NULL")</f>
        <v>55</v>
      </c>
      <c r="I1219" t="str">
        <f t="shared" ref="I1219:I1282" si="38">"INSERT INTO COTACAO (cot_id, cot_blt_id, cot_pap_id, cot_prc_comum, cot_prc_min, cot_prc_max, cot_prc_med, cot_prc_mediana) VALUES ("&amp;A1219&amp;", "&amp;B1219&amp;", "&amp;C1219&amp;", "&amp;D1219&amp;", "&amp;E1219&amp;", "&amp;F1219&amp;", "&amp;G1219&amp;", "&amp;H1219&amp;");"</f>
        <v>INSERT INTO COTACAO (cot_id, cot_blt_id, cot_pap_id, cot_prc_comum, cot_prc_min, cot_prc_max, cot_prc_med, cot_prc_mediana) VALUES (1218, 68, 26, 55, 35, 60, 51, 55);</v>
      </c>
      <c r="J1219" t="str">
        <f t="shared" ref="J1219:J1282" si="39">"UPDATE COTACAO SET cot_id = "&amp;A1219&amp;", cot_blt_id = "&amp;B1219&amp;", cot_pap_id = "&amp;C1219&amp;", cot_prc_comum = "&amp;D1219&amp;", cot_prc_min = "&amp;E1219&amp;", cot_prc_max = "&amp;F1219&amp;", cot_prc_med = "&amp;G1219&amp;", cot_prc_mediana = "&amp;H1219&amp;" WHERE cot_id = "&amp;A1219&amp;";"</f>
        <v>UPDATE COTACAO SET cot_id = 1218, cot_blt_id = 68, cot_pap_id = 26, cot_prc_comum = 55, cot_prc_min = 35, cot_prc_max = 60, cot_prc_med = 51, cot_prc_mediana = 55 WHERE cot_id = 1218;</v>
      </c>
    </row>
    <row r="1220" spans="1:10" x14ac:dyDescent="0.3">
      <c r="A1220">
        <v>1219</v>
      </c>
      <c r="B1220">
        <f>IF('Boletins Nuppa Site'!A1220&lt;&gt;0,'Boletins Nuppa Site'!A1220,"NULL")</f>
        <v>68</v>
      </c>
      <c r="C1220">
        <v>27</v>
      </c>
      <c r="D1220" s="14">
        <f>IF('Boletins Nuppa Site'!G1220&lt;&gt;0,'Boletins Nuppa Site'!G1220,"NULL")</f>
        <v>65</v>
      </c>
      <c r="E1220" s="14">
        <f>IF('Boletins Nuppa Site'!H1220&lt;&gt;0,'Boletins Nuppa Site'!H1220,"NULL")</f>
        <v>50</v>
      </c>
      <c r="F1220" s="14">
        <f>IF('Boletins Nuppa Site'!I1220&lt;&gt;0,'Boletins Nuppa Site'!I1220,"NULL")</f>
        <v>65</v>
      </c>
      <c r="G1220" s="14">
        <f>IF('Boletins Nuppa Site'!J1220&lt;&gt;0,'Boletins Nuppa Site'!J1220,"NULL")</f>
        <v>58</v>
      </c>
      <c r="H1220" s="14">
        <f>IF('Boletins Nuppa Site'!K1220&lt;&gt;0,'Boletins Nuppa Site'!K1220,"NULL")</f>
        <v>60</v>
      </c>
      <c r="I1220" t="str">
        <f t="shared" si="38"/>
        <v>INSERT INTO COTACAO (cot_id, cot_blt_id, cot_pap_id, cot_prc_comum, cot_prc_min, cot_prc_max, cot_prc_med, cot_prc_mediana) VALUES (1219, 68, 27, 65, 50, 65, 58, 60);</v>
      </c>
      <c r="J1220" t="str">
        <f t="shared" si="39"/>
        <v>UPDATE COTACAO SET cot_id = 1219, cot_blt_id = 68, cot_pap_id = 27, cot_prc_comum = 65, cot_prc_min = 50, cot_prc_max = 65, cot_prc_med = 58, cot_prc_mediana = 60 WHERE cot_id = 1219;</v>
      </c>
    </row>
    <row r="1221" spans="1:10" x14ac:dyDescent="0.3">
      <c r="A1221">
        <v>1220</v>
      </c>
      <c r="B1221">
        <f>IF('Boletins Nuppa Site'!A1221&lt;&gt;0,'Boletins Nuppa Site'!A1221,"NULL")</f>
        <v>68</v>
      </c>
      <c r="C1221">
        <v>28</v>
      </c>
      <c r="D1221" s="14">
        <f>IF('Boletins Nuppa Site'!G1221&lt;&gt;0,'Boletins Nuppa Site'!G1221,"NULL")</f>
        <v>90</v>
      </c>
      <c r="E1221" s="14">
        <f>IF('Boletins Nuppa Site'!H1221&lt;&gt;0,'Boletins Nuppa Site'!H1221,"NULL")</f>
        <v>70</v>
      </c>
      <c r="F1221" s="14">
        <f>IF('Boletins Nuppa Site'!I1221&lt;&gt;0,'Boletins Nuppa Site'!I1221,"NULL")</f>
        <v>100</v>
      </c>
      <c r="G1221" t="str">
        <f>IF('Boletins Nuppa Site'!J1221&lt;&gt;0,'Boletins Nuppa Site'!J1221,"NULL")</f>
        <v>87.5</v>
      </c>
      <c r="H1221" s="14">
        <f>IF('Boletins Nuppa Site'!K1221&lt;&gt;0,'Boletins Nuppa Site'!K1221,"NULL")</f>
        <v>90</v>
      </c>
      <c r="I1221" t="str">
        <f t="shared" si="38"/>
        <v>INSERT INTO COTACAO (cot_id, cot_blt_id, cot_pap_id, cot_prc_comum, cot_prc_min, cot_prc_max, cot_prc_med, cot_prc_mediana) VALUES (1220, 68, 28, 90, 70, 100, 87.5, 90);</v>
      </c>
      <c r="J1221" t="str">
        <f t="shared" si="39"/>
        <v>UPDATE COTACAO SET cot_id = 1220, cot_blt_id = 68, cot_pap_id = 28, cot_prc_comum = 90, cot_prc_min = 70, cot_prc_max = 100, cot_prc_med = 87.5, cot_prc_mediana = 90 WHERE cot_id = 1220;</v>
      </c>
    </row>
    <row r="1222" spans="1:10" x14ac:dyDescent="0.3">
      <c r="A1222">
        <v>1221</v>
      </c>
      <c r="B1222">
        <f>IF('Boletins Nuppa Site'!A1222&lt;&gt;0,'Boletins Nuppa Site'!A1222,"NULL")</f>
        <v>68</v>
      </c>
      <c r="C1222">
        <v>29</v>
      </c>
      <c r="D1222" t="str">
        <f>IF('Boletins Nuppa Site'!G1222&lt;&gt;0,'Boletins Nuppa Site'!G1222,"NULL")</f>
        <v>NULL</v>
      </c>
      <c r="E1222" s="14">
        <f>IF('Boletins Nuppa Site'!H1222&lt;&gt;0,'Boletins Nuppa Site'!H1222,"NULL")</f>
        <v>60</v>
      </c>
      <c r="F1222" s="14">
        <f>IF('Boletins Nuppa Site'!I1222&lt;&gt;0,'Boletins Nuppa Site'!I1222,"NULL")</f>
        <v>60</v>
      </c>
      <c r="G1222" s="14">
        <f>IF('Boletins Nuppa Site'!J1222&lt;&gt;0,'Boletins Nuppa Site'!J1222,"NULL")</f>
        <v>60</v>
      </c>
      <c r="H1222" s="14">
        <f>IF('Boletins Nuppa Site'!K1222&lt;&gt;0,'Boletins Nuppa Site'!K1222,"NULL")</f>
        <v>60</v>
      </c>
      <c r="I1222" t="str">
        <f t="shared" si="38"/>
        <v>INSERT INTO COTACAO (cot_id, cot_blt_id, cot_pap_id, cot_prc_comum, cot_prc_min, cot_prc_max, cot_prc_med, cot_prc_mediana) VALUES (1221, 68, 29, NULL, 60, 60, 60, 60);</v>
      </c>
      <c r="J1222" t="str">
        <f t="shared" si="39"/>
        <v>UPDATE COTACAO SET cot_id = 1221, cot_blt_id = 68, cot_pap_id = 29, cot_prc_comum = NULL, cot_prc_min = 60, cot_prc_max = 60, cot_prc_med = 60, cot_prc_mediana = 60 WHERE cot_id = 1221;</v>
      </c>
    </row>
    <row r="1223" spans="1:10" x14ac:dyDescent="0.3">
      <c r="A1223">
        <v>1222</v>
      </c>
      <c r="B1223">
        <f>IF('Boletins Nuppa Site'!A1223&lt;&gt;0,'Boletins Nuppa Site'!A1223,"NULL")</f>
        <v>68</v>
      </c>
      <c r="C1223">
        <v>30</v>
      </c>
      <c r="D1223" t="str">
        <f>IF('Boletins Nuppa Site'!G1223&lt;&gt;0,'Boletins Nuppa Site'!G1223,"NULL")</f>
        <v>NULL</v>
      </c>
      <c r="E1223" s="14">
        <f>IF('Boletins Nuppa Site'!H1223&lt;&gt;0,'Boletins Nuppa Site'!H1223,"NULL")</f>
        <v>70</v>
      </c>
      <c r="F1223" s="14">
        <f>IF('Boletins Nuppa Site'!I1223&lt;&gt;0,'Boletins Nuppa Site'!I1223,"NULL")</f>
        <v>85</v>
      </c>
      <c r="G1223" t="str">
        <f>IF('Boletins Nuppa Site'!J1223&lt;&gt;0,'Boletins Nuppa Site'!J1223,"NULL")</f>
        <v>77.5</v>
      </c>
      <c r="H1223" t="str">
        <f>IF('Boletins Nuppa Site'!K1223&lt;&gt;0,'Boletins Nuppa Site'!K1223,"NULL")</f>
        <v>77.5</v>
      </c>
      <c r="I1223" t="str">
        <f t="shared" si="38"/>
        <v>INSERT INTO COTACAO (cot_id, cot_blt_id, cot_pap_id, cot_prc_comum, cot_prc_min, cot_prc_max, cot_prc_med, cot_prc_mediana) VALUES (1222, 68, 30, NULL, 70, 85, 77.5, 77.5);</v>
      </c>
      <c r="J1223" t="str">
        <f t="shared" si="39"/>
        <v>UPDATE COTACAO SET cot_id = 1222, cot_blt_id = 68, cot_pap_id = 30, cot_prc_comum = NULL, cot_prc_min = 70, cot_prc_max = 85, cot_prc_med = 77.5, cot_prc_mediana = 77.5 WHERE cot_id = 1222;</v>
      </c>
    </row>
    <row r="1224" spans="1:10" x14ac:dyDescent="0.3">
      <c r="A1224">
        <v>1223</v>
      </c>
      <c r="B1224">
        <f>IF('Boletins Nuppa Site'!A1224&lt;&gt;0,'Boletins Nuppa Site'!A1224,"NULL")</f>
        <v>68</v>
      </c>
      <c r="C1224">
        <v>31</v>
      </c>
      <c r="D1224" s="14">
        <f>IF('Boletins Nuppa Site'!G1224&lt;&gt;0,'Boletins Nuppa Site'!G1224,"NULL")</f>
        <v>120</v>
      </c>
      <c r="E1224" s="14">
        <f>IF('Boletins Nuppa Site'!H1224&lt;&gt;0,'Boletins Nuppa Site'!H1224,"NULL")</f>
        <v>80</v>
      </c>
      <c r="F1224" s="14">
        <f>IF('Boletins Nuppa Site'!I1224&lt;&gt;0,'Boletins Nuppa Site'!I1224,"NULL")</f>
        <v>120</v>
      </c>
      <c r="G1224" s="14">
        <f>IF('Boletins Nuppa Site'!J1224&lt;&gt;0,'Boletins Nuppa Site'!J1224,"NULL")</f>
        <v>103</v>
      </c>
      <c r="H1224" s="14">
        <f>IF('Boletins Nuppa Site'!K1224&lt;&gt;0,'Boletins Nuppa Site'!K1224,"NULL")</f>
        <v>110</v>
      </c>
      <c r="I1224" t="str">
        <f t="shared" si="38"/>
        <v>INSERT INTO COTACAO (cot_id, cot_blt_id, cot_pap_id, cot_prc_comum, cot_prc_min, cot_prc_max, cot_prc_med, cot_prc_mediana) VALUES (1223, 68, 31, 120, 80, 120, 103, 110);</v>
      </c>
      <c r="J1224" t="str">
        <f t="shared" si="39"/>
        <v>UPDATE COTACAO SET cot_id = 1223, cot_blt_id = 68, cot_pap_id = 31, cot_prc_comum = 120, cot_prc_min = 80, cot_prc_max = 120, cot_prc_med = 103, cot_prc_mediana = 110 WHERE cot_id = 1223;</v>
      </c>
    </row>
    <row r="1225" spans="1:10" x14ac:dyDescent="0.3">
      <c r="A1225">
        <v>1224</v>
      </c>
      <c r="B1225">
        <f>IF('Boletins Nuppa Site'!A1225&lt;&gt;0,'Boletins Nuppa Site'!A1225,"NULL")</f>
        <v>68</v>
      </c>
      <c r="C1225">
        <v>32</v>
      </c>
      <c r="D1225" s="14">
        <f>IF('Boletins Nuppa Site'!G1225&lt;&gt;0,'Boletins Nuppa Site'!G1225,"NULL")</f>
        <v>50</v>
      </c>
      <c r="E1225" s="14">
        <f>IF('Boletins Nuppa Site'!H1225&lt;&gt;0,'Boletins Nuppa Site'!H1225,"NULL")</f>
        <v>50</v>
      </c>
      <c r="F1225" s="14">
        <f>IF('Boletins Nuppa Site'!I1225&lt;&gt;0,'Boletins Nuppa Site'!I1225,"NULL")</f>
        <v>60</v>
      </c>
      <c r="G1225" s="14">
        <f>IF('Boletins Nuppa Site'!J1225&lt;&gt;0,'Boletins Nuppa Site'!J1225,"NULL")</f>
        <v>53</v>
      </c>
      <c r="H1225" s="14">
        <f>IF('Boletins Nuppa Site'!K1225&lt;&gt;0,'Boletins Nuppa Site'!K1225,"NULL")</f>
        <v>50</v>
      </c>
      <c r="I1225" t="str">
        <f t="shared" si="38"/>
        <v>INSERT INTO COTACAO (cot_id, cot_blt_id, cot_pap_id, cot_prc_comum, cot_prc_min, cot_prc_max, cot_prc_med, cot_prc_mediana) VALUES (1224, 68, 32, 50, 50, 60, 53, 50);</v>
      </c>
      <c r="J1225" t="str">
        <f t="shared" si="39"/>
        <v>UPDATE COTACAO SET cot_id = 1224, cot_blt_id = 68, cot_pap_id = 32, cot_prc_comum = 50, cot_prc_min = 50, cot_prc_max = 60, cot_prc_med = 53, cot_prc_mediana = 50 WHERE cot_id = 1224;</v>
      </c>
    </row>
    <row r="1226" spans="1:10" x14ac:dyDescent="0.3">
      <c r="A1226">
        <v>1225</v>
      </c>
      <c r="B1226">
        <f>IF('Boletins Nuppa Site'!A1226&lt;&gt;0,'Boletins Nuppa Site'!A1226,"NULL")</f>
        <v>68</v>
      </c>
      <c r="C1226">
        <v>33</v>
      </c>
      <c r="D1226" t="str">
        <f>IF('Boletins Nuppa Site'!G1226&lt;&gt;0,'Boletins Nuppa Site'!G1226,"NULL")</f>
        <v>NULL</v>
      </c>
      <c r="E1226" s="14">
        <f>IF('Boletins Nuppa Site'!H1226&lt;&gt;0,'Boletins Nuppa Site'!H1226,"NULL")</f>
        <v>110</v>
      </c>
      <c r="F1226" s="14">
        <f>IF('Boletins Nuppa Site'!I1226&lt;&gt;0,'Boletins Nuppa Site'!I1226,"NULL")</f>
        <v>160</v>
      </c>
      <c r="G1226" s="14">
        <f>IF('Boletins Nuppa Site'!J1226&lt;&gt;0,'Boletins Nuppa Site'!J1226,"NULL")</f>
        <v>137</v>
      </c>
      <c r="H1226" s="14">
        <f>IF('Boletins Nuppa Site'!K1226&lt;&gt;0,'Boletins Nuppa Site'!K1226,"NULL")</f>
        <v>140</v>
      </c>
      <c r="I1226" t="str">
        <f t="shared" si="38"/>
        <v>INSERT INTO COTACAO (cot_id, cot_blt_id, cot_pap_id, cot_prc_comum, cot_prc_min, cot_prc_max, cot_prc_med, cot_prc_mediana) VALUES (1225, 68, 33, NULL, 110, 160, 137, 140);</v>
      </c>
      <c r="J1226" t="str">
        <f t="shared" si="39"/>
        <v>UPDATE COTACAO SET cot_id = 1225, cot_blt_id = 68, cot_pap_id = 33, cot_prc_comum = NULL, cot_prc_min = 110, cot_prc_max = 160, cot_prc_med = 137, cot_prc_mediana = 140 WHERE cot_id = 1225;</v>
      </c>
    </row>
    <row r="1227" spans="1:10" x14ac:dyDescent="0.3">
      <c r="A1227">
        <v>1226</v>
      </c>
      <c r="B1227">
        <f>IF('Boletins Nuppa Site'!A1227&lt;&gt;0,'Boletins Nuppa Site'!A1227,"NULL")</f>
        <v>68</v>
      </c>
      <c r="C1227">
        <v>34</v>
      </c>
      <c r="D1227" s="14">
        <f>IF('Boletins Nuppa Site'!G1227&lt;&gt;0,'Boletins Nuppa Site'!G1227,"NULL")</f>
        <v>60</v>
      </c>
      <c r="E1227" s="14">
        <f>IF('Boletins Nuppa Site'!H1227&lt;&gt;0,'Boletins Nuppa Site'!H1227,"NULL")</f>
        <v>45</v>
      </c>
      <c r="F1227" s="14">
        <f>IF('Boletins Nuppa Site'!I1227&lt;&gt;0,'Boletins Nuppa Site'!I1227,"NULL")</f>
        <v>60</v>
      </c>
      <c r="G1227" s="14">
        <f>IF('Boletins Nuppa Site'!J1227&lt;&gt;0,'Boletins Nuppa Site'!J1227,"NULL")</f>
        <v>53</v>
      </c>
      <c r="H1227" s="14">
        <f>IF('Boletins Nuppa Site'!K1227&lt;&gt;0,'Boletins Nuppa Site'!K1227,"NULL")</f>
        <v>50</v>
      </c>
      <c r="I1227" t="str">
        <f t="shared" si="38"/>
        <v>INSERT INTO COTACAO (cot_id, cot_blt_id, cot_pap_id, cot_prc_comum, cot_prc_min, cot_prc_max, cot_prc_med, cot_prc_mediana) VALUES (1226, 68, 34, 60, 45, 60, 53, 50);</v>
      </c>
      <c r="J1227" t="str">
        <f t="shared" si="39"/>
        <v>UPDATE COTACAO SET cot_id = 1226, cot_blt_id = 68, cot_pap_id = 34, cot_prc_comum = 60, cot_prc_min = 45, cot_prc_max = 60, cot_prc_med = 53, cot_prc_mediana = 50 WHERE cot_id = 1226;</v>
      </c>
    </row>
    <row r="1228" spans="1:10" x14ac:dyDescent="0.3">
      <c r="A1228">
        <v>1227</v>
      </c>
      <c r="B1228">
        <f>IF('Boletins Nuppa Site'!A1228&lt;&gt;0,'Boletins Nuppa Site'!A1228,"NULL")</f>
        <v>68</v>
      </c>
      <c r="C1228">
        <v>35</v>
      </c>
      <c r="D1228" t="str">
        <f>IF('Boletins Nuppa Site'!G1228&lt;&gt;0,'Boletins Nuppa Site'!G1228,"NULL")</f>
        <v>NULL</v>
      </c>
      <c r="E1228" s="14">
        <f>IF('Boletins Nuppa Site'!H1228&lt;&gt;0,'Boletins Nuppa Site'!H1228,"NULL")</f>
        <v>120</v>
      </c>
      <c r="F1228" s="14">
        <f>IF('Boletins Nuppa Site'!I1228&lt;&gt;0,'Boletins Nuppa Site'!I1228,"NULL")</f>
        <v>150</v>
      </c>
      <c r="G1228" s="14">
        <f>IF('Boletins Nuppa Site'!J1228&lt;&gt;0,'Boletins Nuppa Site'!J1228,"NULL")</f>
        <v>135</v>
      </c>
      <c r="H1228" s="14">
        <f>IF('Boletins Nuppa Site'!K1228&lt;&gt;0,'Boletins Nuppa Site'!K1228,"NULL")</f>
        <v>135</v>
      </c>
      <c r="I1228" t="str">
        <f t="shared" si="38"/>
        <v>INSERT INTO COTACAO (cot_id, cot_blt_id, cot_pap_id, cot_prc_comum, cot_prc_min, cot_prc_max, cot_prc_med, cot_prc_mediana) VALUES (1227, 68, 35, NULL, 120, 150, 135, 135);</v>
      </c>
      <c r="J1228" t="str">
        <f t="shared" si="39"/>
        <v>UPDATE COTACAO SET cot_id = 1227, cot_blt_id = 68, cot_pap_id = 35, cot_prc_comum = NULL, cot_prc_min = 120, cot_prc_max = 150, cot_prc_med = 135, cot_prc_mediana = 135 WHERE cot_id = 1227;</v>
      </c>
    </row>
    <row r="1229" spans="1:10" x14ac:dyDescent="0.3">
      <c r="A1229">
        <v>1228</v>
      </c>
      <c r="B1229">
        <f>IF('Boletins Nuppa Site'!A1229&lt;&gt;0,'Boletins Nuppa Site'!A1229,"NULL")</f>
        <v>68</v>
      </c>
      <c r="C1229">
        <v>36</v>
      </c>
      <c r="D1229" t="str">
        <f>IF('Boletins Nuppa Site'!G1229&lt;&gt;0,'Boletins Nuppa Site'!G1229,"NULL")</f>
        <v>NULL</v>
      </c>
      <c r="E1229" t="str">
        <f>IF('Boletins Nuppa Site'!H1229&lt;&gt;0,'Boletins Nuppa Site'!H1229,"NULL")</f>
        <v>NULL</v>
      </c>
      <c r="F1229" t="str">
        <f>IF('Boletins Nuppa Site'!I1229&lt;&gt;0,'Boletins Nuppa Site'!I1229,"NULL")</f>
        <v>NULL</v>
      </c>
      <c r="G1229" t="str">
        <f>IF('Boletins Nuppa Site'!J1229&lt;&gt;0,'Boletins Nuppa Site'!J1229,"NULL")</f>
        <v>NULL</v>
      </c>
      <c r="H1229" t="str">
        <f>IF('Boletins Nuppa Site'!K1229&lt;&gt;0,'Boletins Nuppa Site'!K1229,"NULL")</f>
        <v>NULL</v>
      </c>
      <c r="I1229" t="str">
        <f t="shared" si="38"/>
        <v>INSERT INTO COTACAO (cot_id, cot_blt_id, cot_pap_id, cot_prc_comum, cot_prc_min, cot_prc_max, cot_prc_med, cot_prc_mediana) VALUES (1228, 68, 36, NULL, NULL, NULL, NULL, NULL);</v>
      </c>
      <c r="J1229" t="str">
        <f t="shared" si="39"/>
        <v>UPDATE COTACAO SET cot_id = 1228, cot_blt_id = 68, cot_pap_id = 36, cot_prc_comum = NULL, cot_prc_min = NULL, cot_prc_max = NULL, cot_prc_med = NULL, cot_prc_mediana = NULL WHERE cot_id = 1228;</v>
      </c>
    </row>
    <row r="1230" spans="1:10" x14ac:dyDescent="0.3">
      <c r="A1230">
        <v>1229</v>
      </c>
      <c r="B1230">
        <f>IF('Boletins Nuppa Site'!A1230&lt;&gt;0,'Boletins Nuppa Site'!A1230,"NULL")</f>
        <v>68</v>
      </c>
      <c r="C1230">
        <v>37</v>
      </c>
      <c r="D1230" t="str">
        <f>IF('Boletins Nuppa Site'!G1230&lt;&gt;0,'Boletins Nuppa Site'!G1230,"NULL")</f>
        <v>NULL</v>
      </c>
      <c r="E1230" t="str">
        <f>IF('Boletins Nuppa Site'!H1230&lt;&gt;0,'Boletins Nuppa Site'!H1230,"NULL")</f>
        <v>NULL</v>
      </c>
      <c r="F1230" t="str">
        <f>IF('Boletins Nuppa Site'!I1230&lt;&gt;0,'Boletins Nuppa Site'!I1230,"NULL")</f>
        <v>NULL</v>
      </c>
      <c r="G1230" t="str">
        <f>IF('Boletins Nuppa Site'!J1230&lt;&gt;0,'Boletins Nuppa Site'!J1230,"NULL")</f>
        <v>NULL</v>
      </c>
      <c r="H1230" t="str">
        <f>IF('Boletins Nuppa Site'!K1230&lt;&gt;0,'Boletins Nuppa Site'!K1230,"NULL")</f>
        <v>NULL</v>
      </c>
      <c r="I1230" t="str">
        <f t="shared" si="38"/>
        <v>INSERT INTO COTACAO (cot_id, cot_blt_id, cot_pap_id, cot_prc_comum, cot_prc_min, cot_prc_max, cot_prc_med, cot_prc_mediana) VALUES (1229, 68, 37, NULL, NULL, NULL, NULL, NULL);</v>
      </c>
      <c r="J1230" t="str">
        <f t="shared" si="39"/>
        <v>UPDATE COTACAO SET cot_id = 1229, cot_blt_id = 68, cot_pap_id = 37, cot_prc_comum = NULL, cot_prc_min = NULL, cot_prc_max = NULL, cot_prc_med = NULL, cot_prc_mediana = NULL WHERE cot_id = 1229;</v>
      </c>
    </row>
    <row r="1231" spans="1:10" x14ac:dyDescent="0.3">
      <c r="A1231">
        <v>1230</v>
      </c>
      <c r="B1231">
        <f>IF('Boletins Nuppa Site'!A1231&lt;&gt;0,'Boletins Nuppa Site'!A1231,"NULL")</f>
        <v>68</v>
      </c>
      <c r="C1231">
        <v>38</v>
      </c>
      <c r="D1231" t="str">
        <f>IF('Boletins Nuppa Site'!G1231&lt;&gt;0,'Boletins Nuppa Site'!G1231,"NULL")</f>
        <v>NULL</v>
      </c>
      <c r="E1231" t="str">
        <f>IF('Boletins Nuppa Site'!H1231&lt;&gt;0,'Boletins Nuppa Site'!H1231,"NULL")</f>
        <v>NULL</v>
      </c>
      <c r="F1231" t="str">
        <f>IF('Boletins Nuppa Site'!I1231&lt;&gt;0,'Boletins Nuppa Site'!I1231,"NULL")</f>
        <v>NULL</v>
      </c>
      <c r="G1231" t="str">
        <f>IF('Boletins Nuppa Site'!J1231&lt;&gt;0,'Boletins Nuppa Site'!J1231,"NULL")</f>
        <v>NULL</v>
      </c>
      <c r="H1231" t="str">
        <f>IF('Boletins Nuppa Site'!K1231&lt;&gt;0,'Boletins Nuppa Site'!K1231,"NULL")</f>
        <v>NULL</v>
      </c>
      <c r="I1231" t="str">
        <f t="shared" si="38"/>
        <v>INSERT INTO COTACAO (cot_id, cot_blt_id, cot_pap_id, cot_prc_comum, cot_prc_min, cot_prc_max, cot_prc_med, cot_prc_mediana) VALUES (1230, 68, 38, NULL, NULL, NULL, NULL, NULL);</v>
      </c>
      <c r="J1231" t="str">
        <f t="shared" si="39"/>
        <v>UPDATE COTACAO SET cot_id = 1230, cot_blt_id = 68, cot_pap_id = 38, cot_prc_comum = NULL, cot_prc_min = NULL, cot_prc_max = NULL, cot_prc_med = NULL, cot_prc_mediana = NULL WHERE cot_id = 1230;</v>
      </c>
    </row>
    <row r="1232" spans="1:10" x14ac:dyDescent="0.3">
      <c r="A1232">
        <v>1231</v>
      </c>
      <c r="B1232">
        <f>IF('Boletins Nuppa Site'!A1232&lt;&gt;0,'Boletins Nuppa Site'!A1232,"NULL")</f>
        <v>68</v>
      </c>
      <c r="C1232">
        <v>39</v>
      </c>
      <c r="D1232" t="str">
        <f>IF('Boletins Nuppa Site'!G1232&lt;&gt;0,'Boletins Nuppa Site'!G1232,"NULL")</f>
        <v>NULL</v>
      </c>
      <c r="E1232" s="14">
        <f>IF('Boletins Nuppa Site'!H1232&lt;&gt;0,'Boletins Nuppa Site'!H1232,"NULL")</f>
        <v>60</v>
      </c>
      <c r="F1232" s="14">
        <f>IF('Boletins Nuppa Site'!I1232&lt;&gt;0,'Boletins Nuppa Site'!I1232,"NULL")</f>
        <v>60</v>
      </c>
      <c r="G1232" s="14">
        <f>IF('Boletins Nuppa Site'!J1232&lt;&gt;0,'Boletins Nuppa Site'!J1232,"NULL")</f>
        <v>60</v>
      </c>
      <c r="H1232" s="14">
        <f>IF('Boletins Nuppa Site'!K1232&lt;&gt;0,'Boletins Nuppa Site'!K1232,"NULL")</f>
        <v>60</v>
      </c>
      <c r="I1232" t="str">
        <f t="shared" si="38"/>
        <v>INSERT INTO COTACAO (cot_id, cot_blt_id, cot_pap_id, cot_prc_comum, cot_prc_min, cot_prc_max, cot_prc_med, cot_prc_mediana) VALUES (1231, 68, 39, NULL, 60, 60, 60, 60);</v>
      </c>
      <c r="J1232" t="str">
        <f t="shared" si="39"/>
        <v>UPDATE COTACAO SET cot_id = 1231, cot_blt_id = 68, cot_pap_id = 39, cot_prc_comum = NULL, cot_prc_min = 60, cot_prc_max = 60, cot_prc_med = 60, cot_prc_mediana = 60 WHERE cot_id = 1231;</v>
      </c>
    </row>
    <row r="1233" spans="1:10" x14ac:dyDescent="0.3">
      <c r="A1233">
        <v>1232</v>
      </c>
      <c r="B1233">
        <f>IF('Boletins Nuppa Site'!A1233&lt;&gt;0,'Boletins Nuppa Site'!A1233,"NULL")</f>
        <v>68</v>
      </c>
      <c r="C1233">
        <v>40</v>
      </c>
      <c r="D1233" t="str">
        <f>IF('Boletins Nuppa Site'!G1233&lt;&gt;0,'Boletins Nuppa Site'!G1233,"NULL")</f>
        <v>NULL</v>
      </c>
      <c r="E1233" t="str">
        <f>IF('Boletins Nuppa Site'!H1233&lt;&gt;0,'Boletins Nuppa Site'!H1233,"NULL")</f>
        <v>NULL</v>
      </c>
      <c r="F1233" t="str">
        <f>IF('Boletins Nuppa Site'!I1233&lt;&gt;0,'Boletins Nuppa Site'!I1233,"NULL")</f>
        <v>NULL</v>
      </c>
      <c r="G1233" t="str">
        <f>IF('Boletins Nuppa Site'!J1233&lt;&gt;0,'Boletins Nuppa Site'!J1233,"NULL")</f>
        <v>NULL</v>
      </c>
      <c r="H1233" t="str">
        <f>IF('Boletins Nuppa Site'!K1233&lt;&gt;0,'Boletins Nuppa Site'!K1233,"NULL")</f>
        <v>NULL</v>
      </c>
      <c r="I1233" t="str">
        <f t="shared" si="38"/>
        <v>INSERT INTO COTACAO (cot_id, cot_blt_id, cot_pap_id, cot_prc_comum, cot_prc_min, cot_prc_max, cot_prc_med, cot_prc_mediana) VALUES (1232, 68, 40, NULL, NULL, NULL, NULL, NULL);</v>
      </c>
      <c r="J1233" t="str">
        <f t="shared" si="39"/>
        <v>UPDATE COTACAO SET cot_id = 1232, cot_blt_id = 68, cot_pap_id = 40, cot_prc_comum = NULL, cot_prc_min = NULL, cot_prc_max = NULL, cot_prc_med = NULL, cot_prc_mediana = NULL WHERE cot_id = 1232;</v>
      </c>
    </row>
    <row r="1234" spans="1:10" x14ac:dyDescent="0.3">
      <c r="A1234">
        <v>1233</v>
      </c>
      <c r="B1234">
        <f>IF('Boletins Nuppa Site'!A1234&lt;&gt;0,'Boletins Nuppa Site'!A1234,"NULL")</f>
        <v>69</v>
      </c>
      <c r="C1234">
        <v>1</v>
      </c>
      <c r="D1234" s="14">
        <f>IF('Boletins Nuppa Site'!G1234&lt;&gt;0,'Boletins Nuppa Site'!G1234,"NULL")</f>
        <v>48</v>
      </c>
      <c r="E1234" s="14">
        <f>IF('Boletins Nuppa Site'!H1234&lt;&gt;0,'Boletins Nuppa Site'!H1234,"NULL")</f>
        <v>5</v>
      </c>
      <c r="F1234" s="14">
        <f>IF('Boletins Nuppa Site'!I1234&lt;&gt;0,'Boletins Nuppa Site'!I1234,"NULL")</f>
        <v>48</v>
      </c>
      <c r="G1234" t="str">
        <f>IF('Boletins Nuppa Site'!J1234&lt;&gt;0,'Boletins Nuppa Site'!J1234,"NULL")</f>
        <v>32.2</v>
      </c>
      <c r="H1234" s="14">
        <f>IF('Boletins Nuppa Site'!K1234&lt;&gt;0,'Boletins Nuppa Site'!K1234,"NULL")</f>
        <v>36</v>
      </c>
      <c r="I1234" t="str">
        <f t="shared" si="38"/>
        <v>INSERT INTO COTACAO (cot_id, cot_blt_id, cot_pap_id, cot_prc_comum, cot_prc_min, cot_prc_max, cot_prc_med, cot_prc_mediana) VALUES (1233, 69, 1, 48, 5, 48, 32.2, 36);</v>
      </c>
      <c r="J1234" t="str">
        <f t="shared" si="39"/>
        <v>UPDATE COTACAO SET cot_id = 1233, cot_blt_id = 69, cot_pap_id = 1, cot_prc_comum = 48, cot_prc_min = 5, cot_prc_max = 48, cot_prc_med = 32.2, cot_prc_mediana = 36 WHERE cot_id = 1233;</v>
      </c>
    </row>
    <row r="1235" spans="1:10" x14ac:dyDescent="0.3">
      <c r="A1235">
        <v>1234</v>
      </c>
      <c r="B1235">
        <f>IF('Boletins Nuppa Site'!A1235&lt;&gt;0,'Boletins Nuppa Site'!A1235,"NULL")</f>
        <v>69</v>
      </c>
      <c r="C1235">
        <v>2</v>
      </c>
      <c r="D1235" s="14">
        <f>IF('Boletins Nuppa Site'!G1235&lt;&gt;0,'Boletins Nuppa Site'!G1235,"NULL")</f>
        <v>60</v>
      </c>
      <c r="E1235" s="14">
        <f>IF('Boletins Nuppa Site'!H1235&lt;&gt;0,'Boletins Nuppa Site'!H1235,"NULL")</f>
        <v>7</v>
      </c>
      <c r="F1235" s="14">
        <f>IF('Boletins Nuppa Site'!I1235&lt;&gt;0,'Boletins Nuppa Site'!I1235,"NULL")</f>
        <v>72</v>
      </c>
      <c r="G1235" t="str">
        <f>IF('Boletins Nuppa Site'!J1235&lt;&gt;0,'Boletins Nuppa Site'!J1235,"NULL")</f>
        <v>51.8</v>
      </c>
      <c r="H1235" s="14">
        <f>IF('Boletins Nuppa Site'!K1235&lt;&gt;0,'Boletins Nuppa Site'!K1235,"NULL")</f>
        <v>60</v>
      </c>
      <c r="I1235" t="str">
        <f t="shared" si="38"/>
        <v>INSERT INTO COTACAO (cot_id, cot_blt_id, cot_pap_id, cot_prc_comum, cot_prc_min, cot_prc_max, cot_prc_med, cot_prc_mediana) VALUES (1234, 69, 2, 60, 7, 72, 51.8, 60);</v>
      </c>
      <c r="J1235" t="str">
        <f t="shared" si="39"/>
        <v>UPDATE COTACAO SET cot_id = 1234, cot_blt_id = 69, cot_pap_id = 2, cot_prc_comum = 60, cot_prc_min = 7, cot_prc_max = 72, cot_prc_med = 51.8, cot_prc_mediana = 60 WHERE cot_id = 1234;</v>
      </c>
    </row>
    <row r="1236" spans="1:10" x14ac:dyDescent="0.3">
      <c r="A1236">
        <v>1235</v>
      </c>
      <c r="B1236">
        <f>IF('Boletins Nuppa Site'!A1236&lt;&gt;0,'Boletins Nuppa Site'!A1236,"NULL")</f>
        <v>69</v>
      </c>
      <c r="C1236">
        <v>3</v>
      </c>
      <c r="D1236" s="14">
        <f>IF('Boletins Nuppa Site'!G1236&lt;&gt;0,'Boletins Nuppa Site'!G1236,"NULL")</f>
        <v>30</v>
      </c>
      <c r="E1236" s="14">
        <f>IF('Boletins Nuppa Site'!H1236&lt;&gt;0,'Boletins Nuppa Site'!H1236,"NULL")</f>
        <v>30</v>
      </c>
      <c r="F1236" s="14">
        <f>IF('Boletins Nuppa Site'!I1236&lt;&gt;0,'Boletins Nuppa Site'!I1236,"NULL")</f>
        <v>36</v>
      </c>
      <c r="G1236" s="14">
        <f>IF('Boletins Nuppa Site'!J1236&lt;&gt;0,'Boletins Nuppa Site'!J1236,"NULL")</f>
        <v>31</v>
      </c>
      <c r="H1236" s="14">
        <f>IF('Boletins Nuppa Site'!K1236&lt;&gt;0,'Boletins Nuppa Site'!K1236,"NULL")</f>
        <v>30</v>
      </c>
      <c r="I1236" t="str">
        <f t="shared" si="38"/>
        <v>INSERT INTO COTACAO (cot_id, cot_blt_id, cot_pap_id, cot_prc_comum, cot_prc_min, cot_prc_max, cot_prc_med, cot_prc_mediana) VALUES (1235, 69, 3, 30, 30, 36, 31, 30);</v>
      </c>
      <c r="J1236" t="str">
        <f t="shared" si="39"/>
        <v>UPDATE COTACAO SET cot_id = 1235, cot_blt_id = 69, cot_pap_id = 3, cot_prc_comum = 30, cot_prc_min = 30, cot_prc_max = 36, cot_prc_med = 31, cot_prc_mediana = 30 WHERE cot_id = 1235;</v>
      </c>
    </row>
    <row r="1237" spans="1:10" x14ac:dyDescent="0.3">
      <c r="A1237">
        <v>1236</v>
      </c>
      <c r="B1237">
        <f>IF('Boletins Nuppa Site'!A1237&lt;&gt;0,'Boletins Nuppa Site'!A1237,"NULL")</f>
        <v>69</v>
      </c>
      <c r="C1237">
        <v>4</v>
      </c>
      <c r="D1237" s="14">
        <f>IF('Boletins Nuppa Site'!G1237&lt;&gt;0,'Boletins Nuppa Site'!G1237,"NULL")</f>
        <v>18</v>
      </c>
      <c r="E1237" s="14">
        <f>IF('Boletins Nuppa Site'!H1237&lt;&gt;0,'Boletins Nuppa Site'!H1237,"NULL")</f>
        <v>15</v>
      </c>
      <c r="F1237" s="14">
        <f>IF('Boletins Nuppa Site'!I1237&lt;&gt;0,'Boletins Nuppa Site'!I1237,"NULL")</f>
        <v>24</v>
      </c>
      <c r="G1237" s="14">
        <f>IF('Boletins Nuppa Site'!J1237&lt;&gt;0,'Boletins Nuppa Site'!J1237,"NULL")</f>
        <v>19</v>
      </c>
      <c r="H1237" s="14">
        <f>IF('Boletins Nuppa Site'!K1237&lt;&gt;0,'Boletins Nuppa Site'!K1237,"NULL")</f>
        <v>18</v>
      </c>
      <c r="I1237" t="str">
        <f t="shared" si="38"/>
        <v>INSERT INTO COTACAO (cot_id, cot_blt_id, cot_pap_id, cot_prc_comum, cot_prc_min, cot_prc_max, cot_prc_med, cot_prc_mediana) VALUES (1236, 69, 4, 18, 15, 24, 19, 18);</v>
      </c>
      <c r="J1237" t="str">
        <f t="shared" si="39"/>
        <v>UPDATE COTACAO SET cot_id = 1236, cot_blt_id = 69, cot_pap_id = 4, cot_prc_comum = 18, cot_prc_min = 15, cot_prc_max = 24, cot_prc_med = 19, cot_prc_mediana = 18 WHERE cot_id = 1236;</v>
      </c>
    </row>
    <row r="1238" spans="1:10" x14ac:dyDescent="0.3">
      <c r="A1238">
        <v>1237</v>
      </c>
      <c r="B1238">
        <f>IF('Boletins Nuppa Site'!A1238&lt;&gt;0,'Boletins Nuppa Site'!A1238,"NULL")</f>
        <v>69</v>
      </c>
      <c r="C1238">
        <v>5</v>
      </c>
      <c r="D1238" s="14">
        <f>IF('Boletins Nuppa Site'!G1238&lt;&gt;0,'Boletins Nuppa Site'!G1238,"NULL")</f>
        <v>24</v>
      </c>
      <c r="E1238" s="14">
        <f>IF('Boletins Nuppa Site'!H1238&lt;&gt;0,'Boletins Nuppa Site'!H1238,"NULL")</f>
        <v>15</v>
      </c>
      <c r="F1238" s="14">
        <f>IF('Boletins Nuppa Site'!I1238&lt;&gt;0,'Boletins Nuppa Site'!I1238,"NULL")</f>
        <v>24</v>
      </c>
      <c r="G1238" t="str">
        <f>IF('Boletins Nuppa Site'!J1238&lt;&gt;0,'Boletins Nuppa Site'!J1238,"NULL")</f>
        <v>20.4</v>
      </c>
      <c r="H1238" s="14">
        <f>IF('Boletins Nuppa Site'!K1238&lt;&gt;0,'Boletins Nuppa Site'!K1238,"NULL")</f>
        <v>24</v>
      </c>
      <c r="I1238" t="str">
        <f t="shared" si="38"/>
        <v>INSERT INTO COTACAO (cot_id, cot_blt_id, cot_pap_id, cot_prc_comum, cot_prc_min, cot_prc_max, cot_prc_med, cot_prc_mediana) VALUES (1237, 69, 5, 24, 15, 24, 20.4, 24);</v>
      </c>
      <c r="J1238" t="str">
        <f t="shared" si="39"/>
        <v>UPDATE COTACAO SET cot_id = 1237, cot_blt_id = 69, cot_pap_id = 5, cot_prc_comum = 24, cot_prc_min = 15, cot_prc_max = 24, cot_prc_med = 20.4, cot_prc_mediana = 24 WHERE cot_id = 1237;</v>
      </c>
    </row>
    <row r="1239" spans="1:10" x14ac:dyDescent="0.3">
      <c r="A1239">
        <v>1238</v>
      </c>
      <c r="B1239">
        <f>IF('Boletins Nuppa Site'!A1239&lt;&gt;0,'Boletins Nuppa Site'!A1239,"NULL")</f>
        <v>69</v>
      </c>
      <c r="C1239">
        <v>6</v>
      </c>
      <c r="D1239" s="14">
        <f>IF('Boletins Nuppa Site'!G1239&lt;&gt;0,'Boletins Nuppa Site'!G1239,"NULL")</f>
        <v>60</v>
      </c>
      <c r="E1239" s="14">
        <f>IF('Boletins Nuppa Site'!H1239&lt;&gt;0,'Boletins Nuppa Site'!H1239,"NULL")</f>
        <v>5</v>
      </c>
      <c r="F1239" s="14">
        <f>IF('Boletins Nuppa Site'!I1239&lt;&gt;0,'Boletins Nuppa Site'!I1239,"NULL")</f>
        <v>60</v>
      </c>
      <c r="G1239" t="str">
        <f>IF('Boletins Nuppa Site'!J1239&lt;&gt;0,'Boletins Nuppa Site'!J1239,"NULL")</f>
        <v>46.6</v>
      </c>
      <c r="H1239" s="14">
        <f>IF('Boletins Nuppa Site'!K1239&lt;&gt;0,'Boletins Nuppa Site'!K1239,"NULL")</f>
        <v>60</v>
      </c>
      <c r="I1239" t="str">
        <f t="shared" si="38"/>
        <v>INSERT INTO COTACAO (cot_id, cot_blt_id, cot_pap_id, cot_prc_comum, cot_prc_min, cot_prc_max, cot_prc_med, cot_prc_mediana) VALUES (1238, 69, 6, 60, 5, 60, 46.6, 60);</v>
      </c>
      <c r="J1239" t="str">
        <f t="shared" si="39"/>
        <v>UPDATE COTACAO SET cot_id = 1238, cot_blt_id = 69, cot_pap_id = 6, cot_prc_comum = 60, cot_prc_min = 5, cot_prc_max = 60, cot_prc_med = 46.6, cot_prc_mediana = 60 WHERE cot_id = 1238;</v>
      </c>
    </row>
    <row r="1240" spans="1:10" x14ac:dyDescent="0.3">
      <c r="A1240">
        <v>1239</v>
      </c>
      <c r="B1240">
        <f>IF('Boletins Nuppa Site'!A1240&lt;&gt;0,'Boletins Nuppa Site'!A1240,"NULL")</f>
        <v>69</v>
      </c>
      <c r="C1240">
        <v>7</v>
      </c>
      <c r="D1240" t="str">
        <f>IF('Boletins Nuppa Site'!G1240&lt;&gt;0,'Boletins Nuppa Site'!G1240,"NULL")</f>
        <v>NULL</v>
      </c>
      <c r="E1240" s="14">
        <f>IF('Boletins Nuppa Site'!H1240&lt;&gt;0,'Boletins Nuppa Site'!H1240,"NULL")</f>
        <v>6</v>
      </c>
      <c r="F1240" s="14">
        <f>IF('Boletins Nuppa Site'!I1240&lt;&gt;0,'Boletins Nuppa Site'!I1240,"NULL")</f>
        <v>60</v>
      </c>
      <c r="G1240" s="14">
        <f>IF('Boletins Nuppa Site'!J1240&lt;&gt;0,'Boletins Nuppa Site'!J1240,"NULL")</f>
        <v>42</v>
      </c>
      <c r="H1240" s="14">
        <f>IF('Boletins Nuppa Site'!K1240&lt;&gt;0,'Boletins Nuppa Site'!K1240,"NULL")</f>
        <v>48</v>
      </c>
      <c r="I1240" t="str">
        <f t="shared" si="38"/>
        <v>INSERT INTO COTACAO (cot_id, cot_blt_id, cot_pap_id, cot_prc_comum, cot_prc_min, cot_prc_max, cot_prc_med, cot_prc_mediana) VALUES (1239, 69, 7, NULL, 6, 60, 42, 48);</v>
      </c>
      <c r="J1240" t="str">
        <f t="shared" si="39"/>
        <v>UPDATE COTACAO SET cot_id = 1239, cot_blt_id = 69, cot_pap_id = 7, cot_prc_comum = NULL, cot_prc_min = 6, cot_prc_max = 60, cot_prc_med = 42, cot_prc_mediana = 48 WHERE cot_id = 1239;</v>
      </c>
    </row>
    <row r="1241" spans="1:10" x14ac:dyDescent="0.3">
      <c r="A1241">
        <v>1240</v>
      </c>
      <c r="B1241">
        <f>IF('Boletins Nuppa Site'!A1241&lt;&gt;0,'Boletins Nuppa Site'!A1241,"NULL")</f>
        <v>69</v>
      </c>
      <c r="C1241">
        <v>8</v>
      </c>
      <c r="D1241" s="14">
        <f>IF('Boletins Nuppa Site'!G1241&lt;&gt;0,'Boletins Nuppa Site'!G1241,"NULL")</f>
        <v>72</v>
      </c>
      <c r="E1241" s="14">
        <f>IF('Boletins Nuppa Site'!H1241&lt;&gt;0,'Boletins Nuppa Site'!H1241,"NULL")</f>
        <v>7</v>
      </c>
      <c r="F1241" s="14">
        <f>IF('Boletins Nuppa Site'!I1241&lt;&gt;0,'Boletins Nuppa Site'!I1241,"NULL")</f>
        <v>96</v>
      </c>
      <c r="G1241" t="str">
        <f>IF('Boletins Nuppa Site'!J1241&lt;&gt;0,'Boletins Nuppa Site'!J1241,"NULL")</f>
        <v>61.17</v>
      </c>
      <c r="H1241" s="14">
        <f>IF('Boletins Nuppa Site'!K1241&lt;&gt;0,'Boletins Nuppa Site'!K1241,"NULL")</f>
        <v>66</v>
      </c>
      <c r="I1241" t="str">
        <f t="shared" si="38"/>
        <v>INSERT INTO COTACAO (cot_id, cot_blt_id, cot_pap_id, cot_prc_comum, cot_prc_min, cot_prc_max, cot_prc_med, cot_prc_mediana) VALUES (1240, 69, 8, 72, 7, 96, 61.17, 66);</v>
      </c>
      <c r="J1241" t="str">
        <f t="shared" si="39"/>
        <v>UPDATE COTACAO SET cot_id = 1240, cot_blt_id = 69, cot_pap_id = 8, cot_prc_comum = 72, cot_prc_min = 7, cot_prc_max = 96, cot_prc_med = 61.17, cot_prc_mediana = 66 WHERE cot_id = 1240;</v>
      </c>
    </row>
    <row r="1242" spans="1:10" x14ac:dyDescent="0.3">
      <c r="A1242">
        <v>1241</v>
      </c>
      <c r="B1242">
        <f>IF('Boletins Nuppa Site'!A1242&lt;&gt;0,'Boletins Nuppa Site'!A1242,"NULL")</f>
        <v>69</v>
      </c>
      <c r="C1242">
        <v>9</v>
      </c>
      <c r="D1242" s="14">
        <f>IF('Boletins Nuppa Site'!G1242&lt;&gt;0,'Boletins Nuppa Site'!G1242,"NULL")</f>
        <v>24</v>
      </c>
      <c r="E1242" s="14">
        <f>IF('Boletins Nuppa Site'!H1242&lt;&gt;0,'Boletins Nuppa Site'!H1242,"NULL")</f>
        <v>2</v>
      </c>
      <c r="F1242" s="14">
        <f>IF('Boletins Nuppa Site'!I1242&lt;&gt;0,'Boletins Nuppa Site'!I1242,"NULL")</f>
        <v>24</v>
      </c>
      <c r="G1242" t="str">
        <f>IF('Boletins Nuppa Site'!J1242&lt;&gt;0,'Boletins Nuppa Site'!J1242,"NULL")</f>
        <v>18.33</v>
      </c>
      <c r="H1242" s="14">
        <f>IF('Boletins Nuppa Site'!K1242&lt;&gt;0,'Boletins Nuppa Site'!K1242,"NULL")</f>
        <v>21</v>
      </c>
      <c r="I1242" t="str">
        <f t="shared" si="38"/>
        <v>INSERT INTO COTACAO (cot_id, cot_blt_id, cot_pap_id, cot_prc_comum, cot_prc_min, cot_prc_max, cot_prc_med, cot_prc_mediana) VALUES (1241, 69, 9, 24, 2, 24, 18.33, 21);</v>
      </c>
      <c r="J1242" t="str">
        <f t="shared" si="39"/>
        <v>UPDATE COTACAO SET cot_id = 1241, cot_blt_id = 69, cot_pap_id = 9, cot_prc_comum = 24, cot_prc_min = 2, cot_prc_max = 24, cot_prc_med = 18.33, cot_prc_mediana = 21 WHERE cot_id = 1241;</v>
      </c>
    </row>
    <row r="1243" spans="1:10" x14ac:dyDescent="0.3">
      <c r="A1243">
        <v>1242</v>
      </c>
      <c r="B1243">
        <f>IF('Boletins Nuppa Site'!A1243&lt;&gt;0,'Boletins Nuppa Site'!A1243,"NULL")</f>
        <v>69</v>
      </c>
      <c r="C1243">
        <v>10</v>
      </c>
      <c r="D1243" s="14">
        <f>IF('Boletins Nuppa Site'!G1243&lt;&gt;0,'Boletins Nuppa Site'!G1243,"NULL")</f>
        <v>60</v>
      </c>
      <c r="E1243" s="14">
        <f>IF('Boletins Nuppa Site'!H1243&lt;&gt;0,'Boletins Nuppa Site'!H1243,"NULL")</f>
        <v>15</v>
      </c>
      <c r="F1243" s="14">
        <f>IF('Boletins Nuppa Site'!I1243&lt;&gt;0,'Boletins Nuppa Site'!I1243,"NULL")</f>
        <v>60</v>
      </c>
      <c r="G1243" t="str">
        <f>IF('Boletins Nuppa Site'!J1243&lt;&gt;0,'Boletins Nuppa Site'!J1243,"NULL")</f>
        <v>41.4</v>
      </c>
      <c r="H1243" s="14">
        <f>IF('Boletins Nuppa Site'!K1243&lt;&gt;0,'Boletins Nuppa Site'!K1243,"NULL")</f>
        <v>48</v>
      </c>
      <c r="I1243" t="str">
        <f t="shared" si="38"/>
        <v>INSERT INTO COTACAO (cot_id, cot_blt_id, cot_pap_id, cot_prc_comum, cot_prc_min, cot_prc_max, cot_prc_med, cot_prc_mediana) VALUES (1242, 69, 10, 60, 15, 60, 41.4, 48);</v>
      </c>
      <c r="J1243" t="str">
        <f t="shared" si="39"/>
        <v>UPDATE COTACAO SET cot_id = 1242, cot_blt_id = 69, cot_pap_id = 10, cot_prc_comum = 60, cot_prc_min = 15, cot_prc_max = 60, cot_prc_med = 41.4, cot_prc_mediana = 48 WHERE cot_id = 1242;</v>
      </c>
    </row>
    <row r="1244" spans="1:10" x14ac:dyDescent="0.3">
      <c r="A1244">
        <v>1243</v>
      </c>
      <c r="B1244">
        <f>IF('Boletins Nuppa Site'!A1244&lt;&gt;0,'Boletins Nuppa Site'!A1244,"NULL")</f>
        <v>69</v>
      </c>
      <c r="C1244">
        <v>11</v>
      </c>
      <c r="D1244" s="14">
        <f>IF('Boletins Nuppa Site'!G1244&lt;&gt;0,'Boletins Nuppa Site'!G1244,"NULL")</f>
        <v>24</v>
      </c>
      <c r="E1244" s="14">
        <f>IF('Boletins Nuppa Site'!H1244&lt;&gt;0,'Boletins Nuppa Site'!H1244,"NULL")</f>
        <v>6</v>
      </c>
      <c r="F1244" s="14">
        <f>IF('Boletins Nuppa Site'!I1244&lt;&gt;0,'Boletins Nuppa Site'!I1244,"NULL")</f>
        <v>60</v>
      </c>
      <c r="G1244" s="14">
        <f>IF('Boletins Nuppa Site'!J1244&lt;&gt;0,'Boletins Nuppa Site'!J1244,"NULL")</f>
        <v>27</v>
      </c>
      <c r="H1244" s="14">
        <f>IF('Boletins Nuppa Site'!K1244&lt;&gt;0,'Boletins Nuppa Site'!K1244,"NULL")</f>
        <v>24</v>
      </c>
      <c r="I1244" t="str">
        <f t="shared" si="38"/>
        <v>INSERT INTO COTACAO (cot_id, cot_blt_id, cot_pap_id, cot_prc_comum, cot_prc_min, cot_prc_max, cot_prc_med, cot_prc_mediana) VALUES (1243, 69, 11, 24, 6, 60, 27, 24);</v>
      </c>
      <c r="J1244" t="str">
        <f t="shared" si="39"/>
        <v>UPDATE COTACAO SET cot_id = 1243, cot_blt_id = 69, cot_pap_id = 11, cot_prc_comum = 24, cot_prc_min = 6, cot_prc_max = 60, cot_prc_med = 27, cot_prc_mediana = 24 WHERE cot_id = 1243;</v>
      </c>
    </row>
    <row r="1245" spans="1:10" x14ac:dyDescent="0.3">
      <c r="A1245">
        <v>1244</v>
      </c>
      <c r="B1245">
        <f>IF('Boletins Nuppa Site'!A1245&lt;&gt;0,'Boletins Nuppa Site'!A1245,"NULL")</f>
        <v>69</v>
      </c>
      <c r="C1245">
        <v>12</v>
      </c>
      <c r="D1245" s="14">
        <f>IF('Boletins Nuppa Site'!G1245&lt;&gt;0,'Boletins Nuppa Site'!G1245,"NULL")</f>
        <v>48</v>
      </c>
      <c r="E1245" s="14">
        <f>IF('Boletins Nuppa Site'!H1245&lt;&gt;0,'Boletins Nuppa Site'!H1245,"NULL")</f>
        <v>5</v>
      </c>
      <c r="F1245" s="14">
        <f>IF('Boletins Nuppa Site'!I1245&lt;&gt;0,'Boletins Nuppa Site'!I1245,"NULL")</f>
        <v>60</v>
      </c>
      <c r="G1245" t="str">
        <f>IF('Boletins Nuppa Site'!J1245&lt;&gt;0,'Boletins Nuppa Site'!J1245,"NULL")</f>
        <v>44.2</v>
      </c>
      <c r="H1245" s="14">
        <f>IF('Boletins Nuppa Site'!K1245&lt;&gt;0,'Boletins Nuppa Site'!K1245,"NULL")</f>
        <v>48</v>
      </c>
      <c r="I1245" t="str">
        <f t="shared" si="38"/>
        <v>INSERT INTO COTACAO (cot_id, cot_blt_id, cot_pap_id, cot_prc_comum, cot_prc_min, cot_prc_max, cot_prc_med, cot_prc_mediana) VALUES (1244, 69, 12, 48, 5, 60, 44.2, 48);</v>
      </c>
      <c r="J1245" t="str">
        <f t="shared" si="39"/>
        <v>UPDATE COTACAO SET cot_id = 1244, cot_blt_id = 69, cot_pap_id = 12, cot_prc_comum = 48, cot_prc_min = 5, cot_prc_max = 60, cot_prc_med = 44.2, cot_prc_mediana = 48 WHERE cot_id = 1244;</v>
      </c>
    </row>
    <row r="1246" spans="1:10" x14ac:dyDescent="0.3">
      <c r="A1246">
        <v>1245</v>
      </c>
      <c r="B1246">
        <f>IF('Boletins Nuppa Site'!A1246&lt;&gt;0,'Boletins Nuppa Site'!A1246,"NULL")</f>
        <v>69</v>
      </c>
      <c r="C1246">
        <v>13</v>
      </c>
      <c r="D1246" s="14">
        <f>IF('Boletins Nuppa Site'!G1246&lt;&gt;0,'Boletins Nuppa Site'!G1246,"NULL")</f>
        <v>48</v>
      </c>
      <c r="E1246" s="14">
        <f>IF('Boletins Nuppa Site'!H1246&lt;&gt;0,'Boletins Nuppa Site'!H1246,"NULL")</f>
        <v>7</v>
      </c>
      <c r="F1246" s="14">
        <f>IF('Boletins Nuppa Site'!I1246&lt;&gt;0,'Boletins Nuppa Site'!I1246,"NULL")</f>
        <v>60</v>
      </c>
      <c r="G1246" t="str">
        <f>IF('Boletins Nuppa Site'!J1246&lt;&gt;0,'Boletins Nuppa Site'!J1246,"NULL")</f>
        <v>42.2</v>
      </c>
      <c r="H1246" s="14">
        <f>IF('Boletins Nuppa Site'!K1246&lt;&gt;0,'Boletins Nuppa Site'!K1246,"NULL")</f>
        <v>48</v>
      </c>
      <c r="I1246" t="str">
        <f t="shared" si="38"/>
        <v>INSERT INTO COTACAO (cot_id, cot_blt_id, cot_pap_id, cot_prc_comum, cot_prc_min, cot_prc_max, cot_prc_med, cot_prc_mediana) VALUES (1245, 69, 13, 48, 7, 60, 42.2, 48);</v>
      </c>
      <c r="J1246" t="str">
        <f t="shared" si="39"/>
        <v>UPDATE COTACAO SET cot_id = 1245, cot_blt_id = 69, cot_pap_id = 13, cot_prc_comum = 48, cot_prc_min = 7, cot_prc_max = 60, cot_prc_med = 42.2, cot_prc_mediana = 48 WHERE cot_id = 1245;</v>
      </c>
    </row>
    <row r="1247" spans="1:10" x14ac:dyDescent="0.3">
      <c r="A1247">
        <v>1246</v>
      </c>
      <c r="B1247">
        <f>IF('Boletins Nuppa Site'!A1247&lt;&gt;0,'Boletins Nuppa Site'!A1247,"NULL")</f>
        <v>69</v>
      </c>
      <c r="C1247">
        <v>14</v>
      </c>
      <c r="D1247" s="14">
        <f>IF('Boletins Nuppa Site'!G1247&lt;&gt;0,'Boletins Nuppa Site'!G1247,"NULL")</f>
        <v>48</v>
      </c>
      <c r="E1247" s="14">
        <f>IF('Boletins Nuppa Site'!H1247&lt;&gt;0,'Boletins Nuppa Site'!H1247,"NULL")</f>
        <v>20</v>
      </c>
      <c r="F1247" s="14">
        <f>IF('Boletins Nuppa Site'!I1247&lt;&gt;0,'Boletins Nuppa Site'!I1247,"NULL")</f>
        <v>60</v>
      </c>
      <c r="G1247" t="str">
        <f>IF('Boletins Nuppa Site'!J1247&lt;&gt;0,'Boletins Nuppa Site'!J1247,"NULL")</f>
        <v>42.4</v>
      </c>
      <c r="H1247" s="14">
        <f>IF('Boletins Nuppa Site'!K1247&lt;&gt;0,'Boletins Nuppa Site'!K1247,"NULL")</f>
        <v>48</v>
      </c>
      <c r="I1247" t="str">
        <f t="shared" si="38"/>
        <v>INSERT INTO COTACAO (cot_id, cot_blt_id, cot_pap_id, cot_prc_comum, cot_prc_min, cot_prc_max, cot_prc_med, cot_prc_mediana) VALUES (1246, 69, 14, 48, 20, 60, 42.4, 48);</v>
      </c>
      <c r="J1247" t="str">
        <f t="shared" si="39"/>
        <v>UPDATE COTACAO SET cot_id = 1246, cot_blt_id = 69, cot_pap_id = 14, cot_prc_comum = 48, cot_prc_min = 20, cot_prc_max = 60, cot_prc_med = 42.4, cot_prc_mediana = 48 WHERE cot_id = 1246;</v>
      </c>
    </row>
    <row r="1248" spans="1:10" x14ac:dyDescent="0.3">
      <c r="A1248">
        <v>1247</v>
      </c>
      <c r="B1248">
        <f>IF('Boletins Nuppa Site'!A1248&lt;&gt;0,'Boletins Nuppa Site'!A1248,"NULL")</f>
        <v>69</v>
      </c>
      <c r="C1248">
        <v>15</v>
      </c>
      <c r="D1248" s="14">
        <f>IF('Boletins Nuppa Site'!G1248&lt;&gt;0,'Boletins Nuppa Site'!G1248,"NULL")</f>
        <v>36</v>
      </c>
      <c r="E1248" s="14">
        <f>IF('Boletins Nuppa Site'!H1248&lt;&gt;0,'Boletins Nuppa Site'!H1248,"NULL")</f>
        <v>4</v>
      </c>
      <c r="F1248" s="14">
        <f>IF('Boletins Nuppa Site'!I1248&lt;&gt;0,'Boletins Nuppa Site'!I1248,"NULL")</f>
        <v>50</v>
      </c>
      <c r="G1248" s="14">
        <f>IF('Boletins Nuppa Site'!J1248&lt;&gt;0,'Boletins Nuppa Site'!J1248,"NULL")</f>
        <v>33</v>
      </c>
      <c r="H1248" s="14">
        <f>IF('Boletins Nuppa Site'!K1248&lt;&gt;0,'Boletins Nuppa Site'!K1248,"NULL")</f>
        <v>36</v>
      </c>
      <c r="I1248" t="str">
        <f t="shared" si="38"/>
        <v>INSERT INTO COTACAO (cot_id, cot_blt_id, cot_pap_id, cot_prc_comum, cot_prc_min, cot_prc_max, cot_prc_med, cot_prc_mediana) VALUES (1247, 69, 15, 36, 4, 50, 33, 36);</v>
      </c>
      <c r="J1248" t="str">
        <f t="shared" si="39"/>
        <v>UPDATE COTACAO SET cot_id = 1247, cot_blt_id = 69, cot_pap_id = 15, cot_prc_comum = 36, cot_prc_min = 4, cot_prc_max = 50, cot_prc_med = 33, cot_prc_mediana = 36 WHERE cot_id = 1247;</v>
      </c>
    </row>
    <row r="1249" spans="1:10" x14ac:dyDescent="0.3">
      <c r="A1249">
        <v>1248</v>
      </c>
      <c r="B1249">
        <f>IF('Boletins Nuppa Site'!A1249&lt;&gt;0,'Boletins Nuppa Site'!A1249,"NULL")</f>
        <v>69</v>
      </c>
      <c r="C1249">
        <v>16</v>
      </c>
      <c r="D1249" s="14">
        <f>IF('Boletins Nuppa Site'!G1249&lt;&gt;0,'Boletins Nuppa Site'!G1249,"NULL")</f>
        <v>48</v>
      </c>
      <c r="E1249" t="str">
        <f>IF('Boletins Nuppa Site'!H1249&lt;&gt;0,'Boletins Nuppa Site'!H1249,"NULL")</f>
        <v>4.5</v>
      </c>
      <c r="F1249" s="14">
        <f>IF('Boletins Nuppa Site'!I1249&lt;&gt;0,'Boletins Nuppa Site'!I1249,"NULL")</f>
        <v>60</v>
      </c>
      <c r="G1249" t="str">
        <f>IF('Boletins Nuppa Site'!J1249&lt;&gt;0,'Boletins Nuppa Site'!J1249,"NULL")</f>
        <v>42.75</v>
      </c>
      <c r="H1249" s="14">
        <f>IF('Boletins Nuppa Site'!K1249&lt;&gt;0,'Boletins Nuppa Site'!K1249,"NULL")</f>
        <v>48</v>
      </c>
      <c r="I1249" t="str">
        <f t="shared" si="38"/>
        <v>INSERT INTO COTACAO (cot_id, cot_blt_id, cot_pap_id, cot_prc_comum, cot_prc_min, cot_prc_max, cot_prc_med, cot_prc_mediana) VALUES (1248, 69, 16, 48, 4.5, 60, 42.75, 48);</v>
      </c>
      <c r="J1249" t="str">
        <f t="shared" si="39"/>
        <v>UPDATE COTACAO SET cot_id = 1248, cot_blt_id = 69, cot_pap_id = 16, cot_prc_comum = 48, cot_prc_min = 4.5, cot_prc_max = 60, cot_prc_med = 42.75, cot_prc_mediana = 48 WHERE cot_id = 1248;</v>
      </c>
    </row>
    <row r="1250" spans="1:10" x14ac:dyDescent="0.3">
      <c r="A1250">
        <v>1249</v>
      </c>
      <c r="B1250">
        <f>IF('Boletins Nuppa Site'!A1250&lt;&gt;0,'Boletins Nuppa Site'!A1250,"NULL")</f>
        <v>69</v>
      </c>
      <c r="C1250">
        <v>17</v>
      </c>
      <c r="D1250" s="14">
        <f>IF('Boletins Nuppa Site'!G1250&lt;&gt;0,'Boletins Nuppa Site'!G1250,"NULL")</f>
        <v>5</v>
      </c>
      <c r="E1250" s="14">
        <f>IF('Boletins Nuppa Site'!H1250&lt;&gt;0,'Boletins Nuppa Site'!H1250,"NULL")</f>
        <v>4</v>
      </c>
      <c r="F1250" s="14">
        <f>IF('Boletins Nuppa Site'!I1250&lt;&gt;0,'Boletins Nuppa Site'!I1250,"NULL")</f>
        <v>5</v>
      </c>
      <c r="G1250" t="str">
        <f>IF('Boletins Nuppa Site'!J1250&lt;&gt;0,'Boletins Nuppa Site'!J1250,"NULL")</f>
        <v>4.8</v>
      </c>
      <c r="H1250" s="14">
        <f>IF('Boletins Nuppa Site'!K1250&lt;&gt;0,'Boletins Nuppa Site'!K1250,"NULL")</f>
        <v>5</v>
      </c>
      <c r="I1250" t="str">
        <f t="shared" si="38"/>
        <v>INSERT INTO COTACAO (cot_id, cot_blt_id, cot_pap_id, cot_prc_comum, cot_prc_min, cot_prc_max, cot_prc_med, cot_prc_mediana) VALUES (1249, 69, 17, 5, 4, 5, 4.8, 5);</v>
      </c>
      <c r="J1250" t="str">
        <f t="shared" si="39"/>
        <v>UPDATE COTACAO SET cot_id = 1249, cot_blt_id = 69, cot_pap_id = 17, cot_prc_comum = 5, cot_prc_min = 4, cot_prc_max = 5, cot_prc_med = 4.8, cot_prc_mediana = 5 WHERE cot_id = 1249;</v>
      </c>
    </row>
    <row r="1251" spans="1:10" x14ac:dyDescent="0.3">
      <c r="A1251">
        <v>1250</v>
      </c>
      <c r="B1251">
        <f>IF('Boletins Nuppa Site'!A1251&lt;&gt;0,'Boletins Nuppa Site'!A1251,"NULL")</f>
        <v>69</v>
      </c>
      <c r="C1251">
        <v>18</v>
      </c>
      <c r="D1251" s="14">
        <f>IF('Boletins Nuppa Site'!G1251&lt;&gt;0,'Boletins Nuppa Site'!G1251,"NULL")</f>
        <v>10</v>
      </c>
      <c r="E1251" s="14">
        <f>IF('Boletins Nuppa Site'!H1251&lt;&gt;0,'Boletins Nuppa Site'!H1251,"NULL")</f>
        <v>8</v>
      </c>
      <c r="F1251" s="14">
        <f>IF('Boletins Nuppa Site'!I1251&lt;&gt;0,'Boletins Nuppa Site'!I1251,"NULL")</f>
        <v>12</v>
      </c>
      <c r="G1251" s="14">
        <f>IF('Boletins Nuppa Site'!J1251&lt;&gt;0,'Boletins Nuppa Site'!J1251,"NULL")</f>
        <v>10</v>
      </c>
      <c r="H1251" s="14">
        <f>IF('Boletins Nuppa Site'!K1251&lt;&gt;0,'Boletins Nuppa Site'!K1251,"NULL")</f>
        <v>10</v>
      </c>
      <c r="I1251" t="str">
        <f t="shared" si="38"/>
        <v>INSERT INTO COTACAO (cot_id, cot_blt_id, cot_pap_id, cot_prc_comum, cot_prc_min, cot_prc_max, cot_prc_med, cot_prc_mediana) VALUES (1250, 69, 18, 10, 8, 12, 10, 10);</v>
      </c>
      <c r="J1251" t="str">
        <f t="shared" si="39"/>
        <v>UPDATE COTACAO SET cot_id = 1250, cot_blt_id = 69, cot_pap_id = 18, cot_prc_comum = 10, cot_prc_min = 8, cot_prc_max = 12, cot_prc_med = 10, cot_prc_mediana = 10 WHERE cot_id = 1250;</v>
      </c>
    </row>
    <row r="1252" spans="1:10" x14ac:dyDescent="0.3">
      <c r="A1252">
        <v>1251</v>
      </c>
      <c r="B1252">
        <f>IF('Boletins Nuppa Site'!A1252&lt;&gt;0,'Boletins Nuppa Site'!A1252,"NULL")</f>
        <v>69</v>
      </c>
      <c r="C1252">
        <v>19</v>
      </c>
      <c r="D1252" s="14">
        <f>IF('Boletins Nuppa Site'!G1252&lt;&gt;0,'Boletins Nuppa Site'!G1252,"NULL")</f>
        <v>30</v>
      </c>
      <c r="E1252" s="14">
        <f>IF('Boletins Nuppa Site'!H1252&lt;&gt;0,'Boletins Nuppa Site'!H1252,"NULL")</f>
        <v>10</v>
      </c>
      <c r="F1252" s="14">
        <f>IF('Boletins Nuppa Site'!I1252&lt;&gt;0,'Boletins Nuppa Site'!I1252,"NULL")</f>
        <v>30</v>
      </c>
      <c r="G1252" s="14">
        <f>IF('Boletins Nuppa Site'!J1252&lt;&gt;0,'Boletins Nuppa Site'!J1252,"NULL")</f>
        <v>21</v>
      </c>
      <c r="H1252" s="14">
        <f>IF('Boletins Nuppa Site'!K1252&lt;&gt;0,'Boletins Nuppa Site'!K1252,"NULL")</f>
        <v>20</v>
      </c>
      <c r="I1252" t="str">
        <f t="shared" si="38"/>
        <v>INSERT INTO COTACAO (cot_id, cot_blt_id, cot_pap_id, cot_prc_comum, cot_prc_min, cot_prc_max, cot_prc_med, cot_prc_mediana) VALUES (1251, 69, 19, 30, 10, 30, 21, 20);</v>
      </c>
      <c r="J1252" t="str">
        <f t="shared" si="39"/>
        <v>UPDATE COTACAO SET cot_id = 1251, cot_blt_id = 69, cot_pap_id = 19, cot_prc_comum = 30, cot_prc_min = 10, cot_prc_max = 30, cot_prc_med = 21, cot_prc_mediana = 20 WHERE cot_id = 1251;</v>
      </c>
    </row>
    <row r="1253" spans="1:10" x14ac:dyDescent="0.3">
      <c r="A1253">
        <v>1252</v>
      </c>
      <c r="B1253">
        <f>IF('Boletins Nuppa Site'!A1253&lt;&gt;0,'Boletins Nuppa Site'!A1253,"NULL")</f>
        <v>69</v>
      </c>
      <c r="C1253">
        <v>20</v>
      </c>
      <c r="D1253" s="14">
        <f>IF('Boletins Nuppa Site'!G1253&lt;&gt;0,'Boletins Nuppa Site'!G1253,"NULL")</f>
        <v>70</v>
      </c>
      <c r="E1253" s="14">
        <f>IF('Boletins Nuppa Site'!H1253&lt;&gt;0,'Boletins Nuppa Site'!H1253,"NULL")</f>
        <v>65</v>
      </c>
      <c r="F1253" s="14">
        <f>IF('Boletins Nuppa Site'!I1253&lt;&gt;0,'Boletins Nuppa Site'!I1253,"NULL")</f>
        <v>70</v>
      </c>
      <c r="G1253" t="str">
        <f>IF('Boletins Nuppa Site'!J1253&lt;&gt;0,'Boletins Nuppa Site'!J1253,"NULL")</f>
        <v>68.33</v>
      </c>
      <c r="H1253" s="14">
        <f>IF('Boletins Nuppa Site'!K1253&lt;&gt;0,'Boletins Nuppa Site'!K1253,"NULL")</f>
        <v>70</v>
      </c>
      <c r="I1253" t="str">
        <f t="shared" si="38"/>
        <v>INSERT INTO COTACAO (cot_id, cot_blt_id, cot_pap_id, cot_prc_comum, cot_prc_min, cot_prc_max, cot_prc_med, cot_prc_mediana) VALUES (1252, 69, 20, 70, 65, 70, 68.33, 70);</v>
      </c>
      <c r="J1253" t="str">
        <f t="shared" si="39"/>
        <v>UPDATE COTACAO SET cot_id = 1252, cot_blt_id = 69, cot_pap_id = 20, cot_prc_comum = 70, cot_prc_min = 65, cot_prc_max = 70, cot_prc_med = 68.33, cot_prc_mediana = 70 WHERE cot_id = 1252;</v>
      </c>
    </row>
    <row r="1254" spans="1:10" x14ac:dyDescent="0.3">
      <c r="A1254">
        <v>1253</v>
      </c>
      <c r="B1254">
        <f>IF('Boletins Nuppa Site'!A1254&lt;&gt;0,'Boletins Nuppa Site'!A1254,"NULL")</f>
        <v>69</v>
      </c>
      <c r="C1254">
        <v>21</v>
      </c>
      <c r="D1254" s="14">
        <f>IF('Boletins Nuppa Site'!G1254&lt;&gt;0,'Boletins Nuppa Site'!G1254,"NULL")</f>
        <v>50</v>
      </c>
      <c r="E1254" s="14">
        <f>IF('Boletins Nuppa Site'!H1254&lt;&gt;0,'Boletins Nuppa Site'!H1254,"NULL")</f>
        <v>25</v>
      </c>
      <c r="F1254" s="14">
        <f>IF('Boletins Nuppa Site'!I1254&lt;&gt;0,'Boletins Nuppa Site'!I1254,"NULL")</f>
        <v>50</v>
      </c>
      <c r="G1254" s="14">
        <f>IF('Boletins Nuppa Site'!J1254&lt;&gt;0,'Boletins Nuppa Site'!J1254,"NULL")</f>
        <v>40</v>
      </c>
      <c r="H1254" s="14">
        <f>IF('Boletins Nuppa Site'!K1254&lt;&gt;0,'Boletins Nuppa Site'!K1254,"NULL")</f>
        <v>40</v>
      </c>
      <c r="I1254" t="str">
        <f t="shared" si="38"/>
        <v>INSERT INTO COTACAO (cot_id, cot_blt_id, cot_pap_id, cot_prc_comum, cot_prc_min, cot_prc_max, cot_prc_med, cot_prc_mediana) VALUES (1253, 69, 21, 50, 25, 50, 40, 40);</v>
      </c>
      <c r="J1254" t="str">
        <f t="shared" si="39"/>
        <v>UPDATE COTACAO SET cot_id = 1253, cot_blt_id = 69, cot_pap_id = 21, cot_prc_comum = 50, cot_prc_min = 25, cot_prc_max = 50, cot_prc_med = 40, cot_prc_mediana = 40 WHERE cot_id = 1253;</v>
      </c>
    </row>
    <row r="1255" spans="1:10" x14ac:dyDescent="0.3">
      <c r="A1255">
        <v>1254</v>
      </c>
      <c r="B1255">
        <f>IF('Boletins Nuppa Site'!A1255&lt;&gt;0,'Boletins Nuppa Site'!A1255,"NULL")</f>
        <v>69</v>
      </c>
      <c r="C1255">
        <v>22</v>
      </c>
      <c r="D1255" s="14">
        <f>IF('Boletins Nuppa Site'!G1255&lt;&gt;0,'Boletins Nuppa Site'!G1255,"NULL")</f>
        <v>80</v>
      </c>
      <c r="E1255" s="14">
        <f>IF('Boletins Nuppa Site'!H1255&lt;&gt;0,'Boletins Nuppa Site'!H1255,"NULL")</f>
        <v>45</v>
      </c>
      <c r="F1255" s="14">
        <f>IF('Boletins Nuppa Site'!I1255&lt;&gt;0,'Boletins Nuppa Site'!I1255,"NULL")</f>
        <v>80</v>
      </c>
      <c r="G1255" s="14">
        <f>IF('Boletins Nuppa Site'!J1255&lt;&gt;0,'Boletins Nuppa Site'!J1255,"NULL")</f>
        <v>68</v>
      </c>
      <c r="H1255" s="14">
        <f>IF('Boletins Nuppa Site'!K1255&lt;&gt;0,'Boletins Nuppa Site'!K1255,"NULL")</f>
        <v>70</v>
      </c>
      <c r="I1255" t="str">
        <f t="shared" si="38"/>
        <v>INSERT INTO COTACAO (cot_id, cot_blt_id, cot_pap_id, cot_prc_comum, cot_prc_min, cot_prc_max, cot_prc_med, cot_prc_mediana) VALUES (1254, 69, 22, 80, 45, 80, 68, 70);</v>
      </c>
      <c r="J1255" t="str">
        <f t="shared" si="39"/>
        <v>UPDATE COTACAO SET cot_id = 1254, cot_blt_id = 69, cot_pap_id = 22, cot_prc_comum = 80, cot_prc_min = 45, cot_prc_max = 80, cot_prc_med = 68, cot_prc_mediana = 70 WHERE cot_id = 1254;</v>
      </c>
    </row>
    <row r="1256" spans="1:10" x14ac:dyDescent="0.3">
      <c r="A1256">
        <v>1255</v>
      </c>
      <c r="B1256">
        <f>IF('Boletins Nuppa Site'!A1256&lt;&gt;0,'Boletins Nuppa Site'!A1256,"NULL")</f>
        <v>69</v>
      </c>
      <c r="C1256">
        <v>23</v>
      </c>
      <c r="D1256" s="14">
        <f>IF('Boletins Nuppa Site'!G1256&lt;&gt;0,'Boletins Nuppa Site'!G1256,"NULL")</f>
        <v>50</v>
      </c>
      <c r="E1256" s="14">
        <f>IF('Boletins Nuppa Site'!H1256&lt;&gt;0,'Boletins Nuppa Site'!H1256,"NULL")</f>
        <v>45</v>
      </c>
      <c r="F1256" s="14">
        <f>IF('Boletins Nuppa Site'!I1256&lt;&gt;0,'Boletins Nuppa Site'!I1256,"NULL")</f>
        <v>60</v>
      </c>
      <c r="G1256" s="14">
        <f>IF('Boletins Nuppa Site'!J1256&lt;&gt;0,'Boletins Nuppa Site'!J1256,"NULL")</f>
        <v>51</v>
      </c>
      <c r="H1256" s="14">
        <f>IF('Boletins Nuppa Site'!K1256&lt;&gt;0,'Boletins Nuppa Site'!K1256,"NULL")</f>
        <v>50</v>
      </c>
      <c r="I1256" t="str">
        <f t="shared" si="38"/>
        <v>INSERT INTO COTACAO (cot_id, cot_blt_id, cot_pap_id, cot_prc_comum, cot_prc_min, cot_prc_max, cot_prc_med, cot_prc_mediana) VALUES (1255, 69, 23, 50, 45, 60, 51, 50);</v>
      </c>
      <c r="J1256" t="str">
        <f t="shared" si="39"/>
        <v>UPDATE COTACAO SET cot_id = 1255, cot_blt_id = 69, cot_pap_id = 23, cot_prc_comum = 50, cot_prc_min = 45, cot_prc_max = 60, cot_prc_med = 51, cot_prc_mediana = 50 WHERE cot_id = 1255;</v>
      </c>
    </row>
    <row r="1257" spans="1:10" x14ac:dyDescent="0.3">
      <c r="A1257">
        <v>1256</v>
      </c>
      <c r="B1257">
        <f>IF('Boletins Nuppa Site'!A1257&lt;&gt;0,'Boletins Nuppa Site'!A1257,"NULL")</f>
        <v>69</v>
      </c>
      <c r="C1257">
        <v>24</v>
      </c>
      <c r="D1257" s="14">
        <f>IF('Boletins Nuppa Site'!G1257&lt;&gt;0,'Boletins Nuppa Site'!G1257,"NULL")</f>
        <v>90</v>
      </c>
      <c r="E1257" s="14">
        <f>IF('Boletins Nuppa Site'!H1257&lt;&gt;0,'Boletins Nuppa Site'!H1257,"NULL")</f>
        <v>90</v>
      </c>
      <c r="F1257" s="14">
        <f>IF('Boletins Nuppa Site'!I1257&lt;&gt;0,'Boletins Nuppa Site'!I1257,"NULL")</f>
        <v>100</v>
      </c>
      <c r="G1257" t="str">
        <f>IF('Boletins Nuppa Site'!J1257&lt;&gt;0,'Boletins Nuppa Site'!J1257,"NULL")</f>
        <v>93.33</v>
      </c>
      <c r="H1257" s="14">
        <f>IF('Boletins Nuppa Site'!K1257&lt;&gt;0,'Boletins Nuppa Site'!K1257,"NULL")</f>
        <v>90</v>
      </c>
      <c r="I1257" t="str">
        <f t="shared" si="38"/>
        <v>INSERT INTO COTACAO (cot_id, cot_blt_id, cot_pap_id, cot_prc_comum, cot_prc_min, cot_prc_max, cot_prc_med, cot_prc_mediana) VALUES (1256, 69, 24, 90, 90, 100, 93.33, 90);</v>
      </c>
      <c r="J1257" t="str">
        <f t="shared" si="39"/>
        <v>UPDATE COTACAO SET cot_id = 1256, cot_blt_id = 69, cot_pap_id = 24, cot_prc_comum = 90, cot_prc_min = 90, cot_prc_max = 100, cot_prc_med = 93.33, cot_prc_mediana = 90 WHERE cot_id = 1256;</v>
      </c>
    </row>
    <row r="1258" spans="1:10" x14ac:dyDescent="0.3">
      <c r="A1258">
        <v>1257</v>
      </c>
      <c r="B1258">
        <f>IF('Boletins Nuppa Site'!A1258&lt;&gt;0,'Boletins Nuppa Site'!A1258,"NULL")</f>
        <v>69</v>
      </c>
      <c r="C1258">
        <v>25</v>
      </c>
      <c r="D1258" s="14">
        <f>IF('Boletins Nuppa Site'!G1258&lt;&gt;0,'Boletins Nuppa Site'!G1258,"NULL")</f>
        <v>60</v>
      </c>
      <c r="E1258" s="14">
        <f>IF('Boletins Nuppa Site'!H1258&lt;&gt;0,'Boletins Nuppa Site'!H1258,"NULL")</f>
        <v>60</v>
      </c>
      <c r="F1258" s="14">
        <f>IF('Boletins Nuppa Site'!I1258&lt;&gt;0,'Boletins Nuppa Site'!I1258,"NULL")</f>
        <v>80</v>
      </c>
      <c r="G1258" s="14">
        <f>IF('Boletins Nuppa Site'!J1258&lt;&gt;0,'Boletins Nuppa Site'!J1258,"NULL")</f>
        <v>68</v>
      </c>
      <c r="H1258" s="14">
        <f>IF('Boletins Nuppa Site'!K1258&lt;&gt;0,'Boletins Nuppa Site'!K1258,"NULL")</f>
        <v>70</v>
      </c>
      <c r="I1258" t="str">
        <f t="shared" si="38"/>
        <v>INSERT INTO COTACAO (cot_id, cot_blt_id, cot_pap_id, cot_prc_comum, cot_prc_min, cot_prc_max, cot_prc_med, cot_prc_mediana) VALUES (1257, 69, 25, 60, 60, 80, 68, 70);</v>
      </c>
      <c r="J1258" t="str">
        <f t="shared" si="39"/>
        <v>UPDATE COTACAO SET cot_id = 1257, cot_blt_id = 69, cot_pap_id = 25, cot_prc_comum = 60, cot_prc_min = 60, cot_prc_max = 80, cot_prc_med = 68, cot_prc_mediana = 70 WHERE cot_id = 1257;</v>
      </c>
    </row>
    <row r="1259" spans="1:10" x14ac:dyDescent="0.3">
      <c r="A1259">
        <v>1258</v>
      </c>
      <c r="B1259">
        <f>IF('Boletins Nuppa Site'!A1259&lt;&gt;0,'Boletins Nuppa Site'!A1259,"NULL")</f>
        <v>69</v>
      </c>
      <c r="C1259">
        <v>26</v>
      </c>
      <c r="D1259" s="14">
        <f>IF('Boletins Nuppa Site'!G1259&lt;&gt;0,'Boletins Nuppa Site'!G1259,"NULL")</f>
        <v>55</v>
      </c>
      <c r="E1259" s="14">
        <f>IF('Boletins Nuppa Site'!H1259&lt;&gt;0,'Boletins Nuppa Site'!H1259,"NULL")</f>
        <v>40</v>
      </c>
      <c r="F1259" s="14">
        <f>IF('Boletins Nuppa Site'!I1259&lt;&gt;0,'Boletins Nuppa Site'!I1259,"NULL")</f>
        <v>55</v>
      </c>
      <c r="G1259" s="14">
        <f>IF('Boletins Nuppa Site'!J1259&lt;&gt;0,'Boletins Nuppa Site'!J1259,"NULL")</f>
        <v>48</v>
      </c>
      <c r="H1259" s="14">
        <f>IF('Boletins Nuppa Site'!K1259&lt;&gt;0,'Boletins Nuppa Site'!K1259,"NULL")</f>
        <v>50</v>
      </c>
      <c r="I1259" t="str">
        <f t="shared" si="38"/>
        <v>INSERT INTO COTACAO (cot_id, cot_blt_id, cot_pap_id, cot_prc_comum, cot_prc_min, cot_prc_max, cot_prc_med, cot_prc_mediana) VALUES (1258, 69, 26, 55, 40, 55, 48, 50);</v>
      </c>
      <c r="J1259" t="str">
        <f t="shared" si="39"/>
        <v>UPDATE COTACAO SET cot_id = 1258, cot_blt_id = 69, cot_pap_id = 26, cot_prc_comum = 55, cot_prc_min = 40, cot_prc_max = 55, cot_prc_med = 48, cot_prc_mediana = 50 WHERE cot_id = 1258;</v>
      </c>
    </row>
    <row r="1260" spans="1:10" x14ac:dyDescent="0.3">
      <c r="A1260">
        <v>1259</v>
      </c>
      <c r="B1260">
        <f>IF('Boletins Nuppa Site'!A1260&lt;&gt;0,'Boletins Nuppa Site'!A1260,"NULL")</f>
        <v>69</v>
      </c>
      <c r="C1260">
        <v>27</v>
      </c>
      <c r="D1260" s="14">
        <f>IF('Boletins Nuppa Site'!G1260&lt;&gt;0,'Boletins Nuppa Site'!G1260,"NULL")</f>
        <v>50</v>
      </c>
      <c r="E1260" s="14">
        <f>IF('Boletins Nuppa Site'!H1260&lt;&gt;0,'Boletins Nuppa Site'!H1260,"NULL")</f>
        <v>50</v>
      </c>
      <c r="F1260" s="14">
        <f>IF('Boletins Nuppa Site'!I1260&lt;&gt;0,'Boletins Nuppa Site'!I1260,"NULL")</f>
        <v>80</v>
      </c>
      <c r="G1260" s="14">
        <f>IF('Boletins Nuppa Site'!J1260&lt;&gt;0,'Boletins Nuppa Site'!J1260,"NULL")</f>
        <v>57</v>
      </c>
      <c r="H1260" s="14">
        <f>IF('Boletins Nuppa Site'!K1260&lt;&gt;0,'Boletins Nuppa Site'!K1260,"NULL")</f>
        <v>50</v>
      </c>
      <c r="I1260" t="str">
        <f t="shared" si="38"/>
        <v>INSERT INTO COTACAO (cot_id, cot_blt_id, cot_pap_id, cot_prc_comum, cot_prc_min, cot_prc_max, cot_prc_med, cot_prc_mediana) VALUES (1259, 69, 27, 50, 50, 80, 57, 50);</v>
      </c>
      <c r="J1260" t="str">
        <f t="shared" si="39"/>
        <v>UPDATE COTACAO SET cot_id = 1259, cot_blt_id = 69, cot_pap_id = 27, cot_prc_comum = 50, cot_prc_min = 50, cot_prc_max = 80, cot_prc_med = 57, cot_prc_mediana = 50 WHERE cot_id = 1259;</v>
      </c>
    </row>
    <row r="1261" spans="1:10" x14ac:dyDescent="0.3">
      <c r="A1261">
        <v>1260</v>
      </c>
      <c r="B1261">
        <f>IF('Boletins Nuppa Site'!A1261&lt;&gt;0,'Boletins Nuppa Site'!A1261,"NULL")</f>
        <v>69</v>
      </c>
      <c r="C1261">
        <v>28</v>
      </c>
      <c r="D1261" s="14">
        <f>IF('Boletins Nuppa Site'!G1261&lt;&gt;0,'Boletins Nuppa Site'!G1261,"NULL")</f>
        <v>90</v>
      </c>
      <c r="E1261" s="14">
        <f>IF('Boletins Nuppa Site'!H1261&lt;&gt;0,'Boletins Nuppa Site'!H1261,"NULL")</f>
        <v>70</v>
      </c>
      <c r="F1261" s="14">
        <f>IF('Boletins Nuppa Site'!I1261&lt;&gt;0,'Boletins Nuppa Site'!I1261,"NULL")</f>
        <v>100</v>
      </c>
      <c r="G1261" t="str">
        <f>IF('Boletins Nuppa Site'!J1261&lt;&gt;0,'Boletins Nuppa Site'!J1261,"NULL")</f>
        <v>87.5</v>
      </c>
      <c r="H1261" s="14">
        <f>IF('Boletins Nuppa Site'!K1261&lt;&gt;0,'Boletins Nuppa Site'!K1261,"NULL")</f>
        <v>90</v>
      </c>
      <c r="I1261" t="str">
        <f t="shared" si="38"/>
        <v>INSERT INTO COTACAO (cot_id, cot_blt_id, cot_pap_id, cot_prc_comum, cot_prc_min, cot_prc_max, cot_prc_med, cot_prc_mediana) VALUES (1260, 69, 28, 90, 70, 100, 87.5, 90);</v>
      </c>
      <c r="J1261" t="str">
        <f t="shared" si="39"/>
        <v>UPDATE COTACAO SET cot_id = 1260, cot_blt_id = 69, cot_pap_id = 28, cot_prc_comum = 90, cot_prc_min = 70, cot_prc_max = 100, cot_prc_med = 87.5, cot_prc_mediana = 90 WHERE cot_id = 1260;</v>
      </c>
    </row>
    <row r="1262" spans="1:10" x14ac:dyDescent="0.3">
      <c r="A1262">
        <v>1261</v>
      </c>
      <c r="B1262">
        <f>IF('Boletins Nuppa Site'!A1262&lt;&gt;0,'Boletins Nuppa Site'!A1262,"NULL")</f>
        <v>69</v>
      </c>
      <c r="C1262">
        <v>29</v>
      </c>
      <c r="D1262" t="str">
        <f>IF('Boletins Nuppa Site'!G1262&lt;&gt;0,'Boletins Nuppa Site'!G1262,"NULL")</f>
        <v>NULL</v>
      </c>
      <c r="E1262" s="14">
        <f>IF('Boletins Nuppa Site'!H1262&lt;&gt;0,'Boletins Nuppa Site'!H1262,"NULL")</f>
        <v>35</v>
      </c>
      <c r="F1262" s="14">
        <f>IF('Boletins Nuppa Site'!I1262&lt;&gt;0,'Boletins Nuppa Site'!I1262,"NULL")</f>
        <v>50</v>
      </c>
      <c r="G1262" t="str">
        <f>IF('Boletins Nuppa Site'!J1262&lt;&gt;0,'Boletins Nuppa Site'!J1262,"NULL")</f>
        <v>41.67</v>
      </c>
      <c r="H1262" s="14">
        <f>IF('Boletins Nuppa Site'!K1262&lt;&gt;0,'Boletins Nuppa Site'!K1262,"NULL")</f>
        <v>40</v>
      </c>
      <c r="I1262" t="str">
        <f t="shared" si="38"/>
        <v>INSERT INTO COTACAO (cot_id, cot_blt_id, cot_pap_id, cot_prc_comum, cot_prc_min, cot_prc_max, cot_prc_med, cot_prc_mediana) VALUES (1261, 69, 29, NULL, 35, 50, 41.67, 40);</v>
      </c>
      <c r="J1262" t="str">
        <f t="shared" si="39"/>
        <v>UPDATE COTACAO SET cot_id = 1261, cot_blt_id = 69, cot_pap_id = 29, cot_prc_comum = NULL, cot_prc_min = 35, cot_prc_max = 50, cot_prc_med = 41.67, cot_prc_mediana = 40 WHERE cot_id = 1261;</v>
      </c>
    </row>
    <row r="1263" spans="1:10" x14ac:dyDescent="0.3">
      <c r="A1263">
        <v>1262</v>
      </c>
      <c r="B1263">
        <f>IF('Boletins Nuppa Site'!A1263&lt;&gt;0,'Boletins Nuppa Site'!A1263,"NULL")</f>
        <v>69</v>
      </c>
      <c r="C1263">
        <v>30</v>
      </c>
      <c r="D1263" t="str">
        <f>IF('Boletins Nuppa Site'!G1263&lt;&gt;0,'Boletins Nuppa Site'!G1263,"NULL")</f>
        <v>NULL</v>
      </c>
      <c r="E1263" s="14">
        <f>IF('Boletins Nuppa Site'!H1263&lt;&gt;0,'Boletins Nuppa Site'!H1263,"NULL")</f>
        <v>85</v>
      </c>
      <c r="F1263" s="14">
        <f>IF('Boletins Nuppa Site'!I1263&lt;&gt;0,'Boletins Nuppa Site'!I1263,"NULL")</f>
        <v>100</v>
      </c>
      <c r="G1263" t="str">
        <f>IF('Boletins Nuppa Site'!J1263&lt;&gt;0,'Boletins Nuppa Site'!J1263,"NULL")</f>
        <v>91.67</v>
      </c>
      <c r="H1263" s="14">
        <f>IF('Boletins Nuppa Site'!K1263&lt;&gt;0,'Boletins Nuppa Site'!K1263,"NULL")</f>
        <v>90</v>
      </c>
      <c r="I1263" t="str">
        <f t="shared" si="38"/>
        <v>INSERT INTO COTACAO (cot_id, cot_blt_id, cot_pap_id, cot_prc_comum, cot_prc_min, cot_prc_max, cot_prc_med, cot_prc_mediana) VALUES (1262, 69, 30, NULL, 85, 100, 91.67, 90);</v>
      </c>
      <c r="J1263" t="str">
        <f t="shared" si="39"/>
        <v>UPDATE COTACAO SET cot_id = 1262, cot_blt_id = 69, cot_pap_id = 30, cot_prc_comum = NULL, cot_prc_min = 85, cot_prc_max = 100, cot_prc_med = 91.67, cot_prc_mediana = 90 WHERE cot_id = 1262;</v>
      </c>
    </row>
    <row r="1264" spans="1:10" x14ac:dyDescent="0.3">
      <c r="A1264">
        <v>1263</v>
      </c>
      <c r="B1264">
        <f>IF('Boletins Nuppa Site'!A1264&lt;&gt;0,'Boletins Nuppa Site'!A1264,"NULL")</f>
        <v>69</v>
      </c>
      <c r="C1264">
        <v>31</v>
      </c>
      <c r="D1264" s="14">
        <f>IF('Boletins Nuppa Site'!G1264&lt;&gt;0,'Boletins Nuppa Site'!G1264,"NULL")</f>
        <v>100</v>
      </c>
      <c r="E1264" s="14">
        <f>IF('Boletins Nuppa Site'!H1264&lt;&gt;0,'Boletins Nuppa Site'!H1264,"NULL")</f>
        <v>100</v>
      </c>
      <c r="F1264" s="14">
        <f>IF('Boletins Nuppa Site'!I1264&lt;&gt;0,'Boletins Nuppa Site'!I1264,"NULL")</f>
        <v>135</v>
      </c>
      <c r="G1264" s="14">
        <f>IF('Boletins Nuppa Site'!J1264&lt;&gt;0,'Boletins Nuppa Site'!J1264,"NULL")</f>
        <v>117</v>
      </c>
      <c r="H1264" s="14">
        <f>IF('Boletins Nuppa Site'!K1264&lt;&gt;0,'Boletins Nuppa Site'!K1264,"NULL")</f>
        <v>120</v>
      </c>
      <c r="I1264" t="str">
        <f t="shared" si="38"/>
        <v>INSERT INTO COTACAO (cot_id, cot_blt_id, cot_pap_id, cot_prc_comum, cot_prc_min, cot_prc_max, cot_prc_med, cot_prc_mediana) VALUES (1263, 69, 31, 100, 100, 135, 117, 120);</v>
      </c>
      <c r="J1264" t="str">
        <f t="shared" si="39"/>
        <v>UPDATE COTACAO SET cot_id = 1263, cot_blt_id = 69, cot_pap_id = 31, cot_prc_comum = 100, cot_prc_min = 100, cot_prc_max = 135, cot_prc_med = 117, cot_prc_mediana = 120 WHERE cot_id = 1263;</v>
      </c>
    </row>
    <row r="1265" spans="1:10" x14ac:dyDescent="0.3">
      <c r="A1265">
        <v>1264</v>
      </c>
      <c r="B1265">
        <f>IF('Boletins Nuppa Site'!A1265&lt;&gt;0,'Boletins Nuppa Site'!A1265,"NULL")</f>
        <v>69</v>
      </c>
      <c r="C1265">
        <v>32</v>
      </c>
      <c r="D1265" s="14">
        <f>IF('Boletins Nuppa Site'!G1265&lt;&gt;0,'Boletins Nuppa Site'!G1265,"NULL")</f>
        <v>60</v>
      </c>
      <c r="E1265" s="14">
        <f>IF('Boletins Nuppa Site'!H1265&lt;&gt;0,'Boletins Nuppa Site'!H1265,"NULL")</f>
        <v>40</v>
      </c>
      <c r="F1265" s="14">
        <f>IF('Boletins Nuppa Site'!I1265&lt;&gt;0,'Boletins Nuppa Site'!I1265,"NULL")</f>
        <v>60</v>
      </c>
      <c r="G1265" s="14">
        <f>IF('Boletins Nuppa Site'!J1265&lt;&gt;0,'Boletins Nuppa Site'!J1265,"NULL")</f>
        <v>53</v>
      </c>
      <c r="H1265" s="14">
        <f>IF('Boletins Nuppa Site'!K1265&lt;&gt;0,'Boletins Nuppa Site'!K1265,"NULL")</f>
        <v>55</v>
      </c>
      <c r="I1265" t="str">
        <f t="shared" si="38"/>
        <v>INSERT INTO COTACAO (cot_id, cot_blt_id, cot_pap_id, cot_prc_comum, cot_prc_min, cot_prc_max, cot_prc_med, cot_prc_mediana) VALUES (1264, 69, 32, 60, 40, 60, 53, 55);</v>
      </c>
      <c r="J1265" t="str">
        <f t="shared" si="39"/>
        <v>UPDATE COTACAO SET cot_id = 1264, cot_blt_id = 69, cot_pap_id = 32, cot_prc_comum = 60, cot_prc_min = 40, cot_prc_max = 60, cot_prc_med = 53, cot_prc_mediana = 55 WHERE cot_id = 1264;</v>
      </c>
    </row>
    <row r="1266" spans="1:10" x14ac:dyDescent="0.3">
      <c r="A1266">
        <v>1265</v>
      </c>
      <c r="B1266">
        <f>IF('Boletins Nuppa Site'!A1266&lt;&gt;0,'Boletins Nuppa Site'!A1266,"NULL")</f>
        <v>69</v>
      </c>
      <c r="C1266">
        <v>33</v>
      </c>
      <c r="D1266" s="14">
        <f>IF('Boletins Nuppa Site'!G1266&lt;&gt;0,'Boletins Nuppa Site'!G1266,"NULL")</f>
        <v>150</v>
      </c>
      <c r="E1266" s="14">
        <f>IF('Boletins Nuppa Site'!H1266&lt;&gt;0,'Boletins Nuppa Site'!H1266,"NULL")</f>
        <v>140</v>
      </c>
      <c r="F1266" s="14">
        <f>IF('Boletins Nuppa Site'!I1266&lt;&gt;0,'Boletins Nuppa Site'!I1266,"NULL")</f>
        <v>150</v>
      </c>
      <c r="G1266" s="14">
        <f>IF('Boletins Nuppa Site'!J1266&lt;&gt;0,'Boletins Nuppa Site'!J1266,"NULL")</f>
        <v>146</v>
      </c>
      <c r="H1266" s="14">
        <f>IF('Boletins Nuppa Site'!K1266&lt;&gt;0,'Boletins Nuppa Site'!K1266,"NULL")</f>
        <v>150</v>
      </c>
      <c r="I1266" t="str">
        <f t="shared" si="38"/>
        <v>INSERT INTO COTACAO (cot_id, cot_blt_id, cot_pap_id, cot_prc_comum, cot_prc_min, cot_prc_max, cot_prc_med, cot_prc_mediana) VALUES (1265, 69, 33, 150, 140, 150, 146, 150);</v>
      </c>
      <c r="J1266" t="str">
        <f t="shared" si="39"/>
        <v>UPDATE COTACAO SET cot_id = 1265, cot_blt_id = 69, cot_pap_id = 33, cot_prc_comum = 150, cot_prc_min = 140, cot_prc_max = 150, cot_prc_med = 146, cot_prc_mediana = 150 WHERE cot_id = 1265;</v>
      </c>
    </row>
    <row r="1267" spans="1:10" x14ac:dyDescent="0.3">
      <c r="A1267">
        <v>1266</v>
      </c>
      <c r="B1267">
        <f>IF('Boletins Nuppa Site'!A1267&lt;&gt;0,'Boletins Nuppa Site'!A1267,"NULL")</f>
        <v>69</v>
      </c>
      <c r="C1267">
        <v>34</v>
      </c>
      <c r="D1267" s="14">
        <f>IF('Boletins Nuppa Site'!G1267&lt;&gt;0,'Boletins Nuppa Site'!G1267,"NULL")</f>
        <v>70</v>
      </c>
      <c r="E1267" s="14">
        <f>IF('Boletins Nuppa Site'!H1267&lt;&gt;0,'Boletins Nuppa Site'!H1267,"NULL")</f>
        <v>60</v>
      </c>
      <c r="F1267" s="14">
        <f>IF('Boletins Nuppa Site'!I1267&lt;&gt;0,'Boletins Nuppa Site'!I1267,"NULL")</f>
        <v>80</v>
      </c>
      <c r="G1267" s="14">
        <f>IF('Boletins Nuppa Site'!J1267&lt;&gt;0,'Boletins Nuppa Site'!J1267,"NULL")</f>
        <v>69</v>
      </c>
      <c r="H1267" s="14">
        <f>IF('Boletins Nuppa Site'!K1267&lt;&gt;0,'Boletins Nuppa Site'!K1267,"NULL")</f>
        <v>70</v>
      </c>
      <c r="I1267" t="str">
        <f t="shared" si="38"/>
        <v>INSERT INTO COTACAO (cot_id, cot_blt_id, cot_pap_id, cot_prc_comum, cot_prc_min, cot_prc_max, cot_prc_med, cot_prc_mediana) VALUES (1266, 69, 34, 70, 60, 80, 69, 70);</v>
      </c>
      <c r="J1267" t="str">
        <f t="shared" si="39"/>
        <v>UPDATE COTACAO SET cot_id = 1266, cot_blt_id = 69, cot_pap_id = 34, cot_prc_comum = 70, cot_prc_min = 60, cot_prc_max = 80, cot_prc_med = 69, cot_prc_mediana = 70 WHERE cot_id = 1266;</v>
      </c>
    </row>
    <row r="1268" spans="1:10" x14ac:dyDescent="0.3">
      <c r="A1268">
        <v>1267</v>
      </c>
      <c r="B1268">
        <f>IF('Boletins Nuppa Site'!A1268&lt;&gt;0,'Boletins Nuppa Site'!A1268,"NULL")</f>
        <v>69</v>
      </c>
      <c r="C1268">
        <v>35</v>
      </c>
      <c r="D1268" s="14">
        <f>IF('Boletins Nuppa Site'!G1268&lt;&gt;0,'Boletins Nuppa Site'!G1268,"NULL")</f>
        <v>150</v>
      </c>
      <c r="E1268" s="14">
        <f>IF('Boletins Nuppa Site'!H1268&lt;&gt;0,'Boletins Nuppa Site'!H1268,"NULL")</f>
        <v>120</v>
      </c>
      <c r="F1268" s="14">
        <f>IF('Boletins Nuppa Site'!I1268&lt;&gt;0,'Boletins Nuppa Site'!I1268,"NULL")</f>
        <v>150</v>
      </c>
      <c r="G1268" s="14">
        <f>IF('Boletins Nuppa Site'!J1268&lt;&gt;0,'Boletins Nuppa Site'!J1268,"NULL")</f>
        <v>140</v>
      </c>
      <c r="H1268" s="14">
        <f>IF('Boletins Nuppa Site'!K1268&lt;&gt;0,'Boletins Nuppa Site'!K1268,"NULL")</f>
        <v>150</v>
      </c>
      <c r="I1268" t="str">
        <f t="shared" si="38"/>
        <v>INSERT INTO COTACAO (cot_id, cot_blt_id, cot_pap_id, cot_prc_comum, cot_prc_min, cot_prc_max, cot_prc_med, cot_prc_mediana) VALUES (1267, 69, 35, 150, 120, 150, 140, 150);</v>
      </c>
      <c r="J1268" t="str">
        <f t="shared" si="39"/>
        <v>UPDATE COTACAO SET cot_id = 1267, cot_blt_id = 69, cot_pap_id = 35, cot_prc_comum = 150, cot_prc_min = 120, cot_prc_max = 150, cot_prc_med = 140, cot_prc_mediana = 150 WHERE cot_id = 1267;</v>
      </c>
    </row>
    <row r="1269" spans="1:10" x14ac:dyDescent="0.3">
      <c r="A1269">
        <v>1268</v>
      </c>
      <c r="B1269">
        <f>IF('Boletins Nuppa Site'!A1269&lt;&gt;0,'Boletins Nuppa Site'!A1269,"NULL")</f>
        <v>69</v>
      </c>
      <c r="C1269">
        <v>36</v>
      </c>
      <c r="D1269" t="str">
        <f>IF('Boletins Nuppa Site'!G1269&lt;&gt;0,'Boletins Nuppa Site'!G1269,"NULL")</f>
        <v>NULL</v>
      </c>
      <c r="E1269" t="str">
        <f>IF('Boletins Nuppa Site'!H1269&lt;&gt;0,'Boletins Nuppa Site'!H1269,"NULL")</f>
        <v>NULL</v>
      </c>
      <c r="F1269" t="str">
        <f>IF('Boletins Nuppa Site'!I1269&lt;&gt;0,'Boletins Nuppa Site'!I1269,"NULL")</f>
        <v>NULL</v>
      </c>
      <c r="G1269" t="str">
        <f>IF('Boletins Nuppa Site'!J1269&lt;&gt;0,'Boletins Nuppa Site'!J1269,"NULL")</f>
        <v>NULL</v>
      </c>
      <c r="H1269" t="str">
        <f>IF('Boletins Nuppa Site'!K1269&lt;&gt;0,'Boletins Nuppa Site'!K1269,"NULL")</f>
        <v>NULL</v>
      </c>
      <c r="I1269" t="str">
        <f t="shared" si="38"/>
        <v>INSERT INTO COTACAO (cot_id, cot_blt_id, cot_pap_id, cot_prc_comum, cot_prc_min, cot_prc_max, cot_prc_med, cot_prc_mediana) VALUES (1268, 69, 36, NULL, NULL, NULL, NULL, NULL);</v>
      </c>
      <c r="J1269" t="str">
        <f t="shared" si="39"/>
        <v>UPDATE COTACAO SET cot_id = 1268, cot_blt_id = 69, cot_pap_id = 36, cot_prc_comum = NULL, cot_prc_min = NULL, cot_prc_max = NULL, cot_prc_med = NULL, cot_prc_mediana = NULL WHERE cot_id = 1268;</v>
      </c>
    </row>
    <row r="1270" spans="1:10" x14ac:dyDescent="0.3">
      <c r="A1270">
        <v>1269</v>
      </c>
      <c r="B1270">
        <f>IF('Boletins Nuppa Site'!A1270&lt;&gt;0,'Boletins Nuppa Site'!A1270,"NULL")</f>
        <v>69</v>
      </c>
      <c r="C1270">
        <v>37</v>
      </c>
      <c r="D1270" t="str">
        <f>IF('Boletins Nuppa Site'!G1270&lt;&gt;0,'Boletins Nuppa Site'!G1270,"NULL")</f>
        <v>NULL</v>
      </c>
      <c r="E1270" t="str">
        <f>IF('Boletins Nuppa Site'!H1270&lt;&gt;0,'Boletins Nuppa Site'!H1270,"NULL")</f>
        <v>NULL</v>
      </c>
      <c r="F1270" t="str">
        <f>IF('Boletins Nuppa Site'!I1270&lt;&gt;0,'Boletins Nuppa Site'!I1270,"NULL")</f>
        <v>NULL</v>
      </c>
      <c r="G1270" t="str">
        <f>IF('Boletins Nuppa Site'!J1270&lt;&gt;0,'Boletins Nuppa Site'!J1270,"NULL")</f>
        <v>NULL</v>
      </c>
      <c r="H1270" t="str">
        <f>IF('Boletins Nuppa Site'!K1270&lt;&gt;0,'Boletins Nuppa Site'!K1270,"NULL")</f>
        <v>NULL</v>
      </c>
      <c r="I1270" t="str">
        <f t="shared" si="38"/>
        <v>INSERT INTO COTACAO (cot_id, cot_blt_id, cot_pap_id, cot_prc_comum, cot_prc_min, cot_prc_max, cot_prc_med, cot_prc_mediana) VALUES (1269, 69, 37, NULL, NULL, NULL, NULL, NULL);</v>
      </c>
      <c r="J1270" t="str">
        <f t="shared" si="39"/>
        <v>UPDATE COTACAO SET cot_id = 1269, cot_blt_id = 69, cot_pap_id = 37, cot_prc_comum = NULL, cot_prc_min = NULL, cot_prc_max = NULL, cot_prc_med = NULL, cot_prc_mediana = NULL WHERE cot_id = 1269;</v>
      </c>
    </row>
    <row r="1271" spans="1:10" x14ac:dyDescent="0.3">
      <c r="A1271">
        <v>1270</v>
      </c>
      <c r="B1271">
        <f>IF('Boletins Nuppa Site'!A1271&lt;&gt;0,'Boletins Nuppa Site'!A1271,"NULL")</f>
        <v>69</v>
      </c>
      <c r="C1271">
        <v>38</v>
      </c>
      <c r="D1271" t="str">
        <f>IF('Boletins Nuppa Site'!G1271&lt;&gt;0,'Boletins Nuppa Site'!G1271,"NULL")</f>
        <v>NULL</v>
      </c>
      <c r="E1271" t="str">
        <f>IF('Boletins Nuppa Site'!H1271&lt;&gt;0,'Boletins Nuppa Site'!H1271,"NULL")</f>
        <v>NULL</v>
      </c>
      <c r="F1271" t="str">
        <f>IF('Boletins Nuppa Site'!I1271&lt;&gt;0,'Boletins Nuppa Site'!I1271,"NULL")</f>
        <v>NULL</v>
      </c>
      <c r="G1271" t="str">
        <f>IF('Boletins Nuppa Site'!J1271&lt;&gt;0,'Boletins Nuppa Site'!J1271,"NULL")</f>
        <v>NULL</v>
      </c>
      <c r="H1271" t="str">
        <f>IF('Boletins Nuppa Site'!K1271&lt;&gt;0,'Boletins Nuppa Site'!K1271,"NULL")</f>
        <v>NULL</v>
      </c>
      <c r="I1271" t="str">
        <f t="shared" si="38"/>
        <v>INSERT INTO COTACAO (cot_id, cot_blt_id, cot_pap_id, cot_prc_comum, cot_prc_min, cot_prc_max, cot_prc_med, cot_prc_mediana) VALUES (1270, 69, 38, NULL, NULL, NULL, NULL, NULL);</v>
      </c>
      <c r="J1271" t="str">
        <f t="shared" si="39"/>
        <v>UPDATE COTACAO SET cot_id = 1270, cot_blt_id = 69, cot_pap_id = 38, cot_prc_comum = NULL, cot_prc_min = NULL, cot_prc_max = NULL, cot_prc_med = NULL, cot_prc_mediana = NULL WHERE cot_id = 1270;</v>
      </c>
    </row>
    <row r="1272" spans="1:10" x14ac:dyDescent="0.3">
      <c r="A1272">
        <v>1271</v>
      </c>
      <c r="B1272">
        <f>IF('Boletins Nuppa Site'!A1272&lt;&gt;0,'Boletins Nuppa Site'!A1272,"NULL")</f>
        <v>69</v>
      </c>
      <c r="C1272">
        <v>39</v>
      </c>
      <c r="D1272" t="str">
        <f>IF('Boletins Nuppa Site'!G1272&lt;&gt;0,'Boletins Nuppa Site'!G1272,"NULL")</f>
        <v>NULL</v>
      </c>
      <c r="E1272" s="14">
        <f>IF('Boletins Nuppa Site'!H1272&lt;&gt;0,'Boletins Nuppa Site'!H1272,"NULL")</f>
        <v>50</v>
      </c>
      <c r="F1272" s="14">
        <f>IF('Boletins Nuppa Site'!I1272&lt;&gt;0,'Boletins Nuppa Site'!I1272,"NULL")</f>
        <v>50</v>
      </c>
      <c r="G1272" s="14">
        <f>IF('Boletins Nuppa Site'!J1272&lt;&gt;0,'Boletins Nuppa Site'!J1272,"NULL")</f>
        <v>50</v>
      </c>
      <c r="H1272" s="14">
        <f>IF('Boletins Nuppa Site'!K1272&lt;&gt;0,'Boletins Nuppa Site'!K1272,"NULL")</f>
        <v>50</v>
      </c>
      <c r="I1272" t="str">
        <f t="shared" si="38"/>
        <v>INSERT INTO COTACAO (cot_id, cot_blt_id, cot_pap_id, cot_prc_comum, cot_prc_min, cot_prc_max, cot_prc_med, cot_prc_mediana) VALUES (1271, 69, 39, NULL, 50, 50, 50, 50);</v>
      </c>
      <c r="J1272" t="str">
        <f t="shared" si="39"/>
        <v>UPDATE COTACAO SET cot_id = 1271, cot_blt_id = 69, cot_pap_id = 39, cot_prc_comum = NULL, cot_prc_min = 50, cot_prc_max = 50, cot_prc_med = 50, cot_prc_mediana = 50 WHERE cot_id = 1271;</v>
      </c>
    </row>
    <row r="1273" spans="1:10" x14ac:dyDescent="0.3">
      <c r="A1273">
        <v>1272</v>
      </c>
      <c r="B1273">
        <f>IF('Boletins Nuppa Site'!A1273&lt;&gt;0,'Boletins Nuppa Site'!A1273,"NULL")</f>
        <v>69</v>
      </c>
      <c r="C1273">
        <v>40</v>
      </c>
      <c r="D1273" t="str">
        <f>IF('Boletins Nuppa Site'!G1273&lt;&gt;0,'Boletins Nuppa Site'!G1273,"NULL")</f>
        <v>NULL</v>
      </c>
      <c r="E1273" t="str">
        <f>IF('Boletins Nuppa Site'!H1273&lt;&gt;0,'Boletins Nuppa Site'!H1273,"NULL")</f>
        <v>NULL</v>
      </c>
      <c r="F1273" t="str">
        <f>IF('Boletins Nuppa Site'!I1273&lt;&gt;0,'Boletins Nuppa Site'!I1273,"NULL")</f>
        <v>NULL</v>
      </c>
      <c r="G1273" t="str">
        <f>IF('Boletins Nuppa Site'!J1273&lt;&gt;0,'Boletins Nuppa Site'!J1273,"NULL")</f>
        <v>NULL</v>
      </c>
      <c r="H1273" t="str">
        <f>IF('Boletins Nuppa Site'!K1273&lt;&gt;0,'Boletins Nuppa Site'!K1273,"NULL")</f>
        <v>NULL</v>
      </c>
      <c r="I1273" t="str">
        <f t="shared" si="38"/>
        <v>INSERT INTO COTACAO (cot_id, cot_blt_id, cot_pap_id, cot_prc_comum, cot_prc_min, cot_prc_max, cot_prc_med, cot_prc_mediana) VALUES (1272, 69, 40, NULL, NULL, NULL, NULL, NULL);</v>
      </c>
      <c r="J1273" t="str">
        <f t="shared" si="39"/>
        <v>UPDATE COTACAO SET cot_id = 1272, cot_blt_id = 69, cot_pap_id = 40, cot_prc_comum = NULL, cot_prc_min = NULL, cot_prc_max = NULL, cot_prc_med = NULL, cot_prc_mediana = NULL WHERE cot_id = 1272;</v>
      </c>
    </row>
    <row r="1274" spans="1:10" x14ac:dyDescent="0.3">
      <c r="A1274">
        <v>1273</v>
      </c>
      <c r="B1274">
        <f>IF('Boletins Nuppa Site'!A1274&lt;&gt;0,'Boletins Nuppa Site'!A1274,"NULL")</f>
        <v>70</v>
      </c>
      <c r="C1274">
        <v>1</v>
      </c>
      <c r="D1274" s="14">
        <f>IF('Boletins Nuppa Site'!G1274&lt;&gt;0,'Boletins Nuppa Site'!G1274,"NULL")</f>
        <v>48</v>
      </c>
      <c r="E1274" s="14">
        <f>IF('Boletins Nuppa Site'!H1274&lt;&gt;0,'Boletins Nuppa Site'!H1274,"NULL")</f>
        <v>48</v>
      </c>
      <c r="F1274" s="14">
        <f>IF('Boletins Nuppa Site'!I1274&lt;&gt;0,'Boletins Nuppa Site'!I1274,"NULL")</f>
        <v>60</v>
      </c>
      <c r="G1274" s="14">
        <f>IF('Boletins Nuppa Site'!J1274&lt;&gt;0,'Boletins Nuppa Site'!J1274,"NULL")</f>
        <v>51</v>
      </c>
      <c r="H1274" s="14">
        <f>IF('Boletins Nuppa Site'!K1274&lt;&gt;0,'Boletins Nuppa Site'!K1274,"NULL")</f>
        <v>48</v>
      </c>
      <c r="I1274" t="str">
        <f t="shared" si="38"/>
        <v>INSERT INTO COTACAO (cot_id, cot_blt_id, cot_pap_id, cot_prc_comum, cot_prc_min, cot_prc_max, cot_prc_med, cot_prc_mediana) VALUES (1273, 70, 1, 48, 48, 60, 51, 48);</v>
      </c>
      <c r="J1274" t="str">
        <f t="shared" si="39"/>
        <v>UPDATE COTACAO SET cot_id = 1273, cot_blt_id = 70, cot_pap_id = 1, cot_prc_comum = 48, cot_prc_min = 48, cot_prc_max = 60, cot_prc_med = 51, cot_prc_mediana = 48 WHERE cot_id = 1273;</v>
      </c>
    </row>
    <row r="1275" spans="1:10" x14ac:dyDescent="0.3">
      <c r="A1275">
        <v>1274</v>
      </c>
      <c r="B1275">
        <f>IF('Boletins Nuppa Site'!A1275&lt;&gt;0,'Boletins Nuppa Site'!A1275,"NULL")</f>
        <v>70</v>
      </c>
      <c r="C1275">
        <v>2</v>
      </c>
      <c r="D1275" s="14">
        <f>IF('Boletins Nuppa Site'!G1275&lt;&gt;0,'Boletins Nuppa Site'!G1275,"NULL")</f>
        <v>84</v>
      </c>
      <c r="E1275" s="14">
        <f>IF('Boletins Nuppa Site'!H1275&lt;&gt;0,'Boletins Nuppa Site'!H1275,"NULL")</f>
        <v>60</v>
      </c>
      <c r="F1275" s="14">
        <f>IF('Boletins Nuppa Site'!I1275&lt;&gt;0,'Boletins Nuppa Site'!I1275,"NULL")</f>
        <v>84</v>
      </c>
      <c r="G1275" s="14">
        <f>IF('Boletins Nuppa Site'!J1275&lt;&gt;0,'Boletins Nuppa Site'!J1275,"NULL")</f>
        <v>75</v>
      </c>
      <c r="H1275" s="14">
        <f>IF('Boletins Nuppa Site'!K1275&lt;&gt;0,'Boletins Nuppa Site'!K1275,"NULL")</f>
        <v>78</v>
      </c>
      <c r="I1275" t="str">
        <f t="shared" si="38"/>
        <v>INSERT INTO COTACAO (cot_id, cot_blt_id, cot_pap_id, cot_prc_comum, cot_prc_min, cot_prc_max, cot_prc_med, cot_prc_mediana) VALUES (1274, 70, 2, 84, 60, 84, 75, 78);</v>
      </c>
      <c r="J1275" t="str">
        <f t="shared" si="39"/>
        <v>UPDATE COTACAO SET cot_id = 1274, cot_blt_id = 70, cot_pap_id = 2, cot_prc_comum = 84, cot_prc_min = 60, cot_prc_max = 84, cot_prc_med = 75, cot_prc_mediana = 78 WHERE cot_id = 1274;</v>
      </c>
    </row>
    <row r="1276" spans="1:10" x14ac:dyDescent="0.3">
      <c r="A1276">
        <v>1275</v>
      </c>
      <c r="B1276">
        <f>IF('Boletins Nuppa Site'!A1276&lt;&gt;0,'Boletins Nuppa Site'!A1276,"NULL")</f>
        <v>70</v>
      </c>
      <c r="C1276">
        <v>3</v>
      </c>
      <c r="D1276" s="14">
        <f>IF('Boletins Nuppa Site'!G1276&lt;&gt;0,'Boletins Nuppa Site'!G1276,"NULL")</f>
        <v>36</v>
      </c>
      <c r="E1276" s="14">
        <f>IF('Boletins Nuppa Site'!H1276&lt;&gt;0,'Boletins Nuppa Site'!H1276,"NULL")</f>
        <v>36</v>
      </c>
      <c r="F1276" s="14">
        <f>IF('Boletins Nuppa Site'!I1276&lt;&gt;0,'Boletins Nuppa Site'!I1276,"NULL")</f>
        <v>48</v>
      </c>
      <c r="G1276" t="str">
        <f>IF('Boletins Nuppa Site'!J1276&lt;&gt;0,'Boletins Nuppa Site'!J1276,"NULL")</f>
        <v>38.4</v>
      </c>
      <c r="H1276" s="14">
        <f>IF('Boletins Nuppa Site'!K1276&lt;&gt;0,'Boletins Nuppa Site'!K1276,"NULL")</f>
        <v>36</v>
      </c>
      <c r="I1276" t="str">
        <f t="shared" si="38"/>
        <v>INSERT INTO COTACAO (cot_id, cot_blt_id, cot_pap_id, cot_prc_comum, cot_prc_min, cot_prc_max, cot_prc_med, cot_prc_mediana) VALUES (1275, 70, 3, 36, 36, 48, 38.4, 36);</v>
      </c>
      <c r="J1276" t="str">
        <f t="shared" si="39"/>
        <v>UPDATE COTACAO SET cot_id = 1275, cot_blt_id = 70, cot_pap_id = 3, cot_prc_comum = 36, cot_prc_min = 36, cot_prc_max = 48, cot_prc_med = 38.4, cot_prc_mediana = 36 WHERE cot_id = 1275;</v>
      </c>
    </row>
    <row r="1277" spans="1:10" x14ac:dyDescent="0.3">
      <c r="A1277">
        <v>1276</v>
      </c>
      <c r="B1277">
        <f>IF('Boletins Nuppa Site'!A1277&lt;&gt;0,'Boletins Nuppa Site'!A1277,"NULL")</f>
        <v>70</v>
      </c>
      <c r="C1277">
        <v>4</v>
      </c>
      <c r="D1277" s="14">
        <f>IF('Boletins Nuppa Site'!G1277&lt;&gt;0,'Boletins Nuppa Site'!G1277,"NULL")</f>
        <v>24</v>
      </c>
      <c r="E1277" s="14">
        <f>IF('Boletins Nuppa Site'!H1277&lt;&gt;0,'Boletins Nuppa Site'!H1277,"NULL")</f>
        <v>15</v>
      </c>
      <c r="F1277" s="14">
        <f>IF('Boletins Nuppa Site'!I1277&lt;&gt;0,'Boletins Nuppa Site'!I1277,"NULL")</f>
        <v>36</v>
      </c>
      <c r="G1277" t="str">
        <f>IF('Boletins Nuppa Site'!J1277&lt;&gt;0,'Boletins Nuppa Site'!J1277,"NULL")</f>
        <v>23.4</v>
      </c>
      <c r="H1277" s="14">
        <f>IF('Boletins Nuppa Site'!K1277&lt;&gt;0,'Boletins Nuppa Site'!K1277,"NULL")</f>
        <v>24</v>
      </c>
      <c r="I1277" t="str">
        <f t="shared" si="38"/>
        <v>INSERT INTO COTACAO (cot_id, cot_blt_id, cot_pap_id, cot_prc_comum, cot_prc_min, cot_prc_max, cot_prc_med, cot_prc_mediana) VALUES (1276, 70, 4, 24, 15, 36, 23.4, 24);</v>
      </c>
      <c r="J1277" t="str">
        <f t="shared" si="39"/>
        <v>UPDATE COTACAO SET cot_id = 1276, cot_blt_id = 70, cot_pap_id = 4, cot_prc_comum = 24, cot_prc_min = 15, cot_prc_max = 36, cot_prc_med = 23.4, cot_prc_mediana = 24 WHERE cot_id = 1276;</v>
      </c>
    </row>
    <row r="1278" spans="1:10" x14ac:dyDescent="0.3">
      <c r="A1278">
        <v>1277</v>
      </c>
      <c r="B1278">
        <f>IF('Boletins Nuppa Site'!A1278&lt;&gt;0,'Boletins Nuppa Site'!A1278,"NULL")</f>
        <v>70</v>
      </c>
      <c r="C1278">
        <v>5</v>
      </c>
      <c r="D1278" s="14">
        <f>IF('Boletins Nuppa Site'!G1278&lt;&gt;0,'Boletins Nuppa Site'!G1278,"NULL")</f>
        <v>24</v>
      </c>
      <c r="E1278" s="14">
        <f>IF('Boletins Nuppa Site'!H1278&lt;&gt;0,'Boletins Nuppa Site'!H1278,"NULL")</f>
        <v>15</v>
      </c>
      <c r="F1278" s="14">
        <f>IF('Boletins Nuppa Site'!I1278&lt;&gt;0,'Boletins Nuppa Site'!I1278,"NULL")</f>
        <v>36</v>
      </c>
      <c r="G1278" t="str">
        <f>IF('Boletins Nuppa Site'!J1278&lt;&gt;0,'Boletins Nuppa Site'!J1278,"NULL")</f>
        <v>24.75</v>
      </c>
      <c r="H1278" s="14">
        <f>IF('Boletins Nuppa Site'!K1278&lt;&gt;0,'Boletins Nuppa Site'!K1278,"NULL")</f>
        <v>24</v>
      </c>
      <c r="I1278" t="str">
        <f t="shared" si="38"/>
        <v>INSERT INTO COTACAO (cot_id, cot_blt_id, cot_pap_id, cot_prc_comum, cot_prc_min, cot_prc_max, cot_prc_med, cot_prc_mediana) VALUES (1277, 70, 5, 24, 15, 36, 24.75, 24);</v>
      </c>
      <c r="J1278" t="str">
        <f t="shared" si="39"/>
        <v>UPDATE COTACAO SET cot_id = 1277, cot_blt_id = 70, cot_pap_id = 5, cot_prc_comum = 24, cot_prc_min = 15, cot_prc_max = 36, cot_prc_med = 24.75, cot_prc_mediana = 24 WHERE cot_id = 1277;</v>
      </c>
    </row>
    <row r="1279" spans="1:10" x14ac:dyDescent="0.3">
      <c r="A1279">
        <v>1278</v>
      </c>
      <c r="B1279">
        <f>IF('Boletins Nuppa Site'!A1279&lt;&gt;0,'Boletins Nuppa Site'!A1279,"NULL")</f>
        <v>70</v>
      </c>
      <c r="C1279">
        <v>6</v>
      </c>
      <c r="D1279" s="14">
        <f>IF('Boletins Nuppa Site'!G1279&lt;&gt;0,'Boletins Nuppa Site'!G1279,"NULL")</f>
        <v>60</v>
      </c>
      <c r="E1279" s="14">
        <f>IF('Boletins Nuppa Site'!H1279&lt;&gt;0,'Boletins Nuppa Site'!H1279,"NULL")</f>
        <v>60</v>
      </c>
      <c r="F1279" s="14">
        <f>IF('Boletins Nuppa Site'!I1279&lt;&gt;0,'Boletins Nuppa Site'!I1279,"NULL")</f>
        <v>60</v>
      </c>
      <c r="G1279" s="14">
        <f>IF('Boletins Nuppa Site'!J1279&lt;&gt;0,'Boletins Nuppa Site'!J1279,"NULL")</f>
        <v>60</v>
      </c>
      <c r="H1279" s="14">
        <f>IF('Boletins Nuppa Site'!K1279&lt;&gt;0,'Boletins Nuppa Site'!K1279,"NULL")</f>
        <v>60</v>
      </c>
      <c r="I1279" t="str">
        <f t="shared" si="38"/>
        <v>INSERT INTO COTACAO (cot_id, cot_blt_id, cot_pap_id, cot_prc_comum, cot_prc_min, cot_prc_max, cot_prc_med, cot_prc_mediana) VALUES (1278, 70, 6, 60, 60, 60, 60, 60);</v>
      </c>
      <c r="J1279" t="str">
        <f t="shared" si="39"/>
        <v>UPDATE COTACAO SET cot_id = 1278, cot_blt_id = 70, cot_pap_id = 6, cot_prc_comum = 60, cot_prc_min = 60, cot_prc_max = 60, cot_prc_med = 60, cot_prc_mediana = 60 WHERE cot_id = 1278;</v>
      </c>
    </row>
    <row r="1280" spans="1:10" x14ac:dyDescent="0.3">
      <c r="A1280">
        <v>1279</v>
      </c>
      <c r="B1280">
        <f>IF('Boletins Nuppa Site'!A1280&lt;&gt;0,'Boletins Nuppa Site'!A1280,"NULL")</f>
        <v>70</v>
      </c>
      <c r="C1280">
        <v>7</v>
      </c>
      <c r="D1280" s="14">
        <f>IF('Boletins Nuppa Site'!G1280&lt;&gt;0,'Boletins Nuppa Site'!G1280,"NULL")</f>
        <v>48</v>
      </c>
      <c r="E1280" s="14">
        <f>IF('Boletins Nuppa Site'!H1280&lt;&gt;0,'Boletins Nuppa Site'!H1280,"NULL")</f>
        <v>48</v>
      </c>
      <c r="F1280" s="14">
        <f>IF('Boletins Nuppa Site'!I1280&lt;&gt;0,'Boletins Nuppa Site'!I1280,"NULL")</f>
        <v>72</v>
      </c>
      <c r="G1280" s="14">
        <f>IF('Boletins Nuppa Site'!J1280&lt;&gt;0,'Boletins Nuppa Site'!J1280,"NULL")</f>
        <v>57</v>
      </c>
      <c r="H1280" s="14">
        <f>IF('Boletins Nuppa Site'!K1280&lt;&gt;0,'Boletins Nuppa Site'!K1280,"NULL")</f>
        <v>54</v>
      </c>
      <c r="I1280" t="str">
        <f t="shared" si="38"/>
        <v>INSERT INTO COTACAO (cot_id, cot_blt_id, cot_pap_id, cot_prc_comum, cot_prc_min, cot_prc_max, cot_prc_med, cot_prc_mediana) VALUES (1279, 70, 7, 48, 48, 72, 57, 54);</v>
      </c>
      <c r="J1280" t="str">
        <f t="shared" si="39"/>
        <v>UPDATE COTACAO SET cot_id = 1279, cot_blt_id = 70, cot_pap_id = 7, cot_prc_comum = 48, cot_prc_min = 48, cot_prc_max = 72, cot_prc_med = 57, cot_prc_mediana = 54 WHERE cot_id = 1279;</v>
      </c>
    </row>
    <row r="1281" spans="1:10" x14ac:dyDescent="0.3">
      <c r="A1281">
        <v>1280</v>
      </c>
      <c r="B1281">
        <f>IF('Boletins Nuppa Site'!A1281&lt;&gt;0,'Boletins Nuppa Site'!A1281,"NULL")</f>
        <v>70</v>
      </c>
      <c r="C1281">
        <v>8</v>
      </c>
      <c r="D1281" s="14">
        <f>IF('Boletins Nuppa Site'!G1281&lt;&gt;0,'Boletins Nuppa Site'!G1281,"NULL")</f>
        <v>72</v>
      </c>
      <c r="E1281" s="14">
        <f>IF('Boletins Nuppa Site'!H1281&lt;&gt;0,'Boletins Nuppa Site'!H1281,"NULL")</f>
        <v>60</v>
      </c>
      <c r="F1281" s="14">
        <f>IF('Boletins Nuppa Site'!I1281&lt;&gt;0,'Boletins Nuppa Site'!I1281,"NULL")</f>
        <v>72</v>
      </c>
      <c r="G1281" t="str">
        <f>IF('Boletins Nuppa Site'!J1281&lt;&gt;0,'Boletins Nuppa Site'!J1281,"NULL")</f>
        <v>67.2</v>
      </c>
      <c r="H1281" s="14">
        <f>IF('Boletins Nuppa Site'!K1281&lt;&gt;0,'Boletins Nuppa Site'!K1281,"NULL")</f>
        <v>72</v>
      </c>
      <c r="I1281" t="str">
        <f t="shared" si="38"/>
        <v>INSERT INTO COTACAO (cot_id, cot_blt_id, cot_pap_id, cot_prc_comum, cot_prc_min, cot_prc_max, cot_prc_med, cot_prc_mediana) VALUES (1280, 70, 8, 72, 60, 72, 67.2, 72);</v>
      </c>
      <c r="J1281" t="str">
        <f t="shared" si="39"/>
        <v>UPDATE COTACAO SET cot_id = 1280, cot_blt_id = 70, cot_pap_id = 8, cot_prc_comum = 72, cot_prc_min = 60, cot_prc_max = 72, cot_prc_med = 67.2, cot_prc_mediana = 72 WHERE cot_id = 1280;</v>
      </c>
    </row>
    <row r="1282" spans="1:10" x14ac:dyDescent="0.3">
      <c r="A1282">
        <v>1281</v>
      </c>
      <c r="B1282">
        <f>IF('Boletins Nuppa Site'!A1282&lt;&gt;0,'Boletins Nuppa Site'!A1282,"NULL")</f>
        <v>70</v>
      </c>
      <c r="C1282">
        <v>9</v>
      </c>
      <c r="D1282" s="14">
        <f>IF('Boletins Nuppa Site'!G1282&lt;&gt;0,'Boletins Nuppa Site'!G1282,"NULL")</f>
        <v>24</v>
      </c>
      <c r="E1282" s="14">
        <f>IF('Boletins Nuppa Site'!H1282&lt;&gt;0,'Boletins Nuppa Site'!H1282,"NULL")</f>
        <v>18</v>
      </c>
      <c r="F1282" s="14">
        <f>IF('Boletins Nuppa Site'!I1282&lt;&gt;0,'Boletins Nuppa Site'!I1282,"NULL")</f>
        <v>24</v>
      </c>
      <c r="G1282" t="str">
        <f>IF('Boletins Nuppa Site'!J1282&lt;&gt;0,'Boletins Nuppa Site'!J1282,"NULL")</f>
        <v>21.6</v>
      </c>
      <c r="H1282" s="14">
        <f>IF('Boletins Nuppa Site'!K1282&lt;&gt;0,'Boletins Nuppa Site'!K1282,"NULL")</f>
        <v>24</v>
      </c>
      <c r="I1282" t="str">
        <f t="shared" si="38"/>
        <v>INSERT INTO COTACAO (cot_id, cot_blt_id, cot_pap_id, cot_prc_comum, cot_prc_min, cot_prc_max, cot_prc_med, cot_prc_mediana) VALUES (1281, 70, 9, 24, 18, 24, 21.6, 24);</v>
      </c>
      <c r="J1282" t="str">
        <f t="shared" si="39"/>
        <v>UPDATE COTACAO SET cot_id = 1281, cot_blt_id = 70, cot_pap_id = 9, cot_prc_comum = 24, cot_prc_min = 18, cot_prc_max = 24, cot_prc_med = 21.6, cot_prc_mediana = 24 WHERE cot_id = 1281;</v>
      </c>
    </row>
    <row r="1283" spans="1:10" x14ac:dyDescent="0.3">
      <c r="A1283">
        <v>1282</v>
      </c>
      <c r="B1283">
        <f>IF('Boletins Nuppa Site'!A1283&lt;&gt;0,'Boletins Nuppa Site'!A1283,"NULL")</f>
        <v>70</v>
      </c>
      <c r="C1283">
        <v>10</v>
      </c>
      <c r="D1283" s="14">
        <f>IF('Boletins Nuppa Site'!G1283&lt;&gt;0,'Boletins Nuppa Site'!G1283,"NULL")</f>
        <v>60</v>
      </c>
      <c r="E1283" s="14">
        <f>IF('Boletins Nuppa Site'!H1283&lt;&gt;0,'Boletins Nuppa Site'!H1283,"NULL")</f>
        <v>60</v>
      </c>
      <c r="F1283" s="14">
        <f>IF('Boletins Nuppa Site'!I1283&lt;&gt;0,'Boletins Nuppa Site'!I1283,"NULL")</f>
        <v>72</v>
      </c>
      <c r="G1283" t="str">
        <f>IF('Boletins Nuppa Site'!J1283&lt;&gt;0,'Boletins Nuppa Site'!J1283,"NULL")</f>
        <v>65.5</v>
      </c>
      <c r="H1283" s="14">
        <f>IF('Boletins Nuppa Site'!K1283&lt;&gt;0,'Boletins Nuppa Site'!K1283,"NULL")</f>
        <v>65</v>
      </c>
      <c r="I1283" t="str">
        <f t="shared" ref="I1283:I1346" si="40">"INSERT INTO COTACAO (cot_id, cot_blt_id, cot_pap_id, cot_prc_comum, cot_prc_min, cot_prc_max, cot_prc_med, cot_prc_mediana) VALUES ("&amp;A1283&amp;", "&amp;B1283&amp;", "&amp;C1283&amp;", "&amp;D1283&amp;", "&amp;E1283&amp;", "&amp;F1283&amp;", "&amp;G1283&amp;", "&amp;H1283&amp;");"</f>
        <v>INSERT INTO COTACAO (cot_id, cot_blt_id, cot_pap_id, cot_prc_comum, cot_prc_min, cot_prc_max, cot_prc_med, cot_prc_mediana) VALUES (1282, 70, 10, 60, 60, 72, 65.5, 65);</v>
      </c>
      <c r="J1283" t="str">
        <f t="shared" ref="J1283:J1346" si="41">"UPDATE COTACAO SET cot_id = "&amp;A1283&amp;", cot_blt_id = "&amp;B1283&amp;", cot_pap_id = "&amp;C1283&amp;", cot_prc_comum = "&amp;D1283&amp;", cot_prc_min = "&amp;E1283&amp;", cot_prc_max = "&amp;F1283&amp;", cot_prc_med = "&amp;G1283&amp;", cot_prc_mediana = "&amp;H1283&amp;" WHERE cot_id = "&amp;A1283&amp;";"</f>
        <v>UPDATE COTACAO SET cot_id = 1282, cot_blt_id = 70, cot_pap_id = 10, cot_prc_comum = 60, cot_prc_min = 60, cot_prc_max = 72, cot_prc_med = 65.5, cot_prc_mediana = 65 WHERE cot_id = 1282;</v>
      </c>
    </row>
    <row r="1284" spans="1:10" x14ac:dyDescent="0.3">
      <c r="A1284">
        <v>1283</v>
      </c>
      <c r="B1284">
        <f>IF('Boletins Nuppa Site'!A1284&lt;&gt;0,'Boletins Nuppa Site'!A1284,"NULL")</f>
        <v>70</v>
      </c>
      <c r="C1284">
        <v>11</v>
      </c>
      <c r="D1284" s="14">
        <f>IF('Boletins Nuppa Site'!G1284&lt;&gt;0,'Boletins Nuppa Site'!G1284,"NULL")</f>
        <v>24</v>
      </c>
      <c r="E1284" s="14">
        <f>IF('Boletins Nuppa Site'!H1284&lt;&gt;0,'Boletins Nuppa Site'!H1284,"NULL")</f>
        <v>15</v>
      </c>
      <c r="F1284" s="14">
        <f>IF('Boletins Nuppa Site'!I1284&lt;&gt;0,'Boletins Nuppa Site'!I1284,"NULL")</f>
        <v>24</v>
      </c>
      <c r="G1284" s="14">
        <f>IF('Boletins Nuppa Site'!J1284&lt;&gt;0,'Boletins Nuppa Site'!J1284,"NULL")</f>
        <v>21</v>
      </c>
      <c r="H1284" s="14">
        <f>IF('Boletins Nuppa Site'!K1284&lt;&gt;0,'Boletins Nuppa Site'!K1284,"NULL")</f>
        <v>24</v>
      </c>
      <c r="I1284" t="str">
        <f t="shared" si="40"/>
        <v>INSERT INTO COTACAO (cot_id, cot_blt_id, cot_pap_id, cot_prc_comum, cot_prc_min, cot_prc_max, cot_prc_med, cot_prc_mediana) VALUES (1283, 70, 11, 24, 15, 24, 21, 24);</v>
      </c>
      <c r="J1284" t="str">
        <f t="shared" si="41"/>
        <v>UPDATE COTACAO SET cot_id = 1283, cot_blt_id = 70, cot_pap_id = 11, cot_prc_comum = 24, cot_prc_min = 15, cot_prc_max = 24, cot_prc_med = 21, cot_prc_mediana = 24 WHERE cot_id = 1283;</v>
      </c>
    </row>
    <row r="1285" spans="1:10" x14ac:dyDescent="0.3">
      <c r="A1285">
        <v>1284</v>
      </c>
      <c r="B1285">
        <f>IF('Boletins Nuppa Site'!A1285&lt;&gt;0,'Boletins Nuppa Site'!A1285,"NULL")</f>
        <v>70</v>
      </c>
      <c r="C1285">
        <v>12</v>
      </c>
      <c r="D1285" s="14">
        <f>IF('Boletins Nuppa Site'!G1285&lt;&gt;0,'Boletins Nuppa Site'!G1285,"NULL")</f>
        <v>48</v>
      </c>
      <c r="E1285" s="14">
        <f>IF('Boletins Nuppa Site'!H1285&lt;&gt;0,'Boletins Nuppa Site'!H1285,"NULL")</f>
        <v>48</v>
      </c>
      <c r="F1285" s="14">
        <f>IF('Boletins Nuppa Site'!I1285&lt;&gt;0,'Boletins Nuppa Site'!I1285,"NULL")</f>
        <v>72</v>
      </c>
      <c r="G1285" s="14">
        <f>IF('Boletins Nuppa Site'!J1285&lt;&gt;0,'Boletins Nuppa Site'!J1285,"NULL")</f>
        <v>57</v>
      </c>
      <c r="H1285" s="14">
        <f>IF('Boletins Nuppa Site'!K1285&lt;&gt;0,'Boletins Nuppa Site'!K1285,"NULL")</f>
        <v>54</v>
      </c>
      <c r="I1285" t="str">
        <f t="shared" si="40"/>
        <v>INSERT INTO COTACAO (cot_id, cot_blt_id, cot_pap_id, cot_prc_comum, cot_prc_min, cot_prc_max, cot_prc_med, cot_prc_mediana) VALUES (1284, 70, 12, 48, 48, 72, 57, 54);</v>
      </c>
      <c r="J1285" t="str">
        <f t="shared" si="41"/>
        <v>UPDATE COTACAO SET cot_id = 1284, cot_blt_id = 70, cot_pap_id = 12, cot_prc_comum = 48, cot_prc_min = 48, cot_prc_max = 72, cot_prc_med = 57, cot_prc_mediana = 54 WHERE cot_id = 1284;</v>
      </c>
    </row>
    <row r="1286" spans="1:10" x14ac:dyDescent="0.3">
      <c r="A1286">
        <v>1285</v>
      </c>
      <c r="B1286">
        <f>IF('Boletins Nuppa Site'!A1286&lt;&gt;0,'Boletins Nuppa Site'!A1286,"NULL")</f>
        <v>70</v>
      </c>
      <c r="C1286">
        <v>13</v>
      </c>
      <c r="D1286" s="14">
        <f>IF('Boletins Nuppa Site'!G1286&lt;&gt;0,'Boletins Nuppa Site'!G1286,"NULL")</f>
        <v>48</v>
      </c>
      <c r="E1286" s="14">
        <f>IF('Boletins Nuppa Site'!H1286&lt;&gt;0,'Boletins Nuppa Site'!H1286,"NULL")</f>
        <v>36</v>
      </c>
      <c r="F1286" s="14">
        <f>IF('Boletins Nuppa Site'!I1286&lt;&gt;0,'Boletins Nuppa Site'!I1286,"NULL")</f>
        <v>60</v>
      </c>
      <c r="G1286" t="str">
        <f>IF('Boletins Nuppa Site'!J1286&lt;&gt;0,'Boletins Nuppa Site'!J1286,"NULL")</f>
        <v>50.4</v>
      </c>
      <c r="H1286" s="14">
        <f>IF('Boletins Nuppa Site'!K1286&lt;&gt;0,'Boletins Nuppa Site'!K1286,"NULL")</f>
        <v>48</v>
      </c>
      <c r="I1286" t="str">
        <f t="shared" si="40"/>
        <v>INSERT INTO COTACAO (cot_id, cot_blt_id, cot_pap_id, cot_prc_comum, cot_prc_min, cot_prc_max, cot_prc_med, cot_prc_mediana) VALUES (1285, 70, 13, 48, 36, 60, 50.4, 48);</v>
      </c>
      <c r="J1286" t="str">
        <f t="shared" si="41"/>
        <v>UPDATE COTACAO SET cot_id = 1285, cot_blt_id = 70, cot_pap_id = 13, cot_prc_comum = 48, cot_prc_min = 36, cot_prc_max = 60, cot_prc_med = 50.4, cot_prc_mediana = 48 WHERE cot_id = 1285;</v>
      </c>
    </row>
    <row r="1287" spans="1:10" x14ac:dyDescent="0.3">
      <c r="A1287">
        <v>1286</v>
      </c>
      <c r="B1287">
        <f>IF('Boletins Nuppa Site'!A1287&lt;&gt;0,'Boletins Nuppa Site'!A1287,"NULL")</f>
        <v>70</v>
      </c>
      <c r="C1287">
        <v>14</v>
      </c>
      <c r="D1287" s="14">
        <f>IF('Boletins Nuppa Site'!G1287&lt;&gt;0,'Boletins Nuppa Site'!G1287,"NULL")</f>
        <v>60</v>
      </c>
      <c r="E1287" s="14">
        <f>IF('Boletins Nuppa Site'!H1287&lt;&gt;0,'Boletins Nuppa Site'!H1287,"NULL")</f>
        <v>48</v>
      </c>
      <c r="F1287" s="14">
        <f>IF('Boletins Nuppa Site'!I1287&lt;&gt;0,'Boletins Nuppa Site'!I1287,"NULL")</f>
        <v>60</v>
      </c>
      <c r="G1287" s="14">
        <f>IF('Boletins Nuppa Site'!J1287&lt;&gt;0,'Boletins Nuppa Site'!J1287,"NULL")</f>
        <v>54</v>
      </c>
      <c r="H1287" s="14">
        <f>IF('Boletins Nuppa Site'!K1287&lt;&gt;0,'Boletins Nuppa Site'!K1287,"NULL")</f>
        <v>54</v>
      </c>
      <c r="I1287" t="str">
        <f t="shared" si="40"/>
        <v>INSERT INTO COTACAO (cot_id, cot_blt_id, cot_pap_id, cot_prc_comum, cot_prc_min, cot_prc_max, cot_prc_med, cot_prc_mediana) VALUES (1286, 70, 14, 60, 48, 60, 54, 54);</v>
      </c>
      <c r="J1287" t="str">
        <f t="shared" si="41"/>
        <v>UPDATE COTACAO SET cot_id = 1286, cot_blt_id = 70, cot_pap_id = 14, cot_prc_comum = 60, cot_prc_min = 48, cot_prc_max = 60, cot_prc_med = 54, cot_prc_mediana = 54 WHERE cot_id = 1286;</v>
      </c>
    </row>
    <row r="1288" spans="1:10" x14ac:dyDescent="0.3">
      <c r="A1288">
        <v>1287</v>
      </c>
      <c r="B1288">
        <f>IF('Boletins Nuppa Site'!A1288&lt;&gt;0,'Boletins Nuppa Site'!A1288,"NULL")</f>
        <v>70</v>
      </c>
      <c r="C1288">
        <v>15</v>
      </c>
      <c r="D1288" s="14">
        <f>IF('Boletins Nuppa Site'!G1288&lt;&gt;0,'Boletins Nuppa Site'!G1288,"NULL")</f>
        <v>36</v>
      </c>
      <c r="E1288" s="14">
        <f>IF('Boletins Nuppa Site'!H1288&lt;&gt;0,'Boletins Nuppa Site'!H1288,"NULL")</f>
        <v>20</v>
      </c>
      <c r="F1288" s="14">
        <f>IF('Boletins Nuppa Site'!I1288&lt;&gt;0,'Boletins Nuppa Site'!I1288,"NULL")</f>
        <v>36</v>
      </c>
      <c r="G1288" t="str">
        <f>IF('Boletins Nuppa Site'!J1288&lt;&gt;0,'Boletins Nuppa Site'!J1288,"NULL")</f>
        <v>31.6</v>
      </c>
      <c r="H1288" s="14">
        <f>IF('Boletins Nuppa Site'!K1288&lt;&gt;0,'Boletins Nuppa Site'!K1288,"NULL")</f>
        <v>36</v>
      </c>
      <c r="I1288" t="str">
        <f t="shared" si="40"/>
        <v>INSERT INTO COTACAO (cot_id, cot_blt_id, cot_pap_id, cot_prc_comum, cot_prc_min, cot_prc_max, cot_prc_med, cot_prc_mediana) VALUES (1287, 70, 15, 36, 20, 36, 31.6, 36);</v>
      </c>
      <c r="J1288" t="str">
        <f t="shared" si="41"/>
        <v>UPDATE COTACAO SET cot_id = 1287, cot_blt_id = 70, cot_pap_id = 15, cot_prc_comum = 36, cot_prc_min = 20, cot_prc_max = 36, cot_prc_med = 31.6, cot_prc_mediana = 36 WHERE cot_id = 1287;</v>
      </c>
    </row>
    <row r="1289" spans="1:10" x14ac:dyDescent="0.3">
      <c r="A1289">
        <v>1288</v>
      </c>
      <c r="B1289">
        <f>IF('Boletins Nuppa Site'!A1289&lt;&gt;0,'Boletins Nuppa Site'!A1289,"NULL")</f>
        <v>70</v>
      </c>
      <c r="C1289">
        <v>16</v>
      </c>
      <c r="D1289" s="14">
        <f>IF('Boletins Nuppa Site'!G1289&lt;&gt;0,'Boletins Nuppa Site'!G1289,"NULL")</f>
        <v>48</v>
      </c>
      <c r="E1289" s="14">
        <f>IF('Boletins Nuppa Site'!H1289&lt;&gt;0,'Boletins Nuppa Site'!H1289,"NULL")</f>
        <v>48</v>
      </c>
      <c r="F1289" s="14">
        <f>IF('Boletins Nuppa Site'!I1289&lt;&gt;0,'Boletins Nuppa Site'!I1289,"NULL")</f>
        <v>54</v>
      </c>
      <c r="G1289" t="str">
        <f>IF('Boletins Nuppa Site'!J1289&lt;&gt;0,'Boletins Nuppa Site'!J1289,"NULL")</f>
        <v>49.2</v>
      </c>
      <c r="H1289" s="14">
        <f>IF('Boletins Nuppa Site'!K1289&lt;&gt;0,'Boletins Nuppa Site'!K1289,"NULL")</f>
        <v>48</v>
      </c>
      <c r="I1289" t="str">
        <f t="shared" si="40"/>
        <v>INSERT INTO COTACAO (cot_id, cot_blt_id, cot_pap_id, cot_prc_comum, cot_prc_min, cot_prc_max, cot_prc_med, cot_prc_mediana) VALUES (1288, 70, 16, 48, 48, 54, 49.2, 48);</v>
      </c>
      <c r="J1289" t="str">
        <f t="shared" si="41"/>
        <v>UPDATE COTACAO SET cot_id = 1288, cot_blt_id = 70, cot_pap_id = 16, cot_prc_comum = 48, cot_prc_min = 48, cot_prc_max = 54, cot_prc_med = 49.2, cot_prc_mediana = 48 WHERE cot_id = 1288;</v>
      </c>
    </row>
    <row r="1290" spans="1:10" x14ac:dyDescent="0.3">
      <c r="A1290">
        <v>1289</v>
      </c>
      <c r="B1290">
        <f>IF('Boletins Nuppa Site'!A1290&lt;&gt;0,'Boletins Nuppa Site'!A1290,"NULL")</f>
        <v>70</v>
      </c>
      <c r="C1290">
        <v>17</v>
      </c>
      <c r="D1290" s="14">
        <f>IF('Boletins Nuppa Site'!G1290&lt;&gt;0,'Boletins Nuppa Site'!G1290,"NULL")</f>
        <v>5</v>
      </c>
      <c r="E1290" s="14">
        <f>IF('Boletins Nuppa Site'!H1290&lt;&gt;0,'Boletins Nuppa Site'!H1290,"NULL")</f>
        <v>5</v>
      </c>
      <c r="F1290" s="14">
        <f>IF('Boletins Nuppa Site'!I1290&lt;&gt;0,'Boletins Nuppa Site'!I1290,"NULL")</f>
        <v>5</v>
      </c>
      <c r="G1290" s="14">
        <f>IF('Boletins Nuppa Site'!J1290&lt;&gt;0,'Boletins Nuppa Site'!J1290,"NULL")</f>
        <v>5</v>
      </c>
      <c r="H1290" s="14">
        <f>IF('Boletins Nuppa Site'!K1290&lt;&gt;0,'Boletins Nuppa Site'!K1290,"NULL")</f>
        <v>5</v>
      </c>
      <c r="I1290" t="str">
        <f t="shared" si="40"/>
        <v>INSERT INTO COTACAO (cot_id, cot_blt_id, cot_pap_id, cot_prc_comum, cot_prc_min, cot_prc_max, cot_prc_med, cot_prc_mediana) VALUES (1289, 70, 17, 5, 5, 5, 5, 5);</v>
      </c>
      <c r="J1290" t="str">
        <f t="shared" si="41"/>
        <v>UPDATE COTACAO SET cot_id = 1289, cot_blt_id = 70, cot_pap_id = 17, cot_prc_comum = 5, cot_prc_min = 5, cot_prc_max = 5, cot_prc_med = 5, cot_prc_mediana = 5 WHERE cot_id = 1289;</v>
      </c>
    </row>
    <row r="1291" spans="1:10" x14ac:dyDescent="0.3">
      <c r="A1291">
        <v>1290</v>
      </c>
      <c r="B1291">
        <f>IF('Boletins Nuppa Site'!A1291&lt;&gt;0,'Boletins Nuppa Site'!A1291,"NULL")</f>
        <v>70</v>
      </c>
      <c r="C1291">
        <v>18</v>
      </c>
      <c r="D1291" s="14">
        <f>IF('Boletins Nuppa Site'!G1291&lt;&gt;0,'Boletins Nuppa Site'!G1291,"NULL")</f>
        <v>10</v>
      </c>
      <c r="E1291" s="14">
        <f>IF('Boletins Nuppa Site'!H1291&lt;&gt;0,'Boletins Nuppa Site'!H1291,"NULL")</f>
        <v>10</v>
      </c>
      <c r="F1291" s="14">
        <f>IF('Boletins Nuppa Site'!I1291&lt;&gt;0,'Boletins Nuppa Site'!I1291,"NULL")</f>
        <v>12</v>
      </c>
      <c r="G1291" t="str">
        <f>IF('Boletins Nuppa Site'!J1291&lt;&gt;0,'Boletins Nuppa Site'!J1291,"NULL")</f>
        <v>10.4</v>
      </c>
      <c r="H1291" s="14">
        <f>IF('Boletins Nuppa Site'!K1291&lt;&gt;0,'Boletins Nuppa Site'!K1291,"NULL")</f>
        <v>10</v>
      </c>
      <c r="I1291" t="str">
        <f t="shared" si="40"/>
        <v>INSERT INTO COTACAO (cot_id, cot_blt_id, cot_pap_id, cot_prc_comum, cot_prc_min, cot_prc_max, cot_prc_med, cot_prc_mediana) VALUES (1290, 70, 18, 10, 10, 12, 10.4, 10);</v>
      </c>
      <c r="J1291" t="str">
        <f t="shared" si="41"/>
        <v>UPDATE COTACAO SET cot_id = 1290, cot_blt_id = 70, cot_pap_id = 18, cot_prc_comum = 10, cot_prc_min = 10, cot_prc_max = 12, cot_prc_med = 10.4, cot_prc_mediana = 10 WHERE cot_id = 1290;</v>
      </c>
    </row>
    <row r="1292" spans="1:10" x14ac:dyDescent="0.3">
      <c r="A1292">
        <v>1291</v>
      </c>
      <c r="B1292">
        <f>IF('Boletins Nuppa Site'!A1292&lt;&gt;0,'Boletins Nuppa Site'!A1292,"NULL")</f>
        <v>70</v>
      </c>
      <c r="C1292">
        <v>19</v>
      </c>
      <c r="D1292" s="14">
        <f>IF('Boletins Nuppa Site'!G1292&lt;&gt;0,'Boletins Nuppa Site'!G1292,"NULL")</f>
        <v>30</v>
      </c>
      <c r="E1292" s="14">
        <f>IF('Boletins Nuppa Site'!H1292&lt;&gt;0,'Boletins Nuppa Site'!H1292,"NULL")</f>
        <v>15</v>
      </c>
      <c r="F1292" s="14">
        <f>IF('Boletins Nuppa Site'!I1292&lt;&gt;0,'Boletins Nuppa Site'!I1292,"NULL")</f>
        <v>30</v>
      </c>
      <c r="G1292" s="14">
        <f>IF('Boletins Nuppa Site'!J1292&lt;&gt;0,'Boletins Nuppa Site'!J1292,"NULL")</f>
        <v>25</v>
      </c>
      <c r="H1292" s="14">
        <f>IF('Boletins Nuppa Site'!K1292&lt;&gt;0,'Boletins Nuppa Site'!K1292,"NULL")</f>
        <v>30</v>
      </c>
      <c r="I1292" t="str">
        <f t="shared" si="40"/>
        <v>INSERT INTO COTACAO (cot_id, cot_blt_id, cot_pap_id, cot_prc_comum, cot_prc_min, cot_prc_max, cot_prc_med, cot_prc_mediana) VALUES (1291, 70, 19, 30, 15, 30, 25, 30);</v>
      </c>
      <c r="J1292" t="str">
        <f t="shared" si="41"/>
        <v>UPDATE COTACAO SET cot_id = 1291, cot_blt_id = 70, cot_pap_id = 19, cot_prc_comum = 30, cot_prc_min = 15, cot_prc_max = 30, cot_prc_med = 25, cot_prc_mediana = 30 WHERE cot_id = 1291;</v>
      </c>
    </row>
    <row r="1293" spans="1:10" x14ac:dyDescent="0.3">
      <c r="A1293">
        <v>1292</v>
      </c>
      <c r="B1293">
        <f>IF('Boletins Nuppa Site'!A1293&lt;&gt;0,'Boletins Nuppa Site'!A1293,"NULL")</f>
        <v>70</v>
      </c>
      <c r="C1293">
        <v>20</v>
      </c>
      <c r="D1293" t="str">
        <f>IF('Boletins Nuppa Site'!G1293&lt;&gt;0,'Boletins Nuppa Site'!G1293,"NULL")</f>
        <v>NULL</v>
      </c>
      <c r="E1293" s="14">
        <f>IF('Boletins Nuppa Site'!H1293&lt;&gt;0,'Boletins Nuppa Site'!H1293,"NULL")</f>
        <v>70</v>
      </c>
      <c r="F1293" s="14">
        <f>IF('Boletins Nuppa Site'!I1293&lt;&gt;0,'Boletins Nuppa Site'!I1293,"NULL")</f>
        <v>80</v>
      </c>
      <c r="G1293" s="14">
        <f>IF('Boletins Nuppa Site'!J1293&lt;&gt;0,'Boletins Nuppa Site'!J1293,"NULL")</f>
        <v>75</v>
      </c>
      <c r="H1293" s="14">
        <f>IF('Boletins Nuppa Site'!K1293&lt;&gt;0,'Boletins Nuppa Site'!K1293,"NULL")</f>
        <v>75</v>
      </c>
      <c r="I1293" t="str">
        <f t="shared" si="40"/>
        <v>INSERT INTO COTACAO (cot_id, cot_blt_id, cot_pap_id, cot_prc_comum, cot_prc_min, cot_prc_max, cot_prc_med, cot_prc_mediana) VALUES (1292, 70, 20, NULL, 70, 80, 75, 75);</v>
      </c>
      <c r="J1293" t="str">
        <f t="shared" si="41"/>
        <v>UPDATE COTACAO SET cot_id = 1292, cot_blt_id = 70, cot_pap_id = 20, cot_prc_comum = NULL, cot_prc_min = 70, cot_prc_max = 80, cot_prc_med = 75, cot_prc_mediana = 75 WHERE cot_id = 1292;</v>
      </c>
    </row>
    <row r="1294" spans="1:10" x14ac:dyDescent="0.3">
      <c r="A1294">
        <v>1293</v>
      </c>
      <c r="B1294">
        <f>IF('Boletins Nuppa Site'!A1294&lt;&gt;0,'Boletins Nuppa Site'!A1294,"NULL")</f>
        <v>70</v>
      </c>
      <c r="C1294">
        <v>21</v>
      </c>
      <c r="D1294" s="14">
        <f>IF('Boletins Nuppa Site'!G1294&lt;&gt;0,'Boletins Nuppa Site'!G1294,"NULL")</f>
        <v>40</v>
      </c>
      <c r="E1294" s="14">
        <f>IF('Boletins Nuppa Site'!H1294&lt;&gt;0,'Boletins Nuppa Site'!H1294,"NULL")</f>
        <v>40</v>
      </c>
      <c r="F1294" s="14">
        <f>IF('Boletins Nuppa Site'!I1294&lt;&gt;0,'Boletins Nuppa Site'!I1294,"NULL")</f>
        <v>50</v>
      </c>
      <c r="G1294" s="14">
        <f>IF('Boletins Nuppa Site'!J1294&lt;&gt;0,'Boletins Nuppa Site'!J1294,"NULL")</f>
        <v>45</v>
      </c>
      <c r="H1294" s="14">
        <f>IF('Boletins Nuppa Site'!K1294&lt;&gt;0,'Boletins Nuppa Site'!K1294,"NULL")</f>
        <v>45</v>
      </c>
      <c r="I1294" t="str">
        <f t="shared" si="40"/>
        <v>INSERT INTO COTACAO (cot_id, cot_blt_id, cot_pap_id, cot_prc_comum, cot_prc_min, cot_prc_max, cot_prc_med, cot_prc_mediana) VALUES (1293, 70, 21, 40, 40, 50, 45, 45);</v>
      </c>
      <c r="J1294" t="str">
        <f t="shared" si="41"/>
        <v>UPDATE COTACAO SET cot_id = 1293, cot_blt_id = 70, cot_pap_id = 21, cot_prc_comum = 40, cot_prc_min = 40, cot_prc_max = 50, cot_prc_med = 45, cot_prc_mediana = 45 WHERE cot_id = 1293;</v>
      </c>
    </row>
    <row r="1295" spans="1:10" x14ac:dyDescent="0.3">
      <c r="A1295">
        <v>1294</v>
      </c>
      <c r="B1295">
        <f>IF('Boletins Nuppa Site'!A1295&lt;&gt;0,'Boletins Nuppa Site'!A1295,"NULL")</f>
        <v>70</v>
      </c>
      <c r="C1295">
        <v>22</v>
      </c>
      <c r="D1295" s="14">
        <f>IF('Boletins Nuppa Site'!G1295&lt;&gt;0,'Boletins Nuppa Site'!G1295,"NULL")</f>
        <v>70</v>
      </c>
      <c r="E1295" s="14">
        <f>IF('Boletins Nuppa Site'!H1295&lt;&gt;0,'Boletins Nuppa Site'!H1295,"NULL")</f>
        <v>45</v>
      </c>
      <c r="F1295" s="14">
        <f>IF('Boletins Nuppa Site'!I1295&lt;&gt;0,'Boletins Nuppa Site'!I1295,"NULL")</f>
        <v>70</v>
      </c>
      <c r="G1295" t="str">
        <f>IF('Boletins Nuppa Site'!J1295&lt;&gt;0,'Boletins Nuppa Site'!J1295,"NULL")</f>
        <v>58.33</v>
      </c>
      <c r="H1295" t="str">
        <f>IF('Boletins Nuppa Site'!K1295&lt;&gt;0,'Boletins Nuppa Site'!K1295,"NULL")</f>
        <v>57.5</v>
      </c>
      <c r="I1295" t="str">
        <f t="shared" si="40"/>
        <v>INSERT INTO COTACAO (cot_id, cot_blt_id, cot_pap_id, cot_prc_comum, cot_prc_min, cot_prc_max, cot_prc_med, cot_prc_mediana) VALUES (1294, 70, 22, 70, 45, 70, 58.33, 57.5);</v>
      </c>
      <c r="J1295" t="str">
        <f t="shared" si="41"/>
        <v>UPDATE COTACAO SET cot_id = 1294, cot_blt_id = 70, cot_pap_id = 22, cot_prc_comum = 70, cot_prc_min = 45, cot_prc_max = 70, cot_prc_med = 58.33, cot_prc_mediana = 57.5 WHERE cot_id = 1294;</v>
      </c>
    </row>
    <row r="1296" spans="1:10" x14ac:dyDescent="0.3">
      <c r="A1296">
        <v>1295</v>
      </c>
      <c r="B1296">
        <f>IF('Boletins Nuppa Site'!A1296&lt;&gt;0,'Boletins Nuppa Site'!A1296,"NULL")</f>
        <v>70</v>
      </c>
      <c r="C1296">
        <v>23</v>
      </c>
      <c r="D1296" s="14">
        <f>IF('Boletins Nuppa Site'!G1296&lt;&gt;0,'Boletins Nuppa Site'!G1296,"NULL")</f>
        <v>50</v>
      </c>
      <c r="E1296" s="14">
        <f>IF('Boletins Nuppa Site'!H1296&lt;&gt;0,'Boletins Nuppa Site'!H1296,"NULL")</f>
        <v>50</v>
      </c>
      <c r="F1296" s="14">
        <f>IF('Boletins Nuppa Site'!I1296&lt;&gt;0,'Boletins Nuppa Site'!I1296,"NULL")</f>
        <v>90</v>
      </c>
      <c r="G1296" s="14">
        <f>IF('Boletins Nuppa Site'!J1296&lt;&gt;0,'Boletins Nuppa Site'!J1296,"NULL")</f>
        <v>59</v>
      </c>
      <c r="H1296" s="14">
        <f>IF('Boletins Nuppa Site'!K1296&lt;&gt;0,'Boletins Nuppa Site'!K1296,"NULL")</f>
        <v>50</v>
      </c>
      <c r="I1296" t="str">
        <f t="shared" si="40"/>
        <v>INSERT INTO COTACAO (cot_id, cot_blt_id, cot_pap_id, cot_prc_comum, cot_prc_min, cot_prc_max, cot_prc_med, cot_prc_mediana) VALUES (1295, 70, 23, 50, 50, 90, 59, 50);</v>
      </c>
      <c r="J1296" t="str">
        <f t="shared" si="41"/>
        <v>UPDATE COTACAO SET cot_id = 1295, cot_blt_id = 70, cot_pap_id = 23, cot_prc_comum = 50, cot_prc_min = 50, cot_prc_max = 90, cot_prc_med = 59, cot_prc_mediana = 50 WHERE cot_id = 1295;</v>
      </c>
    </row>
    <row r="1297" spans="1:10" x14ac:dyDescent="0.3">
      <c r="A1297">
        <v>1296</v>
      </c>
      <c r="B1297">
        <f>IF('Boletins Nuppa Site'!A1297&lt;&gt;0,'Boletins Nuppa Site'!A1297,"NULL")</f>
        <v>70</v>
      </c>
      <c r="C1297">
        <v>24</v>
      </c>
      <c r="D1297" t="str">
        <f>IF('Boletins Nuppa Site'!G1297&lt;&gt;0,'Boletins Nuppa Site'!G1297,"NULL")</f>
        <v>NULL</v>
      </c>
      <c r="E1297" s="14">
        <f>IF('Boletins Nuppa Site'!H1297&lt;&gt;0,'Boletins Nuppa Site'!H1297,"NULL")</f>
        <v>45</v>
      </c>
      <c r="F1297" s="14">
        <f>IF('Boletins Nuppa Site'!I1297&lt;&gt;0,'Boletins Nuppa Site'!I1297,"NULL")</f>
        <v>100</v>
      </c>
      <c r="G1297" t="str">
        <f>IF('Boletins Nuppa Site'!J1297&lt;&gt;0,'Boletins Nuppa Site'!J1297,"NULL")</f>
        <v>78.33</v>
      </c>
      <c r="H1297" s="14">
        <f>IF('Boletins Nuppa Site'!K1297&lt;&gt;0,'Boletins Nuppa Site'!K1297,"NULL")</f>
        <v>90</v>
      </c>
      <c r="I1297" t="str">
        <f t="shared" si="40"/>
        <v>INSERT INTO COTACAO (cot_id, cot_blt_id, cot_pap_id, cot_prc_comum, cot_prc_min, cot_prc_max, cot_prc_med, cot_prc_mediana) VALUES (1296, 70, 24, NULL, 45, 100, 78.33, 90);</v>
      </c>
      <c r="J1297" t="str">
        <f t="shared" si="41"/>
        <v>UPDATE COTACAO SET cot_id = 1296, cot_blt_id = 70, cot_pap_id = 24, cot_prc_comum = NULL, cot_prc_min = 45, cot_prc_max = 100, cot_prc_med = 78.33, cot_prc_mediana = 90 WHERE cot_id = 1296;</v>
      </c>
    </row>
    <row r="1298" spans="1:10" x14ac:dyDescent="0.3">
      <c r="A1298">
        <v>1297</v>
      </c>
      <c r="B1298">
        <f>IF('Boletins Nuppa Site'!A1298&lt;&gt;0,'Boletins Nuppa Site'!A1298,"NULL")</f>
        <v>70</v>
      </c>
      <c r="C1298">
        <v>25</v>
      </c>
      <c r="D1298" s="14">
        <f>IF('Boletins Nuppa Site'!G1298&lt;&gt;0,'Boletins Nuppa Site'!G1298,"NULL")</f>
        <v>60</v>
      </c>
      <c r="E1298" s="14">
        <f>IF('Boletins Nuppa Site'!H1298&lt;&gt;0,'Boletins Nuppa Site'!H1298,"NULL")</f>
        <v>60</v>
      </c>
      <c r="F1298" s="14">
        <f>IF('Boletins Nuppa Site'!I1298&lt;&gt;0,'Boletins Nuppa Site'!I1298,"NULL")</f>
        <v>70</v>
      </c>
      <c r="G1298" t="str">
        <f>IF('Boletins Nuppa Site'!J1298&lt;&gt;0,'Boletins Nuppa Site'!J1298,"NULL")</f>
        <v>64.17</v>
      </c>
      <c r="H1298" t="str">
        <f>IF('Boletins Nuppa Site'!K1298&lt;&gt;0,'Boletins Nuppa Site'!K1298,"NULL")</f>
        <v>62.5</v>
      </c>
      <c r="I1298" t="str">
        <f t="shared" si="40"/>
        <v>INSERT INTO COTACAO (cot_id, cot_blt_id, cot_pap_id, cot_prc_comum, cot_prc_min, cot_prc_max, cot_prc_med, cot_prc_mediana) VALUES (1297, 70, 25, 60, 60, 70, 64.17, 62.5);</v>
      </c>
      <c r="J1298" t="str">
        <f t="shared" si="41"/>
        <v>UPDATE COTACAO SET cot_id = 1297, cot_blt_id = 70, cot_pap_id = 25, cot_prc_comum = 60, cot_prc_min = 60, cot_prc_max = 70, cot_prc_med = 64.17, cot_prc_mediana = 62.5 WHERE cot_id = 1297;</v>
      </c>
    </row>
    <row r="1299" spans="1:10" x14ac:dyDescent="0.3">
      <c r="A1299">
        <v>1298</v>
      </c>
      <c r="B1299">
        <f>IF('Boletins Nuppa Site'!A1299&lt;&gt;0,'Boletins Nuppa Site'!A1299,"NULL")</f>
        <v>70</v>
      </c>
      <c r="C1299">
        <v>26</v>
      </c>
      <c r="D1299" s="14">
        <f>IF('Boletins Nuppa Site'!G1299&lt;&gt;0,'Boletins Nuppa Site'!G1299,"NULL")</f>
        <v>55</v>
      </c>
      <c r="E1299" s="14">
        <f>IF('Boletins Nuppa Site'!H1299&lt;&gt;0,'Boletins Nuppa Site'!H1299,"NULL")</f>
        <v>40</v>
      </c>
      <c r="F1299" s="14">
        <f>IF('Boletins Nuppa Site'!I1299&lt;&gt;0,'Boletins Nuppa Site'!I1299,"NULL")</f>
        <v>60</v>
      </c>
      <c r="G1299" t="str">
        <f>IF('Boletins Nuppa Site'!J1299&lt;&gt;0,'Boletins Nuppa Site'!J1299,"NULL")</f>
        <v>50.83</v>
      </c>
      <c r="H1299" t="str">
        <f>IF('Boletins Nuppa Site'!K1299&lt;&gt;0,'Boletins Nuppa Site'!K1299,"NULL")</f>
        <v>52.5</v>
      </c>
      <c r="I1299" t="str">
        <f t="shared" si="40"/>
        <v>INSERT INTO COTACAO (cot_id, cot_blt_id, cot_pap_id, cot_prc_comum, cot_prc_min, cot_prc_max, cot_prc_med, cot_prc_mediana) VALUES (1298, 70, 26, 55, 40, 60, 50.83, 52.5);</v>
      </c>
      <c r="J1299" t="str">
        <f t="shared" si="41"/>
        <v>UPDATE COTACAO SET cot_id = 1298, cot_blt_id = 70, cot_pap_id = 26, cot_prc_comum = 55, cot_prc_min = 40, cot_prc_max = 60, cot_prc_med = 50.83, cot_prc_mediana = 52.5 WHERE cot_id = 1298;</v>
      </c>
    </row>
    <row r="1300" spans="1:10" x14ac:dyDescent="0.3">
      <c r="A1300">
        <v>1299</v>
      </c>
      <c r="B1300">
        <f>IF('Boletins Nuppa Site'!A1300&lt;&gt;0,'Boletins Nuppa Site'!A1300,"NULL")</f>
        <v>70</v>
      </c>
      <c r="C1300">
        <v>27</v>
      </c>
      <c r="D1300" s="14">
        <f>IF('Boletins Nuppa Site'!G1300&lt;&gt;0,'Boletins Nuppa Site'!G1300,"NULL")</f>
        <v>60</v>
      </c>
      <c r="E1300" s="14">
        <f>IF('Boletins Nuppa Site'!H1300&lt;&gt;0,'Boletins Nuppa Site'!H1300,"NULL")</f>
        <v>50</v>
      </c>
      <c r="F1300" s="14">
        <f>IF('Boletins Nuppa Site'!I1300&lt;&gt;0,'Boletins Nuppa Site'!I1300,"NULL")</f>
        <v>70</v>
      </c>
      <c r="G1300" t="str">
        <f>IF('Boletins Nuppa Site'!J1300&lt;&gt;0,'Boletins Nuppa Site'!J1300,"NULL")</f>
        <v>62.5</v>
      </c>
      <c r="H1300" t="str">
        <f>IF('Boletins Nuppa Site'!K1300&lt;&gt;0,'Boletins Nuppa Site'!K1300,"NULL")</f>
        <v>62.5</v>
      </c>
      <c r="I1300" t="str">
        <f t="shared" si="40"/>
        <v>INSERT INTO COTACAO (cot_id, cot_blt_id, cot_pap_id, cot_prc_comum, cot_prc_min, cot_prc_max, cot_prc_med, cot_prc_mediana) VALUES (1299, 70, 27, 60, 50, 70, 62.5, 62.5);</v>
      </c>
      <c r="J1300" t="str">
        <f t="shared" si="41"/>
        <v>UPDATE COTACAO SET cot_id = 1299, cot_blt_id = 70, cot_pap_id = 27, cot_prc_comum = 60, cot_prc_min = 50, cot_prc_max = 70, cot_prc_med = 62.5, cot_prc_mediana = 62.5 WHERE cot_id = 1299;</v>
      </c>
    </row>
    <row r="1301" spans="1:10" x14ac:dyDescent="0.3">
      <c r="A1301">
        <v>1300</v>
      </c>
      <c r="B1301">
        <f>IF('Boletins Nuppa Site'!A1301&lt;&gt;0,'Boletins Nuppa Site'!A1301,"NULL")</f>
        <v>70</v>
      </c>
      <c r="C1301">
        <v>28</v>
      </c>
      <c r="D1301" s="14">
        <f>IF('Boletins Nuppa Site'!G1301&lt;&gt;0,'Boletins Nuppa Site'!G1301,"NULL")</f>
        <v>100</v>
      </c>
      <c r="E1301" s="14">
        <f>IF('Boletins Nuppa Site'!H1301&lt;&gt;0,'Boletins Nuppa Site'!H1301,"NULL")</f>
        <v>80</v>
      </c>
      <c r="F1301" s="14">
        <f>IF('Boletins Nuppa Site'!I1301&lt;&gt;0,'Boletins Nuppa Site'!I1301,"NULL")</f>
        <v>120</v>
      </c>
      <c r="G1301" s="14">
        <f>IF('Boletins Nuppa Site'!J1301&lt;&gt;0,'Boletins Nuppa Site'!J1301,"NULL")</f>
        <v>98</v>
      </c>
      <c r="H1301" s="14">
        <f>IF('Boletins Nuppa Site'!K1301&lt;&gt;0,'Boletins Nuppa Site'!K1301,"NULL")</f>
        <v>100</v>
      </c>
      <c r="I1301" t="str">
        <f t="shared" si="40"/>
        <v>INSERT INTO COTACAO (cot_id, cot_blt_id, cot_pap_id, cot_prc_comum, cot_prc_min, cot_prc_max, cot_prc_med, cot_prc_mediana) VALUES (1300, 70, 28, 100, 80, 120, 98, 100);</v>
      </c>
      <c r="J1301" t="str">
        <f t="shared" si="41"/>
        <v>UPDATE COTACAO SET cot_id = 1300, cot_blt_id = 70, cot_pap_id = 28, cot_prc_comum = 100, cot_prc_min = 80, cot_prc_max = 120, cot_prc_med = 98, cot_prc_mediana = 100 WHERE cot_id = 1300;</v>
      </c>
    </row>
    <row r="1302" spans="1:10" x14ac:dyDescent="0.3">
      <c r="A1302">
        <v>1301</v>
      </c>
      <c r="B1302">
        <f>IF('Boletins Nuppa Site'!A1302&lt;&gt;0,'Boletins Nuppa Site'!A1302,"NULL")</f>
        <v>70</v>
      </c>
      <c r="C1302">
        <v>29</v>
      </c>
      <c r="D1302" t="str">
        <f>IF('Boletins Nuppa Site'!G1302&lt;&gt;0,'Boletins Nuppa Site'!G1302,"NULL")</f>
        <v>NULL</v>
      </c>
      <c r="E1302" s="14">
        <f>IF('Boletins Nuppa Site'!H1302&lt;&gt;0,'Boletins Nuppa Site'!H1302,"NULL")</f>
        <v>40</v>
      </c>
      <c r="F1302" s="14">
        <f>IF('Boletins Nuppa Site'!I1302&lt;&gt;0,'Boletins Nuppa Site'!I1302,"NULL")</f>
        <v>50</v>
      </c>
      <c r="G1302" s="14">
        <f>IF('Boletins Nuppa Site'!J1302&lt;&gt;0,'Boletins Nuppa Site'!J1302,"NULL")</f>
        <v>45</v>
      </c>
      <c r="H1302" s="14">
        <f>IF('Boletins Nuppa Site'!K1302&lt;&gt;0,'Boletins Nuppa Site'!K1302,"NULL")</f>
        <v>45</v>
      </c>
      <c r="I1302" t="str">
        <f t="shared" si="40"/>
        <v>INSERT INTO COTACAO (cot_id, cot_blt_id, cot_pap_id, cot_prc_comum, cot_prc_min, cot_prc_max, cot_prc_med, cot_prc_mediana) VALUES (1301, 70, 29, NULL, 40, 50, 45, 45);</v>
      </c>
      <c r="J1302" t="str">
        <f t="shared" si="41"/>
        <v>UPDATE COTACAO SET cot_id = 1301, cot_blt_id = 70, cot_pap_id = 29, cot_prc_comum = NULL, cot_prc_min = 40, cot_prc_max = 50, cot_prc_med = 45, cot_prc_mediana = 45 WHERE cot_id = 1301;</v>
      </c>
    </row>
    <row r="1303" spans="1:10" x14ac:dyDescent="0.3">
      <c r="A1303">
        <v>1302</v>
      </c>
      <c r="B1303">
        <f>IF('Boletins Nuppa Site'!A1303&lt;&gt;0,'Boletins Nuppa Site'!A1303,"NULL")</f>
        <v>70</v>
      </c>
      <c r="C1303">
        <v>30</v>
      </c>
      <c r="D1303" s="14">
        <f>IF('Boletins Nuppa Site'!G1303&lt;&gt;0,'Boletins Nuppa Site'!G1303,"NULL")</f>
        <v>100</v>
      </c>
      <c r="E1303" s="14">
        <f>IF('Boletins Nuppa Site'!H1303&lt;&gt;0,'Boletins Nuppa Site'!H1303,"NULL")</f>
        <v>90</v>
      </c>
      <c r="F1303" s="14">
        <f>IF('Boletins Nuppa Site'!I1303&lt;&gt;0,'Boletins Nuppa Site'!I1303,"NULL")</f>
        <v>100</v>
      </c>
      <c r="G1303" t="str">
        <f>IF('Boletins Nuppa Site'!J1303&lt;&gt;0,'Boletins Nuppa Site'!J1303,"NULL")</f>
        <v>96.67</v>
      </c>
      <c r="H1303" s="14">
        <f>IF('Boletins Nuppa Site'!K1303&lt;&gt;0,'Boletins Nuppa Site'!K1303,"NULL")</f>
        <v>100</v>
      </c>
      <c r="I1303" t="str">
        <f t="shared" si="40"/>
        <v>INSERT INTO COTACAO (cot_id, cot_blt_id, cot_pap_id, cot_prc_comum, cot_prc_min, cot_prc_max, cot_prc_med, cot_prc_mediana) VALUES (1302, 70, 30, 100, 90, 100, 96.67, 100);</v>
      </c>
      <c r="J1303" t="str">
        <f t="shared" si="41"/>
        <v>UPDATE COTACAO SET cot_id = 1302, cot_blt_id = 70, cot_pap_id = 30, cot_prc_comum = 100, cot_prc_min = 90, cot_prc_max = 100, cot_prc_med = 96.67, cot_prc_mediana = 100 WHERE cot_id = 1302;</v>
      </c>
    </row>
    <row r="1304" spans="1:10" x14ac:dyDescent="0.3">
      <c r="A1304">
        <v>1303</v>
      </c>
      <c r="B1304">
        <f>IF('Boletins Nuppa Site'!A1304&lt;&gt;0,'Boletins Nuppa Site'!A1304,"NULL")</f>
        <v>70</v>
      </c>
      <c r="C1304">
        <v>31</v>
      </c>
      <c r="D1304" s="14">
        <f>IF('Boletins Nuppa Site'!G1304&lt;&gt;0,'Boletins Nuppa Site'!G1304,"NULL")</f>
        <v>140</v>
      </c>
      <c r="E1304" s="14">
        <f>IF('Boletins Nuppa Site'!H1304&lt;&gt;0,'Boletins Nuppa Site'!H1304,"NULL")</f>
        <v>80</v>
      </c>
      <c r="F1304" s="14">
        <f>IF('Boletins Nuppa Site'!I1304&lt;&gt;0,'Boletins Nuppa Site'!I1304,"NULL")</f>
        <v>140</v>
      </c>
      <c r="G1304" t="str">
        <f>IF('Boletins Nuppa Site'!J1304&lt;&gt;0,'Boletins Nuppa Site'!J1304,"NULL")</f>
        <v>121.67</v>
      </c>
      <c r="H1304" s="14">
        <f>IF('Boletins Nuppa Site'!K1304&lt;&gt;0,'Boletins Nuppa Site'!K1304,"NULL")</f>
        <v>135</v>
      </c>
      <c r="I1304" t="str">
        <f t="shared" si="40"/>
        <v>INSERT INTO COTACAO (cot_id, cot_blt_id, cot_pap_id, cot_prc_comum, cot_prc_min, cot_prc_max, cot_prc_med, cot_prc_mediana) VALUES (1303, 70, 31, 140, 80, 140, 121.67, 135);</v>
      </c>
      <c r="J1304" t="str">
        <f t="shared" si="41"/>
        <v>UPDATE COTACAO SET cot_id = 1303, cot_blt_id = 70, cot_pap_id = 31, cot_prc_comum = 140, cot_prc_min = 80, cot_prc_max = 140, cot_prc_med = 121.67, cot_prc_mediana = 135 WHERE cot_id = 1303;</v>
      </c>
    </row>
    <row r="1305" spans="1:10" x14ac:dyDescent="0.3">
      <c r="A1305">
        <v>1304</v>
      </c>
      <c r="B1305">
        <f>IF('Boletins Nuppa Site'!A1305&lt;&gt;0,'Boletins Nuppa Site'!A1305,"NULL")</f>
        <v>70</v>
      </c>
      <c r="C1305">
        <v>32</v>
      </c>
      <c r="D1305" s="14">
        <f>IF('Boletins Nuppa Site'!G1305&lt;&gt;0,'Boletins Nuppa Site'!G1305,"NULL")</f>
        <v>50</v>
      </c>
      <c r="E1305" s="14">
        <f>IF('Boletins Nuppa Site'!H1305&lt;&gt;0,'Boletins Nuppa Site'!H1305,"NULL")</f>
        <v>50</v>
      </c>
      <c r="F1305" s="14">
        <f>IF('Boletins Nuppa Site'!I1305&lt;&gt;0,'Boletins Nuppa Site'!I1305,"NULL")</f>
        <v>80</v>
      </c>
      <c r="G1305" t="str">
        <f>IF('Boletins Nuppa Site'!J1305&lt;&gt;0,'Boletins Nuppa Site'!J1305,"NULL")</f>
        <v>55.83</v>
      </c>
      <c r="H1305" s="14">
        <f>IF('Boletins Nuppa Site'!K1305&lt;&gt;0,'Boletins Nuppa Site'!K1305,"NULL")</f>
        <v>50</v>
      </c>
      <c r="I1305" t="str">
        <f t="shared" si="40"/>
        <v>INSERT INTO COTACAO (cot_id, cot_blt_id, cot_pap_id, cot_prc_comum, cot_prc_min, cot_prc_max, cot_prc_med, cot_prc_mediana) VALUES (1304, 70, 32, 50, 50, 80, 55.83, 50);</v>
      </c>
      <c r="J1305" t="str">
        <f t="shared" si="41"/>
        <v>UPDATE COTACAO SET cot_id = 1304, cot_blt_id = 70, cot_pap_id = 32, cot_prc_comum = 50, cot_prc_min = 50, cot_prc_max = 80, cot_prc_med = 55.83, cot_prc_mediana = 50 WHERE cot_id = 1304;</v>
      </c>
    </row>
    <row r="1306" spans="1:10" x14ac:dyDescent="0.3">
      <c r="A1306">
        <v>1305</v>
      </c>
      <c r="B1306">
        <f>IF('Boletins Nuppa Site'!A1306&lt;&gt;0,'Boletins Nuppa Site'!A1306,"NULL")</f>
        <v>70</v>
      </c>
      <c r="C1306">
        <v>33</v>
      </c>
      <c r="D1306" s="14">
        <f>IF('Boletins Nuppa Site'!G1306&lt;&gt;0,'Boletins Nuppa Site'!G1306,"NULL")</f>
        <v>140</v>
      </c>
      <c r="E1306" s="14">
        <f>IF('Boletins Nuppa Site'!H1306&lt;&gt;0,'Boletins Nuppa Site'!H1306,"NULL")</f>
        <v>50</v>
      </c>
      <c r="F1306" s="14">
        <f>IF('Boletins Nuppa Site'!I1306&lt;&gt;0,'Boletins Nuppa Site'!I1306,"NULL")</f>
        <v>150</v>
      </c>
      <c r="G1306" t="str">
        <f>IF('Boletins Nuppa Site'!J1306&lt;&gt;0,'Boletins Nuppa Site'!J1306,"NULL")</f>
        <v>123.33</v>
      </c>
      <c r="H1306" s="14">
        <f>IF('Boletins Nuppa Site'!K1306&lt;&gt;0,'Boletins Nuppa Site'!K1306,"NULL")</f>
        <v>135</v>
      </c>
      <c r="I1306" t="str">
        <f t="shared" si="40"/>
        <v>INSERT INTO COTACAO (cot_id, cot_blt_id, cot_pap_id, cot_prc_comum, cot_prc_min, cot_prc_max, cot_prc_med, cot_prc_mediana) VALUES (1305, 70, 33, 140, 50, 150, 123.33, 135);</v>
      </c>
      <c r="J1306" t="str">
        <f t="shared" si="41"/>
        <v>UPDATE COTACAO SET cot_id = 1305, cot_blt_id = 70, cot_pap_id = 33, cot_prc_comum = 140, cot_prc_min = 50, cot_prc_max = 150, cot_prc_med = 123.33, cot_prc_mediana = 135 WHERE cot_id = 1305;</v>
      </c>
    </row>
    <row r="1307" spans="1:10" x14ac:dyDescent="0.3">
      <c r="A1307">
        <v>1306</v>
      </c>
      <c r="B1307">
        <f>IF('Boletins Nuppa Site'!A1307&lt;&gt;0,'Boletins Nuppa Site'!A1307,"NULL")</f>
        <v>70</v>
      </c>
      <c r="C1307">
        <v>34</v>
      </c>
      <c r="D1307" s="14">
        <f>IF('Boletins Nuppa Site'!G1307&lt;&gt;0,'Boletins Nuppa Site'!G1307,"NULL")</f>
        <v>70</v>
      </c>
      <c r="E1307" s="14">
        <f>IF('Boletins Nuppa Site'!H1307&lt;&gt;0,'Boletins Nuppa Site'!H1307,"NULL")</f>
        <v>50</v>
      </c>
      <c r="F1307" s="14">
        <f>IF('Boletins Nuppa Site'!I1307&lt;&gt;0,'Boletins Nuppa Site'!I1307,"NULL")</f>
        <v>80</v>
      </c>
      <c r="G1307" s="14">
        <f>IF('Boletins Nuppa Site'!J1307&lt;&gt;0,'Boletins Nuppa Site'!J1307,"NULL")</f>
        <v>65</v>
      </c>
      <c r="H1307" t="str">
        <f>IF('Boletins Nuppa Site'!K1307&lt;&gt;0,'Boletins Nuppa Site'!K1307,"NULL")</f>
        <v>67.5</v>
      </c>
      <c r="I1307" t="str">
        <f t="shared" si="40"/>
        <v>INSERT INTO COTACAO (cot_id, cot_blt_id, cot_pap_id, cot_prc_comum, cot_prc_min, cot_prc_max, cot_prc_med, cot_prc_mediana) VALUES (1306, 70, 34, 70, 50, 80, 65, 67.5);</v>
      </c>
      <c r="J1307" t="str">
        <f t="shared" si="41"/>
        <v>UPDATE COTACAO SET cot_id = 1306, cot_blt_id = 70, cot_pap_id = 34, cot_prc_comum = 70, cot_prc_min = 50, cot_prc_max = 80, cot_prc_med = 65, cot_prc_mediana = 67.5 WHERE cot_id = 1306;</v>
      </c>
    </row>
    <row r="1308" spans="1:10" x14ac:dyDescent="0.3">
      <c r="A1308">
        <v>1307</v>
      </c>
      <c r="B1308">
        <f>IF('Boletins Nuppa Site'!A1308&lt;&gt;0,'Boletins Nuppa Site'!A1308,"NULL")</f>
        <v>70</v>
      </c>
      <c r="C1308">
        <v>35</v>
      </c>
      <c r="D1308" s="14">
        <f>IF('Boletins Nuppa Site'!G1308&lt;&gt;0,'Boletins Nuppa Site'!G1308,"NULL")</f>
        <v>130</v>
      </c>
      <c r="E1308" s="14">
        <f>IF('Boletins Nuppa Site'!H1308&lt;&gt;0,'Boletins Nuppa Site'!H1308,"NULL")</f>
        <v>120</v>
      </c>
      <c r="F1308" s="14">
        <f>IF('Boletins Nuppa Site'!I1308&lt;&gt;0,'Boletins Nuppa Site'!I1308,"NULL")</f>
        <v>150</v>
      </c>
      <c r="G1308" s="14">
        <f>IF('Boletins Nuppa Site'!J1308&lt;&gt;0,'Boletins Nuppa Site'!J1308,"NULL")</f>
        <v>130</v>
      </c>
      <c r="H1308" s="14">
        <f>IF('Boletins Nuppa Site'!K1308&lt;&gt;0,'Boletins Nuppa Site'!K1308,"NULL")</f>
        <v>130</v>
      </c>
      <c r="I1308" t="str">
        <f t="shared" si="40"/>
        <v>INSERT INTO COTACAO (cot_id, cot_blt_id, cot_pap_id, cot_prc_comum, cot_prc_min, cot_prc_max, cot_prc_med, cot_prc_mediana) VALUES (1307, 70, 35, 130, 120, 150, 130, 130);</v>
      </c>
      <c r="J1308" t="str">
        <f t="shared" si="41"/>
        <v>UPDATE COTACAO SET cot_id = 1307, cot_blt_id = 70, cot_pap_id = 35, cot_prc_comum = 130, cot_prc_min = 120, cot_prc_max = 150, cot_prc_med = 130, cot_prc_mediana = 130 WHERE cot_id = 1307;</v>
      </c>
    </row>
    <row r="1309" spans="1:10" x14ac:dyDescent="0.3">
      <c r="A1309">
        <v>1308</v>
      </c>
      <c r="B1309">
        <f>IF('Boletins Nuppa Site'!A1309&lt;&gt;0,'Boletins Nuppa Site'!A1309,"NULL")</f>
        <v>70</v>
      </c>
      <c r="C1309">
        <v>36</v>
      </c>
      <c r="D1309" t="str">
        <f>IF('Boletins Nuppa Site'!G1309&lt;&gt;0,'Boletins Nuppa Site'!G1309,"NULL")</f>
        <v>NULL</v>
      </c>
      <c r="E1309" t="str">
        <f>IF('Boletins Nuppa Site'!H1309&lt;&gt;0,'Boletins Nuppa Site'!H1309,"NULL")</f>
        <v>NULL</v>
      </c>
      <c r="F1309" t="str">
        <f>IF('Boletins Nuppa Site'!I1309&lt;&gt;0,'Boletins Nuppa Site'!I1309,"NULL")</f>
        <v>NULL</v>
      </c>
      <c r="G1309" t="str">
        <f>IF('Boletins Nuppa Site'!J1309&lt;&gt;0,'Boletins Nuppa Site'!J1309,"NULL")</f>
        <v>NULL</v>
      </c>
      <c r="H1309" t="str">
        <f>IF('Boletins Nuppa Site'!K1309&lt;&gt;0,'Boletins Nuppa Site'!K1309,"NULL")</f>
        <v>NULL</v>
      </c>
      <c r="I1309" t="str">
        <f t="shared" si="40"/>
        <v>INSERT INTO COTACAO (cot_id, cot_blt_id, cot_pap_id, cot_prc_comum, cot_prc_min, cot_prc_max, cot_prc_med, cot_prc_mediana) VALUES (1308, 70, 36, NULL, NULL, NULL, NULL, NULL);</v>
      </c>
      <c r="J1309" t="str">
        <f t="shared" si="41"/>
        <v>UPDATE COTACAO SET cot_id = 1308, cot_blt_id = 70, cot_pap_id = 36, cot_prc_comum = NULL, cot_prc_min = NULL, cot_prc_max = NULL, cot_prc_med = NULL, cot_prc_mediana = NULL WHERE cot_id = 1308;</v>
      </c>
    </row>
    <row r="1310" spans="1:10" x14ac:dyDescent="0.3">
      <c r="A1310">
        <v>1309</v>
      </c>
      <c r="B1310">
        <f>IF('Boletins Nuppa Site'!A1310&lt;&gt;0,'Boletins Nuppa Site'!A1310,"NULL")</f>
        <v>70</v>
      </c>
      <c r="C1310">
        <v>37</v>
      </c>
      <c r="D1310" t="str">
        <f>IF('Boletins Nuppa Site'!G1310&lt;&gt;0,'Boletins Nuppa Site'!G1310,"NULL")</f>
        <v>NULL</v>
      </c>
      <c r="E1310" t="str">
        <f>IF('Boletins Nuppa Site'!H1310&lt;&gt;0,'Boletins Nuppa Site'!H1310,"NULL")</f>
        <v>NULL</v>
      </c>
      <c r="F1310" t="str">
        <f>IF('Boletins Nuppa Site'!I1310&lt;&gt;0,'Boletins Nuppa Site'!I1310,"NULL")</f>
        <v>NULL</v>
      </c>
      <c r="G1310" t="str">
        <f>IF('Boletins Nuppa Site'!J1310&lt;&gt;0,'Boletins Nuppa Site'!J1310,"NULL")</f>
        <v>NULL</v>
      </c>
      <c r="H1310" t="str">
        <f>IF('Boletins Nuppa Site'!K1310&lt;&gt;0,'Boletins Nuppa Site'!K1310,"NULL")</f>
        <v>NULL</v>
      </c>
      <c r="I1310" t="str">
        <f t="shared" si="40"/>
        <v>INSERT INTO COTACAO (cot_id, cot_blt_id, cot_pap_id, cot_prc_comum, cot_prc_min, cot_prc_max, cot_prc_med, cot_prc_mediana) VALUES (1309, 70, 37, NULL, NULL, NULL, NULL, NULL);</v>
      </c>
      <c r="J1310" t="str">
        <f t="shared" si="41"/>
        <v>UPDATE COTACAO SET cot_id = 1309, cot_blt_id = 70, cot_pap_id = 37, cot_prc_comum = NULL, cot_prc_min = NULL, cot_prc_max = NULL, cot_prc_med = NULL, cot_prc_mediana = NULL WHERE cot_id = 1309;</v>
      </c>
    </row>
    <row r="1311" spans="1:10" x14ac:dyDescent="0.3">
      <c r="A1311">
        <v>1310</v>
      </c>
      <c r="B1311">
        <f>IF('Boletins Nuppa Site'!A1311&lt;&gt;0,'Boletins Nuppa Site'!A1311,"NULL")</f>
        <v>70</v>
      </c>
      <c r="C1311">
        <v>38</v>
      </c>
      <c r="D1311" t="str">
        <f>IF('Boletins Nuppa Site'!G1311&lt;&gt;0,'Boletins Nuppa Site'!G1311,"NULL")</f>
        <v>NULL</v>
      </c>
      <c r="E1311" t="str">
        <f>IF('Boletins Nuppa Site'!H1311&lt;&gt;0,'Boletins Nuppa Site'!H1311,"NULL")</f>
        <v>NULL</v>
      </c>
      <c r="F1311" t="str">
        <f>IF('Boletins Nuppa Site'!I1311&lt;&gt;0,'Boletins Nuppa Site'!I1311,"NULL")</f>
        <v>NULL</v>
      </c>
      <c r="G1311" t="str">
        <f>IF('Boletins Nuppa Site'!J1311&lt;&gt;0,'Boletins Nuppa Site'!J1311,"NULL")</f>
        <v>NULL</v>
      </c>
      <c r="H1311" t="str">
        <f>IF('Boletins Nuppa Site'!K1311&lt;&gt;0,'Boletins Nuppa Site'!K1311,"NULL")</f>
        <v>NULL</v>
      </c>
      <c r="I1311" t="str">
        <f t="shared" si="40"/>
        <v>INSERT INTO COTACAO (cot_id, cot_blt_id, cot_pap_id, cot_prc_comum, cot_prc_min, cot_prc_max, cot_prc_med, cot_prc_mediana) VALUES (1310, 70, 38, NULL, NULL, NULL, NULL, NULL);</v>
      </c>
      <c r="J1311" t="str">
        <f t="shared" si="41"/>
        <v>UPDATE COTACAO SET cot_id = 1310, cot_blt_id = 70, cot_pap_id = 38, cot_prc_comum = NULL, cot_prc_min = NULL, cot_prc_max = NULL, cot_prc_med = NULL, cot_prc_mediana = NULL WHERE cot_id = 1310;</v>
      </c>
    </row>
    <row r="1312" spans="1:10" x14ac:dyDescent="0.3">
      <c r="A1312">
        <v>1311</v>
      </c>
      <c r="B1312">
        <f>IF('Boletins Nuppa Site'!A1312&lt;&gt;0,'Boletins Nuppa Site'!A1312,"NULL")</f>
        <v>70</v>
      </c>
      <c r="C1312">
        <v>39</v>
      </c>
      <c r="D1312" t="str">
        <f>IF('Boletins Nuppa Site'!G1312&lt;&gt;0,'Boletins Nuppa Site'!G1312,"NULL")</f>
        <v>NULL</v>
      </c>
      <c r="E1312" s="14">
        <f>IF('Boletins Nuppa Site'!H1312&lt;&gt;0,'Boletins Nuppa Site'!H1312,"NULL")</f>
        <v>50</v>
      </c>
      <c r="F1312" s="14">
        <f>IF('Boletins Nuppa Site'!I1312&lt;&gt;0,'Boletins Nuppa Site'!I1312,"NULL")</f>
        <v>50</v>
      </c>
      <c r="G1312" s="14">
        <f>IF('Boletins Nuppa Site'!J1312&lt;&gt;0,'Boletins Nuppa Site'!J1312,"NULL")</f>
        <v>50</v>
      </c>
      <c r="H1312" s="14">
        <f>IF('Boletins Nuppa Site'!K1312&lt;&gt;0,'Boletins Nuppa Site'!K1312,"NULL")</f>
        <v>50</v>
      </c>
      <c r="I1312" t="str">
        <f t="shared" si="40"/>
        <v>INSERT INTO COTACAO (cot_id, cot_blt_id, cot_pap_id, cot_prc_comum, cot_prc_min, cot_prc_max, cot_prc_med, cot_prc_mediana) VALUES (1311, 70, 39, NULL, 50, 50, 50, 50);</v>
      </c>
      <c r="J1312" t="str">
        <f t="shared" si="41"/>
        <v>UPDATE COTACAO SET cot_id = 1311, cot_blt_id = 70, cot_pap_id = 39, cot_prc_comum = NULL, cot_prc_min = 50, cot_prc_max = 50, cot_prc_med = 50, cot_prc_mediana = 50 WHERE cot_id = 1311;</v>
      </c>
    </row>
    <row r="1313" spans="1:10" x14ac:dyDescent="0.3">
      <c r="A1313">
        <v>1312</v>
      </c>
      <c r="B1313">
        <f>IF('Boletins Nuppa Site'!A1313&lt;&gt;0,'Boletins Nuppa Site'!A1313,"NULL")</f>
        <v>70</v>
      </c>
      <c r="C1313">
        <v>40</v>
      </c>
      <c r="D1313" t="str">
        <f>IF('Boletins Nuppa Site'!G1313&lt;&gt;0,'Boletins Nuppa Site'!G1313,"NULL")</f>
        <v>NULL</v>
      </c>
      <c r="E1313" t="str">
        <f>IF('Boletins Nuppa Site'!H1313&lt;&gt;0,'Boletins Nuppa Site'!H1313,"NULL")</f>
        <v>NULL</v>
      </c>
      <c r="F1313" t="str">
        <f>IF('Boletins Nuppa Site'!I1313&lt;&gt;0,'Boletins Nuppa Site'!I1313,"NULL")</f>
        <v>NULL</v>
      </c>
      <c r="G1313" t="str">
        <f>IF('Boletins Nuppa Site'!J1313&lt;&gt;0,'Boletins Nuppa Site'!J1313,"NULL")</f>
        <v>NULL</v>
      </c>
      <c r="H1313" t="str">
        <f>IF('Boletins Nuppa Site'!K1313&lt;&gt;0,'Boletins Nuppa Site'!K1313,"NULL")</f>
        <v>NULL</v>
      </c>
      <c r="I1313" t="str">
        <f t="shared" si="40"/>
        <v>INSERT INTO COTACAO (cot_id, cot_blt_id, cot_pap_id, cot_prc_comum, cot_prc_min, cot_prc_max, cot_prc_med, cot_prc_mediana) VALUES (1312, 70, 40, NULL, NULL, NULL, NULL, NULL);</v>
      </c>
      <c r="J1313" t="str">
        <f t="shared" si="41"/>
        <v>UPDATE COTACAO SET cot_id = 1312, cot_blt_id = 70, cot_pap_id = 40, cot_prc_comum = NULL, cot_prc_min = NULL, cot_prc_max = NULL, cot_prc_med = NULL, cot_prc_mediana = NULL WHERE cot_id = 1312;</v>
      </c>
    </row>
    <row r="1314" spans="1:10" x14ac:dyDescent="0.3">
      <c r="A1314">
        <v>1313</v>
      </c>
      <c r="B1314">
        <f>IF('Boletins Nuppa Site'!A1314&lt;&gt;0,'Boletins Nuppa Site'!A1314,"NULL")</f>
        <v>71</v>
      </c>
      <c r="C1314">
        <v>1</v>
      </c>
      <c r="D1314" s="14">
        <f>IF('Boletins Nuppa Site'!G1314&lt;&gt;0,'Boletins Nuppa Site'!G1314,"NULL")</f>
        <v>36</v>
      </c>
      <c r="E1314" s="14">
        <f>IF('Boletins Nuppa Site'!H1314&lt;&gt;0,'Boletins Nuppa Site'!H1314,"NULL")</f>
        <v>30</v>
      </c>
      <c r="F1314" s="14">
        <f>IF('Boletins Nuppa Site'!I1314&lt;&gt;0,'Boletins Nuppa Site'!I1314,"NULL")</f>
        <v>48</v>
      </c>
      <c r="G1314" t="str">
        <f>IF('Boletins Nuppa Site'!J1314&lt;&gt;0,'Boletins Nuppa Site'!J1314,"NULL")</f>
        <v>39.6</v>
      </c>
      <c r="H1314" s="14">
        <f>IF('Boletins Nuppa Site'!K1314&lt;&gt;0,'Boletins Nuppa Site'!K1314,"NULL")</f>
        <v>36</v>
      </c>
      <c r="I1314" t="str">
        <f t="shared" si="40"/>
        <v>INSERT INTO COTACAO (cot_id, cot_blt_id, cot_pap_id, cot_prc_comum, cot_prc_min, cot_prc_max, cot_prc_med, cot_prc_mediana) VALUES (1313, 71, 1, 36, 30, 48, 39.6, 36);</v>
      </c>
      <c r="J1314" t="str">
        <f t="shared" si="41"/>
        <v>UPDATE COTACAO SET cot_id = 1313, cot_blt_id = 71, cot_pap_id = 1, cot_prc_comum = 36, cot_prc_min = 30, cot_prc_max = 48, cot_prc_med = 39.6, cot_prc_mediana = 36 WHERE cot_id = 1313;</v>
      </c>
    </row>
    <row r="1315" spans="1:10" x14ac:dyDescent="0.3">
      <c r="A1315">
        <v>1314</v>
      </c>
      <c r="B1315">
        <f>IF('Boletins Nuppa Site'!A1315&lt;&gt;0,'Boletins Nuppa Site'!A1315,"NULL")</f>
        <v>71</v>
      </c>
      <c r="C1315">
        <v>2</v>
      </c>
      <c r="D1315" s="14">
        <f>IF('Boletins Nuppa Site'!G1315&lt;&gt;0,'Boletins Nuppa Site'!G1315,"NULL")</f>
        <v>60</v>
      </c>
      <c r="E1315" s="14">
        <f>IF('Boletins Nuppa Site'!H1315&lt;&gt;0,'Boletins Nuppa Site'!H1315,"NULL")</f>
        <v>60</v>
      </c>
      <c r="F1315" s="14">
        <f>IF('Boletins Nuppa Site'!I1315&lt;&gt;0,'Boletins Nuppa Site'!I1315,"NULL")</f>
        <v>72</v>
      </c>
      <c r="G1315" s="14">
        <f>IF('Boletins Nuppa Site'!J1315&lt;&gt;0,'Boletins Nuppa Site'!J1315,"NULL")</f>
        <v>64</v>
      </c>
      <c r="H1315" s="14">
        <f>IF('Boletins Nuppa Site'!K1315&lt;&gt;0,'Boletins Nuppa Site'!K1315,"NULL")</f>
        <v>60</v>
      </c>
      <c r="I1315" t="str">
        <f t="shared" si="40"/>
        <v>INSERT INTO COTACAO (cot_id, cot_blt_id, cot_pap_id, cot_prc_comum, cot_prc_min, cot_prc_max, cot_prc_med, cot_prc_mediana) VALUES (1314, 71, 2, 60, 60, 72, 64, 60);</v>
      </c>
      <c r="J1315" t="str">
        <f t="shared" si="41"/>
        <v>UPDATE COTACAO SET cot_id = 1314, cot_blt_id = 71, cot_pap_id = 2, cot_prc_comum = 60, cot_prc_min = 60, cot_prc_max = 72, cot_prc_med = 64, cot_prc_mediana = 60 WHERE cot_id = 1314;</v>
      </c>
    </row>
    <row r="1316" spans="1:10" x14ac:dyDescent="0.3">
      <c r="A1316">
        <v>1315</v>
      </c>
      <c r="B1316">
        <f>IF('Boletins Nuppa Site'!A1316&lt;&gt;0,'Boletins Nuppa Site'!A1316,"NULL")</f>
        <v>71</v>
      </c>
      <c r="C1316">
        <v>3</v>
      </c>
      <c r="D1316" s="14">
        <f>IF('Boletins Nuppa Site'!G1316&lt;&gt;0,'Boletins Nuppa Site'!G1316,"NULL")</f>
        <v>30</v>
      </c>
      <c r="E1316" s="14">
        <f>IF('Boletins Nuppa Site'!H1316&lt;&gt;0,'Boletins Nuppa Site'!H1316,"NULL")</f>
        <v>25</v>
      </c>
      <c r="F1316" s="14">
        <f>IF('Boletins Nuppa Site'!I1316&lt;&gt;0,'Boletins Nuppa Site'!I1316,"NULL")</f>
        <v>36</v>
      </c>
      <c r="G1316" t="str">
        <f>IF('Boletins Nuppa Site'!J1316&lt;&gt;0,'Boletins Nuppa Site'!J1316,"NULL")</f>
        <v>30.25</v>
      </c>
      <c r="H1316" s="14">
        <f>IF('Boletins Nuppa Site'!K1316&lt;&gt;0,'Boletins Nuppa Site'!K1316,"NULL")</f>
        <v>30</v>
      </c>
      <c r="I1316" t="str">
        <f t="shared" si="40"/>
        <v>INSERT INTO COTACAO (cot_id, cot_blt_id, cot_pap_id, cot_prc_comum, cot_prc_min, cot_prc_max, cot_prc_med, cot_prc_mediana) VALUES (1315, 71, 3, 30, 25, 36, 30.25, 30);</v>
      </c>
      <c r="J1316" t="str">
        <f t="shared" si="41"/>
        <v>UPDATE COTACAO SET cot_id = 1315, cot_blt_id = 71, cot_pap_id = 3, cot_prc_comum = 30, cot_prc_min = 25, cot_prc_max = 36, cot_prc_med = 30.25, cot_prc_mediana = 30 WHERE cot_id = 1315;</v>
      </c>
    </row>
    <row r="1317" spans="1:10" x14ac:dyDescent="0.3">
      <c r="A1317">
        <v>1316</v>
      </c>
      <c r="B1317">
        <f>IF('Boletins Nuppa Site'!A1317&lt;&gt;0,'Boletins Nuppa Site'!A1317,"NULL")</f>
        <v>71</v>
      </c>
      <c r="C1317">
        <v>4</v>
      </c>
      <c r="D1317" s="14">
        <f>IF('Boletins Nuppa Site'!G1317&lt;&gt;0,'Boletins Nuppa Site'!G1317,"NULL")</f>
        <v>18</v>
      </c>
      <c r="E1317" s="14">
        <f>IF('Boletins Nuppa Site'!H1317&lt;&gt;0,'Boletins Nuppa Site'!H1317,"NULL")</f>
        <v>18</v>
      </c>
      <c r="F1317" s="14">
        <f>IF('Boletins Nuppa Site'!I1317&lt;&gt;0,'Boletins Nuppa Site'!I1317,"NULL")</f>
        <v>30</v>
      </c>
      <c r="G1317" t="str">
        <f>IF('Boletins Nuppa Site'!J1317&lt;&gt;0,'Boletins Nuppa Site'!J1317,"NULL")</f>
        <v>22.5</v>
      </c>
      <c r="H1317" s="14">
        <f>IF('Boletins Nuppa Site'!K1317&lt;&gt;0,'Boletins Nuppa Site'!K1317,"NULL")</f>
        <v>21</v>
      </c>
      <c r="I1317" t="str">
        <f t="shared" si="40"/>
        <v>INSERT INTO COTACAO (cot_id, cot_blt_id, cot_pap_id, cot_prc_comum, cot_prc_min, cot_prc_max, cot_prc_med, cot_prc_mediana) VALUES (1316, 71, 4, 18, 18, 30, 22.5, 21);</v>
      </c>
      <c r="J1317" t="str">
        <f t="shared" si="41"/>
        <v>UPDATE COTACAO SET cot_id = 1316, cot_blt_id = 71, cot_pap_id = 4, cot_prc_comum = 18, cot_prc_min = 18, cot_prc_max = 30, cot_prc_med = 22.5, cot_prc_mediana = 21 WHERE cot_id = 1316;</v>
      </c>
    </row>
    <row r="1318" spans="1:10" x14ac:dyDescent="0.3">
      <c r="A1318">
        <v>1317</v>
      </c>
      <c r="B1318">
        <f>IF('Boletins Nuppa Site'!A1318&lt;&gt;0,'Boletins Nuppa Site'!A1318,"NULL")</f>
        <v>71</v>
      </c>
      <c r="C1318">
        <v>5</v>
      </c>
      <c r="D1318" s="14">
        <f>IF('Boletins Nuppa Site'!G1318&lt;&gt;0,'Boletins Nuppa Site'!G1318,"NULL")</f>
        <v>18</v>
      </c>
      <c r="E1318" s="14">
        <f>IF('Boletins Nuppa Site'!H1318&lt;&gt;0,'Boletins Nuppa Site'!H1318,"NULL")</f>
        <v>18</v>
      </c>
      <c r="F1318" s="14">
        <f>IF('Boletins Nuppa Site'!I1318&lt;&gt;0,'Boletins Nuppa Site'!I1318,"NULL")</f>
        <v>30</v>
      </c>
      <c r="G1318" t="str">
        <f>IF('Boletins Nuppa Site'!J1318&lt;&gt;0,'Boletins Nuppa Site'!J1318,"NULL")</f>
        <v>22.5</v>
      </c>
      <c r="H1318" s="14">
        <f>IF('Boletins Nuppa Site'!K1318&lt;&gt;0,'Boletins Nuppa Site'!K1318,"NULL")</f>
        <v>21</v>
      </c>
      <c r="I1318" t="str">
        <f t="shared" si="40"/>
        <v>INSERT INTO COTACAO (cot_id, cot_blt_id, cot_pap_id, cot_prc_comum, cot_prc_min, cot_prc_max, cot_prc_med, cot_prc_mediana) VALUES (1317, 71, 5, 18, 18, 30, 22.5, 21);</v>
      </c>
      <c r="J1318" t="str">
        <f t="shared" si="41"/>
        <v>UPDATE COTACAO SET cot_id = 1317, cot_blt_id = 71, cot_pap_id = 5, cot_prc_comum = 18, cot_prc_min = 18, cot_prc_max = 30, cot_prc_med = 22.5, cot_prc_mediana = 21 WHERE cot_id = 1317;</v>
      </c>
    </row>
    <row r="1319" spans="1:10" x14ac:dyDescent="0.3">
      <c r="A1319">
        <v>1318</v>
      </c>
      <c r="B1319">
        <f>IF('Boletins Nuppa Site'!A1319&lt;&gt;0,'Boletins Nuppa Site'!A1319,"NULL")</f>
        <v>71</v>
      </c>
      <c r="C1319">
        <v>6</v>
      </c>
      <c r="D1319" s="14">
        <f>IF('Boletins Nuppa Site'!G1319&lt;&gt;0,'Boletins Nuppa Site'!G1319,"NULL")</f>
        <v>60</v>
      </c>
      <c r="E1319" s="14">
        <f>IF('Boletins Nuppa Site'!H1319&lt;&gt;0,'Boletins Nuppa Site'!H1319,"NULL")</f>
        <v>48</v>
      </c>
      <c r="F1319" s="14">
        <f>IF('Boletins Nuppa Site'!I1319&lt;&gt;0,'Boletins Nuppa Site'!I1319,"NULL")</f>
        <v>60</v>
      </c>
      <c r="G1319" s="14">
        <f>IF('Boletins Nuppa Site'!J1319&lt;&gt;0,'Boletins Nuppa Site'!J1319,"NULL")</f>
        <v>54</v>
      </c>
      <c r="H1319" s="14">
        <f>IF('Boletins Nuppa Site'!K1319&lt;&gt;0,'Boletins Nuppa Site'!K1319,"NULL")</f>
        <v>54</v>
      </c>
      <c r="I1319" t="str">
        <f t="shared" si="40"/>
        <v>INSERT INTO COTACAO (cot_id, cot_blt_id, cot_pap_id, cot_prc_comum, cot_prc_min, cot_prc_max, cot_prc_med, cot_prc_mediana) VALUES (1318, 71, 6, 60, 48, 60, 54, 54);</v>
      </c>
      <c r="J1319" t="str">
        <f t="shared" si="41"/>
        <v>UPDATE COTACAO SET cot_id = 1318, cot_blt_id = 71, cot_pap_id = 6, cot_prc_comum = 60, cot_prc_min = 48, cot_prc_max = 60, cot_prc_med = 54, cot_prc_mediana = 54 WHERE cot_id = 1318;</v>
      </c>
    </row>
    <row r="1320" spans="1:10" x14ac:dyDescent="0.3">
      <c r="A1320">
        <v>1319</v>
      </c>
      <c r="B1320">
        <f>IF('Boletins Nuppa Site'!A1320&lt;&gt;0,'Boletins Nuppa Site'!A1320,"NULL")</f>
        <v>71</v>
      </c>
      <c r="C1320">
        <v>7</v>
      </c>
      <c r="D1320" t="str">
        <f>IF('Boletins Nuppa Site'!G1320&lt;&gt;0,'Boletins Nuppa Site'!G1320,"NULL")</f>
        <v>NULL</v>
      </c>
      <c r="E1320" s="14">
        <f>IF('Boletins Nuppa Site'!H1320&lt;&gt;0,'Boletins Nuppa Site'!H1320,"NULL")</f>
        <v>48</v>
      </c>
      <c r="F1320" s="14">
        <f>IF('Boletins Nuppa Site'!I1320&lt;&gt;0,'Boletins Nuppa Site'!I1320,"NULL")</f>
        <v>72</v>
      </c>
      <c r="G1320" s="14">
        <f>IF('Boletins Nuppa Site'!J1320&lt;&gt;0,'Boletins Nuppa Site'!J1320,"NULL")</f>
        <v>58</v>
      </c>
      <c r="H1320" s="14">
        <f>IF('Boletins Nuppa Site'!K1320&lt;&gt;0,'Boletins Nuppa Site'!K1320,"NULL")</f>
        <v>54</v>
      </c>
      <c r="I1320" t="str">
        <f t="shared" si="40"/>
        <v>INSERT INTO COTACAO (cot_id, cot_blt_id, cot_pap_id, cot_prc_comum, cot_prc_min, cot_prc_max, cot_prc_med, cot_prc_mediana) VALUES (1319, 71, 7, NULL, 48, 72, 58, 54);</v>
      </c>
      <c r="J1320" t="str">
        <f t="shared" si="41"/>
        <v>UPDATE COTACAO SET cot_id = 1319, cot_blt_id = 71, cot_pap_id = 7, cot_prc_comum = NULL, cot_prc_min = 48, cot_prc_max = 72, cot_prc_med = 58, cot_prc_mediana = 54 WHERE cot_id = 1319;</v>
      </c>
    </row>
    <row r="1321" spans="1:10" x14ac:dyDescent="0.3">
      <c r="A1321">
        <v>1320</v>
      </c>
      <c r="B1321">
        <f>IF('Boletins Nuppa Site'!A1321&lt;&gt;0,'Boletins Nuppa Site'!A1321,"NULL")</f>
        <v>71</v>
      </c>
      <c r="C1321">
        <v>8</v>
      </c>
      <c r="D1321" s="14">
        <f>IF('Boletins Nuppa Site'!G1321&lt;&gt;0,'Boletins Nuppa Site'!G1321,"NULL")</f>
        <v>60</v>
      </c>
      <c r="E1321" s="14">
        <f>IF('Boletins Nuppa Site'!H1321&lt;&gt;0,'Boletins Nuppa Site'!H1321,"NULL")</f>
        <v>60</v>
      </c>
      <c r="F1321" s="14">
        <f>IF('Boletins Nuppa Site'!I1321&lt;&gt;0,'Boletins Nuppa Site'!I1321,"NULL")</f>
        <v>60</v>
      </c>
      <c r="G1321" s="14">
        <f>IF('Boletins Nuppa Site'!J1321&lt;&gt;0,'Boletins Nuppa Site'!J1321,"NULL")</f>
        <v>60</v>
      </c>
      <c r="H1321" s="14">
        <f>IF('Boletins Nuppa Site'!K1321&lt;&gt;0,'Boletins Nuppa Site'!K1321,"NULL")</f>
        <v>60</v>
      </c>
      <c r="I1321" t="str">
        <f t="shared" si="40"/>
        <v>INSERT INTO COTACAO (cot_id, cot_blt_id, cot_pap_id, cot_prc_comum, cot_prc_min, cot_prc_max, cot_prc_med, cot_prc_mediana) VALUES (1320, 71, 8, 60, 60, 60, 60, 60);</v>
      </c>
      <c r="J1321" t="str">
        <f t="shared" si="41"/>
        <v>UPDATE COTACAO SET cot_id = 1320, cot_blt_id = 71, cot_pap_id = 8, cot_prc_comum = 60, cot_prc_min = 60, cot_prc_max = 60, cot_prc_med = 60, cot_prc_mediana = 60 WHERE cot_id = 1320;</v>
      </c>
    </row>
    <row r="1322" spans="1:10" x14ac:dyDescent="0.3">
      <c r="A1322">
        <v>1321</v>
      </c>
      <c r="B1322">
        <f>IF('Boletins Nuppa Site'!A1322&lt;&gt;0,'Boletins Nuppa Site'!A1322,"NULL")</f>
        <v>71</v>
      </c>
      <c r="C1322">
        <v>9</v>
      </c>
      <c r="D1322" s="14">
        <f>IF('Boletins Nuppa Site'!G1322&lt;&gt;0,'Boletins Nuppa Site'!G1322,"NULL")</f>
        <v>18</v>
      </c>
      <c r="E1322" s="14">
        <f>IF('Boletins Nuppa Site'!H1322&lt;&gt;0,'Boletins Nuppa Site'!H1322,"NULL")</f>
        <v>18</v>
      </c>
      <c r="F1322" s="14">
        <f>IF('Boletins Nuppa Site'!I1322&lt;&gt;0,'Boletins Nuppa Site'!I1322,"NULL")</f>
        <v>48</v>
      </c>
      <c r="G1322" t="str">
        <f>IF('Boletins Nuppa Site'!J1322&lt;&gt;0,'Boletins Nuppa Site'!J1322,"NULL")</f>
        <v>25.6</v>
      </c>
      <c r="H1322" s="14">
        <f>IF('Boletins Nuppa Site'!K1322&lt;&gt;0,'Boletins Nuppa Site'!K1322,"NULL")</f>
        <v>20</v>
      </c>
      <c r="I1322" t="str">
        <f t="shared" si="40"/>
        <v>INSERT INTO COTACAO (cot_id, cot_blt_id, cot_pap_id, cot_prc_comum, cot_prc_min, cot_prc_max, cot_prc_med, cot_prc_mediana) VALUES (1321, 71, 9, 18, 18, 48, 25.6, 20);</v>
      </c>
      <c r="J1322" t="str">
        <f t="shared" si="41"/>
        <v>UPDATE COTACAO SET cot_id = 1321, cot_blt_id = 71, cot_pap_id = 9, cot_prc_comum = 18, cot_prc_min = 18, cot_prc_max = 48, cot_prc_med = 25.6, cot_prc_mediana = 20 WHERE cot_id = 1321;</v>
      </c>
    </row>
    <row r="1323" spans="1:10" x14ac:dyDescent="0.3">
      <c r="A1323">
        <v>1322</v>
      </c>
      <c r="B1323">
        <f>IF('Boletins Nuppa Site'!A1323&lt;&gt;0,'Boletins Nuppa Site'!A1323,"NULL")</f>
        <v>71</v>
      </c>
      <c r="C1323">
        <v>10</v>
      </c>
      <c r="D1323" s="14">
        <f>IF('Boletins Nuppa Site'!G1323&lt;&gt;0,'Boletins Nuppa Site'!G1323,"NULL")</f>
        <v>60</v>
      </c>
      <c r="E1323" s="14">
        <f>IF('Boletins Nuppa Site'!H1323&lt;&gt;0,'Boletins Nuppa Site'!H1323,"NULL")</f>
        <v>60</v>
      </c>
      <c r="F1323" s="14">
        <f>IF('Boletins Nuppa Site'!I1323&lt;&gt;0,'Boletins Nuppa Site'!I1323,"NULL")</f>
        <v>60</v>
      </c>
      <c r="G1323" s="14">
        <f>IF('Boletins Nuppa Site'!J1323&lt;&gt;0,'Boletins Nuppa Site'!J1323,"NULL")</f>
        <v>60</v>
      </c>
      <c r="H1323" s="14">
        <f>IF('Boletins Nuppa Site'!K1323&lt;&gt;0,'Boletins Nuppa Site'!K1323,"NULL")</f>
        <v>60</v>
      </c>
      <c r="I1323" t="str">
        <f t="shared" si="40"/>
        <v>INSERT INTO COTACAO (cot_id, cot_blt_id, cot_pap_id, cot_prc_comum, cot_prc_min, cot_prc_max, cot_prc_med, cot_prc_mediana) VALUES (1322, 71, 10, 60, 60, 60, 60, 60);</v>
      </c>
      <c r="J1323" t="str">
        <f t="shared" si="41"/>
        <v>UPDATE COTACAO SET cot_id = 1322, cot_blt_id = 71, cot_pap_id = 10, cot_prc_comum = 60, cot_prc_min = 60, cot_prc_max = 60, cot_prc_med = 60, cot_prc_mediana = 60 WHERE cot_id = 1322;</v>
      </c>
    </row>
    <row r="1324" spans="1:10" x14ac:dyDescent="0.3">
      <c r="A1324">
        <v>1323</v>
      </c>
      <c r="B1324">
        <f>IF('Boletins Nuppa Site'!A1324&lt;&gt;0,'Boletins Nuppa Site'!A1324,"NULL")</f>
        <v>71</v>
      </c>
      <c r="C1324">
        <v>11</v>
      </c>
      <c r="D1324" s="14">
        <f>IF('Boletins Nuppa Site'!G1324&lt;&gt;0,'Boletins Nuppa Site'!G1324,"NULL")</f>
        <v>18</v>
      </c>
      <c r="E1324" s="14">
        <f>IF('Boletins Nuppa Site'!H1324&lt;&gt;0,'Boletins Nuppa Site'!H1324,"NULL")</f>
        <v>18</v>
      </c>
      <c r="F1324" s="14">
        <f>IF('Boletins Nuppa Site'!I1324&lt;&gt;0,'Boletins Nuppa Site'!I1324,"NULL")</f>
        <v>24</v>
      </c>
      <c r="G1324" t="str">
        <f>IF('Boletins Nuppa Site'!J1324&lt;&gt;0,'Boletins Nuppa Site'!J1324,"NULL")</f>
        <v>19.5</v>
      </c>
      <c r="H1324" s="14">
        <f>IF('Boletins Nuppa Site'!K1324&lt;&gt;0,'Boletins Nuppa Site'!K1324,"NULL")</f>
        <v>18</v>
      </c>
      <c r="I1324" t="str">
        <f t="shared" si="40"/>
        <v>INSERT INTO COTACAO (cot_id, cot_blt_id, cot_pap_id, cot_prc_comum, cot_prc_min, cot_prc_max, cot_prc_med, cot_prc_mediana) VALUES (1323, 71, 11, 18, 18, 24, 19.5, 18);</v>
      </c>
      <c r="J1324" t="str">
        <f t="shared" si="41"/>
        <v>UPDATE COTACAO SET cot_id = 1323, cot_blt_id = 71, cot_pap_id = 11, cot_prc_comum = 18, cot_prc_min = 18, cot_prc_max = 24, cot_prc_med = 19.5, cot_prc_mediana = 18 WHERE cot_id = 1323;</v>
      </c>
    </row>
    <row r="1325" spans="1:10" x14ac:dyDescent="0.3">
      <c r="A1325">
        <v>1324</v>
      </c>
      <c r="B1325">
        <f>IF('Boletins Nuppa Site'!A1325&lt;&gt;0,'Boletins Nuppa Site'!A1325,"NULL")</f>
        <v>71</v>
      </c>
      <c r="C1325">
        <v>12</v>
      </c>
      <c r="D1325" s="14">
        <f>IF('Boletins Nuppa Site'!G1325&lt;&gt;0,'Boletins Nuppa Site'!G1325,"NULL")</f>
        <v>48</v>
      </c>
      <c r="E1325" s="14">
        <f>IF('Boletins Nuppa Site'!H1325&lt;&gt;0,'Boletins Nuppa Site'!H1325,"NULL")</f>
        <v>48</v>
      </c>
      <c r="F1325" s="14">
        <f>IF('Boletins Nuppa Site'!I1325&lt;&gt;0,'Boletins Nuppa Site'!I1325,"NULL")</f>
        <v>72</v>
      </c>
      <c r="G1325" s="14">
        <f>IF('Boletins Nuppa Site'!J1325&lt;&gt;0,'Boletins Nuppa Site'!J1325,"NULL")</f>
        <v>56</v>
      </c>
      <c r="H1325" s="14">
        <f>IF('Boletins Nuppa Site'!K1325&lt;&gt;0,'Boletins Nuppa Site'!K1325,"NULL")</f>
        <v>48</v>
      </c>
      <c r="I1325" t="str">
        <f t="shared" si="40"/>
        <v>INSERT INTO COTACAO (cot_id, cot_blt_id, cot_pap_id, cot_prc_comum, cot_prc_min, cot_prc_max, cot_prc_med, cot_prc_mediana) VALUES (1324, 71, 12, 48, 48, 72, 56, 48);</v>
      </c>
      <c r="J1325" t="str">
        <f t="shared" si="41"/>
        <v>UPDATE COTACAO SET cot_id = 1324, cot_blt_id = 71, cot_pap_id = 12, cot_prc_comum = 48, cot_prc_min = 48, cot_prc_max = 72, cot_prc_med = 56, cot_prc_mediana = 48 WHERE cot_id = 1324;</v>
      </c>
    </row>
    <row r="1326" spans="1:10" x14ac:dyDescent="0.3">
      <c r="A1326">
        <v>1325</v>
      </c>
      <c r="B1326">
        <f>IF('Boletins Nuppa Site'!A1326&lt;&gt;0,'Boletins Nuppa Site'!A1326,"NULL")</f>
        <v>71</v>
      </c>
      <c r="C1326">
        <v>13</v>
      </c>
      <c r="D1326" s="14">
        <f>IF('Boletins Nuppa Site'!G1326&lt;&gt;0,'Boletins Nuppa Site'!G1326,"NULL")</f>
        <v>48</v>
      </c>
      <c r="E1326" s="14">
        <f>IF('Boletins Nuppa Site'!H1326&lt;&gt;0,'Boletins Nuppa Site'!H1326,"NULL")</f>
        <v>48</v>
      </c>
      <c r="F1326" s="14">
        <f>IF('Boletins Nuppa Site'!I1326&lt;&gt;0,'Boletins Nuppa Site'!I1326,"NULL")</f>
        <v>60</v>
      </c>
      <c r="G1326" s="14">
        <f>IF('Boletins Nuppa Site'!J1326&lt;&gt;0,'Boletins Nuppa Site'!J1326,"NULL")</f>
        <v>51</v>
      </c>
      <c r="H1326" s="14">
        <f>IF('Boletins Nuppa Site'!K1326&lt;&gt;0,'Boletins Nuppa Site'!K1326,"NULL")</f>
        <v>48</v>
      </c>
      <c r="I1326" t="str">
        <f t="shared" si="40"/>
        <v>INSERT INTO COTACAO (cot_id, cot_blt_id, cot_pap_id, cot_prc_comum, cot_prc_min, cot_prc_max, cot_prc_med, cot_prc_mediana) VALUES (1325, 71, 13, 48, 48, 60, 51, 48);</v>
      </c>
      <c r="J1326" t="str">
        <f t="shared" si="41"/>
        <v>UPDATE COTACAO SET cot_id = 1325, cot_blt_id = 71, cot_pap_id = 13, cot_prc_comum = 48, cot_prc_min = 48, cot_prc_max = 60, cot_prc_med = 51, cot_prc_mediana = 48 WHERE cot_id = 1325;</v>
      </c>
    </row>
    <row r="1327" spans="1:10" x14ac:dyDescent="0.3">
      <c r="A1327">
        <v>1326</v>
      </c>
      <c r="B1327">
        <f>IF('Boletins Nuppa Site'!A1327&lt;&gt;0,'Boletins Nuppa Site'!A1327,"NULL")</f>
        <v>71</v>
      </c>
      <c r="C1327">
        <v>14</v>
      </c>
      <c r="D1327" s="14">
        <f>IF('Boletins Nuppa Site'!G1327&lt;&gt;0,'Boletins Nuppa Site'!G1327,"NULL")</f>
        <v>48</v>
      </c>
      <c r="E1327" s="14">
        <f>IF('Boletins Nuppa Site'!H1327&lt;&gt;0,'Boletins Nuppa Site'!H1327,"NULL")</f>
        <v>48</v>
      </c>
      <c r="F1327" s="14">
        <f>IF('Boletins Nuppa Site'!I1327&lt;&gt;0,'Boletins Nuppa Site'!I1327,"NULL")</f>
        <v>72</v>
      </c>
      <c r="G1327" s="14">
        <f>IF('Boletins Nuppa Site'!J1327&lt;&gt;0,'Boletins Nuppa Site'!J1327,"NULL")</f>
        <v>57</v>
      </c>
      <c r="H1327" s="14">
        <f>IF('Boletins Nuppa Site'!K1327&lt;&gt;0,'Boletins Nuppa Site'!K1327,"NULL")</f>
        <v>54</v>
      </c>
      <c r="I1327" t="str">
        <f t="shared" si="40"/>
        <v>INSERT INTO COTACAO (cot_id, cot_blt_id, cot_pap_id, cot_prc_comum, cot_prc_min, cot_prc_max, cot_prc_med, cot_prc_mediana) VALUES (1326, 71, 14, 48, 48, 72, 57, 54);</v>
      </c>
      <c r="J1327" t="str">
        <f t="shared" si="41"/>
        <v>UPDATE COTACAO SET cot_id = 1326, cot_blt_id = 71, cot_pap_id = 14, cot_prc_comum = 48, cot_prc_min = 48, cot_prc_max = 72, cot_prc_med = 57, cot_prc_mediana = 54 WHERE cot_id = 1326;</v>
      </c>
    </row>
    <row r="1328" spans="1:10" x14ac:dyDescent="0.3">
      <c r="A1328">
        <v>1327</v>
      </c>
      <c r="B1328">
        <f>IF('Boletins Nuppa Site'!A1328&lt;&gt;0,'Boletins Nuppa Site'!A1328,"NULL")</f>
        <v>71</v>
      </c>
      <c r="C1328">
        <v>15</v>
      </c>
      <c r="D1328" s="14">
        <f>IF('Boletins Nuppa Site'!G1328&lt;&gt;0,'Boletins Nuppa Site'!G1328,"NULL")</f>
        <v>36</v>
      </c>
      <c r="E1328" s="14">
        <f>IF('Boletins Nuppa Site'!H1328&lt;&gt;0,'Boletins Nuppa Site'!H1328,"NULL")</f>
        <v>24</v>
      </c>
      <c r="F1328" s="14">
        <f>IF('Boletins Nuppa Site'!I1328&lt;&gt;0,'Boletins Nuppa Site'!I1328,"NULL")</f>
        <v>40</v>
      </c>
      <c r="G1328" s="14">
        <f>IF('Boletins Nuppa Site'!J1328&lt;&gt;0,'Boletins Nuppa Site'!J1328,"NULL")</f>
        <v>32</v>
      </c>
      <c r="H1328" s="14">
        <f>IF('Boletins Nuppa Site'!K1328&lt;&gt;0,'Boletins Nuppa Site'!K1328,"NULL")</f>
        <v>36</v>
      </c>
      <c r="I1328" t="str">
        <f t="shared" si="40"/>
        <v>INSERT INTO COTACAO (cot_id, cot_blt_id, cot_pap_id, cot_prc_comum, cot_prc_min, cot_prc_max, cot_prc_med, cot_prc_mediana) VALUES (1327, 71, 15, 36, 24, 40, 32, 36);</v>
      </c>
      <c r="J1328" t="str">
        <f t="shared" si="41"/>
        <v>UPDATE COTACAO SET cot_id = 1327, cot_blt_id = 71, cot_pap_id = 15, cot_prc_comum = 36, cot_prc_min = 24, cot_prc_max = 40, cot_prc_med = 32, cot_prc_mediana = 36 WHERE cot_id = 1327;</v>
      </c>
    </row>
    <row r="1329" spans="1:10" x14ac:dyDescent="0.3">
      <c r="A1329">
        <v>1328</v>
      </c>
      <c r="B1329">
        <f>IF('Boletins Nuppa Site'!A1329&lt;&gt;0,'Boletins Nuppa Site'!A1329,"NULL")</f>
        <v>71</v>
      </c>
      <c r="C1329">
        <v>16</v>
      </c>
      <c r="D1329" s="14">
        <f>IF('Boletins Nuppa Site'!G1329&lt;&gt;0,'Boletins Nuppa Site'!G1329,"NULL")</f>
        <v>48</v>
      </c>
      <c r="E1329" s="14">
        <f>IF('Boletins Nuppa Site'!H1329&lt;&gt;0,'Boletins Nuppa Site'!H1329,"NULL")</f>
        <v>42</v>
      </c>
      <c r="F1329" s="14">
        <f>IF('Boletins Nuppa Site'!I1329&lt;&gt;0,'Boletins Nuppa Site'!I1329,"NULL")</f>
        <v>48</v>
      </c>
      <c r="G1329" t="str">
        <f>IF('Boletins Nuppa Site'!J1329&lt;&gt;0,'Boletins Nuppa Site'!J1329,"NULL")</f>
        <v>46.5</v>
      </c>
      <c r="H1329" s="14">
        <f>IF('Boletins Nuppa Site'!K1329&lt;&gt;0,'Boletins Nuppa Site'!K1329,"NULL")</f>
        <v>48</v>
      </c>
      <c r="I1329" t="str">
        <f t="shared" si="40"/>
        <v>INSERT INTO COTACAO (cot_id, cot_blt_id, cot_pap_id, cot_prc_comum, cot_prc_min, cot_prc_max, cot_prc_med, cot_prc_mediana) VALUES (1328, 71, 16, 48, 42, 48, 46.5, 48);</v>
      </c>
      <c r="J1329" t="str">
        <f t="shared" si="41"/>
        <v>UPDATE COTACAO SET cot_id = 1328, cot_blt_id = 71, cot_pap_id = 16, cot_prc_comum = 48, cot_prc_min = 42, cot_prc_max = 48, cot_prc_med = 46.5, cot_prc_mediana = 48 WHERE cot_id = 1328;</v>
      </c>
    </row>
    <row r="1330" spans="1:10" x14ac:dyDescent="0.3">
      <c r="A1330">
        <v>1329</v>
      </c>
      <c r="B1330">
        <f>IF('Boletins Nuppa Site'!A1330&lt;&gt;0,'Boletins Nuppa Site'!A1330,"NULL")</f>
        <v>71</v>
      </c>
      <c r="C1330">
        <v>17</v>
      </c>
      <c r="D1330" s="14">
        <f>IF('Boletins Nuppa Site'!G1330&lt;&gt;0,'Boletins Nuppa Site'!G1330,"NULL")</f>
        <v>5</v>
      </c>
      <c r="E1330" s="14">
        <f>IF('Boletins Nuppa Site'!H1330&lt;&gt;0,'Boletins Nuppa Site'!H1330,"NULL")</f>
        <v>4</v>
      </c>
      <c r="F1330" s="14">
        <f>IF('Boletins Nuppa Site'!I1330&lt;&gt;0,'Boletins Nuppa Site'!I1330,"NULL")</f>
        <v>5</v>
      </c>
      <c r="G1330" t="str">
        <f>IF('Boletins Nuppa Site'!J1330&lt;&gt;0,'Boletins Nuppa Site'!J1330,"NULL")</f>
        <v>4.67</v>
      </c>
      <c r="H1330" s="14">
        <f>IF('Boletins Nuppa Site'!K1330&lt;&gt;0,'Boletins Nuppa Site'!K1330,"NULL")</f>
        <v>5</v>
      </c>
      <c r="I1330" t="str">
        <f t="shared" si="40"/>
        <v>INSERT INTO COTACAO (cot_id, cot_blt_id, cot_pap_id, cot_prc_comum, cot_prc_min, cot_prc_max, cot_prc_med, cot_prc_mediana) VALUES (1329, 71, 17, 5, 4, 5, 4.67, 5);</v>
      </c>
      <c r="J1330" t="str">
        <f t="shared" si="41"/>
        <v>UPDATE COTACAO SET cot_id = 1329, cot_blt_id = 71, cot_pap_id = 17, cot_prc_comum = 5, cot_prc_min = 4, cot_prc_max = 5, cot_prc_med = 4.67, cot_prc_mediana = 5 WHERE cot_id = 1329;</v>
      </c>
    </row>
    <row r="1331" spans="1:10" x14ac:dyDescent="0.3">
      <c r="A1331">
        <v>1330</v>
      </c>
      <c r="B1331">
        <f>IF('Boletins Nuppa Site'!A1331&lt;&gt;0,'Boletins Nuppa Site'!A1331,"NULL")</f>
        <v>71</v>
      </c>
      <c r="C1331">
        <v>18</v>
      </c>
      <c r="D1331" s="14">
        <f>IF('Boletins Nuppa Site'!G1331&lt;&gt;0,'Boletins Nuppa Site'!G1331,"NULL")</f>
        <v>10</v>
      </c>
      <c r="E1331" s="14">
        <f>IF('Boletins Nuppa Site'!H1331&lt;&gt;0,'Boletins Nuppa Site'!H1331,"NULL")</f>
        <v>10</v>
      </c>
      <c r="F1331" s="14">
        <f>IF('Boletins Nuppa Site'!I1331&lt;&gt;0,'Boletins Nuppa Site'!I1331,"NULL")</f>
        <v>15</v>
      </c>
      <c r="G1331" t="str">
        <f>IF('Boletins Nuppa Site'!J1331&lt;&gt;0,'Boletins Nuppa Site'!J1331,"NULL")</f>
        <v>11.75</v>
      </c>
      <c r="H1331" s="14">
        <f>IF('Boletins Nuppa Site'!K1331&lt;&gt;0,'Boletins Nuppa Site'!K1331,"NULL")</f>
        <v>11</v>
      </c>
      <c r="I1331" t="str">
        <f t="shared" si="40"/>
        <v>INSERT INTO COTACAO (cot_id, cot_blt_id, cot_pap_id, cot_prc_comum, cot_prc_min, cot_prc_max, cot_prc_med, cot_prc_mediana) VALUES (1330, 71, 18, 10, 10, 15, 11.75, 11);</v>
      </c>
      <c r="J1331" t="str">
        <f t="shared" si="41"/>
        <v>UPDATE COTACAO SET cot_id = 1330, cot_blt_id = 71, cot_pap_id = 18, cot_prc_comum = 10, cot_prc_min = 10, cot_prc_max = 15, cot_prc_med = 11.75, cot_prc_mediana = 11 WHERE cot_id = 1330;</v>
      </c>
    </row>
    <row r="1332" spans="1:10" x14ac:dyDescent="0.3">
      <c r="A1332">
        <v>1331</v>
      </c>
      <c r="B1332">
        <f>IF('Boletins Nuppa Site'!A1332&lt;&gt;0,'Boletins Nuppa Site'!A1332,"NULL")</f>
        <v>71</v>
      </c>
      <c r="C1332">
        <v>19</v>
      </c>
      <c r="D1332" s="14">
        <f>IF('Boletins Nuppa Site'!G1332&lt;&gt;0,'Boletins Nuppa Site'!G1332,"NULL")</f>
        <v>20</v>
      </c>
      <c r="E1332" s="14">
        <f>IF('Boletins Nuppa Site'!H1332&lt;&gt;0,'Boletins Nuppa Site'!H1332,"NULL")</f>
        <v>20</v>
      </c>
      <c r="F1332" s="14">
        <f>IF('Boletins Nuppa Site'!I1332&lt;&gt;0,'Boletins Nuppa Site'!I1332,"NULL")</f>
        <v>25</v>
      </c>
      <c r="G1332" t="str">
        <f>IF('Boletins Nuppa Site'!J1332&lt;&gt;0,'Boletins Nuppa Site'!J1332,"NULL")</f>
        <v>21.25</v>
      </c>
      <c r="H1332" s="14">
        <f>IF('Boletins Nuppa Site'!K1332&lt;&gt;0,'Boletins Nuppa Site'!K1332,"NULL")</f>
        <v>20</v>
      </c>
      <c r="I1332" t="str">
        <f t="shared" si="40"/>
        <v>INSERT INTO COTACAO (cot_id, cot_blt_id, cot_pap_id, cot_prc_comum, cot_prc_min, cot_prc_max, cot_prc_med, cot_prc_mediana) VALUES (1331, 71, 19, 20, 20, 25, 21.25, 20);</v>
      </c>
      <c r="J1332" t="str">
        <f t="shared" si="41"/>
        <v>UPDATE COTACAO SET cot_id = 1331, cot_blt_id = 71, cot_pap_id = 19, cot_prc_comum = 20, cot_prc_min = 20, cot_prc_max = 25, cot_prc_med = 21.25, cot_prc_mediana = 20 WHERE cot_id = 1331;</v>
      </c>
    </row>
    <row r="1333" spans="1:10" x14ac:dyDescent="0.3">
      <c r="A1333">
        <v>1332</v>
      </c>
      <c r="B1333">
        <f>IF('Boletins Nuppa Site'!A1333&lt;&gt;0,'Boletins Nuppa Site'!A1333,"NULL")</f>
        <v>71</v>
      </c>
      <c r="C1333">
        <v>20</v>
      </c>
      <c r="D1333" t="str">
        <f>IF('Boletins Nuppa Site'!G1333&lt;&gt;0,'Boletins Nuppa Site'!G1333,"NULL")</f>
        <v>NULL</v>
      </c>
      <c r="E1333" s="14">
        <f>IF('Boletins Nuppa Site'!H1333&lt;&gt;0,'Boletins Nuppa Site'!H1333,"NULL")</f>
        <v>80</v>
      </c>
      <c r="F1333" s="14">
        <f>IF('Boletins Nuppa Site'!I1333&lt;&gt;0,'Boletins Nuppa Site'!I1333,"NULL")</f>
        <v>85</v>
      </c>
      <c r="G1333" t="str">
        <f>IF('Boletins Nuppa Site'!J1333&lt;&gt;0,'Boletins Nuppa Site'!J1333,"NULL")</f>
        <v>82.5</v>
      </c>
      <c r="H1333" t="str">
        <f>IF('Boletins Nuppa Site'!K1333&lt;&gt;0,'Boletins Nuppa Site'!K1333,"NULL")</f>
        <v>82.5</v>
      </c>
      <c r="I1333" t="str">
        <f t="shared" si="40"/>
        <v>INSERT INTO COTACAO (cot_id, cot_blt_id, cot_pap_id, cot_prc_comum, cot_prc_min, cot_prc_max, cot_prc_med, cot_prc_mediana) VALUES (1332, 71, 20, NULL, 80, 85, 82.5, 82.5);</v>
      </c>
      <c r="J1333" t="str">
        <f t="shared" si="41"/>
        <v>UPDATE COTACAO SET cot_id = 1332, cot_blt_id = 71, cot_pap_id = 20, cot_prc_comum = NULL, cot_prc_min = 80, cot_prc_max = 85, cot_prc_med = 82.5, cot_prc_mediana = 82.5 WHERE cot_id = 1332;</v>
      </c>
    </row>
    <row r="1334" spans="1:10" x14ac:dyDescent="0.3">
      <c r="A1334">
        <v>1333</v>
      </c>
      <c r="B1334">
        <f>IF('Boletins Nuppa Site'!A1334&lt;&gt;0,'Boletins Nuppa Site'!A1334,"NULL")</f>
        <v>71</v>
      </c>
      <c r="C1334">
        <v>21</v>
      </c>
      <c r="D1334" s="14">
        <f>IF('Boletins Nuppa Site'!G1334&lt;&gt;0,'Boletins Nuppa Site'!G1334,"NULL")</f>
        <v>35</v>
      </c>
      <c r="E1334" s="14">
        <f>IF('Boletins Nuppa Site'!H1334&lt;&gt;0,'Boletins Nuppa Site'!H1334,"NULL")</f>
        <v>35</v>
      </c>
      <c r="F1334" s="14">
        <f>IF('Boletins Nuppa Site'!I1334&lt;&gt;0,'Boletins Nuppa Site'!I1334,"NULL")</f>
        <v>50</v>
      </c>
      <c r="G1334" s="14">
        <f>IF('Boletins Nuppa Site'!J1334&lt;&gt;0,'Boletins Nuppa Site'!J1334,"NULL")</f>
        <v>42</v>
      </c>
      <c r="H1334" s="14">
        <f>IF('Boletins Nuppa Site'!K1334&lt;&gt;0,'Boletins Nuppa Site'!K1334,"NULL")</f>
        <v>45</v>
      </c>
      <c r="I1334" t="str">
        <f t="shared" si="40"/>
        <v>INSERT INTO COTACAO (cot_id, cot_blt_id, cot_pap_id, cot_prc_comum, cot_prc_min, cot_prc_max, cot_prc_med, cot_prc_mediana) VALUES (1333, 71, 21, 35, 35, 50, 42, 45);</v>
      </c>
      <c r="J1334" t="str">
        <f t="shared" si="41"/>
        <v>UPDATE COTACAO SET cot_id = 1333, cot_blt_id = 71, cot_pap_id = 21, cot_prc_comum = 35, cot_prc_min = 35, cot_prc_max = 50, cot_prc_med = 42, cot_prc_mediana = 45 WHERE cot_id = 1333;</v>
      </c>
    </row>
    <row r="1335" spans="1:10" x14ac:dyDescent="0.3">
      <c r="A1335">
        <v>1334</v>
      </c>
      <c r="B1335">
        <f>IF('Boletins Nuppa Site'!A1335&lt;&gt;0,'Boletins Nuppa Site'!A1335,"NULL")</f>
        <v>71</v>
      </c>
      <c r="C1335">
        <v>22</v>
      </c>
      <c r="D1335" s="14">
        <f>IF('Boletins Nuppa Site'!G1335&lt;&gt;0,'Boletins Nuppa Site'!G1335,"NULL")</f>
        <v>70</v>
      </c>
      <c r="E1335" s="14">
        <f>IF('Boletins Nuppa Site'!H1335&lt;&gt;0,'Boletins Nuppa Site'!H1335,"NULL")</f>
        <v>45</v>
      </c>
      <c r="F1335" s="14">
        <f>IF('Boletins Nuppa Site'!I1335&lt;&gt;0,'Boletins Nuppa Site'!I1335,"NULL")</f>
        <v>70</v>
      </c>
      <c r="G1335" s="14">
        <f>IF('Boletins Nuppa Site'!J1335&lt;&gt;0,'Boletins Nuppa Site'!J1335,"NULL")</f>
        <v>64</v>
      </c>
      <c r="H1335" s="14">
        <f>IF('Boletins Nuppa Site'!K1335&lt;&gt;0,'Boletins Nuppa Site'!K1335,"NULL")</f>
        <v>70</v>
      </c>
      <c r="I1335" t="str">
        <f t="shared" si="40"/>
        <v>INSERT INTO COTACAO (cot_id, cot_blt_id, cot_pap_id, cot_prc_comum, cot_prc_min, cot_prc_max, cot_prc_med, cot_prc_mediana) VALUES (1334, 71, 22, 70, 45, 70, 64, 70);</v>
      </c>
      <c r="J1335" t="str">
        <f t="shared" si="41"/>
        <v>UPDATE COTACAO SET cot_id = 1334, cot_blt_id = 71, cot_pap_id = 22, cot_prc_comum = 70, cot_prc_min = 45, cot_prc_max = 70, cot_prc_med = 64, cot_prc_mediana = 70 WHERE cot_id = 1334;</v>
      </c>
    </row>
    <row r="1336" spans="1:10" x14ac:dyDescent="0.3">
      <c r="A1336">
        <v>1335</v>
      </c>
      <c r="B1336">
        <f>IF('Boletins Nuppa Site'!A1336&lt;&gt;0,'Boletins Nuppa Site'!A1336,"NULL")</f>
        <v>71</v>
      </c>
      <c r="C1336">
        <v>23</v>
      </c>
      <c r="D1336" t="str">
        <f>IF('Boletins Nuppa Site'!G1336&lt;&gt;0,'Boletins Nuppa Site'!G1336,"NULL")</f>
        <v>NULL</v>
      </c>
      <c r="E1336" s="14">
        <f>IF('Boletins Nuppa Site'!H1336&lt;&gt;0,'Boletins Nuppa Site'!H1336,"NULL")</f>
        <v>45</v>
      </c>
      <c r="F1336" s="14">
        <f>IF('Boletins Nuppa Site'!I1336&lt;&gt;0,'Boletins Nuppa Site'!I1336,"NULL")</f>
        <v>60</v>
      </c>
      <c r="G1336" t="str">
        <f>IF('Boletins Nuppa Site'!J1336&lt;&gt;0,'Boletins Nuppa Site'!J1336,"NULL")</f>
        <v>51.67</v>
      </c>
      <c r="H1336" s="14">
        <f>IF('Boletins Nuppa Site'!K1336&lt;&gt;0,'Boletins Nuppa Site'!K1336,"NULL")</f>
        <v>50</v>
      </c>
      <c r="I1336" t="str">
        <f t="shared" si="40"/>
        <v>INSERT INTO COTACAO (cot_id, cot_blt_id, cot_pap_id, cot_prc_comum, cot_prc_min, cot_prc_max, cot_prc_med, cot_prc_mediana) VALUES (1335, 71, 23, NULL, 45, 60, 51.67, 50);</v>
      </c>
      <c r="J1336" t="str">
        <f t="shared" si="41"/>
        <v>UPDATE COTACAO SET cot_id = 1335, cot_blt_id = 71, cot_pap_id = 23, cot_prc_comum = NULL, cot_prc_min = 45, cot_prc_max = 60, cot_prc_med = 51.67, cot_prc_mediana = 50 WHERE cot_id = 1335;</v>
      </c>
    </row>
    <row r="1337" spans="1:10" x14ac:dyDescent="0.3">
      <c r="A1337">
        <v>1336</v>
      </c>
      <c r="B1337">
        <f>IF('Boletins Nuppa Site'!A1337&lt;&gt;0,'Boletins Nuppa Site'!A1337,"NULL")</f>
        <v>71</v>
      </c>
      <c r="C1337">
        <v>24</v>
      </c>
      <c r="D1337" t="str">
        <f>IF('Boletins Nuppa Site'!G1337&lt;&gt;0,'Boletins Nuppa Site'!G1337,"NULL")</f>
        <v>NULL</v>
      </c>
      <c r="E1337" s="14">
        <f>IF('Boletins Nuppa Site'!H1337&lt;&gt;0,'Boletins Nuppa Site'!H1337,"NULL")</f>
        <v>50</v>
      </c>
      <c r="F1337" s="14">
        <f>IF('Boletins Nuppa Site'!I1337&lt;&gt;0,'Boletins Nuppa Site'!I1337,"NULL")</f>
        <v>110</v>
      </c>
      <c r="G1337" t="str">
        <f>IF('Boletins Nuppa Site'!J1337&lt;&gt;0,'Boletins Nuppa Site'!J1337,"NULL")</f>
        <v>83.33</v>
      </c>
      <c r="H1337" s="14">
        <f>IF('Boletins Nuppa Site'!K1337&lt;&gt;0,'Boletins Nuppa Site'!K1337,"NULL")</f>
        <v>90</v>
      </c>
      <c r="I1337" t="str">
        <f t="shared" si="40"/>
        <v>INSERT INTO COTACAO (cot_id, cot_blt_id, cot_pap_id, cot_prc_comum, cot_prc_min, cot_prc_max, cot_prc_med, cot_prc_mediana) VALUES (1336, 71, 24, NULL, 50, 110, 83.33, 90);</v>
      </c>
      <c r="J1337" t="str">
        <f t="shared" si="41"/>
        <v>UPDATE COTACAO SET cot_id = 1336, cot_blt_id = 71, cot_pap_id = 24, cot_prc_comum = NULL, cot_prc_min = 50, cot_prc_max = 110, cot_prc_med = 83.33, cot_prc_mediana = 90 WHERE cot_id = 1336;</v>
      </c>
    </row>
    <row r="1338" spans="1:10" x14ac:dyDescent="0.3">
      <c r="A1338">
        <v>1337</v>
      </c>
      <c r="B1338">
        <f>IF('Boletins Nuppa Site'!A1338&lt;&gt;0,'Boletins Nuppa Site'!A1338,"NULL")</f>
        <v>71</v>
      </c>
      <c r="C1338">
        <v>25</v>
      </c>
      <c r="D1338" s="14">
        <f>IF('Boletins Nuppa Site'!G1338&lt;&gt;0,'Boletins Nuppa Site'!G1338,"NULL")</f>
        <v>70</v>
      </c>
      <c r="E1338" s="14">
        <f>IF('Boletins Nuppa Site'!H1338&lt;&gt;0,'Boletins Nuppa Site'!H1338,"NULL")</f>
        <v>60</v>
      </c>
      <c r="F1338" s="14">
        <f>IF('Boletins Nuppa Site'!I1338&lt;&gt;0,'Boletins Nuppa Site'!I1338,"NULL")</f>
        <v>70</v>
      </c>
      <c r="G1338" s="14">
        <f>IF('Boletins Nuppa Site'!J1338&lt;&gt;0,'Boletins Nuppa Site'!J1338,"NULL")</f>
        <v>65</v>
      </c>
      <c r="H1338" s="14">
        <f>IF('Boletins Nuppa Site'!K1338&lt;&gt;0,'Boletins Nuppa Site'!K1338,"NULL")</f>
        <v>65</v>
      </c>
      <c r="I1338" t="str">
        <f t="shared" si="40"/>
        <v>INSERT INTO COTACAO (cot_id, cot_blt_id, cot_pap_id, cot_prc_comum, cot_prc_min, cot_prc_max, cot_prc_med, cot_prc_mediana) VALUES (1337, 71, 25, 70, 60, 70, 65, 65);</v>
      </c>
      <c r="J1338" t="str">
        <f t="shared" si="41"/>
        <v>UPDATE COTACAO SET cot_id = 1337, cot_blt_id = 71, cot_pap_id = 25, cot_prc_comum = 70, cot_prc_min = 60, cot_prc_max = 70, cot_prc_med = 65, cot_prc_mediana = 65 WHERE cot_id = 1337;</v>
      </c>
    </row>
    <row r="1339" spans="1:10" x14ac:dyDescent="0.3">
      <c r="A1339">
        <v>1338</v>
      </c>
      <c r="B1339">
        <f>IF('Boletins Nuppa Site'!A1339&lt;&gt;0,'Boletins Nuppa Site'!A1339,"NULL")</f>
        <v>71</v>
      </c>
      <c r="C1339">
        <v>26</v>
      </c>
      <c r="D1339" s="14">
        <f>IF('Boletins Nuppa Site'!G1339&lt;&gt;0,'Boletins Nuppa Site'!G1339,"NULL")</f>
        <v>60</v>
      </c>
      <c r="E1339" s="14">
        <f>IF('Boletins Nuppa Site'!H1339&lt;&gt;0,'Boletins Nuppa Site'!H1339,"NULL")</f>
        <v>35</v>
      </c>
      <c r="F1339" s="14">
        <f>IF('Boletins Nuppa Site'!I1339&lt;&gt;0,'Boletins Nuppa Site'!I1339,"NULL")</f>
        <v>60</v>
      </c>
      <c r="G1339" s="14">
        <f>IF('Boletins Nuppa Site'!J1339&lt;&gt;0,'Boletins Nuppa Site'!J1339,"NULL")</f>
        <v>50</v>
      </c>
      <c r="H1339" s="14">
        <f>IF('Boletins Nuppa Site'!K1339&lt;&gt;0,'Boletins Nuppa Site'!K1339,"NULL")</f>
        <v>55</v>
      </c>
      <c r="I1339" t="str">
        <f t="shared" si="40"/>
        <v>INSERT INTO COTACAO (cot_id, cot_blt_id, cot_pap_id, cot_prc_comum, cot_prc_min, cot_prc_max, cot_prc_med, cot_prc_mediana) VALUES (1338, 71, 26, 60, 35, 60, 50, 55);</v>
      </c>
      <c r="J1339" t="str">
        <f t="shared" si="41"/>
        <v>UPDATE COTACAO SET cot_id = 1338, cot_blt_id = 71, cot_pap_id = 26, cot_prc_comum = 60, cot_prc_min = 35, cot_prc_max = 60, cot_prc_med = 50, cot_prc_mediana = 55 WHERE cot_id = 1338;</v>
      </c>
    </row>
    <row r="1340" spans="1:10" x14ac:dyDescent="0.3">
      <c r="A1340">
        <v>1339</v>
      </c>
      <c r="B1340">
        <f>IF('Boletins Nuppa Site'!A1340&lt;&gt;0,'Boletins Nuppa Site'!A1340,"NULL")</f>
        <v>71</v>
      </c>
      <c r="C1340">
        <v>27</v>
      </c>
      <c r="D1340" s="14">
        <f>IF('Boletins Nuppa Site'!G1340&lt;&gt;0,'Boletins Nuppa Site'!G1340,"NULL")</f>
        <v>60</v>
      </c>
      <c r="E1340" s="14">
        <f>IF('Boletins Nuppa Site'!H1340&lt;&gt;0,'Boletins Nuppa Site'!H1340,"NULL")</f>
        <v>60</v>
      </c>
      <c r="F1340" s="14">
        <f>IF('Boletins Nuppa Site'!I1340&lt;&gt;0,'Boletins Nuppa Site'!I1340,"NULL")</f>
        <v>80</v>
      </c>
      <c r="G1340" s="14">
        <f>IF('Boletins Nuppa Site'!J1340&lt;&gt;0,'Boletins Nuppa Site'!J1340,"NULL")</f>
        <v>68</v>
      </c>
      <c r="H1340" s="14">
        <f>IF('Boletins Nuppa Site'!K1340&lt;&gt;0,'Boletins Nuppa Site'!K1340,"NULL")</f>
        <v>70</v>
      </c>
      <c r="I1340" t="str">
        <f t="shared" si="40"/>
        <v>INSERT INTO COTACAO (cot_id, cot_blt_id, cot_pap_id, cot_prc_comum, cot_prc_min, cot_prc_max, cot_prc_med, cot_prc_mediana) VALUES (1339, 71, 27, 60, 60, 80, 68, 70);</v>
      </c>
      <c r="J1340" t="str">
        <f t="shared" si="41"/>
        <v>UPDATE COTACAO SET cot_id = 1339, cot_blt_id = 71, cot_pap_id = 27, cot_prc_comum = 60, cot_prc_min = 60, cot_prc_max = 80, cot_prc_med = 68, cot_prc_mediana = 70 WHERE cot_id = 1339;</v>
      </c>
    </row>
    <row r="1341" spans="1:10" x14ac:dyDescent="0.3">
      <c r="A1341">
        <v>1340</v>
      </c>
      <c r="B1341">
        <f>IF('Boletins Nuppa Site'!A1341&lt;&gt;0,'Boletins Nuppa Site'!A1341,"NULL")</f>
        <v>71</v>
      </c>
      <c r="C1341">
        <v>28</v>
      </c>
      <c r="D1341" t="str">
        <f>IF('Boletins Nuppa Site'!G1341&lt;&gt;0,'Boletins Nuppa Site'!G1341,"NULL")</f>
        <v>NULL</v>
      </c>
      <c r="E1341" s="14">
        <f>IF('Boletins Nuppa Site'!H1341&lt;&gt;0,'Boletins Nuppa Site'!H1341,"NULL")</f>
        <v>90</v>
      </c>
      <c r="F1341" s="14">
        <f>IF('Boletins Nuppa Site'!I1341&lt;&gt;0,'Boletins Nuppa Site'!I1341,"NULL")</f>
        <v>120</v>
      </c>
      <c r="G1341" s="14">
        <f>IF('Boletins Nuppa Site'!J1341&lt;&gt;0,'Boletins Nuppa Site'!J1341,"NULL")</f>
        <v>105</v>
      </c>
      <c r="H1341" s="14">
        <f>IF('Boletins Nuppa Site'!K1341&lt;&gt;0,'Boletins Nuppa Site'!K1341,"NULL")</f>
        <v>105</v>
      </c>
      <c r="I1341" t="str">
        <f t="shared" si="40"/>
        <v>INSERT INTO COTACAO (cot_id, cot_blt_id, cot_pap_id, cot_prc_comum, cot_prc_min, cot_prc_max, cot_prc_med, cot_prc_mediana) VALUES (1340, 71, 28, NULL, 90, 120, 105, 105);</v>
      </c>
      <c r="J1341" t="str">
        <f t="shared" si="41"/>
        <v>UPDATE COTACAO SET cot_id = 1340, cot_blt_id = 71, cot_pap_id = 28, cot_prc_comum = NULL, cot_prc_min = 90, cot_prc_max = 120, cot_prc_med = 105, cot_prc_mediana = 105 WHERE cot_id = 1340;</v>
      </c>
    </row>
    <row r="1342" spans="1:10" x14ac:dyDescent="0.3">
      <c r="A1342">
        <v>1341</v>
      </c>
      <c r="B1342">
        <f>IF('Boletins Nuppa Site'!A1342&lt;&gt;0,'Boletins Nuppa Site'!A1342,"NULL")</f>
        <v>71</v>
      </c>
      <c r="C1342">
        <v>29</v>
      </c>
      <c r="D1342" t="str">
        <f>IF('Boletins Nuppa Site'!G1342&lt;&gt;0,'Boletins Nuppa Site'!G1342,"NULL")</f>
        <v>NULL</v>
      </c>
      <c r="E1342" s="14">
        <f>IF('Boletins Nuppa Site'!H1342&lt;&gt;0,'Boletins Nuppa Site'!H1342,"NULL")</f>
        <v>65</v>
      </c>
      <c r="F1342" s="14">
        <f>IF('Boletins Nuppa Site'!I1342&lt;&gt;0,'Boletins Nuppa Site'!I1342,"NULL")</f>
        <v>65</v>
      </c>
      <c r="G1342" s="14">
        <f>IF('Boletins Nuppa Site'!J1342&lt;&gt;0,'Boletins Nuppa Site'!J1342,"NULL")</f>
        <v>65</v>
      </c>
      <c r="H1342" s="14">
        <f>IF('Boletins Nuppa Site'!K1342&lt;&gt;0,'Boletins Nuppa Site'!K1342,"NULL")</f>
        <v>65</v>
      </c>
      <c r="I1342" t="str">
        <f t="shared" si="40"/>
        <v>INSERT INTO COTACAO (cot_id, cot_blt_id, cot_pap_id, cot_prc_comum, cot_prc_min, cot_prc_max, cot_prc_med, cot_prc_mediana) VALUES (1341, 71, 29, NULL, 65, 65, 65, 65);</v>
      </c>
      <c r="J1342" t="str">
        <f t="shared" si="41"/>
        <v>UPDATE COTACAO SET cot_id = 1341, cot_blt_id = 71, cot_pap_id = 29, cot_prc_comum = NULL, cot_prc_min = 65, cot_prc_max = 65, cot_prc_med = 65, cot_prc_mediana = 65 WHERE cot_id = 1341;</v>
      </c>
    </row>
    <row r="1343" spans="1:10" x14ac:dyDescent="0.3">
      <c r="A1343">
        <v>1342</v>
      </c>
      <c r="B1343">
        <f>IF('Boletins Nuppa Site'!A1343&lt;&gt;0,'Boletins Nuppa Site'!A1343,"NULL")</f>
        <v>71</v>
      </c>
      <c r="C1343">
        <v>30</v>
      </c>
      <c r="D1343" s="14">
        <f>IF('Boletins Nuppa Site'!G1343&lt;&gt;0,'Boletins Nuppa Site'!G1343,"NULL")</f>
        <v>100</v>
      </c>
      <c r="E1343" s="14">
        <f>IF('Boletins Nuppa Site'!H1343&lt;&gt;0,'Boletins Nuppa Site'!H1343,"NULL")</f>
        <v>80</v>
      </c>
      <c r="F1343" s="14">
        <f>IF('Boletins Nuppa Site'!I1343&lt;&gt;0,'Boletins Nuppa Site'!I1343,"NULL")</f>
        <v>100</v>
      </c>
      <c r="G1343" t="str">
        <f>IF('Boletins Nuppa Site'!J1343&lt;&gt;0,'Boletins Nuppa Site'!J1343,"NULL")</f>
        <v>93.33</v>
      </c>
      <c r="H1343" s="14">
        <f>IF('Boletins Nuppa Site'!K1343&lt;&gt;0,'Boletins Nuppa Site'!K1343,"NULL")</f>
        <v>100</v>
      </c>
      <c r="I1343" t="str">
        <f t="shared" si="40"/>
        <v>INSERT INTO COTACAO (cot_id, cot_blt_id, cot_pap_id, cot_prc_comum, cot_prc_min, cot_prc_max, cot_prc_med, cot_prc_mediana) VALUES (1342, 71, 30, 100, 80, 100, 93.33, 100);</v>
      </c>
      <c r="J1343" t="str">
        <f t="shared" si="41"/>
        <v>UPDATE COTACAO SET cot_id = 1342, cot_blt_id = 71, cot_pap_id = 30, cot_prc_comum = 100, cot_prc_min = 80, cot_prc_max = 100, cot_prc_med = 93.33, cot_prc_mediana = 100 WHERE cot_id = 1342;</v>
      </c>
    </row>
    <row r="1344" spans="1:10" x14ac:dyDescent="0.3">
      <c r="A1344">
        <v>1343</v>
      </c>
      <c r="B1344">
        <f>IF('Boletins Nuppa Site'!A1344&lt;&gt;0,'Boletins Nuppa Site'!A1344,"NULL")</f>
        <v>71</v>
      </c>
      <c r="C1344">
        <v>31</v>
      </c>
      <c r="D1344" t="str">
        <f>IF('Boletins Nuppa Site'!G1344&lt;&gt;0,'Boletins Nuppa Site'!G1344,"NULL")</f>
        <v>NULL</v>
      </c>
      <c r="E1344" s="14">
        <f>IF('Boletins Nuppa Site'!H1344&lt;&gt;0,'Boletins Nuppa Site'!H1344,"NULL")</f>
        <v>100</v>
      </c>
      <c r="F1344" s="14">
        <f>IF('Boletins Nuppa Site'!I1344&lt;&gt;0,'Boletins Nuppa Site'!I1344,"NULL")</f>
        <v>145</v>
      </c>
      <c r="G1344" t="str">
        <f>IF('Boletins Nuppa Site'!J1344&lt;&gt;0,'Boletins Nuppa Site'!J1344,"NULL")</f>
        <v>126.25</v>
      </c>
      <c r="H1344" s="14">
        <f>IF('Boletins Nuppa Site'!K1344&lt;&gt;0,'Boletins Nuppa Site'!K1344,"NULL")</f>
        <v>130</v>
      </c>
      <c r="I1344" t="str">
        <f t="shared" si="40"/>
        <v>INSERT INTO COTACAO (cot_id, cot_blt_id, cot_pap_id, cot_prc_comum, cot_prc_min, cot_prc_max, cot_prc_med, cot_prc_mediana) VALUES (1343, 71, 31, NULL, 100, 145, 126.25, 130);</v>
      </c>
      <c r="J1344" t="str">
        <f t="shared" si="41"/>
        <v>UPDATE COTACAO SET cot_id = 1343, cot_blt_id = 71, cot_pap_id = 31, cot_prc_comum = NULL, cot_prc_min = 100, cot_prc_max = 145, cot_prc_med = 126.25, cot_prc_mediana = 130 WHERE cot_id = 1343;</v>
      </c>
    </row>
    <row r="1345" spans="1:10" x14ac:dyDescent="0.3">
      <c r="A1345">
        <v>1344</v>
      </c>
      <c r="B1345">
        <f>IF('Boletins Nuppa Site'!A1345&lt;&gt;0,'Boletins Nuppa Site'!A1345,"NULL")</f>
        <v>71</v>
      </c>
      <c r="C1345">
        <v>32</v>
      </c>
      <c r="D1345" s="14">
        <f>IF('Boletins Nuppa Site'!G1345&lt;&gt;0,'Boletins Nuppa Site'!G1345,"NULL")</f>
        <v>55</v>
      </c>
      <c r="E1345" s="14">
        <f>IF('Boletins Nuppa Site'!H1345&lt;&gt;0,'Boletins Nuppa Site'!H1345,"NULL")</f>
        <v>40</v>
      </c>
      <c r="F1345" s="14">
        <f>IF('Boletins Nuppa Site'!I1345&lt;&gt;0,'Boletins Nuppa Site'!I1345,"NULL")</f>
        <v>55</v>
      </c>
      <c r="G1345" s="14">
        <f>IF('Boletins Nuppa Site'!J1345&lt;&gt;0,'Boletins Nuppa Site'!J1345,"NULL")</f>
        <v>49</v>
      </c>
      <c r="H1345" s="14">
        <f>IF('Boletins Nuppa Site'!K1345&lt;&gt;0,'Boletins Nuppa Site'!K1345,"NULL")</f>
        <v>50</v>
      </c>
      <c r="I1345" t="str">
        <f t="shared" si="40"/>
        <v>INSERT INTO COTACAO (cot_id, cot_blt_id, cot_pap_id, cot_prc_comum, cot_prc_min, cot_prc_max, cot_prc_med, cot_prc_mediana) VALUES (1344, 71, 32, 55, 40, 55, 49, 50);</v>
      </c>
      <c r="J1345" t="str">
        <f t="shared" si="41"/>
        <v>UPDATE COTACAO SET cot_id = 1344, cot_blt_id = 71, cot_pap_id = 32, cot_prc_comum = 55, cot_prc_min = 40, cot_prc_max = 55, cot_prc_med = 49, cot_prc_mediana = 50 WHERE cot_id = 1344;</v>
      </c>
    </row>
    <row r="1346" spans="1:10" x14ac:dyDescent="0.3">
      <c r="A1346">
        <v>1345</v>
      </c>
      <c r="B1346">
        <f>IF('Boletins Nuppa Site'!A1346&lt;&gt;0,'Boletins Nuppa Site'!A1346,"NULL")</f>
        <v>71</v>
      </c>
      <c r="C1346">
        <v>33</v>
      </c>
      <c r="D1346" s="14">
        <f>IF('Boletins Nuppa Site'!G1346&lt;&gt;0,'Boletins Nuppa Site'!G1346,"NULL")</f>
        <v>140</v>
      </c>
      <c r="E1346" s="14">
        <f>IF('Boletins Nuppa Site'!H1346&lt;&gt;0,'Boletins Nuppa Site'!H1346,"NULL")</f>
        <v>140</v>
      </c>
      <c r="F1346" s="14">
        <f>IF('Boletins Nuppa Site'!I1346&lt;&gt;0,'Boletins Nuppa Site'!I1346,"NULL")</f>
        <v>150</v>
      </c>
      <c r="G1346" s="14">
        <f>IF('Boletins Nuppa Site'!J1346&lt;&gt;0,'Boletins Nuppa Site'!J1346,"NULL")</f>
        <v>144</v>
      </c>
      <c r="H1346" s="14">
        <f>IF('Boletins Nuppa Site'!K1346&lt;&gt;0,'Boletins Nuppa Site'!K1346,"NULL")</f>
        <v>140</v>
      </c>
      <c r="I1346" t="str">
        <f t="shared" si="40"/>
        <v>INSERT INTO COTACAO (cot_id, cot_blt_id, cot_pap_id, cot_prc_comum, cot_prc_min, cot_prc_max, cot_prc_med, cot_prc_mediana) VALUES (1345, 71, 33, 140, 140, 150, 144, 140);</v>
      </c>
      <c r="J1346" t="str">
        <f t="shared" si="41"/>
        <v>UPDATE COTACAO SET cot_id = 1345, cot_blt_id = 71, cot_pap_id = 33, cot_prc_comum = 140, cot_prc_min = 140, cot_prc_max = 150, cot_prc_med = 144, cot_prc_mediana = 140 WHERE cot_id = 1345;</v>
      </c>
    </row>
    <row r="1347" spans="1:10" x14ac:dyDescent="0.3">
      <c r="A1347">
        <v>1346</v>
      </c>
      <c r="B1347">
        <f>IF('Boletins Nuppa Site'!A1347&lt;&gt;0,'Boletins Nuppa Site'!A1347,"NULL")</f>
        <v>71</v>
      </c>
      <c r="C1347">
        <v>34</v>
      </c>
      <c r="D1347" s="14">
        <f>IF('Boletins Nuppa Site'!G1347&lt;&gt;0,'Boletins Nuppa Site'!G1347,"NULL")</f>
        <v>60</v>
      </c>
      <c r="E1347" s="14">
        <f>IF('Boletins Nuppa Site'!H1347&lt;&gt;0,'Boletins Nuppa Site'!H1347,"NULL")</f>
        <v>50</v>
      </c>
      <c r="F1347" s="14">
        <f>IF('Boletins Nuppa Site'!I1347&lt;&gt;0,'Boletins Nuppa Site'!I1347,"NULL")</f>
        <v>90</v>
      </c>
      <c r="G1347" s="14">
        <f>IF('Boletins Nuppa Site'!J1347&lt;&gt;0,'Boletins Nuppa Site'!J1347,"NULL")</f>
        <v>66</v>
      </c>
      <c r="H1347" s="14">
        <f>IF('Boletins Nuppa Site'!K1347&lt;&gt;0,'Boletins Nuppa Site'!K1347,"NULL")</f>
        <v>60</v>
      </c>
      <c r="I1347" t="str">
        <f t="shared" ref="I1347:I1410" si="42">"INSERT INTO COTACAO (cot_id, cot_blt_id, cot_pap_id, cot_prc_comum, cot_prc_min, cot_prc_max, cot_prc_med, cot_prc_mediana) VALUES ("&amp;A1347&amp;", "&amp;B1347&amp;", "&amp;C1347&amp;", "&amp;D1347&amp;", "&amp;E1347&amp;", "&amp;F1347&amp;", "&amp;G1347&amp;", "&amp;H1347&amp;");"</f>
        <v>INSERT INTO COTACAO (cot_id, cot_blt_id, cot_pap_id, cot_prc_comum, cot_prc_min, cot_prc_max, cot_prc_med, cot_prc_mediana) VALUES (1346, 71, 34, 60, 50, 90, 66, 60);</v>
      </c>
      <c r="J1347" t="str">
        <f t="shared" ref="J1347:J1410" si="43">"UPDATE COTACAO SET cot_id = "&amp;A1347&amp;", cot_blt_id = "&amp;B1347&amp;", cot_pap_id = "&amp;C1347&amp;", cot_prc_comum = "&amp;D1347&amp;", cot_prc_min = "&amp;E1347&amp;", cot_prc_max = "&amp;F1347&amp;", cot_prc_med = "&amp;G1347&amp;", cot_prc_mediana = "&amp;H1347&amp;" WHERE cot_id = "&amp;A1347&amp;";"</f>
        <v>UPDATE COTACAO SET cot_id = 1346, cot_blt_id = 71, cot_pap_id = 34, cot_prc_comum = 60, cot_prc_min = 50, cot_prc_max = 90, cot_prc_med = 66, cot_prc_mediana = 60 WHERE cot_id = 1346;</v>
      </c>
    </row>
    <row r="1348" spans="1:10" x14ac:dyDescent="0.3">
      <c r="A1348">
        <v>1347</v>
      </c>
      <c r="B1348">
        <f>IF('Boletins Nuppa Site'!A1348&lt;&gt;0,'Boletins Nuppa Site'!A1348,"NULL")</f>
        <v>71</v>
      </c>
      <c r="C1348">
        <v>35</v>
      </c>
      <c r="D1348" t="str">
        <f>IF('Boletins Nuppa Site'!G1348&lt;&gt;0,'Boletins Nuppa Site'!G1348,"NULL")</f>
        <v>NULL</v>
      </c>
      <c r="E1348" s="14">
        <f>IF('Boletins Nuppa Site'!H1348&lt;&gt;0,'Boletins Nuppa Site'!H1348,"NULL")</f>
        <v>100</v>
      </c>
      <c r="F1348" s="14">
        <f>IF('Boletins Nuppa Site'!I1348&lt;&gt;0,'Boletins Nuppa Site'!I1348,"NULL")</f>
        <v>130</v>
      </c>
      <c r="G1348" t="str">
        <f>IF('Boletins Nuppa Site'!J1348&lt;&gt;0,'Boletins Nuppa Site'!J1348,"NULL")</f>
        <v>116.67</v>
      </c>
      <c r="H1348" s="14">
        <f>IF('Boletins Nuppa Site'!K1348&lt;&gt;0,'Boletins Nuppa Site'!K1348,"NULL")</f>
        <v>120</v>
      </c>
      <c r="I1348" t="str">
        <f t="shared" si="42"/>
        <v>INSERT INTO COTACAO (cot_id, cot_blt_id, cot_pap_id, cot_prc_comum, cot_prc_min, cot_prc_max, cot_prc_med, cot_prc_mediana) VALUES (1347, 71, 35, NULL, 100, 130, 116.67, 120);</v>
      </c>
      <c r="J1348" t="str">
        <f t="shared" si="43"/>
        <v>UPDATE COTACAO SET cot_id = 1347, cot_blt_id = 71, cot_pap_id = 35, cot_prc_comum = NULL, cot_prc_min = 100, cot_prc_max = 130, cot_prc_med = 116.67, cot_prc_mediana = 120 WHERE cot_id = 1347;</v>
      </c>
    </row>
    <row r="1349" spans="1:10" x14ac:dyDescent="0.3">
      <c r="A1349">
        <v>1348</v>
      </c>
      <c r="B1349">
        <f>IF('Boletins Nuppa Site'!A1349&lt;&gt;0,'Boletins Nuppa Site'!A1349,"NULL")</f>
        <v>71</v>
      </c>
      <c r="C1349">
        <v>36</v>
      </c>
      <c r="D1349" t="str">
        <f>IF('Boletins Nuppa Site'!G1349&lt;&gt;0,'Boletins Nuppa Site'!G1349,"NULL")</f>
        <v>NULL</v>
      </c>
      <c r="E1349" t="str">
        <f>IF('Boletins Nuppa Site'!H1349&lt;&gt;0,'Boletins Nuppa Site'!H1349,"NULL")</f>
        <v>NULL</v>
      </c>
      <c r="F1349" t="str">
        <f>IF('Boletins Nuppa Site'!I1349&lt;&gt;0,'Boletins Nuppa Site'!I1349,"NULL")</f>
        <v>NULL</v>
      </c>
      <c r="G1349" t="str">
        <f>IF('Boletins Nuppa Site'!J1349&lt;&gt;0,'Boletins Nuppa Site'!J1349,"NULL")</f>
        <v>NULL</v>
      </c>
      <c r="H1349" t="str">
        <f>IF('Boletins Nuppa Site'!K1349&lt;&gt;0,'Boletins Nuppa Site'!K1349,"NULL")</f>
        <v>NULL</v>
      </c>
      <c r="I1349" t="str">
        <f t="shared" si="42"/>
        <v>INSERT INTO COTACAO (cot_id, cot_blt_id, cot_pap_id, cot_prc_comum, cot_prc_min, cot_prc_max, cot_prc_med, cot_prc_mediana) VALUES (1348, 71, 36, NULL, NULL, NULL, NULL, NULL);</v>
      </c>
      <c r="J1349" t="str">
        <f t="shared" si="43"/>
        <v>UPDATE COTACAO SET cot_id = 1348, cot_blt_id = 71, cot_pap_id = 36, cot_prc_comum = NULL, cot_prc_min = NULL, cot_prc_max = NULL, cot_prc_med = NULL, cot_prc_mediana = NULL WHERE cot_id = 1348;</v>
      </c>
    </row>
    <row r="1350" spans="1:10" x14ac:dyDescent="0.3">
      <c r="A1350">
        <v>1349</v>
      </c>
      <c r="B1350">
        <f>IF('Boletins Nuppa Site'!A1350&lt;&gt;0,'Boletins Nuppa Site'!A1350,"NULL")</f>
        <v>71</v>
      </c>
      <c r="C1350">
        <v>37</v>
      </c>
      <c r="D1350" t="str">
        <f>IF('Boletins Nuppa Site'!G1350&lt;&gt;0,'Boletins Nuppa Site'!G1350,"NULL")</f>
        <v>NULL</v>
      </c>
      <c r="E1350" t="str">
        <f>IF('Boletins Nuppa Site'!H1350&lt;&gt;0,'Boletins Nuppa Site'!H1350,"NULL")</f>
        <v>NULL</v>
      </c>
      <c r="F1350" t="str">
        <f>IF('Boletins Nuppa Site'!I1350&lt;&gt;0,'Boletins Nuppa Site'!I1350,"NULL")</f>
        <v>NULL</v>
      </c>
      <c r="G1350" t="str">
        <f>IF('Boletins Nuppa Site'!J1350&lt;&gt;0,'Boletins Nuppa Site'!J1350,"NULL")</f>
        <v>NULL</v>
      </c>
      <c r="H1350" t="str">
        <f>IF('Boletins Nuppa Site'!K1350&lt;&gt;0,'Boletins Nuppa Site'!K1350,"NULL")</f>
        <v>NULL</v>
      </c>
      <c r="I1350" t="str">
        <f t="shared" si="42"/>
        <v>INSERT INTO COTACAO (cot_id, cot_blt_id, cot_pap_id, cot_prc_comum, cot_prc_min, cot_prc_max, cot_prc_med, cot_prc_mediana) VALUES (1349, 71, 37, NULL, NULL, NULL, NULL, NULL);</v>
      </c>
      <c r="J1350" t="str">
        <f t="shared" si="43"/>
        <v>UPDATE COTACAO SET cot_id = 1349, cot_blt_id = 71, cot_pap_id = 37, cot_prc_comum = NULL, cot_prc_min = NULL, cot_prc_max = NULL, cot_prc_med = NULL, cot_prc_mediana = NULL WHERE cot_id = 1349;</v>
      </c>
    </row>
    <row r="1351" spans="1:10" x14ac:dyDescent="0.3">
      <c r="A1351">
        <v>1350</v>
      </c>
      <c r="B1351">
        <f>IF('Boletins Nuppa Site'!A1351&lt;&gt;0,'Boletins Nuppa Site'!A1351,"NULL")</f>
        <v>71</v>
      </c>
      <c r="C1351">
        <v>38</v>
      </c>
      <c r="D1351" t="str">
        <f>IF('Boletins Nuppa Site'!G1351&lt;&gt;0,'Boletins Nuppa Site'!G1351,"NULL")</f>
        <v>NULL</v>
      </c>
      <c r="E1351" t="str">
        <f>IF('Boletins Nuppa Site'!H1351&lt;&gt;0,'Boletins Nuppa Site'!H1351,"NULL")</f>
        <v>NULL</v>
      </c>
      <c r="F1351" t="str">
        <f>IF('Boletins Nuppa Site'!I1351&lt;&gt;0,'Boletins Nuppa Site'!I1351,"NULL")</f>
        <v>NULL</v>
      </c>
      <c r="G1351" t="str">
        <f>IF('Boletins Nuppa Site'!J1351&lt;&gt;0,'Boletins Nuppa Site'!J1351,"NULL")</f>
        <v>NULL</v>
      </c>
      <c r="H1351" t="str">
        <f>IF('Boletins Nuppa Site'!K1351&lt;&gt;0,'Boletins Nuppa Site'!K1351,"NULL")</f>
        <v>NULL</v>
      </c>
      <c r="I1351" t="str">
        <f t="shared" si="42"/>
        <v>INSERT INTO COTACAO (cot_id, cot_blt_id, cot_pap_id, cot_prc_comum, cot_prc_min, cot_prc_max, cot_prc_med, cot_prc_mediana) VALUES (1350, 71, 38, NULL, NULL, NULL, NULL, NULL);</v>
      </c>
      <c r="J1351" t="str">
        <f t="shared" si="43"/>
        <v>UPDATE COTACAO SET cot_id = 1350, cot_blt_id = 71, cot_pap_id = 38, cot_prc_comum = NULL, cot_prc_min = NULL, cot_prc_max = NULL, cot_prc_med = NULL, cot_prc_mediana = NULL WHERE cot_id = 1350;</v>
      </c>
    </row>
    <row r="1352" spans="1:10" x14ac:dyDescent="0.3">
      <c r="A1352">
        <v>1351</v>
      </c>
      <c r="B1352">
        <f>IF('Boletins Nuppa Site'!A1352&lt;&gt;0,'Boletins Nuppa Site'!A1352,"NULL")</f>
        <v>71</v>
      </c>
      <c r="C1352">
        <v>39</v>
      </c>
      <c r="D1352" t="str">
        <f>IF('Boletins Nuppa Site'!G1352&lt;&gt;0,'Boletins Nuppa Site'!G1352,"NULL")</f>
        <v>NULL</v>
      </c>
      <c r="E1352" s="14">
        <f>IF('Boletins Nuppa Site'!H1352&lt;&gt;0,'Boletins Nuppa Site'!H1352,"NULL")</f>
        <v>50</v>
      </c>
      <c r="F1352" s="14">
        <f>IF('Boletins Nuppa Site'!I1352&lt;&gt;0,'Boletins Nuppa Site'!I1352,"NULL")</f>
        <v>50</v>
      </c>
      <c r="G1352" s="14">
        <f>IF('Boletins Nuppa Site'!J1352&lt;&gt;0,'Boletins Nuppa Site'!J1352,"NULL")</f>
        <v>50</v>
      </c>
      <c r="H1352" s="14">
        <f>IF('Boletins Nuppa Site'!K1352&lt;&gt;0,'Boletins Nuppa Site'!K1352,"NULL")</f>
        <v>50</v>
      </c>
      <c r="I1352" t="str">
        <f t="shared" si="42"/>
        <v>INSERT INTO COTACAO (cot_id, cot_blt_id, cot_pap_id, cot_prc_comum, cot_prc_min, cot_prc_max, cot_prc_med, cot_prc_mediana) VALUES (1351, 71, 39, NULL, 50, 50, 50, 50);</v>
      </c>
      <c r="J1352" t="str">
        <f t="shared" si="43"/>
        <v>UPDATE COTACAO SET cot_id = 1351, cot_blt_id = 71, cot_pap_id = 39, cot_prc_comum = NULL, cot_prc_min = 50, cot_prc_max = 50, cot_prc_med = 50, cot_prc_mediana = 50 WHERE cot_id = 1351;</v>
      </c>
    </row>
    <row r="1353" spans="1:10" x14ac:dyDescent="0.3">
      <c r="A1353">
        <v>1352</v>
      </c>
      <c r="B1353">
        <f>IF('Boletins Nuppa Site'!A1353&lt;&gt;0,'Boletins Nuppa Site'!A1353,"NULL")</f>
        <v>71</v>
      </c>
      <c r="C1353">
        <v>40</v>
      </c>
      <c r="D1353" t="str">
        <f>IF('Boletins Nuppa Site'!G1353&lt;&gt;0,'Boletins Nuppa Site'!G1353,"NULL")</f>
        <v>NULL</v>
      </c>
      <c r="E1353" t="str">
        <f>IF('Boletins Nuppa Site'!H1353&lt;&gt;0,'Boletins Nuppa Site'!H1353,"NULL")</f>
        <v>NULL</v>
      </c>
      <c r="F1353" t="str">
        <f>IF('Boletins Nuppa Site'!I1353&lt;&gt;0,'Boletins Nuppa Site'!I1353,"NULL")</f>
        <v>NULL</v>
      </c>
      <c r="G1353" t="str">
        <f>IF('Boletins Nuppa Site'!J1353&lt;&gt;0,'Boletins Nuppa Site'!J1353,"NULL")</f>
        <v>NULL</v>
      </c>
      <c r="H1353" t="str">
        <f>IF('Boletins Nuppa Site'!K1353&lt;&gt;0,'Boletins Nuppa Site'!K1353,"NULL")</f>
        <v>NULL</v>
      </c>
      <c r="I1353" t="str">
        <f t="shared" si="42"/>
        <v>INSERT INTO COTACAO (cot_id, cot_blt_id, cot_pap_id, cot_prc_comum, cot_prc_min, cot_prc_max, cot_prc_med, cot_prc_mediana) VALUES (1352, 71, 40, NULL, NULL, NULL, NULL, NULL);</v>
      </c>
      <c r="J1353" t="str">
        <f t="shared" si="43"/>
        <v>UPDATE COTACAO SET cot_id = 1352, cot_blt_id = 71, cot_pap_id = 40, cot_prc_comum = NULL, cot_prc_min = NULL, cot_prc_max = NULL, cot_prc_med = NULL, cot_prc_mediana = NULL WHERE cot_id = 1352;</v>
      </c>
    </row>
    <row r="1354" spans="1:10" x14ac:dyDescent="0.3">
      <c r="A1354">
        <v>1353</v>
      </c>
      <c r="B1354">
        <f>IF('Boletins Nuppa Site'!A1354&lt;&gt;0,'Boletins Nuppa Site'!A1354,"NULL")</f>
        <v>72</v>
      </c>
      <c r="C1354">
        <v>1</v>
      </c>
      <c r="D1354" s="14">
        <f>IF('Boletins Nuppa Site'!G1354&lt;&gt;0,'Boletins Nuppa Site'!G1354,"NULL")</f>
        <v>48</v>
      </c>
      <c r="E1354" s="14">
        <f>IF('Boletins Nuppa Site'!H1354&lt;&gt;0,'Boletins Nuppa Site'!H1354,"NULL")</f>
        <v>48</v>
      </c>
      <c r="F1354" s="14">
        <f>IF('Boletins Nuppa Site'!I1354&lt;&gt;0,'Boletins Nuppa Site'!I1354,"NULL")</f>
        <v>60</v>
      </c>
      <c r="G1354" s="14">
        <f>IF('Boletins Nuppa Site'!J1354&lt;&gt;0,'Boletins Nuppa Site'!J1354,"NULL")</f>
        <v>51</v>
      </c>
      <c r="H1354" s="14">
        <f>IF('Boletins Nuppa Site'!K1354&lt;&gt;0,'Boletins Nuppa Site'!K1354,"NULL")</f>
        <v>48</v>
      </c>
      <c r="I1354" t="str">
        <f t="shared" si="42"/>
        <v>INSERT INTO COTACAO (cot_id, cot_blt_id, cot_pap_id, cot_prc_comum, cot_prc_min, cot_prc_max, cot_prc_med, cot_prc_mediana) VALUES (1353, 72, 1, 48, 48, 60, 51, 48);</v>
      </c>
      <c r="J1354" t="str">
        <f t="shared" si="43"/>
        <v>UPDATE COTACAO SET cot_id = 1353, cot_blt_id = 72, cot_pap_id = 1, cot_prc_comum = 48, cot_prc_min = 48, cot_prc_max = 60, cot_prc_med = 51, cot_prc_mediana = 48 WHERE cot_id = 1353;</v>
      </c>
    </row>
    <row r="1355" spans="1:10" x14ac:dyDescent="0.3">
      <c r="A1355">
        <v>1354</v>
      </c>
      <c r="B1355">
        <f>IF('Boletins Nuppa Site'!A1355&lt;&gt;0,'Boletins Nuppa Site'!A1355,"NULL")</f>
        <v>72</v>
      </c>
      <c r="C1355">
        <v>2</v>
      </c>
      <c r="D1355" s="14">
        <f>IF('Boletins Nuppa Site'!G1355&lt;&gt;0,'Boletins Nuppa Site'!G1355,"NULL")</f>
        <v>72</v>
      </c>
      <c r="E1355" s="14">
        <f>IF('Boletins Nuppa Site'!H1355&lt;&gt;0,'Boletins Nuppa Site'!H1355,"NULL")</f>
        <v>72</v>
      </c>
      <c r="F1355" s="14">
        <f>IF('Boletins Nuppa Site'!I1355&lt;&gt;0,'Boletins Nuppa Site'!I1355,"NULL")</f>
        <v>84</v>
      </c>
      <c r="G1355" s="14">
        <f>IF('Boletins Nuppa Site'!J1355&lt;&gt;0,'Boletins Nuppa Site'!J1355,"NULL")</f>
        <v>76</v>
      </c>
      <c r="H1355" s="14">
        <f>IF('Boletins Nuppa Site'!K1355&lt;&gt;0,'Boletins Nuppa Site'!K1355,"NULL")</f>
        <v>72</v>
      </c>
      <c r="I1355" t="str">
        <f t="shared" si="42"/>
        <v>INSERT INTO COTACAO (cot_id, cot_blt_id, cot_pap_id, cot_prc_comum, cot_prc_min, cot_prc_max, cot_prc_med, cot_prc_mediana) VALUES (1354, 72, 2, 72, 72, 84, 76, 72);</v>
      </c>
      <c r="J1355" t="str">
        <f t="shared" si="43"/>
        <v>UPDATE COTACAO SET cot_id = 1354, cot_blt_id = 72, cot_pap_id = 2, cot_prc_comum = 72, cot_prc_min = 72, cot_prc_max = 84, cot_prc_med = 76, cot_prc_mediana = 72 WHERE cot_id = 1354;</v>
      </c>
    </row>
    <row r="1356" spans="1:10" x14ac:dyDescent="0.3">
      <c r="A1356">
        <v>1355</v>
      </c>
      <c r="B1356">
        <f>IF('Boletins Nuppa Site'!A1356&lt;&gt;0,'Boletins Nuppa Site'!A1356,"NULL")</f>
        <v>72</v>
      </c>
      <c r="C1356">
        <v>3</v>
      </c>
      <c r="D1356" s="14">
        <f>IF('Boletins Nuppa Site'!G1356&lt;&gt;0,'Boletins Nuppa Site'!G1356,"NULL")</f>
        <v>30</v>
      </c>
      <c r="E1356" s="14">
        <f>IF('Boletins Nuppa Site'!H1356&lt;&gt;0,'Boletins Nuppa Site'!H1356,"NULL")</f>
        <v>30</v>
      </c>
      <c r="F1356" s="14">
        <f>IF('Boletins Nuppa Site'!I1356&lt;&gt;0,'Boletins Nuppa Site'!I1356,"NULL")</f>
        <v>36</v>
      </c>
      <c r="G1356" s="14">
        <f>IF('Boletins Nuppa Site'!J1356&lt;&gt;0,'Boletins Nuppa Site'!J1356,"NULL")</f>
        <v>33</v>
      </c>
      <c r="H1356" s="14">
        <f>IF('Boletins Nuppa Site'!K1356&lt;&gt;0,'Boletins Nuppa Site'!K1356,"NULL")</f>
        <v>33</v>
      </c>
      <c r="I1356" t="str">
        <f t="shared" si="42"/>
        <v>INSERT INTO COTACAO (cot_id, cot_blt_id, cot_pap_id, cot_prc_comum, cot_prc_min, cot_prc_max, cot_prc_med, cot_prc_mediana) VALUES (1355, 72, 3, 30, 30, 36, 33, 33);</v>
      </c>
      <c r="J1356" t="str">
        <f t="shared" si="43"/>
        <v>UPDATE COTACAO SET cot_id = 1355, cot_blt_id = 72, cot_pap_id = 3, cot_prc_comum = 30, cot_prc_min = 30, cot_prc_max = 36, cot_prc_med = 33, cot_prc_mediana = 33 WHERE cot_id = 1355;</v>
      </c>
    </row>
    <row r="1357" spans="1:10" x14ac:dyDescent="0.3">
      <c r="A1357">
        <v>1356</v>
      </c>
      <c r="B1357">
        <f>IF('Boletins Nuppa Site'!A1357&lt;&gt;0,'Boletins Nuppa Site'!A1357,"NULL")</f>
        <v>72</v>
      </c>
      <c r="C1357">
        <v>4</v>
      </c>
      <c r="D1357" s="14">
        <f>IF('Boletins Nuppa Site'!G1357&lt;&gt;0,'Boletins Nuppa Site'!G1357,"NULL")</f>
        <v>24</v>
      </c>
      <c r="E1357" s="14">
        <f>IF('Boletins Nuppa Site'!H1357&lt;&gt;0,'Boletins Nuppa Site'!H1357,"NULL")</f>
        <v>18</v>
      </c>
      <c r="F1357" s="14">
        <f>IF('Boletins Nuppa Site'!I1357&lt;&gt;0,'Boletins Nuppa Site'!I1357,"NULL")</f>
        <v>24</v>
      </c>
      <c r="G1357" t="str">
        <f>IF('Boletins Nuppa Site'!J1357&lt;&gt;0,'Boletins Nuppa Site'!J1357,"NULL")</f>
        <v>21.5</v>
      </c>
      <c r="H1357" s="14">
        <f>IF('Boletins Nuppa Site'!K1357&lt;&gt;0,'Boletins Nuppa Site'!K1357,"NULL")</f>
        <v>22</v>
      </c>
      <c r="I1357" t="str">
        <f t="shared" si="42"/>
        <v>INSERT INTO COTACAO (cot_id, cot_blt_id, cot_pap_id, cot_prc_comum, cot_prc_min, cot_prc_max, cot_prc_med, cot_prc_mediana) VALUES (1356, 72, 4, 24, 18, 24, 21.5, 22);</v>
      </c>
      <c r="J1357" t="str">
        <f t="shared" si="43"/>
        <v>UPDATE COTACAO SET cot_id = 1356, cot_blt_id = 72, cot_pap_id = 4, cot_prc_comum = 24, cot_prc_min = 18, cot_prc_max = 24, cot_prc_med = 21.5, cot_prc_mediana = 22 WHERE cot_id = 1356;</v>
      </c>
    </row>
    <row r="1358" spans="1:10" x14ac:dyDescent="0.3">
      <c r="A1358">
        <v>1357</v>
      </c>
      <c r="B1358">
        <f>IF('Boletins Nuppa Site'!A1358&lt;&gt;0,'Boletins Nuppa Site'!A1358,"NULL")</f>
        <v>72</v>
      </c>
      <c r="C1358">
        <v>5</v>
      </c>
      <c r="D1358" s="14">
        <f>IF('Boletins Nuppa Site'!G1358&lt;&gt;0,'Boletins Nuppa Site'!G1358,"NULL")</f>
        <v>24</v>
      </c>
      <c r="E1358" s="14">
        <f>IF('Boletins Nuppa Site'!H1358&lt;&gt;0,'Boletins Nuppa Site'!H1358,"NULL")</f>
        <v>18</v>
      </c>
      <c r="F1358" s="14">
        <f>IF('Boletins Nuppa Site'!I1358&lt;&gt;0,'Boletins Nuppa Site'!I1358,"NULL")</f>
        <v>24</v>
      </c>
      <c r="G1358" t="str">
        <f>IF('Boletins Nuppa Site'!J1358&lt;&gt;0,'Boletins Nuppa Site'!J1358,"NULL")</f>
        <v>21.5</v>
      </c>
      <c r="H1358" s="14">
        <f>IF('Boletins Nuppa Site'!K1358&lt;&gt;0,'Boletins Nuppa Site'!K1358,"NULL")</f>
        <v>22</v>
      </c>
      <c r="I1358" t="str">
        <f t="shared" si="42"/>
        <v>INSERT INTO COTACAO (cot_id, cot_blt_id, cot_pap_id, cot_prc_comum, cot_prc_min, cot_prc_max, cot_prc_med, cot_prc_mediana) VALUES (1357, 72, 5, 24, 18, 24, 21.5, 22);</v>
      </c>
      <c r="J1358" t="str">
        <f t="shared" si="43"/>
        <v>UPDATE COTACAO SET cot_id = 1357, cot_blt_id = 72, cot_pap_id = 5, cot_prc_comum = 24, cot_prc_min = 18, cot_prc_max = 24, cot_prc_med = 21.5, cot_prc_mediana = 22 WHERE cot_id = 1357;</v>
      </c>
    </row>
    <row r="1359" spans="1:10" x14ac:dyDescent="0.3">
      <c r="A1359">
        <v>1358</v>
      </c>
      <c r="B1359">
        <f>IF('Boletins Nuppa Site'!A1359&lt;&gt;0,'Boletins Nuppa Site'!A1359,"NULL")</f>
        <v>72</v>
      </c>
      <c r="C1359">
        <v>6</v>
      </c>
      <c r="D1359" s="14">
        <f>IF('Boletins Nuppa Site'!G1359&lt;&gt;0,'Boletins Nuppa Site'!G1359,"NULL")</f>
        <v>48</v>
      </c>
      <c r="E1359" s="14">
        <f>IF('Boletins Nuppa Site'!H1359&lt;&gt;0,'Boletins Nuppa Site'!H1359,"NULL")</f>
        <v>48</v>
      </c>
      <c r="F1359" s="14">
        <f>IF('Boletins Nuppa Site'!I1359&lt;&gt;0,'Boletins Nuppa Site'!I1359,"NULL")</f>
        <v>60</v>
      </c>
      <c r="G1359" s="14">
        <f>IF('Boletins Nuppa Site'!J1359&lt;&gt;0,'Boletins Nuppa Site'!J1359,"NULL")</f>
        <v>52</v>
      </c>
      <c r="H1359" s="14">
        <f>IF('Boletins Nuppa Site'!K1359&lt;&gt;0,'Boletins Nuppa Site'!K1359,"NULL")</f>
        <v>48</v>
      </c>
      <c r="I1359" t="str">
        <f t="shared" si="42"/>
        <v>INSERT INTO COTACAO (cot_id, cot_blt_id, cot_pap_id, cot_prc_comum, cot_prc_min, cot_prc_max, cot_prc_med, cot_prc_mediana) VALUES (1358, 72, 6, 48, 48, 60, 52, 48);</v>
      </c>
      <c r="J1359" t="str">
        <f t="shared" si="43"/>
        <v>UPDATE COTACAO SET cot_id = 1358, cot_blt_id = 72, cot_pap_id = 6, cot_prc_comum = 48, cot_prc_min = 48, cot_prc_max = 60, cot_prc_med = 52, cot_prc_mediana = 48 WHERE cot_id = 1358;</v>
      </c>
    </row>
    <row r="1360" spans="1:10" x14ac:dyDescent="0.3">
      <c r="A1360">
        <v>1359</v>
      </c>
      <c r="B1360">
        <f>IF('Boletins Nuppa Site'!A1360&lt;&gt;0,'Boletins Nuppa Site'!A1360,"NULL")</f>
        <v>72</v>
      </c>
      <c r="C1360">
        <v>7</v>
      </c>
      <c r="D1360" t="str">
        <f>IF('Boletins Nuppa Site'!G1360&lt;&gt;0,'Boletins Nuppa Site'!G1360,"NULL")</f>
        <v>NULL</v>
      </c>
      <c r="E1360" s="14">
        <f>IF('Boletins Nuppa Site'!H1360&lt;&gt;0,'Boletins Nuppa Site'!H1360,"NULL")</f>
        <v>48</v>
      </c>
      <c r="F1360" s="14">
        <f>IF('Boletins Nuppa Site'!I1360&lt;&gt;0,'Boletins Nuppa Site'!I1360,"NULL")</f>
        <v>60</v>
      </c>
      <c r="G1360" s="14">
        <f>IF('Boletins Nuppa Site'!J1360&lt;&gt;0,'Boletins Nuppa Site'!J1360,"NULL")</f>
        <v>54</v>
      </c>
      <c r="H1360" s="14">
        <f>IF('Boletins Nuppa Site'!K1360&lt;&gt;0,'Boletins Nuppa Site'!K1360,"NULL")</f>
        <v>54</v>
      </c>
      <c r="I1360" t="str">
        <f t="shared" si="42"/>
        <v>INSERT INTO COTACAO (cot_id, cot_blt_id, cot_pap_id, cot_prc_comum, cot_prc_min, cot_prc_max, cot_prc_med, cot_prc_mediana) VALUES (1359, 72, 7, NULL, 48, 60, 54, 54);</v>
      </c>
      <c r="J1360" t="str">
        <f t="shared" si="43"/>
        <v>UPDATE COTACAO SET cot_id = 1359, cot_blt_id = 72, cot_pap_id = 7, cot_prc_comum = NULL, cot_prc_min = 48, cot_prc_max = 60, cot_prc_med = 54, cot_prc_mediana = 54 WHERE cot_id = 1359;</v>
      </c>
    </row>
    <row r="1361" spans="1:10" x14ac:dyDescent="0.3">
      <c r="A1361">
        <v>1360</v>
      </c>
      <c r="B1361">
        <f>IF('Boletins Nuppa Site'!A1361&lt;&gt;0,'Boletins Nuppa Site'!A1361,"NULL")</f>
        <v>72</v>
      </c>
      <c r="C1361">
        <v>8</v>
      </c>
      <c r="D1361" s="14">
        <f>IF('Boletins Nuppa Site'!G1361&lt;&gt;0,'Boletins Nuppa Site'!G1361,"NULL")</f>
        <v>72</v>
      </c>
      <c r="E1361" s="14">
        <f>IF('Boletins Nuppa Site'!H1361&lt;&gt;0,'Boletins Nuppa Site'!H1361,"NULL")</f>
        <v>72</v>
      </c>
      <c r="F1361" s="14">
        <f>IF('Boletins Nuppa Site'!I1361&lt;&gt;0,'Boletins Nuppa Site'!I1361,"NULL")</f>
        <v>72</v>
      </c>
      <c r="G1361" s="14">
        <f>IF('Boletins Nuppa Site'!J1361&lt;&gt;0,'Boletins Nuppa Site'!J1361,"NULL")</f>
        <v>72</v>
      </c>
      <c r="H1361" s="14">
        <f>IF('Boletins Nuppa Site'!K1361&lt;&gt;0,'Boletins Nuppa Site'!K1361,"NULL")</f>
        <v>72</v>
      </c>
      <c r="I1361" t="str">
        <f t="shared" si="42"/>
        <v>INSERT INTO COTACAO (cot_id, cot_blt_id, cot_pap_id, cot_prc_comum, cot_prc_min, cot_prc_max, cot_prc_med, cot_prc_mediana) VALUES (1360, 72, 8, 72, 72, 72, 72, 72);</v>
      </c>
      <c r="J1361" t="str">
        <f t="shared" si="43"/>
        <v>UPDATE COTACAO SET cot_id = 1360, cot_blt_id = 72, cot_pap_id = 8, cot_prc_comum = 72, cot_prc_min = 72, cot_prc_max = 72, cot_prc_med = 72, cot_prc_mediana = 72 WHERE cot_id = 1360;</v>
      </c>
    </row>
    <row r="1362" spans="1:10" x14ac:dyDescent="0.3">
      <c r="A1362">
        <v>1361</v>
      </c>
      <c r="B1362">
        <f>IF('Boletins Nuppa Site'!A1362&lt;&gt;0,'Boletins Nuppa Site'!A1362,"NULL")</f>
        <v>72</v>
      </c>
      <c r="C1362">
        <v>9</v>
      </c>
      <c r="D1362" s="14">
        <f>IF('Boletins Nuppa Site'!G1362&lt;&gt;0,'Boletins Nuppa Site'!G1362,"NULL")</f>
        <v>24</v>
      </c>
      <c r="E1362" s="14">
        <f>IF('Boletins Nuppa Site'!H1362&lt;&gt;0,'Boletins Nuppa Site'!H1362,"NULL")</f>
        <v>18</v>
      </c>
      <c r="F1362" s="14">
        <f>IF('Boletins Nuppa Site'!I1362&lt;&gt;0,'Boletins Nuppa Site'!I1362,"NULL")</f>
        <v>24</v>
      </c>
      <c r="G1362" t="str">
        <f>IF('Boletins Nuppa Site'!J1362&lt;&gt;0,'Boletins Nuppa Site'!J1362,"NULL")</f>
        <v>22.5</v>
      </c>
      <c r="H1362" s="14">
        <f>IF('Boletins Nuppa Site'!K1362&lt;&gt;0,'Boletins Nuppa Site'!K1362,"NULL")</f>
        <v>24</v>
      </c>
      <c r="I1362" t="str">
        <f t="shared" si="42"/>
        <v>INSERT INTO COTACAO (cot_id, cot_blt_id, cot_pap_id, cot_prc_comum, cot_prc_min, cot_prc_max, cot_prc_med, cot_prc_mediana) VALUES (1361, 72, 9, 24, 18, 24, 22.5, 24);</v>
      </c>
      <c r="J1362" t="str">
        <f t="shared" si="43"/>
        <v>UPDATE COTACAO SET cot_id = 1361, cot_blt_id = 72, cot_pap_id = 9, cot_prc_comum = 24, cot_prc_min = 18, cot_prc_max = 24, cot_prc_med = 22.5, cot_prc_mediana = 24 WHERE cot_id = 1361;</v>
      </c>
    </row>
    <row r="1363" spans="1:10" x14ac:dyDescent="0.3">
      <c r="A1363">
        <v>1362</v>
      </c>
      <c r="B1363">
        <f>IF('Boletins Nuppa Site'!A1363&lt;&gt;0,'Boletins Nuppa Site'!A1363,"NULL")</f>
        <v>72</v>
      </c>
      <c r="C1363">
        <v>10</v>
      </c>
      <c r="D1363" s="14">
        <f>IF('Boletins Nuppa Site'!G1363&lt;&gt;0,'Boletins Nuppa Site'!G1363,"NULL")</f>
        <v>60</v>
      </c>
      <c r="E1363" s="14">
        <f>IF('Boletins Nuppa Site'!H1363&lt;&gt;0,'Boletins Nuppa Site'!H1363,"NULL")</f>
        <v>50</v>
      </c>
      <c r="F1363" s="14">
        <f>IF('Boletins Nuppa Site'!I1363&lt;&gt;0,'Boletins Nuppa Site'!I1363,"NULL")</f>
        <v>60</v>
      </c>
      <c r="G1363" t="str">
        <f>IF('Boletins Nuppa Site'!J1363&lt;&gt;0,'Boletins Nuppa Site'!J1363,"NULL")</f>
        <v>56.67</v>
      </c>
      <c r="H1363" s="14">
        <f>IF('Boletins Nuppa Site'!K1363&lt;&gt;0,'Boletins Nuppa Site'!K1363,"NULL")</f>
        <v>60</v>
      </c>
      <c r="I1363" t="str">
        <f t="shared" si="42"/>
        <v>INSERT INTO COTACAO (cot_id, cot_blt_id, cot_pap_id, cot_prc_comum, cot_prc_min, cot_prc_max, cot_prc_med, cot_prc_mediana) VALUES (1362, 72, 10, 60, 50, 60, 56.67, 60);</v>
      </c>
      <c r="J1363" t="str">
        <f t="shared" si="43"/>
        <v>UPDATE COTACAO SET cot_id = 1362, cot_blt_id = 72, cot_pap_id = 10, cot_prc_comum = 60, cot_prc_min = 50, cot_prc_max = 60, cot_prc_med = 56.67, cot_prc_mediana = 60 WHERE cot_id = 1362;</v>
      </c>
    </row>
    <row r="1364" spans="1:10" x14ac:dyDescent="0.3">
      <c r="A1364">
        <v>1363</v>
      </c>
      <c r="B1364">
        <f>IF('Boletins Nuppa Site'!A1364&lt;&gt;0,'Boletins Nuppa Site'!A1364,"NULL")</f>
        <v>72</v>
      </c>
      <c r="C1364">
        <v>11</v>
      </c>
      <c r="D1364" s="14">
        <f>IF('Boletins Nuppa Site'!G1364&lt;&gt;0,'Boletins Nuppa Site'!G1364,"NULL")</f>
        <v>24</v>
      </c>
      <c r="E1364" s="14">
        <f>IF('Boletins Nuppa Site'!H1364&lt;&gt;0,'Boletins Nuppa Site'!H1364,"NULL")</f>
        <v>20</v>
      </c>
      <c r="F1364" s="14">
        <f>IF('Boletins Nuppa Site'!I1364&lt;&gt;0,'Boletins Nuppa Site'!I1364,"NULL")</f>
        <v>24</v>
      </c>
      <c r="G1364" s="14">
        <f>IF('Boletins Nuppa Site'!J1364&lt;&gt;0,'Boletins Nuppa Site'!J1364,"NULL")</f>
        <v>23</v>
      </c>
      <c r="H1364" s="14">
        <f>IF('Boletins Nuppa Site'!K1364&lt;&gt;0,'Boletins Nuppa Site'!K1364,"NULL")</f>
        <v>24</v>
      </c>
      <c r="I1364" t="str">
        <f t="shared" si="42"/>
        <v>INSERT INTO COTACAO (cot_id, cot_blt_id, cot_pap_id, cot_prc_comum, cot_prc_min, cot_prc_max, cot_prc_med, cot_prc_mediana) VALUES (1363, 72, 11, 24, 20, 24, 23, 24);</v>
      </c>
      <c r="J1364" t="str">
        <f t="shared" si="43"/>
        <v>UPDATE COTACAO SET cot_id = 1363, cot_blt_id = 72, cot_pap_id = 11, cot_prc_comum = 24, cot_prc_min = 20, cot_prc_max = 24, cot_prc_med = 23, cot_prc_mediana = 24 WHERE cot_id = 1363;</v>
      </c>
    </row>
    <row r="1365" spans="1:10" x14ac:dyDescent="0.3">
      <c r="A1365">
        <v>1364</v>
      </c>
      <c r="B1365">
        <f>IF('Boletins Nuppa Site'!A1365&lt;&gt;0,'Boletins Nuppa Site'!A1365,"NULL")</f>
        <v>72</v>
      </c>
      <c r="C1365">
        <v>12</v>
      </c>
      <c r="D1365" s="14">
        <f>IF('Boletins Nuppa Site'!G1365&lt;&gt;0,'Boletins Nuppa Site'!G1365,"NULL")</f>
        <v>48</v>
      </c>
      <c r="E1365" s="14">
        <f>IF('Boletins Nuppa Site'!H1365&lt;&gt;0,'Boletins Nuppa Site'!H1365,"NULL")</f>
        <v>48</v>
      </c>
      <c r="F1365" s="14">
        <f>IF('Boletins Nuppa Site'!I1365&lt;&gt;0,'Boletins Nuppa Site'!I1365,"NULL")</f>
        <v>72</v>
      </c>
      <c r="G1365" s="14">
        <f>IF('Boletins Nuppa Site'!J1365&lt;&gt;0,'Boletins Nuppa Site'!J1365,"NULL")</f>
        <v>56</v>
      </c>
      <c r="H1365" s="14">
        <f>IF('Boletins Nuppa Site'!K1365&lt;&gt;0,'Boletins Nuppa Site'!K1365,"NULL")</f>
        <v>48</v>
      </c>
      <c r="I1365" t="str">
        <f t="shared" si="42"/>
        <v>INSERT INTO COTACAO (cot_id, cot_blt_id, cot_pap_id, cot_prc_comum, cot_prc_min, cot_prc_max, cot_prc_med, cot_prc_mediana) VALUES (1364, 72, 12, 48, 48, 72, 56, 48);</v>
      </c>
      <c r="J1365" t="str">
        <f t="shared" si="43"/>
        <v>UPDATE COTACAO SET cot_id = 1364, cot_blt_id = 72, cot_pap_id = 12, cot_prc_comum = 48, cot_prc_min = 48, cot_prc_max = 72, cot_prc_med = 56, cot_prc_mediana = 48 WHERE cot_id = 1364;</v>
      </c>
    </row>
    <row r="1366" spans="1:10" x14ac:dyDescent="0.3">
      <c r="A1366">
        <v>1365</v>
      </c>
      <c r="B1366">
        <f>IF('Boletins Nuppa Site'!A1366&lt;&gt;0,'Boletins Nuppa Site'!A1366,"NULL")</f>
        <v>72</v>
      </c>
      <c r="C1366">
        <v>13</v>
      </c>
      <c r="D1366" s="14">
        <f>IF('Boletins Nuppa Site'!G1366&lt;&gt;0,'Boletins Nuppa Site'!G1366,"NULL")</f>
        <v>60</v>
      </c>
      <c r="E1366" s="14">
        <f>IF('Boletins Nuppa Site'!H1366&lt;&gt;0,'Boletins Nuppa Site'!H1366,"NULL")</f>
        <v>48</v>
      </c>
      <c r="F1366" s="14">
        <f>IF('Boletins Nuppa Site'!I1366&lt;&gt;0,'Boletins Nuppa Site'!I1366,"NULL")</f>
        <v>60</v>
      </c>
      <c r="G1366" s="14">
        <f>IF('Boletins Nuppa Site'!J1366&lt;&gt;0,'Boletins Nuppa Site'!J1366,"NULL")</f>
        <v>54</v>
      </c>
      <c r="H1366" s="14">
        <f>IF('Boletins Nuppa Site'!K1366&lt;&gt;0,'Boletins Nuppa Site'!K1366,"NULL")</f>
        <v>54</v>
      </c>
      <c r="I1366" t="str">
        <f t="shared" si="42"/>
        <v>INSERT INTO COTACAO (cot_id, cot_blt_id, cot_pap_id, cot_prc_comum, cot_prc_min, cot_prc_max, cot_prc_med, cot_prc_mediana) VALUES (1365, 72, 13, 60, 48, 60, 54, 54);</v>
      </c>
      <c r="J1366" t="str">
        <f t="shared" si="43"/>
        <v>UPDATE COTACAO SET cot_id = 1365, cot_blt_id = 72, cot_pap_id = 13, cot_prc_comum = 60, cot_prc_min = 48, cot_prc_max = 60, cot_prc_med = 54, cot_prc_mediana = 54 WHERE cot_id = 1365;</v>
      </c>
    </row>
    <row r="1367" spans="1:10" x14ac:dyDescent="0.3">
      <c r="A1367">
        <v>1366</v>
      </c>
      <c r="B1367">
        <f>IF('Boletins Nuppa Site'!A1367&lt;&gt;0,'Boletins Nuppa Site'!A1367,"NULL")</f>
        <v>72</v>
      </c>
      <c r="C1367">
        <v>14</v>
      </c>
      <c r="D1367" s="14">
        <f>IF('Boletins Nuppa Site'!G1367&lt;&gt;0,'Boletins Nuppa Site'!G1367,"NULL")</f>
        <v>48</v>
      </c>
      <c r="E1367" s="14">
        <f>IF('Boletins Nuppa Site'!H1367&lt;&gt;0,'Boletins Nuppa Site'!H1367,"NULL")</f>
        <v>35</v>
      </c>
      <c r="F1367" s="14">
        <f>IF('Boletins Nuppa Site'!I1367&lt;&gt;0,'Boletins Nuppa Site'!I1367,"NULL")</f>
        <v>48</v>
      </c>
      <c r="G1367" t="str">
        <f>IF('Boletins Nuppa Site'!J1367&lt;&gt;0,'Boletins Nuppa Site'!J1367,"NULL")</f>
        <v>43.67</v>
      </c>
      <c r="H1367" s="14">
        <f>IF('Boletins Nuppa Site'!K1367&lt;&gt;0,'Boletins Nuppa Site'!K1367,"NULL")</f>
        <v>48</v>
      </c>
      <c r="I1367" t="str">
        <f t="shared" si="42"/>
        <v>INSERT INTO COTACAO (cot_id, cot_blt_id, cot_pap_id, cot_prc_comum, cot_prc_min, cot_prc_max, cot_prc_med, cot_prc_mediana) VALUES (1366, 72, 14, 48, 35, 48, 43.67, 48);</v>
      </c>
      <c r="J1367" t="str">
        <f t="shared" si="43"/>
        <v>UPDATE COTACAO SET cot_id = 1366, cot_blt_id = 72, cot_pap_id = 14, cot_prc_comum = 48, cot_prc_min = 35, cot_prc_max = 48, cot_prc_med = 43.67, cot_prc_mediana = 48 WHERE cot_id = 1366;</v>
      </c>
    </row>
    <row r="1368" spans="1:10" x14ac:dyDescent="0.3">
      <c r="A1368">
        <v>1367</v>
      </c>
      <c r="B1368">
        <f>IF('Boletins Nuppa Site'!A1368&lt;&gt;0,'Boletins Nuppa Site'!A1368,"NULL")</f>
        <v>72</v>
      </c>
      <c r="C1368">
        <v>15</v>
      </c>
      <c r="D1368" s="14">
        <f>IF('Boletins Nuppa Site'!G1368&lt;&gt;0,'Boletins Nuppa Site'!G1368,"NULL")</f>
        <v>30</v>
      </c>
      <c r="E1368" s="14">
        <f>IF('Boletins Nuppa Site'!H1368&lt;&gt;0,'Boletins Nuppa Site'!H1368,"NULL")</f>
        <v>24</v>
      </c>
      <c r="F1368" s="14">
        <f>IF('Boletins Nuppa Site'!I1368&lt;&gt;0,'Boletins Nuppa Site'!I1368,"NULL")</f>
        <v>36</v>
      </c>
      <c r="G1368" s="14">
        <f>IF('Boletins Nuppa Site'!J1368&lt;&gt;0,'Boletins Nuppa Site'!J1368,"NULL")</f>
        <v>30</v>
      </c>
      <c r="H1368" s="14">
        <f>IF('Boletins Nuppa Site'!K1368&lt;&gt;0,'Boletins Nuppa Site'!K1368,"NULL")</f>
        <v>30</v>
      </c>
      <c r="I1368" t="str">
        <f t="shared" si="42"/>
        <v>INSERT INTO COTACAO (cot_id, cot_blt_id, cot_pap_id, cot_prc_comum, cot_prc_min, cot_prc_max, cot_prc_med, cot_prc_mediana) VALUES (1367, 72, 15, 30, 24, 36, 30, 30);</v>
      </c>
      <c r="J1368" t="str">
        <f t="shared" si="43"/>
        <v>UPDATE COTACAO SET cot_id = 1367, cot_blt_id = 72, cot_pap_id = 15, cot_prc_comum = 30, cot_prc_min = 24, cot_prc_max = 36, cot_prc_med = 30, cot_prc_mediana = 30 WHERE cot_id = 1367;</v>
      </c>
    </row>
    <row r="1369" spans="1:10" x14ac:dyDescent="0.3">
      <c r="A1369">
        <v>1368</v>
      </c>
      <c r="B1369">
        <f>IF('Boletins Nuppa Site'!A1369&lt;&gt;0,'Boletins Nuppa Site'!A1369,"NULL")</f>
        <v>72</v>
      </c>
      <c r="C1369">
        <v>16</v>
      </c>
      <c r="D1369" s="14">
        <f>IF('Boletins Nuppa Site'!G1369&lt;&gt;0,'Boletins Nuppa Site'!G1369,"NULL")</f>
        <v>48</v>
      </c>
      <c r="E1369" s="14">
        <f>IF('Boletins Nuppa Site'!H1369&lt;&gt;0,'Boletins Nuppa Site'!H1369,"NULL")</f>
        <v>48</v>
      </c>
      <c r="F1369" s="14">
        <f>IF('Boletins Nuppa Site'!I1369&lt;&gt;0,'Boletins Nuppa Site'!I1369,"NULL")</f>
        <v>54</v>
      </c>
      <c r="G1369" t="str">
        <f>IF('Boletins Nuppa Site'!J1369&lt;&gt;0,'Boletins Nuppa Site'!J1369,"NULL")</f>
        <v>49.5</v>
      </c>
      <c r="H1369" s="14">
        <f>IF('Boletins Nuppa Site'!K1369&lt;&gt;0,'Boletins Nuppa Site'!K1369,"NULL")</f>
        <v>48</v>
      </c>
      <c r="I1369" t="str">
        <f t="shared" si="42"/>
        <v>INSERT INTO COTACAO (cot_id, cot_blt_id, cot_pap_id, cot_prc_comum, cot_prc_min, cot_prc_max, cot_prc_med, cot_prc_mediana) VALUES (1368, 72, 16, 48, 48, 54, 49.5, 48);</v>
      </c>
      <c r="J1369" t="str">
        <f t="shared" si="43"/>
        <v>UPDATE COTACAO SET cot_id = 1368, cot_blt_id = 72, cot_pap_id = 16, cot_prc_comum = 48, cot_prc_min = 48, cot_prc_max = 54, cot_prc_med = 49.5, cot_prc_mediana = 48 WHERE cot_id = 1368;</v>
      </c>
    </row>
    <row r="1370" spans="1:10" x14ac:dyDescent="0.3">
      <c r="A1370">
        <v>1369</v>
      </c>
      <c r="B1370">
        <f>IF('Boletins Nuppa Site'!A1370&lt;&gt;0,'Boletins Nuppa Site'!A1370,"NULL")</f>
        <v>72</v>
      </c>
      <c r="C1370">
        <v>17</v>
      </c>
      <c r="D1370" s="14">
        <f>IF('Boletins Nuppa Site'!G1370&lt;&gt;0,'Boletins Nuppa Site'!G1370,"NULL")</f>
        <v>5</v>
      </c>
      <c r="E1370" s="14">
        <f>IF('Boletins Nuppa Site'!H1370&lt;&gt;0,'Boletins Nuppa Site'!H1370,"NULL")</f>
        <v>4</v>
      </c>
      <c r="F1370" s="14">
        <f>IF('Boletins Nuppa Site'!I1370&lt;&gt;0,'Boletins Nuppa Site'!I1370,"NULL")</f>
        <v>5</v>
      </c>
      <c r="G1370" t="str">
        <f>IF('Boletins Nuppa Site'!J1370&lt;&gt;0,'Boletins Nuppa Site'!J1370,"NULL")</f>
        <v>4.75</v>
      </c>
      <c r="H1370" s="14">
        <f>IF('Boletins Nuppa Site'!K1370&lt;&gt;0,'Boletins Nuppa Site'!K1370,"NULL")</f>
        <v>5</v>
      </c>
      <c r="I1370" t="str">
        <f t="shared" si="42"/>
        <v>INSERT INTO COTACAO (cot_id, cot_blt_id, cot_pap_id, cot_prc_comum, cot_prc_min, cot_prc_max, cot_prc_med, cot_prc_mediana) VALUES (1369, 72, 17, 5, 4, 5, 4.75, 5);</v>
      </c>
      <c r="J1370" t="str">
        <f t="shared" si="43"/>
        <v>UPDATE COTACAO SET cot_id = 1369, cot_blt_id = 72, cot_pap_id = 17, cot_prc_comum = 5, cot_prc_min = 4, cot_prc_max = 5, cot_prc_med = 4.75, cot_prc_mediana = 5 WHERE cot_id = 1369;</v>
      </c>
    </row>
    <row r="1371" spans="1:10" x14ac:dyDescent="0.3">
      <c r="A1371">
        <v>1370</v>
      </c>
      <c r="B1371">
        <f>IF('Boletins Nuppa Site'!A1371&lt;&gt;0,'Boletins Nuppa Site'!A1371,"NULL")</f>
        <v>72</v>
      </c>
      <c r="C1371">
        <v>18</v>
      </c>
      <c r="D1371" s="14">
        <f>IF('Boletins Nuppa Site'!G1371&lt;&gt;0,'Boletins Nuppa Site'!G1371,"NULL")</f>
        <v>12</v>
      </c>
      <c r="E1371" s="14">
        <f>IF('Boletins Nuppa Site'!H1371&lt;&gt;0,'Boletins Nuppa Site'!H1371,"NULL")</f>
        <v>12</v>
      </c>
      <c r="F1371" s="14">
        <f>IF('Boletins Nuppa Site'!I1371&lt;&gt;0,'Boletins Nuppa Site'!I1371,"NULL")</f>
        <v>15</v>
      </c>
      <c r="G1371" t="str">
        <f>IF('Boletins Nuppa Site'!J1371&lt;&gt;0,'Boletins Nuppa Site'!J1371,"NULL")</f>
        <v>12.75</v>
      </c>
      <c r="H1371" s="14">
        <f>IF('Boletins Nuppa Site'!K1371&lt;&gt;0,'Boletins Nuppa Site'!K1371,"NULL")</f>
        <v>12</v>
      </c>
      <c r="I1371" t="str">
        <f t="shared" si="42"/>
        <v>INSERT INTO COTACAO (cot_id, cot_blt_id, cot_pap_id, cot_prc_comum, cot_prc_min, cot_prc_max, cot_prc_med, cot_prc_mediana) VALUES (1370, 72, 18, 12, 12, 15, 12.75, 12);</v>
      </c>
      <c r="J1371" t="str">
        <f t="shared" si="43"/>
        <v>UPDATE COTACAO SET cot_id = 1370, cot_blt_id = 72, cot_pap_id = 18, cot_prc_comum = 12, cot_prc_min = 12, cot_prc_max = 15, cot_prc_med = 12.75, cot_prc_mediana = 12 WHERE cot_id = 1370;</v>
      </c>
    </row>
    <row r="1372" spans="1:10" x14ac:dyDescent="0.3">
      <c r="A1372">
        <v>1371</v>
      </c>
      <c r="B1372">
        <f>IF('Boletins Nuppa Site'!A1372&lt;&gt;0,'Boletins Nuppa Site'!A1372,"NULL")</f>
        <v>72</v>
      </c>
      <c r="C1372">
        <v>19</v>
      </c>
      <c r="D1372" s="14">
        <f>IF('Boletins Nuppa Site'!G1372&lt;&gt;0,'Boletins Nuppa Site'!G1372,"NULL")</f>
        <v>20</v>
      </c>
      <c r="E1372" s="14">
        <f>IF('Boletins Nuppa Site'!H1372&lt;&gt;0,'Boletins Nuppa Site'!H1372,"NULL")</f>
        <v>20</v>
      </c>
      <c r="F1372" s="14">
        <f>IF('Boletins Nuppa Site'!I1372&lt;&gt;0,'Boletins Nuppa Site'!I1372,"NULL")</f>
        <v>30</v>
      </c>
      <c r="G1372" t="str">
        <f>IF('Boletins Nuppa Site'!J1372&lt;&gt;0,'Boletins Nuppa Site'!J1372,"NULL")</f>
        <v>23.75</v>
      </c>
      <c r="H1372" t="str">
        <f>IF('Boletins Nuppa Site'!K1372&lt;&gt;0,'Boletins Nuppa Site'!K1372,"NULL")</f>
        <v>22.5</v>
      </c>
      <c r="I1372" t="str">
        <f t="shared" si="42"/>
        <v>INSERT INTO COTACAO (cot_id, cot_blt_id, cot_pap_id, cot_prc_comum, cot_prc_min, cot_prc_max, cot_prc_med, cot_prc_mediana) VALUES (1371, 72, 19, 20, 20, 30, 23.75, 22.5);</v>
      </c>
      <c r="J1372" t="str">
        <f t="shared" si="43"/>
        <v>UPDATE COTACAO SET cot_id = 1371, cot_blt_id = 72, cot_pap_id = 19, cot_prc_comum = 20, cot_prc_min = 20, cot_prc_max = 30, cot_prc_med = 23.75, cot_prc_mediana = 22.5 WHERE cot_id = 1371;</v>
      </c>
    </row>
    <row r="1373" spans="1:10" x14ac:dyDescent="0.3">
      <c r="A1373">
        <v>1372</v>
      </c>
      <c r="B1373">
        <f>IF('Boletins Nuppa Site'!A1373&lt;&gt;0,'Boletins Nuppa Site'!A1373,"NULL")</f>
        <v>72</v>
      </c>
      <c r="C1373">
        <v>20</v>
      </c>
      <c r="D1373" s="14">
        <f>IF('Boletins Nuppa Site'!G1373&lt;&gt;0,'Boletins Nuppa Site'!G1373,"NULL")</f>
        <v>80</v>
      </c>
      <c r="E1373" s="14">
        <f>IF('Boletins Nuppa Site'!H1373&lt;&gt;0,'Boletins Nuppa Site'!H1373,"NULL")</f>
        <v>75</v>
      </c>
      <c r="F1373" s="14">
        <f>IF('Boletins Nuppa Site'!I1373&lt;&gt;0,'Boletins Nuppa Site'!I1373,"NULL")</f>
        <v>80</v>
      </c>
      <c r="G1373" t="str">
        <f>IF('Boletins Nuppa Site'!J1373&lt;&gt;0,'Boletins Nuppa Site'!J1373,"NULL")</f>
        <v>78.33</v>
      </c>
      <c r="H1373" s="14">
        <f>IF('Boletins Nuppa Site'!K1373&lt;&gt;0,'Boletins Nuppa Site'!K1373,"NULL")</f>
        <v>80</v>
      </c>
      <c r="I1373" t="str">
        <f t="shared" si="42"/>
        <v>INSERT INTO COTACAO (cot_id, cot_blt_id, cot_pap_id, cot_prc_comum, cot_prc_min, cot_prc_max, cot_prc_med, cot_prc_mediana) VALUES (1372, 72, 20, 80, 75, 80, 78.33, 80);</v>
      </c>
      <c r="J1373" t="str">
        <f t="shared" si="43"/>
        <v>UPDATE COTACAO SET cot_id = 1372, cot_blt_id = 72, cot_pap_id = 20, cot_prc_comum = 80, cot_prc_min = 75, cot_prc_max = 80, cot_prc_med = 78.33, cot_prc_mediana = 80 WHERE cot_id = 1372;</v>
      </c>
    </row>
    <row r="1374" spans="1:10" x14ac:dyDescent="0.3">
      <c r="A1374">
        <v>1373</v>
      </c>
      <c r="B1374">
        <f>IF('Boletins Nuppa Site'!A1374&lt;&gt;0,'Boletins Nuppa Site'!A1374,"NULL")</f>
        <v>72</v>
      </c>
      <c r="C1374">
        <v>21</v>
      </c>
      <c r="D1374" s="14">
        <f>IF('Boletins Nuppa Site'!G1374&lt;&gt;0,'Boletins Nuppa Site'!G1374,"NULL")</f>
        <v>35</v>
      </c>
      <c r="E1374" s="14">
        <f>IF('Boletins Nuppa Site'!H1374&lt;&gt;0,'Boletins Nuppa Site'!H1374,"NULL")</f>
        <v>35</v>
      </c>
      <c r="F1374" s="14">
        <f>IF('Boletins Nuppa Site'!I1374&lt;&gt;0,'Boletins Nuppa Site'!I1374,"NULL")</f>
        <v>50</v>
      </c>
      <c r="G1374" t="str">
        <f>IF('Boletins Nuppa Site'!J1374&lt;&gt;0,'Boletins Nuppa Site'!J1374,"NULL")</f>
        <v>41.25</v>
      </c>
      <c r="H1374" s="14">
        <f>IF('Boletins Nuppa Site'!K1374&lt;&gt;0,'Boletins Nuppa Site'!K1374,"NULL")</f>
        <v>40</v>
      </c>
      <c r="I1374" t="str">
        <f t="shared" si="42"/>
        <v>INSERT INTO COTACAO (cot_id, cot_blt_id, cot_pap_id, cot_prc_comum, cot_prc_min, cot_prc_max, cot_prc_med, cot_prc_mediana) VALUES (1373, 72, 21, 35, 35, 50, 41.25, 40);</v>
      </c>
      <c r="J1374" t="str">
        <f t="shared" si="43"/>
        <v>UPDATE COTACAO SET cot_id = 1373, cot_blt_id = 72, cot_pap_id = 21, cot_prc_comum = 35, cot_prc_min = 35, cot_prc_max = 50, cot_prc_med = 41.25, cot_prc_mediana = 40 WHERE cot_id = 1373;</v>
      </c>
    </row>
    <row r="1375" spans="1:10" x14ac:dyDescent="0.3">
      <c r="A1375">
        <v>1374</v>
      </c>
      <c r="B1375">
        <f>IF('Boletins Nuppa Site'!A1375&lt;&gt;0,'Boletins Nuppa Site'!A1375,"NULL")</f>
        <v>72</v>
      </c>
      <c r="C1375">
        <v>22</v>
      </c>
      <c r="D1375" s="14">
        <f>IF('Boletins Nuppa Site'!G1375&lt;&gt;0,'Boletins Nuppa Site'!G1375,"NULL")</f>
        <v>70</v>
      </c>
      <c r="E1375" s="14">
        <f>IF('Boletins Nuppa Site'!H1375&lt;&gt;0,'Boletins Nuppa Site'!H1375,"NULL")</f>
        <v>45</v>
      </c>
      <c r="F1375" s="14">
        <f>IF('Boletins Nuppa Site'!I1375&lt;&gt;0,'Boletins Nuppa Site'!I1375,"NULL")</f>
        <v>70</v>
      </c>
      <c r="G1375" t="str">
        <f>IF('Boletins Nuppa Site'!J1375&lt;&gt;0,'Boletins Nuppa Site'!J1375,"NULL")</f>
        <v>62.5</v>
      </c>
      <c r="H1375" t="str">
        <f>IF('Boletins Nuppa Site'!K1375&lt;&gt;0,'Boletins Nuppa Site'!K1375,"NULL")</f>
        <v>67.5</v>
      </c>
      <c r="I1375" t="str">
        <f t="shared" si="42"/>
        <v>INSERT INTO COTACAO (cot_id, cot_blt_id, cot_pap_id, cot_prc_comum, cot_prc_min, cot_prc_max, cot_prc_med, cot_prc_mediana) VALUES (1374, 72, 22, 70, 45, 70, 62.5, 67.5);</v>
      </c>
      <c r="J1375" t="str">
        <f t="shared" si="43"/>
        <v>UPDATE COTACAO SET cot_id = 1374, cot_blt_id = 72, cot_pap_id = 22, cot_prc_comum = 70, cot_prc_min = 45, cot_prc_max = 70, cot_prc_med = 62.5, cot_prc_mediana = 67.5 WHERE cot_id = 1374;</v>
      </c>
    </row>
    <row r="1376" spans="1:10" x14ac:dyDescent="0.3">
      <c r="A1376">
        <v>1375</v>
      </c>
      <c r="B1376">
        <f>IF('Boletins Nuppa Site'!A1376&lt;&gt;0,'Boletins Nuppa Site'!A1376,"NULL")</f>
        <v>72</v>
      </c>
      <c r="C1376">
        <v>23</v>
      </c>
      <c r="D1376" s="14">
        <f>IF('Boletins Nuppa Site'!G1376&lt;&gt;0,'Boletins Nuppa Site'!G1376,"NULL")</f>
        <v>60</v>
      </c>
      <c r="E1376" s="14">
        <f>IF('Boletins Nuppa Site'!H1376&lt;&gt;0,'Boletins Nuppa Site'!H1376,"NULL")</f>
        <v>50</v>
      </c>
      <c r="F1376" s="14">
        <f>IF('Boletins Nuppa Site'!I1376&lt;&gt;0,'Boletins Nuppa Site'!I1376,"NULL")</f>
        <v>60</v>
      </c>
      <c r="G1376" t="str">
        <f>IF('Boletins Nuppa Site'!J1376&lt;&gt;0,'Boletins Nuppa Site'!J1376,"NULL")</f>
        <v>57.5</v>
      </c>
      <c r="H1376" s="14">
        <f>IF('Boletins Nuppa Site'!K1376&lt;&gt;0,'Boletins Nuppa Site'!K1376,"NULL")</f>
        <v>60</v>
      </c>
      <c r="I1376" t="str">
        <f t="shared" si="42"/>
        <v>INSERT INTO COTACAO (cot_id, cot_blt_id, cot_pap_id, cot_prc_comum, cot_prc_min, cot_prc_max, cot_prc_med, cot_prc_mediana) VALUES (1375, 72, 23, 60, 50, 60, 57.5, 60);</v>
      </c>
      <c r="J1376" t="str">
        <f t="shared" si="43"/>
        <v>UPDATE COTACAO SET cot_id = 1375, cot_blt_id = 72, cot_pap_id = 23, cot_prc_comum = 60, cot_prc_min = 50, cot_prc_max = 60, cot_prc_med = 57.5, cot_prc_mediana = 60 WHERE cot_id = 1375;</v>
      </c>
    </row>
    <row r="1377" spans="1:10" x14ac:dyDescent="0.3">
      <c r="A1377">
        <v>1376</v>
      </c>
      <c r="B1377">
        <f>IF('Boletins Nuppa Site'!A1377&lt;&gt;0,'Boletins Nuppa Site'!A1377,"NULL")</f>
        <v>72</v>
      </c>
      <c r="C1377">
        <v>24</v>
      </c>
      <c r="D1377" t="str">
        <f>IF('Boletins Nuppa Site'!G1377&lt;&gt;0,'Boletins Nuppa Site'!G1377,"NULL")</f>
        <v>NULL</v>
      </c>
      <c r="E1377" s="14">
        <f>IF('Boletins Nuppa Site'!H1377&lt;&gt;0,'Boletins Nuppa Site'!H1377,"NULL")</f>
        <v>75</v>
      </c>
      <c r="F1377" s="14">
        <f>IF('Boletins Nuppa Site'!I1377&lt;&gt;0,'Boletins Nuppa Site'!I1377,"NULL")</f>
        <v>120</v>
      </c>
      <c r="G1377" t="str">
        <f>IF('Boletins Nuppa Site'!J1377&lt;&gt;0,'Boletins Nuppa Site'!J1377,"NULL")</f>
        <v>97.5</v>
      </c>
      <c r="H1377" t="str">
        <f>IF('Boletins Nuppa Site'!K1377&lt;&gt;0,'Boletins Nuppa Site'!K1377,"NULL")</f>
        <v>97.5</v>
      </c>
      <c r="I1377" t="str">
        <f t="shared" si="42"/>
        <v>INSERT INTO COTACAO (cot_id, cot_blt_id, cot_pap_id, cot_prc_comum, cot_prc_min, cot_prc_max, cot_prc_med, cot_prc_mediana) VALUES (1376, 72, 24, NULL, 75, 120, 97.5, 97.5);</v>
      </c>
      <c r="J1377" t="str">
        <f t="shared" si="43"/>
        <v>UPDATE COTACAO SET cot_id = 1376, cot_blt_id = 72, cot_pap_id = 24, cot_prc_comum = NULL, cot_prc_min = 75, cot_prc_max = 120, cot_prc_med = 97.5, cot_prc_mediana = 97.5 WHERE cot_id = 1376;</v>
      </c>
    </row>
    <row r="1378" spans="1:10" x14ac:dyDescent="0.3">
      <c r="A1378">
        <v>1377</v>
      </c>
      <c r="B1378">
        <f>IF('Boletins Nuppa Site'!A1378&lt;&gt;0,'Boletins Nuppa Site'!A1378,"NULL")</f>
        <v>72</v>
      </c>
      <c r="C1378">
        <v>25</v>
      </c>
      <c r="D1378" t="str">
        <f>IF('Boletins Nuppa Site'!G1378&lt;&gt;0,'Boletins Nuppa Site'!G1378,"NULL")</f>
        <v>NULL</v>
      </c>
      <c r="E1378" s="14">
        <f>IF('Boletins Nuppa Site'!H1378&lt;&gt;0,'Boletins Nuppa Site'!H1378,"NULL")</f>
        <v>60</v>
      </c>
      <c r="F1378" s="14">
        <f>IF('Boletins Nuppa Site'!I1378&lt;&gt;0,'Boletins Nuppa Site'!I1378,"NULL")</f>
        <v>80</v>
      </c>
      <c r="G1378" t="str">
        <f>IF('Boletins Nuppa Site'!J1378&lt;&gt;0,'Boletins Nuppa Site'!J1378,"NULL")</f>
        <v>68.75</v>
      </c>
      <c r="H1378" t="str">
        <f>IF('Boletins Nuppa Site'!K1378&lt;&gt;0,'Boletins Nuppa Site'!K1378,"NULL")</f>
        <v>67.5</v>
      </c>
      <c r="I1378" t="str">
        <f t="shared" si="42"/>
        <v>INSERT INTO COTACAO (cot_id, cot_blt_id, cot_pap_id, cot_prc_comum, cot_prc_min, cot_prc_max, cot_prc_med, cot_prc_mediana) VALUES (1377, 72, 25, NULL, 60, 80, 68.75, 67.5);</v>
      </c>
      <c r="J1378" t="str">
        <f t="shared" si="43"/>
        <v>UPDATE COTACAO SET cot_id = 1377, cot_blt_id = 72, cot_pap_id = 25, cot_prc_comum = NULL, cot_prc_min = 60, cot_prc_max = 80, cot_prc_med = 68.75, cot_prc_mediana = 67.5 WHERE cot_id = 1377;</v>
      </c>
    </row>
    <row r="1379" spans="1:10" x14ac:dyDescent="0.3">
      <c r="A1379">
        <v>1378</v>
      </c>
      <c r="B1379">
        <f>IF('Boletins Nuppa Site'!A1379&lt;&gt;0,'Boletins Nuppa Site'!A1379,"NULL")</f>
        <v>72</v>
      </c>
      <c r="C1379">
        <v>26</v>
      </c>
      <c r="D1379" s="14">
        <f>IF('Boletins Nuppa Site'!G1379&lt;&gt;0,'Boletins Nuppa Site'!G1379,"NULL")</f>
        <v>55</v>
      </c>
      <c r="E1379" s="14">
        <f>IF('Boletins Nuppa Site'!H1379&lt;&gt;0,'Boletins Nuppa Site'!H1379,"NULL")</f>
        <v>30</v>
      </c>
      <c r="F1379" s="14">
        <f>IF('Boletins Nuppa Site'!I1379&lt;&gt;0,'Boletins Nuppa Site'!I1379,"NULL")</f>
        <v>60</v>
      </c>
      <c r="G1379" s="14">
        <f>IF('Boletins Nuppa Site'!J1379&lt;&gt;0,'Boletins Nuppa Site'!J1379,"NULL")</f>
        <v>50</v>
      </c>
      <c r="H1379" s="14">
        <f>IF('Boletins Nuppa Site'!K1379&lt;&gt;0,'Boletins Nuppa Site'!K1379,"NULL")</f>
        <v>55</v>
      </c>
      <c r="I1379" t="str">
        <f t="shared" si="42"/>
        <v>INSERT INTO COTACAO (cot_id, cot_blt_id, cot_pap_id, cot_prc_comum, cot_prc_min, cot_prc_max, cot_prc_med, cot_prc_mediana) VALUES (1378, 72, 26, 55, 30, 60, 50, 55);</v>
      </c>
      <c r="J1379" t="str">
        <f t="shared" si="43"/>
        <v>UPDATE COTACAO SET cot_id = 1378, cot_blt_id = 72, cot_pap_id = 26, cot_prc_comum = 55, cot_prc_min = 30, cot_prc_max = 60, cot_prc_med = 50, cot_prc_mediana = 55 WHERE cot_id = 1378;</v>
      </c>
    </row>
    <row r="1380" spans="1:10" x14ac:dyDescent="0.3">
      <c r="A1380">
        <v>1379</v>
      </c>
      <c r="B1380">
        <f>IF('Boletins Nuppa Site'!A1380&lt;&gt;0,'Boletins Nuppa Site'!A1380,"NULL")</f>
        <v>72</v>
      </c>
      <c r="C1380">
        <v>27</v>
      </c>
      <c r="D1380" s="14">
        <f>IF('Boletins Nuppa Site'!G1380&lt;&gt;0,'Boletins Nuppa Site'!G1380,"NULL")</f>
        <v>60</v>
      </c>
      <c r="E1380" s="14">
        <f>IF('Boletins Nuppa Site'!H1380&lt;&gt;0,'Boletins Nuppa Site'!H1380,"NULL")</f>
        <v>60</v>
      </c>
      <c r="F1380" s="14">
        <f>IF('Boletins Nuppa Site'!I1380&lt;&gt;0,'Boletins Nuppa Site'!I1380,"NULL")</f>
        <v>85</v>
      </c>
      <c r="G1380" t="str">
        <f>IF('Boletins Nuppa Site'!J1380&lt;&gt;0,'Boletins Nuppa Site'!J1380,"NULL")</f>
        <v>67.5</v>
      </c>
      <c r="H1380" t="str">
        <f>IF('Boletins Nuppa Site'!K1380&lt;&gt;0,'Boletins Nuppa Site'!K1380,"NULL")</f>
        <v>62.5</v>
      </c>
      <c r="I1380" t="str">
        <f t="shared" si="42"/>
        <v>INSERT INTO COTACAO (cot_id, cot_blt_id, cot_pap_id, cot_prc_comum, cot_prc_min, cot_prc_max, cot_prc_med, cot_prc_mediana) VALUES (1379, 72, 27, 60, 60, 85, 67.5, 62.5);</v>
      </c>
      <c r="J1380" t="str">
        <f t="shared" si="43"/>
        <v>UPDATE COTACAO SET cot_id = 1379, cot_blt_id = 72, cot_pap_id = 27, cot_prc_comum = 60, cot_prc_min = 60, cot_prc_max = 85, cot_prc_med = 67.5, cot_prc_mediana = 62.5 WHERE cot_id = 1379;</v>
      </c>
    </row>
    <row r="1381" spans="1:10" x14ac:dyDescent="0.3">
      <c r="A1381">
        <v>1380</v>
      </c>
      <c r="B1381">
        <f>IF('Boletins Nuppa Site'!A1381&lt;&gt;0,'Boletins Nuppa Site'!A1381,"NULL")</f>
        <v>72</v>
      </c>
      <c r="C1381">
        <v>28</v>
      </c>
      <c r="D1381" s="14">
        <f>IF('Boletins Nuppa Site'!G1381&lt;&gt;0,'Boletins Nuppa Site'!G1381,"NULL")</f>
        <v>120</v>
      </c>
      <c r="E1381" s="14">
        <f>IF('Boletins Nuppa Site'!H1381&lt;&gt;0,'Boletins Nuppa Site'!H1381,"NULL")</f>
        <v>120</v>
      </c>
      <c r="F1381" s="14">
        <f>IF('Boletins Nuppa Site'!I1381&lt;&gt;0,'Boletins Nuppa Site'!I1381,"NULL")</f>
        <v>120</v>
      </c>
      <c r="G1381" s="14">
        <f>IF('Boletins Nuppa Site'!J1381&lt;&gt;0,'Boletins Nuppa Site'!J1381,"NULL")</f>
        <v>120</v>
      </c>
      <c r="H1381" s="14">
        <f>IF('Boletins Nuppa Site'!K1381&lt;&gt;0,'Boletins Nuppa Site'!K1381,"NULL")</f>
        <v>120</v>
      </c>
      <c r="I1381" t="str">
        <f t="shared" si="42"/>
        <v>INSERT INTO COTACAO (cot_id, cot_blt_id, cot_pap_id, cot_prc_comum, cot_prc_min, cot_prc_max, cot_prc_med, cot_prc_mediana) VALUES (1380, 72, 28, 120, 120, 120, 120, 120);</v>
      </c>
      <c r="J1381" t="str">
        <f t="shared" si="43"/>
        <v>UPDATE COTACAO SET cot_id = 1380, cot_blt_id = 72, cot_pap_id = 28, cot_prc_comum = 120, cot_prc_min = 120, cot_prc_max = 120, cot_prc_med = 120, cot_prc_mediana = 120 WHERE cot_id = 1380;</v>
      </c>
    </row>
    <row r="1382" spans="1:10" x14ac:dyDescent="0.3">
      <c r="A1382">
        <v>1381</v>
      </c>
      <c r="B1382">
        <f>IF('Boletins Nuppa Site'!A1382&lt;&gt;0,'Boletins Nuppa Site'!A1382,"NULL")</f>
        <v>72</v>
      </c>
      <c r="C1382">
        <v>29</v>
      </c>
      <c r="D1382" t="str">
        <f>IF('Boletins Nuppa Site'!G1382&lt;&gt;0,'Boletins Nuppa Site'!G1382,"NULL")</f>
        <v>NULL</v>
      </c>
      <c r="E1382" s="14">
        <f>IF('Boletins Nuppa Site'!H1382&lt;&gt;0,'Boletins Nuppa Site'!H1382,"NULL")</f>
        <v>50</v>
      </c>
      <c r="F1382" s="14">
        <f>IF('Boletins Nuppa Site'!I1382&lt;&gt;0,'Boletins Nuppa Site'!I1382,"NULL")</f>
        <v>50</v>
      </c>
      <c r="G1382" s="14">
        <f>IF('Boletins Nuppa Site'!J1382&lt;&gt;0,'Boletins Nuppa Site'!J1382,"NULL")</f>
        <v>50</v>
      </c>
      <c r="H1382" s="14">
        <f>IF('Boletins Nuppa Site'!K1382&lt;&gt;0,'Boletins Nuppa Site'!K1382,"NULL")</f>
        <v>50</v>
      </c>
      <c r="I1382" t="str">
        <f t="shared" si="42"/>
        <v>INSERT INTO COTACAO (cot_id, cot_blt_id, cot_pap_id, cot_prc_comum, cot_prc_min, cot_prc_max, cot_prc_med, cot_prc_mediana) VALUES (1381, 72, 29, NULL, 50, 50, 50, 50);</v>
      </c>
      <c r="J1382" t="str">
        <f t="shared" si="43"/>
        <v>UPDATE COTACAO SET cot_id = 1381, cot_blt_id = 72, cot_pap_id = 29, cot_prc_comum = NULL, cot_prc_min = 50, cot_prc_max = 50, cot_prc_med = 50, cot_prc_mediana = 50 WHERE cot_id = 1381;</v>
      </c>
    </row>
    <row r="1383" spans="1:10" x14ac:dyDescent="0.3">
      <c r="A1383">
        <v>1382</v>
      </c>
      <c r="B1383">
        <f>IF('Boletins Nuppa Site'!A1383&lt;&gt;0,'Boletins Nuppa Site'!A1383,"NULL")</f>
        <v>72</v>
      </c>
      <c r="C1383">
        <v>30</v>
      </c>
      <c r="D1383" s="14">
        <f>IF('Boletins Nuppa Site'!G1383&lt;&gt;0,'Boletins Nuppa Site'!G1383,"NULL")</f>
        <v>100</v>
      </c>
      <c r="E1383" s="14">
        <f>IF('Boletins Nuppa Site'!H1383&lt;&gt;0,'Boletins Nuppa Site'!H1383,"NULL")</f>
        <v>100</v>
      </c>
      <c r="F1383" s="14">
        <f>IF('Boletins Nuppa Site'!I1383&lt;&gt;0,'Boletins Nuppa Site'!I1383,"NULL")</f>
        <v>100</v>
      </c>
      <c r="G1383" s="14">
        <f>IF('Boletins Nuppa Site'!J1383&lt;&gt;0,'Boletins Nuppa Site'!J1383,"NULL")</f>
        <v>100</v>
      </c>
      <c r="H1383" s="14">
        <f>IF('Boletins Nuppa Site'!K1383&lt;&gt;0,'Boletins Nuppa Site'!K1383,"NULL")</f>
        <v>100</v>
      </c>
      <c r="I1383" t="str">
        <f t="shared" si="42"/>
        <v>INSERT INTO COTACAO (cot_id, cot_blt_id, cot_pap_id, cot_prc_comum, cot_prc_min, cot_prc_max, cot_prc_med, cot_prc_mediana) VALUES (1382, 72, 30, 100, 100, 100, 100, 100);</v>
      </c>
      <c r="J1383" t="str">
        <f t="shared" si="43"/>
        <v>UPDATE COTACAO SET cot_id = 1382, cot_blt_id = 72, cot_pap_id = 30, cot_prc_comum = 100, cot_prc_min = 100, cot_prc_max = 100, cot_prc_med = 100, cot_prc_mediana = 100 WHERE cot_id = 1382;</v>
      </c>
    </row>
    <row r="1384" spans="1:10" x14ac:dyDescent="0.3">
      <c r="A1384">
        <v>1383</v>
      </c>
      <c r="B1384">
        <f>IF('Boletins Nuppa Site'!A1384&lt;&gt;0,'Boletins Nuppa Site'!A1384,"NULL")</f>
        <v>72</v>
      </c>
      <c r="C1384">
        <v>31</v>
      </c>
      <c r="D1384" s="14">
        <f>IF('Boletins Nuppa Site'!G1384&lt;&gt;0,'Boletins Nuppa Site'!G1384,"NULL")</f>
        <v>120</v>
      </c>
      <c r="E1384" s="14">
        <f>IF('Boletins Nuppa Site'!H1384&lt;&gt;0,'Boletins Nuppa Site'!H1384,"NULL")</f>
        <v>120</v>
      </c>
      <c r="F1384" s="14">
        <f>IF('Boletins Nuppa Site'!I1384&lt;&gt;0,'Boletins Nuppa Site'!I1384,"NULL")</f>
        <v>140</v>
      </c>
      <c r="G1384" t="str">
        <f>IF('Boletins Nuppa Site'!J1384&lt;&gt;0,'Boletins Nuppa Site'!J1384,"NULL")</f>
        <v>127.5</v>
      </c>
      <c r="H1384" s="14">
        <f>IF('Boletins Nuppa Site'!K1384&lt;&gt;0,'Boletins Nuppa Site'!K1384,"NULL")</f>
        <v>125</v>
      </c>
      <c r="I1384" t="str">
        <f t="shared" si="42"/>
        <v>INSERT INTO COTACAO (cot_id, cot_blt_id, cot_pap_id, cot_prc_comum, cot_prc_min, cot_prc_max, cot_prc_med, cot_prc_mediana) VALUES (1383, 72, 31, 120, 120, 140, 127.5, 125);</v>
      </c>
      <c r="J1384" t="str">
        <f t="shared" si="43"/>
        <v>UPDATE COTACAO SET cot_id = 1383, cot_blt_id = 72, cot_pap_id = 31, cot_prc_comum = 120, cot_prc_min = 120, cot_prc_max = 140, cot_prc_med = 127.5, cot_prc_mediana = 125 WHERE cot_id = 1383;</v>
      </c>
    </row>
    <row r="1385" spans="1:10" x14ac:dyDescent="0.3">
      <c r="A1385">
        <v>1384</v>
      </c>
      <c r="B1385">
        <f>IF('Boletins Nuppa Site'!A1385&lt;&gt;0,'Boletins Nuppa Site'!A1385,"NULL")</f>
        <v>72</v>
      </c>
      <c r="C1385">
        <v>32</v>
      </c>
      <c r="D1385" t="str">
        <f>IF('Boletins Nuppa Site'!G1385&lt;&gt;0,'Boletins Nuppa Site'!G1385,"NULL")</f>
        <v>NULL</v>
      </c>
      <c r="E1385" s="14">
        <f>IF('Boletins Nuppa Site'!H1385&lt;&gt;0,'Boletins Nuppa Site'!H1385,"NULL")</f>
        <v>45</v>
      </c>
      <c r="F1385" s="14">
        <f>IF('Boletins Nuppa Site'!I1385&lt;&gt;0,'Boletins Nuppa Site'!I1385,"NULL")</f>
        <v>80</v>
      </c>
      <c r="G1385" s="14">
        <f>IF('Boletins Nuppa Site'!J1385&lt;&gt;0,'Boletins Nuppa Site'!J1385,"NULL")</f>
        <v>60</v>
      </c>
      <c r="H1385" t="str">
        <f>IF('Boletins Nuppa Site'!K1385&lt;&gt;0,'Boletins Nuppa Site'!K1385,"NULL")</f>
        <v>57.5</v>
      </c>
      <c r="I1385" t="str">
        <f t="shared" si="42"/>
        <v>INSERT INTO COTACAO (cot_id, cot_blt_id, cot_pap_id, cot_prc_comum, cot_prc_min, cot_prc_max, cot_prc_med, cot_prc_mediana) VALUES (1384, 72, 32, NULL, 45, 80, 60, 57.5);</v>
      </c>
      <c r="J1385" t="str">
        <f t="shared" si="43"/>
        <v>UPDATE COTACAO SET cot_id = 1384, cot_blt_id = 72, cot_pap_id = 32, cot_prc_comum = NULL, cot_prc_min = 45, cot_prc_max = 80, cot_prc_med = 60, cot_prc_mediana = 57.5 WHERE cot_id = 1384;</v>
      </c>
    </row>
    <row r="1386" spans="1:10" x14ac:dyDescent="0.3">
      <c r="A1386">
        <v>1385</v>
      </c>
      <c r="B1386">
        <f>IF('Boletins Nuppa Site'!A1386&lt;&gt;0,'Boletins Nuppa Site'!A1386,"NULL")</f>
        <v>72</v>
      </c>
      <c r="C1386">
        <v>33</v>
      </c>
      <c r="D1386" s="14">
        <f>IF('Boletins Nuppa Site'!G1386&lt;&gt;0,'Boletins Nuppa Site'!G1386,"NULL")</f>
        <v>140</v>
      </c>
      <c r="E1386" s="14">
        <f>IF('Boletins Nuppa Site'!H1386&lt;&gt;0,'Boletins Nuppa Site'!H1386,"NULL")</f>
        <v>140</v>
      </c>
      <c r="F1386" s="14">
        <f>IF('Boletins Nuppa Site'!I1386&lt;&gt;0,'Boletins Nuppa Site'!I1386,"NULL")</f>
        <v>175</v>
      </c>
      <c r="G1386" t="str">
        <f>IF('Boletins Nuppa Site'!J1386&lt;&gt;0,'Boletins Nuppa Site'!J1386,"NULL")</f>
        <v>151.25</v>
      </c>
      <c r="H1386" s="14">
        <f>IF('Boletins Nuppa Site'!K1386&lt;&gt;0,'Boletins Nuppa Site'!K1386,"NULL")</f>
        <v>145</v>
      </c>
      <c r="I1386" t="str">
        <f t="shared" si="42"/>
        <v>INSERT INTO COTACAO (cot_id, cot_blt_id, cot_pap_id, cot_prc_comum, cot_prc_min, cot_prc_max, cot_prc_med, cot_prc_mediana) VALUES (1385, 72, 33, 140, 140, 175, 151.25, 145);</v>
      </c>
      <c r="J1386" t="str">
        <f t="shared" si="43"/>
        <v>UPDATE COTACAO SET cot_id = 1385, cot_blt_id = 72, cot_pap_id = 33, cot_prc_comum = 140, cot_prc_min = 140, cot_prc_max = 175, cot_prc_med = 151.25, cot_prc_mediana = 145 WHERE cot_id = 1385;</v>
      </c>
    </row>
    <row r="1387" spans="1:10" x14ac:dyDescent="0.3">
      <c r="A1387">
        <v>1386</v>
      </c>
      <c r="B1387">
        <f>IF('Boletins Nuppa Site'!A1387&lt;&gt;0,'Boletins Nuppa Site'!A1387,"NULL")</f>
        <v>72</v>
      </c>
      <c r="C1387">
        <v>34</v>
      </c>
      <c r="D1387" s="14">
        <f>IF('Boletins Nuppa Site'!G1387&lt;&gt;0,'Boletins Nuppa Site'!G1387,"NULL")</f>
        <v>80</v>
      </c>
      <c r="E1387" s="14">
        <f>IF('Boletins Nuppa Site'!H1387&lt;&gt;0,'Boletins Nuppa Site'!H1387,"NULL")</f>
        <v>45</v>
      </c>
      <c r="F1387" s="14">
        <f>IF('Boletins Nuppa Site'!I1387&lt;&gt;0,'Boletins Nuppa Site'!I1387,"NULL")</f>
        <v>90</v>
      </c>
      <c r="G1387" t="str">
        <f>IF('Boletins Nuppa Site'!J1387&lt;&gt;0,'Boletins Nuppa Site'!J1387,"NULL")</f>
        <v>73.75</v>
      </c>
      <c r="H1387" s="14">
        <f>IF('Boletins Nuppa Site'!K1387&lt;&gt;0,'Boletins Nuppa Site'!K1387,"NULL")</f>
        <v>80</v>
      </c>
      <c r="I1387" t="str">
        <f t="shared" si="42"/>
        <v>INSERT INTO COTACAO (cot_id, cot_blt_id, cot_pap_id, cot_prc_comum, cot_prc_min, cot_prc_max, cot_prc_med, cot_prc_mediana) VALUES (1386, 72, 34, 80, 45, 90, 73.75, 80);</v>
      </c>
      <c r="J1387" t="str">
        <f t="shared" si="43"/>
        <v>UPDATE COTACAO SET cot_id = 1386, cot_blt_id = 72, cot_pap_id = 34, cot_prc_comum = 80, cot_prc_min = 45, cot_prc_max = 90, cot_prc_med = 73.75, cot_prc_mediana = 80 WHERE cot_id = 1386;</v>
      </c>
    </row>
    <row r="1388" spans="1:10" x14ac:dyDescent="0.3">
      <c r="A1388">
        <v>1387</v>
      </c>
      <c r="B1388">
        <f>IF('Boletins Nuppa Site'!A1388&lt;&gt;0,'Boletins Nuppa Site'!A1388,"NULL")</f>
        <v>72</v>
      </c>
      <c r="C1388">
        <v>35</v>
      </c>
      <c r="D1388" s="14">
        <f>IF('Boletins Nuppa Site'!G1388&lt;&gt;0,'Boletins Nuppa Site'!G1388,"NULL")</f>
        <v>110</v>
      </c>
      <c r="E1388" s="14">
        <f>IF('Boletins Nuppa Site'!H1388&lt;&gt;0,'Boletins Nuppa Site'!H1388,"NULL")</f>
        <v>110</v>
      </c>
      <c r="F1388" s="14">
        <f>IF('Boletins Nuppa Site'!I1388&lt;&gt;0,'Boletins Nuppa Site'!I1388,"NULL")</f>
        <v>120</v>
      </c>
      <c r="G1388" t="str">
        <f>IF('Boletins Nuppa Site'!J1388&lt;&gt;0,'Boletins Nuppa Site'!J1388,"NULL")</f>
        <v>113.33</v>
      </c>
      <c r="H1388" s="14">
        <f>IF('Boletins Nuppa Site'!K1388&lt;&gt;0,'Boletins Nuppa Site'!K1388,"NULL")</f>
        <v>110</v>
      </c>
      <c r="I1388" t="str">
        <f t="shared" si="42"/>
        <v>INSERT INTO COTACAO (cot_id, cot_blt_id, cot_pap_id, cot_prc_comum, cot_prc_min, cot_prc_max, cot_prc_med, cot_prc_mediana) VALUES (1387, 72, 35, 110, 110, 120, 113.33, 110);</v>
      </c>
      <c r="J1388" t="str">
        <f t="shared" si="43"/>
        <v>UPDATE COTACAO SET cot_id = 1387, cot_blt_id = 72, cot_pap_id = 35, cot_prc_comum = 110, cot_prc_min = 110, cot_prc_max = 120, cot_prc_med = 113.33, cot_prc_mediana = 110 WHERE cot_id = 1387;</v>
      </c>
    </row>
    <row r="1389" spans="1:10" x14ac:dyDescent="0.3">
      <c r="A1389">
        <v>1388</v>
      </c>
      <c r="B1389">
        <f>IF('Boletins Nuppa Site'!A1389&lt;&gt;0,'Boletins Nuppa Site'!A1389,"NULL")</f>
        <v>72</v>
      </c>
      <c r="C1389">
        <v>36</v>
      </c>
      <c r="D1389" t="str">
        <f>IF('Boletins Nuppa Site'!G1389&lt;&gt;0,'Boletins Nuppa Site'!G1389,"NULL")</f>
        <v>NULL</v>
      </c>
      <c r="E1389" t="str">
        <f>IF('Boletins Nuppa Site'!H1389&lt;&gt;0,'Boletins Nuppa Site'!H1389,"NULL")</f>
        <v>NULL</v>
      </c>
      <c r="F1389" t="str">
        <f>IF('Boletins Nuppa Site'!I1389&lt;&gt;0,'Boletins Nuppa Site'!I1389,"NULL")</f>
        <v>NULL</v>
      </c>
      <c r="G1389" t="str">
        <f>IF('Boletins Nuppa Site'!J1389&lt;&gt;0,'Boletins Nuppa Site'!J1389,"NULL")</f>
        <v>NULL</v>
      </c>
      <c r="H1389" t="str">
        <f>IF('Boletins Nuppa Site'!K1389&lt;&gt;0,'Boletins Nuppa Site'!K1389,"NULL")</f>
        <v>NULL</v>
      </c>
      <c r="I1389" t="str">
        <f t="shared" si="42"/>
        <v>INSERT INTO COTACAO (cot_id, cot_blt_id, cot_pap_id, cot_prc_comum, cot_prc_min, cot_prc_max, cot_prc_med, cot_prc_mediana) VALUES (1388, 72, 36, NULL, NULL, NULL, NULL, NULL);</v>
      </c>
      <c r="J1389" t="str">
        <f t="shared" si="43"/>
        <v>UPDATE COTACAO SET cot_id = 1388, cot_blt_id = 72, cot_pap_id = 36, cot_prc_comum = NULL, cot_prc_min = NULL, cot_prc_max = NULL, cot_prc_med = NULL, cot_prc_mediana = NULL WHERE cot_id = 1388;</v>
      </c>
    </row>
    <row r="1390" spans="1:10" x14ac:dyDescent="0.3">
      <c r="A1390">
        <v>1389</v>
      </c>
      <c r="B1390">
        <f>IF('Boletins Nuppa Site'!A1390&lt;&gt;0,'Boletins Nuppa Site'!A1390,"NULL")</f>
        <v>72</v>
      </c>
      <c r="C1390">
        <v>37</v>
      </c>
      <c r="D1390" t="str">
        <f>IF('Boletins Nuppa Site'!G1390&lt;&gt;0,'Boletins Nuppa Site'!G1390,"NULL")</f>
        <v>NULL</v>
      </c>
      <c r="E1390" t="str">
        <f>IF('Boletins Nuppa Site'!H1390&lt;&gt;0,'Boletins Nuppa Site'!H1390,"NULL")</f>
        <v>NULL</v>
      </c>
      <c r="F1390" t="str">
        <f>IF('Boletins Nuppa Site'!I1390&lt;&gt;0,'Boletins Nuppa Site'!I1390,"NULL")</f>
        <v>NULL</v>
      </c>
      <c r="G1390" t="str">
        <f>IF('Boletins Nuppa Site'!J1390&lt;&gt;0,'Boletins Nuppa Site'!J1390,"NULL")</f>
        <v>NULL</v>
      </c>
      <c r="H1390" t="str">
        <f>IF('Boletins Nuppa Site'!K1390&lt;&gt;0,'Boletins Nuppa Site'!K1390,"NULL")</f>
        <v>NULL</v>
      </c>
      <c r="I1390" t="str">
        <f t="shared" si="42"/>
        <v>INSERT INTO COTACAO (cot_id, cot_blt_id, cot_pap_id, cot_prc_comum, cot_prc_min, cot_prc_max, cot_prc_med, cot_prc_mediana) VALUES (1389, 72, 37, NULL, NULL, NULL, NULL, NULL);</v>
      </c>
      <c r="J1390" t="str">
        <f t="shared" si="43"/>
        <v>UPDATE COTACAO SET cot_id = 1389, cot_blt_id = 72, cot_pap_id = 37, cot_prc_comum = NULL, cot_prc_min = NULL, cot_prc_max = NULL, cot_prc_med = NULL, cot_prc_mediana = NULL WHERE cot_id = 1389;</v>
      </c>
    </row>
    <row r="1391" spans="1:10" x14ac:dyDescent="0.3">
      <c r="A1391">
        <v>1390</v>
      </c>
      <c r="B1391">
        <f>IF('Boletins Nuppa Site'!A1391&lt;&gt;0,'Boletins Nuppa Site'!A1391,"NULL")</f>
        <v>72</v>
      </c>
      <c r="C1391">
        <v>38</v>
      </c>
      <c r="D1391" t="str">
        <f>IF('Boletins Nuppa Site'!G1391&lt;&gt;0,'Boletins Nuppa Site'!G1391,"NULL")</f>
        <v>NULL</v>
      </c>
      <c r="E1391" t="str">
        <f>IF('Boletins Nuppa Site'!H1391&lt;&gt;0,'Boletins Nuppa Site'!H1391,"NULL")</f>
        <v>NULL</v>
      </c>
      <c r="F1391" t="str">
        <f>IF('Boletins Nuppa Site'!I1391&lt;&gt;0,'Boletins Nuppa Site'!I1391,"NULL")</f>
        <v>NULL</v>
      </c>
      <c r="G1391" t="str">
        <f>IF('Boletins Nuppa Site'!J1391&lt;&gt;0,'Boletins Nuppa Site'!J1391,"NULL")</f>
        <v>NULL</v>
      </c>
      <c r="H1391" t="str">
        <f>IF('Boletins Nuppa Site'!K1391&lt;&gt;0,'Boletins Nuppa Site'!K1391,"NULL")</f>
        <v>NULL</v>
      </c>
      <c r="I1391" t="str">
        <f t="shared" si="42"/>
        <v>INSERT INTO COTACAO (cot_id, cot_blt_id, cot_pap_id, cot_prc_comum, cot_prc_min, cot_prc_max, cot_prc_med, cot_prc_mediana) VALUES (1390, 72, 38, NULL, NULL, NULL, NULL, NULL);</v>
      </c>
      <c r="J1391" t="str">
        <f t="shared" si="43"/>
        <v>UPDATE COTACAO SET cot_id = 1390, cot_blt_id = 72, cot_pap_id = 38, cot_prc_comum = NULL, cot_prc_min = NULL, cot_prc_max = NULL, cot_prc_med = NULL, cot_prc_mediana = NULL WHERE cot_id = 1390;</v>
      </c>
    </row>
    <row r="1392" spans="1:10" x14ac:dyDescent="0.3">
      <c r="A1392">
        <v>1391</v>
      </c>
      <c r="B1392">
        <f>IF('Boletins Nuppa Site'!A1392&lt;&gt;0,'Boletins Nuppa Site'!A1392,"NULL")</f>
        <v>72</v>
      </c>
      <c r="C1392">
        <v>39</v>
      </c>
      <c r="D1392" t="str">
        <f>IF('Boletins Nuppa Site'!G1392&lt;&gt;0,'Boletins Nuppa Site'!G1392,"NULL")</f>
        <v>NULL</v>
      </c>
      <c r="E1392" s="14">
        <f>IF('Boletins Nuppa Site'!H1392&lt;&gt;0,'Boletins Nuppa Site'!H1392,"NULL")</f>
        <v>60</v>
      </c>
      <c r="F1392" s="14">
        <f>IF('Boletins Nuppa Site'!I1392&lt;&gt;0,'Boletins Nuppa Site'!I1392,"NULL")</f>
        <v>60</v>
      </c>
      <c r="G1392" s="14">
        <f>IF('Boletins Nuppa Site'!J1392&lt;&gt;0,'Boletins Nuppa Site'!J1392,"NULL")</f>
        <v>60</v>
      </c>
      <c r="H1392" s="14">
        <f>IF('Boletins Nuppa Site'!K1392&lt;&gt;0,'Boletins Nuppa Site'!K1392,"NULL")</f>
        <v>60</v>
      </c>
      <c r="I1392" t="str">
        <f t="shared" si="42"/>
        <v>INSERT INTO COTACAO (cot_id, cot_blt_id, cot_pap_id, cot_prc_comum, cot_prc_min, cot_prc_max, cot_prc_med, cot_prc_mediana) VALUES (1391, 72, 39, NULL, 60, 60, 60, 60);</v>
      </c>
      <c r="J1392" t="str">
        <f t="shared" si="43"/>
        <v>UPDATE COTACAO SET cot_id = 1391, cot_blt_id = 72, cot_pap_id = 39, cot_prc_comum = NULL, cot_prc_min = 60, cot_prc_max = 60, cot_prc_med = 60, cot_prc_mediana = 60 WHERE cot_id = 1391;</v>
      </c>
    </row>
    <row r="1393" spans="1:10" x14ac:dyDescent="0.3">
      <c r="A1393">
        <v>1392</v>
      </c>
      <c r="B1393">
        <f>IF('Boletins Nuppa Site'!A1393&lt;&gt;0,'Boletins Nuppa Site'!A1393,"NULL")</f>
        <v>72</v>
      </c>
      <c r="C1393">
        <v>40</v>
      </c>
      <c r="D1393" t="str">
        <f>IF('Boletins Nuppa Site'!G1393&lt;&gt;0,'Boletins Nuppa Site'!G1393,"NULL")</f>
        <v>NULL</v>
      </c>
      <c r="E1393" t="str">
        <f>IF('Boletins Nuppa Site'!H1393&lt;&gt;0,'Boletins Nuppa Site'!H1393,"NULL")</f>
        <v>NULL</v>
      </c>
      <c r="F1393" t="str">
        <f>IF('Boletins Nuppa Site'!I1393&lt;&gt;0,'Boletins Nuppa Site'!I1393,"NULL")</f>
        <v>NULL</v>
      </c>
      <c r="G1393" t="str">
        <f>IF('Boletins Nuppa Site'!J1393&lt;&gt;0,'Boletins Nuppa Site'!J1393,"NULL")</f>
        <v>NULL</v>
      </c>
      <c r="H1393" t="str">
        <f>IF('Boletins Nuppa Site'!K1393&lt;&gt;0,'Boletins Nuppa Site'!K1393,"NULL")</f>
        <v>NULL</v>
      </c>
      <c r="I1393" t="str">
        <f t="shared" si="42"/>
        <v>INSERT INTO COTACAO (cot_id, cot_blt_id, cot_pap_id, cot_prc_comum, cot_prc_min, cot_prc_max, cot_prc_med, cot_prc_mediana) VALUES (1392, 72, 40, NULL, NULL, NULL, NULL, NULL);</v>
      </c>
      <c r="J1393" t="str">
        <f t="shared" si="43"/>
        <v>UPDATE COTACAO SET cot_id = 1392, cot_blt_id = 72, cot_pap_id = 40, cot_prc_comum = NULL, cot_prc_min = NULL, cot_prc_max = NULL, cot_prc_med = NULL, cot_prc_mediana = NULL WHERE cot_id = 1392;</v>
      </c>
    </row>
    <row r="1394" spans="1:10" x14ac:dyDescent="0.3">
      <c r="A1394">
        <v>1393</v>
      </c>
      <c r="B1394">
        <f>IF('Boletins Nuppa Site'!A1394&lt;&gt;0,'Boletins Nuppa Site'!A1394,"NULL")</f>
        <v>73</v>
      </c>
      <c r="C1394">
        <v>1</v>
      </c>
      <c r="D1394" s="14">
        <f>IF('Boletins Nuppa Site'!G1394&lt;&gt;0,'Boletins Nuppa Site'!G1394,"NULL")</f>
        <v>48</v>
      </c>
      <c r="E1394" s="14">
        <f>IF('Boletins Nuppa Site'!H1394&lt;&gt;0,'Boletins Nuppa Site'!H1394,"NULL")</f>
        <v>36</v>
      </c>
      <c r="F1394" s="14">
        <f>IF('Boletins Nuppa Site'!I1394&lt;&gt;0,'Boletins Nuppa Site'!I1394,"NULL")</f>
        <v>60</v>
      </c>
      <c r="G1394" s="14">
        <f>IF('Boletins Nuppa Site'!J1394&lt;&gt;0,'Boletins Nuppa Site'!J1394,"NULL")</f>
        <v>48</v>
      </c>
      <c r="H1394" s="14">
        <f>IF('Boletins Nuppa Site'!K1394&lt;&gt;0,'Boletins Nuppa Site'!K1394,"NULL")</f>
        <v>48</v>
      </c>
      <c r="I1394" t="str">
        <f t="shared" si="42"/>
        <v>INSERT INTO COTACAO (cot_id, cot_blt_id, cot_pap_id, cot_prc_comum, cot_prc_min, cot_prc_max, cot_prc_med, cot_prc_mediana) VALUES (1393, 73, 1, 48, 36, 60, 48, 48);</v>
      </c>
      <c r="J1394" t="str">
        <f t="shared" si="43"/>
        <v>UPDATE COTACAO SET cot_id = 1393, cot_blt_id = 73, cot_pap_id = 1, cot_prc_comum = 48, cot_prc_min = 36, cot_prc_max = 60, cot_prc_med = 48, cot_prc_mediana = 48 WHERE cot_id = 1393;</v>
      </c>
    </row>
    <row r="1395" spans="1:10" x14ac:dyDescent="0.3">
      <c r="A1395">
        <v>1394</v>
      </c>
      <c r="B1395">
        <f>IF('Boletins Nuppa Site'!A1395&lt;&gt;0,'Boletins Nuppa Site'!A1395,"NULL")</f>
        <v>73</v>
      </c>
      <c r="C1395">
        <v>2</v>
      </c>
      <c r="D1395" s="14">
        <f>IF('Boletins Nuppa Site'!G1395&lt;&gt;0,'Boletins Nuppa Site'!G1395,"NULL")</f>
        <v>84</v>
      </c>
      <c r="E1395" s="14">
        <f>IF('Boletins Nuppa Site'!H1395&lt;&gt;0,'Boletins Nuppa Site'!H1395,"NULL")</f>
        <v>72</v>
      </c>
      <c r="F1395" s="14">
        <f>IF('Boletins Nuppa Site'!I1395&lt;&gt;0,'Boletins Nuppa Site'!I1395,"NULL")</f>
        <v>84</v>
      </c>
      <c r="G1395" s="14">
        <f>IF('Boletins Nuppa Site'!J1395&lt;&gt;0,'Boletins Nuppa Site'!J1395,"NULL")</f>
        <v>80</v>
      </c>
      <c r="H1395" s="14">
        <f>IF('Boletins Nuppa Site'!K1395&lt;&gt;0,'Boletins Nuppa Site'!K1395,"NULL")</f>
        <v>84</v>
      </c>
      <c r="I1395" t="str">
        <f t="shared" si="42"/>
        <v>INSERT INTO COTACAO (cot_id, cot_blt_id, cot_pap_id, cot_prc_comum, cot_prc_min, cot_prc_max, cot_prc_med, cot_prc_mediana) VALUES (1394, 73, 2, 84, 72, 84, 80, 84);</v>
      </c>
      <c r="J1395" t="str">
        <f t="shared" si="43"/>
        <v>UPDATE COTACAO SET cot_id = 1394, cot_blt_id = 73, cot_pap_id = 2, cot_prc_comum = 84, cot_prc_min = 72, cot_prc_max = 84, cot_prc_med = 80, cot_prc_mediana = 84 WHERE cot_id = 1394;</v>
      </c>
    </row>
    <row r="1396" spans="1:10" x14ac:dyDescent="0.3">
      <c r="A1396">
        <v>1395</v>
      </c>
      <c r="B1396">
        <f>IF('Boletins Nuppa Site'!A1396&lt;&gt;0,'Boletins Nuppa Site'!A1396,"NULL")</f>
        <v>73</v>
      </c>
      <c r="C1396">
        <v>3</v>
      </c>
      <c r="D1396" s="14">
        <f>IF('Boletins Nuppa Site'!G1396&lt;&gt;0,'Boletins Nuppa Site'!G1396,"NULL")</f>
        <v>36</v>
      </c>
      <c r="E1396" s="14">
        <f>IF('Boletins Nuppa Site'!H1396&lt;&gt;0,'Boletins Nuppa Site'!H1396,"NULL")</f>
        <v>25</v>
      </c>
      <c r="F1396" s="14">
        <f>IF('Boletins Nuppa Site'!I1396&lt;&gt;0,'Boletins Nuppa Site'!I1396,"NULL")</f>
        <v>42</v>
      </c>
      <c r="G1396" t="str">
        <f>IF('Boletins Nuppa Site'!J1396&lt;&gt;0,'Boletins Nuppa Site'!J1396,"NULL")</f>
        <v>34.75</v>
      </c>
      <c r="H1396" s="14">
        <f>IF('Boletins Nuppa Site'!K1396&lt;&gt;0,'Boletins Nuppa Site'!K1396,"NULL")</f>
        <v>36</v>
      </c>
      <c r="I1396" t="str">
        <f t="shared" si="42"/>
        <v>INSERT INTO COTACAO (cot_id, cot_blt_id, cot_pap_id, cot_prc_comum, cot_prc_min, cot_prc_max, cot_prc_med, cot_prc_mediana) VALUES (1395, 73, 3, 36, 25, 42, 34.75, 36);</v>
      </c>
      <c r="J1396" t="str">
        <f t="shared" si="43"/>
        <v>UPDATE COTACAO SET cot_id = 1395, cot_blt_id = 73, cot_pap_id = 3, cot_prc_comum = 36, cot_prc_min = 25, cot_prc_max = 42, cot_prc_med = 34.75, cot_prc_mediana = 36 WHERE cot_id = 1395;</v>
      </c>
    </row>
    <row r="1397" spans="1:10" x14ac:dyDescent="0.3">
      <c r="A1397">
        <v>1396</v>
      </c>
      <c r="B1397">
        <f>IF('Boletins Nuppa Site'!A1397&lt;&gt;0,'Boletins Nuppa Site'!A1397,"NULL")</f>
        <v>73</v>
      </c>
      <c r="C1397">
        <v>4</v>
      </c>
      <c r="D1397" s="14">
        <f>IF('Boletins Nuppa Site'!G1397&lt;&gt;0,'Boletins Nuppa Site'!G1397,"NULL")</f>
        <v>18</v>
      </c>
      <c r="E1397" s="14">
        <f>IF('Boletins Nuppa Site'!H1397&lt;&gt;0,'Boletins Nuppa Site'!H1397,"NULL")</f>
        <v>18</v>
      </c>
      <c r="F1397" s="14">
        <f>IF('Boletins Nuppa Site'!I1397&lt;&gt;0,'Boletins Nuppa Site'!I1397,"NULL")</f>
        <v>24</v>
      </c>
      <c r="G1397" s="14">
        <f>IF('Boletins Nuppa Site'!J1397&lt;&gt;0,'Boletins Nuppa Site'!J1397,"NULL")</f>
        <v>21</v>
      </c>
      <c r="H1397" s="14">
        <f>IF('Boletins Nuppa Site'!K1397&lt;&gt;0,'Boletins Nuppa Site'!K1397,"NULL")</f>
        <v>21</v>
      </c>
      <c r="I1397" t="str">
        <f t="shared" si="42"/>
        <v>INSERT INTO COTACAO (cot_id, cot_blt_id, cot_pap_id, cot_prc_comum, cot_prc_min, cot_prc_max, cot_prc_med, cot_prc_mediana) VALUES (1396, 73, 4, 18, 18, 24, 21, 21);</v>
      </c>
      <c r="J1397" t="str">
        <f t="shared" si="43"/>
        <v>UPDATE COTACAO SET cot_id = 1396, cot_blt_id = 73, cot_pap_id = 4, cot_prc_comum = 18, cot_prc_min = 18, cot_prc_max = 24, cot_prc_med = 21, cot_prc_mediana = 21 WHERE cot_id = 1396;</v>
      </c>
    </row>
    <row r="1398" spans="1:10" x14ac:dyDescent="0.3">
      <c r="A1398">
        <v>1397</v>
      </c>
      <c r="B1398">
        <f>IF('Boletins Nuppa Site'!A1398&lt;&gt;0,'Boletins Nuppa Site'!A1398,"NULL")</f>
        <v>73</v>
      </c>
      <c r="C1398">
        <v>5</v>
      </c>
      <c r="D1398" s="14">
        <f>IF('Boletins Nuppa Site'!G1398&lt;&gt;0,'Boletins Nuppa Site'!G1398,"NULL")</f>
        <v>18</v>
      </c>
      <c r="E1398" s="14">
        <f>IF('Boletins Nuppa Site'!H1398&lt;&gt;0,'Boletins Nuppa Site'!H1398,"NULL")</f>
        <v>18</v>
      </c>
      <c r="F1398" s="14">
        <f>IF('Boletins Nuppa Site'!I1398&lt;&gt;0,'Boletins Nuppa Site'!I1398,"NULL")</f>
        <v>24</v>
      </c>
      <c r="G1398" s="14">
        <f>IF('Boletins Nuppa Site'!J1398&lt;&gt;0,'Boletins Nuppa Site'!J1398,"NULL")</f>
        <v>21</v>
      </c>
      <c r="H1398" s="14">
        <f>IF('Boletins Nuppa Site'!K1398&lt;&gt;0,'Boletins Nuppa Site'!K1398,"NULL")</f>
        <v>21</v>
      </c>
      <c r="I1398" t="str">
        <f t="shared" si="42"/>
        <v>INSERT INTO COTACAO (cot_id, cot_blt_id, cot_pap_id, cot_prc_comum, cot_prc_min, cot_prc_max, cot_prc_med, cot_prc_mediana) VALUES (1397, 73, 5, 18, 18, 24, 21, 21);</v>
      </c>
      <c r="J1398" t="str">
        <f t="shared" si="43"/>
        <v>UPDATE COTACAO SET cot_id = 1397, cot_blt_id = 73, cot_pap_id = 5, cot_prc_comum = 18, cot_prc_min = 18, cot_prc_max = 24, cot_prc_med = 21, cot_prc_mediana = 21 WHERE cot_id = 1397;</v>
      </c>
    </row>
    <row r="1399" spans="1:10" x14ac:dyDescent="0.3">
      <c r="A1399">
        <v>1398</v>
      </c>
      <c r="B1399">
        <f>IF('Boletins Nuppa Site'!A1399&lt;&gt;0,'Boletins Nuppa Site'!A1399,"NULL")</f>
        <v>73</v>
      </c>
      <c r="C1399">
        <v>6</v>
      </c>
      <c r="D1399" s="14">
        <f>IF('Boletins Nuppa Site'!G1399&lt;&gt;0,'Boletins Nuppa Site'!G1399,"NULL")</f>
        <v>60</v>
      </c>
      <c r="E1399" s="14">
        <f>IF('Boletins Nuppa Site'!H1399&lt;&gt;0,'Boletins Nuppa Site'!H1399,"NULL")</f>
        <v>60</v>
      </c>
      <c r="F1399" s="14">
        <f>IF('Boletins Nuppa Site'!I1399&lt;&gt;0,'Boletins Nuppa Site'!I1399,"NULL")</f>
        <v>60</v>
      </c>
      <c r="G1399" s="14">
        <f>IF('Boletins Nuppa Site'!J1399&lt;&gt;0,'Boletins Nuppa Site'!J1399,"NULL")</f>
        <v>60</v>
      </c>
      <c r="H1399" s="14">
        <f>IF('Boletins Nuppa Site'!K1399&lt;&gt;0,'Boletins Nuppa Site'!K1399,"NULL")</f>
        <v>60</v>
      </c>
      <c r="I1399" t="str">
        <f t="shared" si="42"/>
        <v>INSERT INTO COTACAO (cot_id, cot_blt_id, cot_pap_id, cot_prc_comum, cot_prc_min, cot_prc_max, cot_prc_med, cot_prc_mediana) VALUES (1398, 73, 6, 60, 60, 60, 60, 60);</v>
      </c>
      <c r="J1399" t="str">
        <f t="shared" si="43"/>
        <v>UPDATE COTACAO SET cot_id = 1398, cot_blt_id = 73, cot_pap_id = 6, cot_prc_comum = 60, cot_prc_min = 60, cot_prc_max = 60, cot_prc_med = 60, cot_prc_mediana = 60 WHERE cot_id = 1398;</v>
      </c>
    </row>
    <row r="1400" spans="1:10" x14ac:dyDescent="0.3">
      <c r="A1400">
        <v>1399</v>
      </c>
      <c r="B1400">
        <f>IF('Boletins Nuppa Site'!A1400&lt;&gt;0,'Boletins Nuppa Site'!A1400,"NULL")</f>
        <v>73</v>
      </c>
      <c r="C1400">
        <v>7</v>
      </c>
      <c r="D1400" t="str">
        <f>IF('Boletins Nuppa Site'!G1400&lt;&gt;0,'Boletins Nuppa Site'!G1400,"NULL")</f>
        <v>NULL</v>
      </c>
      <c r="E1400" s="14">
        <f>IF('Boletins Nuppa Site'!H1400&lt;&gt;0,'Boletins Nuppa Site'!H1400,"NULL")</f>
        <v>42</v>
      </c>
      <c r="F1400" s="14">
        <f>IF('Boletins Nuppa Site'!I1400&lt;&gt;0,'Boletins Nuppa Site'!I1400,"NULL")</f>
        <v>72</v>
      </c>
      <c r="G1400" s="14">
        <f>IF('Boletins Nuppa Site'!J1400&lt;&gt;0,'Boletins Nuppa Site'!J1400,"NULL")</f>
        <v>58</v>
      </c>
      <c r="H1400" s="14">
        <f>IF('Boletins Nuppa Site'!K1400&lt;&gt;0,'Boletins Nuppa Site'!K1400,"NULL")</f>
        <v>60</v>
      </c>
      <c r="I1400" t="str">
        <f t="shared" si="42"/>
        <v>INSERT INTO COTACAO (cot_id, cot_blt_id, cot_pap_id, cot_prc_comum, cot_prc_min, cot_prc_max, cot_prc_med, cot_prc_mediana) VALUES (1399, 73, 7, NULL, 42, 72, 58, 60);</v>
      </c>
      <c r="J1400" t="str">
        <f t="shared" si="43"/>
        <v>UPDATE COTACAO SET cot_id = 1399, cot_blt_id = 73, cot_pap_id = 7, cot_prc_comum = NULL, cot_prc_min = 42, cot_prc_max = 72, cot_prc_med = 58, cot_prc_mediana = 60 WHERE cot_id = 1399;</v>
      </c>
    </row>
    <row r="1401" spans="1:10" x14ac:dyDescent="0.3">
      <c r="A1401">
        <v>1400</v>
      </c>
      <c r="B1401">
        <f>IF('Boletins Nuppa Site'!A1401&lt;&gt;0,'Boletins Nuppa Site'!A1401,"NULL")</f>
        <v>73</v>
      </c>
      <c r="C1401">
        <v>8</v>
      </c>
      <c r="D1401" s="14">
        <f>IF('Boletins Nuppa Site'!G1401&lt;&gt;0,'Boletins Nuppa Site'!G1401,"NULL")</f>
        <v>72</v>
      </c>
      <c r="E1401" s="14">
        <f>IF('Boletins Nuppa Site'!H1401&lt;&gt;0,'Boletins Nuppa Site'!H1401,"NULL")</f>
        <v>60</v>
      </c>
      <c r="F1401" s="14">
        <f>IF('Boletins Nuppa Site'!I1401&lt;&gt;0,'Boletins Nuppa Site'!I1401,"NULL")</f>
        <v>72</v>
      </c>
      <c r="G1401" s="14">
        <f>IF('Boletins Nuppa Site'!J1401&lt;&gt;0,'Boletins Nuppa Site'!J1401,"NULL")</f>
        <v>69</v>
      </c>
      <c r="H1401" s="14">
        <f>IF('Boletins Nuppa Site'!K1401&lt;&gt;0,'Boletins Nuppa Site'!K1401,"NULL")</f>
        <v>72</v>
      </c>
      <c r="I1401" t="str">
        <f t="shared" si="42"/>
        <v>INSERT INTO COTACAO (cot_id, cot_blt_id, cot_pap_id, cot_prc_comum, cot_prc_min, cot_prc_max, cot_prc_med, cot_prc_mediana) VALUES (1400, 73, 8, 72, 60, 72, 69, 72);</v>
      </c>
      <c r="J1401" t="str">
        <f t="shared" si="43"/>
        <v>UPDATE COTACAO SET cot_id = 1400, cot_blt_id = 73, cot_pap_id = 8, cot_prc_comum = 72, cot_prc_min = 60, cot_prc_max = 72, cot_prc_med = 69, cot_prc_mediana = 72 WHERE cot_id = 1400;</v>
      </c>
    </row>
    <row r="1402" spans="1:10" x14ac:dyDescent="0.3">
      <c r="A1402">
        <v>1401</v>
      </c>
      <c r="B1402">
        <f>IF('Boletins Nuppa Site'!A1402&lt;&gt;0,'Boletins Nuppa Site'!A1402,"NULL")</f>
        <v>73</v>
      </c>
      <c r="C1402">
        <v>9</v>
      </c>
      <c r="D1402" s="14">
        <f>IF('Boletins Nuppa Site'!G1402&lt;&gt;0,'Boletins Nuppa Site'!G1402,"NULL")</f>
        <v>18</v>
      </c>
      <c r="E1402" s="14">
        <f>IF('Boletins Nuppa Site'!H1402&lt;&gt;0,'Boletins Nuppa Site'!H1402,"NULL")</f>
        <v>18</v>
      </c>
      <c r="F1402" s="14">
        <f>IF('Boletins Nuppa Site'!I1402&lt;&gt;0,'Boletins Nuppa Site'!I1402,"NULL")</f>
        <v>24</v>
      </c>
      <c r="G1402" s="14">
        <f>IF('Boletins Nuppa Site'!J1402&lt;&gt;0,'Boletins Nuppa Site'!J1402,"NULL")</f>
        <v>21</v>
      </c>
      <c r="H1402" s="14">
        <f>IF('Boletins Nuppa Site'!K1402&lt;&gt;0,'Boletins Nuppa Site'!K1402,"NULL")</f>
        <v>21</v>
      </c>
      <c r="I1402" t="str">
        <f t="shared" si="42"/>
        <v>INSERT INTO COTACAO (cot_id, cot_blt_id, cot_pap_id, cot_prc_comum, cot_prc_min, cot_prc_max, cot_prc_med, cot_prc_mediana) VALUES (1401, 73, 9, 18, 18, 24, 21, 21);</v>
      </c>
      <c r="J1402" t="str">
        <f t="shared" si="43"/>
        <v>UPDATE COTACAO SET cot_id = 1401, cot_blt_id = 73, cot_pap_id = 9, cot_prc_comum = 18, cot_prc_min = 18, cot_prc_max = 24, cot_prc_med = 21, cot_prc_mediana = 21 WHERE cot_id = 1401;</v>
      </c>
    </row>
    <row r="1403" spans="1:10" x14ac:dyDescent="0.3">
      <c r="A1403">
        <v>1402</v>
      </c>
      <c r="B1403">
        <f>IF('Boletins Nuppa Site'!A1403&lt;&gt;0,'Boletins Nuppa Site'!A1403,"NULL")</f>
        <v>73</v>
      </c>
      <c r="C1403">
        <v>10</v>
      </c>
      <c r="D1403" t="str">
        <f>IF('Boletins Nuppa Site'!G1403&lt;&gt;0,'Boletins Nuppa Site'!G1403,"NULL")</f>
        <v>NULL</v>
      </c>
      <c r="E1403" s="14">
        <f>IF('Boletins Nuppa Site'!H1403&lt;&gt;0,'Boletins Nuppa Site'!H1403,"NULL")</f>
        <v>50</v>
      </c>
      <c r="F1403" s="14">
        <f>IF('Boletins Nuppa Site'!I1403&lt;&gt;0,'Boletins Nuppa Site'!I1403,"NULL")</f>
        <v>78</v>
      </c>
      <c r="G1403" t="str">
        <f>IF('Boletins Nuppa Site'!J1403&lt;&gt;0,'Boletins Nuppa Site'!J1403,"NULL")</f>
        <v>62.67</v>
      </c>
      <c r="H1403" s="14">
        <f>IF('Boletins Nuppa Site'!K1403&lt;&gt;0,'Boletins Nuppa Site'!K1403,"NULL")</f>
        <v>60</v>
      </c>
      <c r="I1403" t="str">
        <f t="shared" si="42"/>
        <v>INSERT INTO COTACAO (cot_id, cot_blt_id, cot_pap_id, cot_prc_comum, cot_prc_min, cot_prc_max, cot_prc_med, cot_prc_mediana) VALUES (1402, 73, 10, NULL, 50, 78, 62.67, 60);</v>
      </c>
      <c r="J1403" t="str">
        <f t="shared" si="43"/>
        <v>UPDATE COTACAO SET cot_id = 1402, cot_blt_id = 73, cot_pap_id = 10, cot_prc_comum = NULL, cot_prc_min = 50, cot_prc_max = 78, cot_prc_med = 62.67, cot_prc_mediana = 60 WHERE cot_id = 1402;</v>
      </c>
    </row>
    <row r="1404" spans="1:10" x14ac:dyDescent="0.3">
      <c r="A1404">
        <v>1403</v>
      </c>
      <c r="B1404">
        <f>IF('Boletins Nuppa Site'!A1404&lt;&gt;0,'Boletins Nuppa Site'!A1404,"NULL")</f>
        <v>73</v>
      </c>
      <c r="C1404">
        <v>11</v>
      </c>
      <c r="D1404" s="14">
        <f>IF('Boletins Nuppa Site'!G1404&lt;&gt;0,'Boletins Nuppa Site'!G1404,"NULL")</f>
        <v>18</v>
      </c>
      <c r="E1404" s="14">
        <f>IF('Boletins Nuppa Site'!H1404&lt;&gt;0,'Boletins Nuppa Site'!H1404,"NULL")</f>
        <v>18</v>
      </c>
      <c r="F1404" s="14">
        <f>IF('Boletins Nuppa Site'!I1404&lt;&gt;0,'Boletins Nuppa Site'!I1404,"NULL")</f>
        <v>24</v>
      </c>
      <c r="G1404" s="14">
        <f>IF('Boletins Nuppa Site'!J1404&lt;&gt;0,'Boletins Nuppa Site'!J1404,"NULL")</f>
        <v>21</v>
      </c>
      <c r="H1404" s="14">
        <f>IF('Boletins Nuppa Site'!K1404&lt;&gt;0,'Boletins Nuppa Site'!K1404,"NULL")</f>
        <v>21</v>
      </c>
      <c r="I1404" t="str">
        <f t="shared" si="42"/>
        <v>INSERT INTO COTACAO (cot_id, cot_blt_id, cot_pap_id, cot_prc_comum, cot_prc_min, cot_prc_max, cot_prc_med, cot_prc_mediana) VALUES (1403, 73, 11, 18, 18, 24, 21, 21);</v>
      </c>
      <c r="J1404" t="str">
        <f t="shared" si="43"/>
        <v>UPDATE COTACAO SET cot_id = 1403, cot_blt_id = 73, cot_pap_id = 11, cot_prc_comum = 18, cot_prc_min = 18, cot_prc_max = 24, cot_prc_med = 21, cot_prc_mediana = 21 WHERE cot_id = 1403;</v>
      </c>
    </row>
    <row r="1405" spans="1:10" x14ac:dyDescent="0.3">
      <c r="A1405">
        <v>1404</v>
      </c>
      <c r="B1405">
        <f>IF('Boletins Nuppa Site'!A1405&lt;&gt;0,'Boletins Nuppa Site'!A1405,"NULL")</f>
        <v>73</v>
      </c>
      <c r="C1405">
        <v>12</v>
      </c>
      <c r="D1405" s="14">
        <f>IF('Boletins Nuppa Site'!G1405&lt;&gt;0,'Boletins Nuppa Site'!G1405,"NULL")</f>
        <v>60</v>
      </c>
      <c r="E1405" s="14">
        <f>IF('Boletins Nuppa Site'!H1405&lt;&gt;0,'Boletins Nuppa Site'!H1405,"NULL")</f>
        <v>48</v>
      </c>
      <c r="F1405" s="14">
        <f>IF('Boletins Nuppa Site'!I1405&lt;&gt;0,'Boletins Nuppa Site'!I1405,"NULL")</f>
        <v>60</v>
      </c>
      <c r="G1405" s="14">
        <f>IF('Boletins Nuppa Site'!J1405&lt;&gt;0,'Boletins Nuppa Site'!J1405,"NULL")</f>
        <v>56</v>
      </c>
      <c r="H1405" s="14">
        <f>IF('Boletins Nuppa Site'!K1405&lt;&gt;0,'Boletins Nuppa Site'!K1405,"NULL")</f>
        <v>60</v>
      </c>
      <c r="I1405" t="str">
        <f t="shared" si="42"/>
        <v>INSERT INTO COTACAO (cot_id, cot_blt_id, cot_pap_id, cot_prc_comum, cot_prc_min, cot_prc_max, cot_prc_med, cot_prc_mediana) VALUES (1404, 73, 12, 60, 48, 60, 56, 60);</v>
      </c>
      <c r="J1405" t="str">
        <f t="shared" si="43"/>
        <v>UPDATE COTACAO SET cot_id = 1404, cot_blt_id = 73, cot_pap_id = 12, cot_prc_comum = 60, cot_prc_min = 48, cot_prc_max = 60, cot_prc_med = 56, cot_prc_mediana = 60 WHERE cot_id = 1404;</v>
      </c>
    </row>
    <row r="1406" spans="1:10" x14ac:dyDescent="0.3">
      <c r="A1406">
        <v>1405</v>
      </c>
      <c r="B1406">
        <f>IF('Boletins Nuppa Site'!A1406&lt;&gt;0,'Boletins Nuppa Site'!A1406,"NULL")</f>
        <v>73</v>
      </c>
      <c r="C1406">
        <v>13</v>
      </c>
      <c r="D1406" s="14">
        <f>IF('Boletins Nuppa Site'!G1406&lt;&gt;0,'Boletins Nuppa Site'!G1406,"NULL")</f>
        <v>60</v>
      </c>
      <c r="E1406" s="14">
        <f>IF('Boletins Nuppa Site'!H1406&lt;&gt;0,'Boletins Nuppa Site'!H1406,"NULL")</f>
        <v>36</v>
      </c>
      <c r="F1406" s="14">
        <f>IF('Boletins Nuppa Site'!I1406&lt;&gt;0,'Boletins Nuppa Site'!I1406,"NULL")</f>
        <v>60</v>
      </c>
      <c r="G1406" s="14">
        <f>IF('Boletins Nuppa Site'!J1406&lt;&gt;0,'Boletins Nuppa Site'!J1406,"NULL")</f>
        <v>51</v>
      </c>
      <c r="H1406" s="14">
        <f>IF('Boletins Nuppa Site'!K1406&lt;&gt;0,'Boletins Nuppa Site'!K1406,"NULL")</f>
        <v>54</v>
      </c>
      <c r="I1406" t="str">
        <f t="shared" si="42"/>
        <v>INSERT INTO COTACAO (cot_id, cot_blt_id, cot_pap_id, cot_prc_comum, cot_prc_min, cot_prc_max, cot_prc_med, cot_prc_mediana) VALUES (1405, 73, 13, 60, 36, 60, 51, 54);</v>
      </c>
      <c r="J1406" t="str">
        <f t="shared" si="43"/>
        <v>UPDATE COTACAO SET cot_id = 1405, cot_blt_id = 73, cot_pap_id = 13, cot_prc_comum = 60, cot_prc_min = 36, cot_prc_max = 60, cot_prc_med = 51, cot_prc_mediana = 54 WHERE cot_id = 1405;</v>
      </c>
    </row>
    <row r="1407" spans="1:10" x14ac:dyDescent="0.3">
      <c r="A1407">
        <v>1406</v>
      </c>
      <c r="B1407">
        <f>IF('Boletins Nuppa Site'!A1407&lt;&gt;0,'Boletins Nuppa Site'!A1407,"NULL")</f>
        <v>73</v>
      </c>
      <c r="C1407">
        <v>14</v>
      </c>
      <c r="D1407" t="str">
        <f>IF('Boletins Nuppa Site'!G1407&lt;&gt;0,'Boletins Nuppa Site'!G1407,"NULL")</f>
        <v>NULL</v>
      </c>
      <c r="E1407" s="14">
        <f>IF('Boletins Nuppa Site'!H1407&lt;&gt;0,'Boletins Nuppa Site'!H1407,"NULL")</f>
        <v>48</v>
      </c>
      <c r="F1407" s="14">
        <f>IF('Boletins Nuppa Site'!I1407&lt;&gt;0,'Boletins Nuppa Site'!I1407,"NULL")</f>
        <v>72</v>
      </c>
      <c r="G1407" s="14">
        <f>IF('Boletins Nuppa Site'!J1407&lt;&gt;0,'Boletins Nuppa Site'!J1407,"NULL")</f>
        <v>60</v>
      </c>
      <c r="H1407" s="14">
        <f>IF('Boletins Nuppa Site'!K1407&lt;&gt;0,'Boletins Nuppa Site'!K1407,"NULL")</f>
        <v>60</v>
      </c>
      <c r="I1407" t="str">
        <f t="shared" si="42"/>
        <v>INSERT INTO COTACAO (cot_id, cot_blt_id, cot_pap_id, cot_prc_comum, cot_prc_min, cot_prc_max, cot_prc_med, cot_prc_mediana) VALUES (1406, 73, 14, NULL, 48, 72, 60, 60);</v>
      </c>
      <c r="J1407" t="str">
        <f t="shared" si="43"/>
        <v>UPDATE COTACAO SET cot_id = 1406, cot_blt_id = 73, cot_pap_id = 14, cot_prc_comum = NULL, cot_prc_min = 48, cot_prc_max = 72, cot_prc_med = 60, cot_prc_mediana = 60 WHERE cot_id = 1406;</v>
      </c>
    </row>
    <row r="1408" spans="1:10" x14ac:dyDescent="0.3">
      <c r="A1408">
        <v>1407</v>
      </c>
      <c r="B1408">
        <f>IF('Boletins Nuppa Site'!A1408&lt;&gt;0,'Boletins Nuppa Site'!A1408,"NULL")</f>
        <v>73</v>
      </c>
      <c r="C1408">
        <v>15</v>
      </c>
      <c r="D1408" s="14">
        <f>IF('Boletins Nuppa Site'!G1408&lt;&gt;0,'Boletins Nuppa Site'!G1408,"NULL")</f>
        <v>24</v>
      </c>
      <c r="E1408" s="14">
        <f>IF('Boletins Nuppa Site'!H1408&lt;&gt;0,'Boletins Nuppa Site'!H1408,"NULL")</f>
        <v>24</v>
      </c>
      <c r="F1408" s="14">
        <f>IF('Boletins Nuppa Site'!I1408&lt;&gt;0,'Boletins Nuppa Site'!I1408,"NULL")</f>
        <v>36</v>
      </c>
      <c r="G1408" t="str">
        <f>IF('Boletins Nuppa Site'!J1408&lt;&gt;0,'Boletins Nuppa Site'!J1408,"NULL")</f>
        <v>28.5</v>
      </c>
      <c r="H1408" s="14">
        <f>IF('Boletins Nuppa Site'!K1408&lt;&gt;0,'Boletins Nuppa Site'!K1408,"NULL")</f>
        <v>27</v>
      </c>
      <c r="I1408" t="str">
        <f t="shared" si="42"/>
        <v>INSERT INTO COTACAO (cot_id, cot_blt_id, cot_pap_id, cot_prc_comum, cot_prc_min, cot_prc_max, cot_prc_med, cot_prc_mediana) VALUES (1407, 73, 15, 24, 24, 36, 28.5, 27);</v>
      </c>
      <c r="J1408" t="str">
        <f t="shared" si="43"/>
        <v>UPDATE COTACAO SET cot_id = 1407, cot_blt_id = 73, cot_pap_id = 15, cot_prc_comum = 24, cot_prc_min = 24, cot_prc_max = 36, cot_prc_med = 28.5, cot_prc_mediana = 27 WHERE cot_id = 1407;</v>
      </c>
    </row>
    <row r="1409" spans="1:10" x14ac:dyDescent="0.3">
      <c r="A1409">
        <v>1408</v>
      </c>
      <c r="B1409">
        <f>IF('Boletins Nuppa Site'!A1409&lt;&gt;0,'Boletins Nuppa Site'!A1409,"NULL")</f>
        <v>73</v>
      </c>
      <c r="C1409">
        <v>17</v>
      </c>
      <c r="D1409" s="14">
        <f>IF('Boletins Nuppa Site'!G1409&lt;&gt;0,'Boletins Nuppa Site'!G1409,"NULL")</f>
        <v>5</v>
      </c>
      <c r="E1409" s="14">
        <f>IF('Boletins Nuppa Site'!H1409&lt;&gt;0,'Boletins Nuppa Site'!H1409,"NULL")</f>
        <v>5</v>
      </c>
      <c r="F1409" s="14">
        <f>IF('Boletins Nuppa Site'!I1409&lt;&gt;0,'Boletins Nuppa Site'!I1409,"NULL")</f>
        <v>5</v>
      </c>
      <c r="G1409" s="14">
        <f>IF('Boletins Nuppa Site'!J1409&lt;&gt;0,'Boletins Nuppa Site'!J1409,"NULL")</f>
        <v>5</v>
      </c>
      <c r="H1409" s="14">
        <f>IF('Boletins Nuppa Site'!K1409&lt;&gt;0,'Boletins Nuppa Site'!K1409,"NULL")</f>
        <v>5</v>
      </c>
      <c r="I1409" t="str">
        <f t="shared" si="42"/>
        <v>INSERT INTO COTACAO (cot_id, cot_blt_id, cot_pap_id, cot_prc_comum, cot_prc_min, cot_prc_max, cot_prc_med, cot_prc_mediana) VALUES (1408, 73, 17, 5, 5, 5, 5, 5);</v>
      </c>
      <c r="J1409" t="str">
        <f t="shared" si="43"/>
        <v>UPDATE COTACAO SET cot_id = 1408, cot_blt_id = 73, cot_pap_id = 17, cot_prc_comum = 5, cot_prc_min = 5, cot_prc_max = 5, cot_prc_med = 5, cot_prc_mediana = 5 WHERE cot_id = 1408;</v>
      </c>
    </row>
    <row r="1410" spans="1:10" x14ac:dyDescent="0.3">
      <c r="A1410">
        <v>1409</v>
      </c>
      <c r="B1410">
        <f>IF('Boletins Nuppa Site'!A1410&lt;&gt;0,'Boletins Nuppa Site'!A1410,"NULL")</f>
        <v>73</v>
      </c>
      <c r="C1410">
        <v>18</v>
      </c>
      <c r="D1410" s="14">
        <f>IF('Boletins Nuppa Site'!G1410&lt;&gt;0,'Boletins Nuppa Site'!G1410,"NULL")</f>
        <v>12</v>
      </c>
      <c r="E1410" s="14">
        <f>IF('Boletins Nuppa Site'!H1410&lt;&gt;0,'Boletins Nuppa Site'!H1410,"NULL")</f>
        <v>12</v>
      </c>
      <c r="F1410" s="14">
        <f>IF('Boletins Nuppa Site'!I1410&lt;&gt;0,'Boletins Nuppa Site'!I1410,"NULL")</f>
        <v>15</v>
      </c>
      <c r="G1410" t="str">
        <f>IF('Boletins Nuppa Site'!J1410&lt;&gt;0,'Boletins Nuppa Site'!J1410,"NULL")</f>
        <v>13.5</v>
      </c>
      <c r="H1410" t="str">
        <f>IF('Boletins Nuppa Site'!K1410&lt;&gt;0,'Boletins Nuppa Site'!K1410,"NULL")</f>
        <v>13.5</v>
      </c>
      <c r="I1410" t="str">
        <f t="shared" si="42"/>
        <v>INSERT INTO COTACAO (cot_id, cot_blt_id, cot_pap_id, cot_prc_comum, cot_prc_min, cot_prc_max, cot_prc_med, cot_prc_mediana) VALUES (1409, 73, 18, 12, 12, 15, 13.5, 13.5);</v>
      </c>
      <c r="J1410" t="str">
        <f t="shared" si="43"/>
        <v>UPDATE COTACAO SET cot_id = 1409, cot_blt_id = 73, cot_pap_id = 18, cot_prc_comum = 12, cot_prc_min = 12, cot_prc_max = 15, cot_prc_med = 13.5, cot_prc_mediana = 13.5 WHERE cot_id = 1409;</v>
      </c>
    </row>
    <row r="1411" spans="1:10" x14ac:dyDescent="0.3">
      <c r="A1411">
        <v>1410</v>
      </c>
      <c r="B1411">
        <f>IF('Boletins Nuppa Site'!A1411&lt;&gt;0,'Boletins Nuppa Site'!A1411,"NULL")</f>
        <v>73</v>
      </c>
      <c r="C1411">
        <v>19</v>
      </c>
      <c r="D1411" t="str">
        <f>IF('Boletins Nuppa Site'!G1411&lt;&gt;0,'Boletins Nuppa Site'!G1411,"NULL")</f>
        <v>NULL</v>
      </c>
      <c r="E1411" s="14">
        <f>IF('Boletins Nuppa Site'!H1411&lt;&gt;0,'Boletins Nuppa Site'!H1411,"NULL")</f>
        <v>35</v>
      </c>
      <c r="F1411" s="14">
        <f>IF('Boletins Nuppa Site'!I1411&lt;&gt;0,'Boletins Nuppa Site'!I1411,"NULL")</f>
        <v>20</v>
      </c>
      <c r="G1411" s="14">
        <f>IF('Boletins Nuppa Site'!J1411&lt;&gt;0,'Boletins Nuppa Site'!J1411,"NULL")</f>
        <v>35</v>
      </c>
      <c r="H1411" t="str">
        <f>IF('Boletins Nuppa Site'!K1411&lt;&gt;0,'Boletins Nuppa Site'!K1411,"NULL")</f>
        <v>28.75</v>
      </c>
      <c r="I1411" t="str">
        <f t="shared" ref="I1411:I1474" si="44">"INSERT INTO COTACAO (cot_id, cot_blt_id, cot_pap_id, cot_prc_comum, cot_prc_min, cot_prc_max, cot_prc_med, cot_prc_mediana) VALUES ("&amp;A1411&amp;", "&amp;B1411&amp;", "&amp;C1411&amp;", "&amp;D1411&amp;", "&amp;E1411&amp;", "&amp;F1411&amp;", "&amp;G1411&amp;", "&amp;H1411&amp;");"</f>
        <v>INSERT INTO COTACAO (cot_id, cot_blt_id, cot_pap_id, cot_prc_comum, cot_prc_min, cot_prc_max, cot_prc_med, cot_prc_mediana) VALUES (1410, 73, 19, NULL, 35, 20, 35, 28.75);</v>
      </c>
      <c r="J1411" t="str">
        <f t="shared" ref="J1411:J1474" si="45">"UPDATE COTACAO SET cot_id = "&amp;A1411&amp;", cot_blt_id = "&amp;B1411&amp;", cot_pap_id = "&amp;C1411&amp;", cot_prc_comum = "&amp;D1411&amp;", cot_prc_min = "&amp;E1411&amp;", cot_prc_max = "&amp;F1411&amp;", cot_prc_med = "&amp;G1411&amp;", cot_prc_mediana = "&amp;H1411&amp;" WHERE cot_id = "&amp;A1411&amp;";"</f>
        <v>UPDATE COTACAO SET cot_id = 1410, cot_blt_id = 73, cot_pap_id = 19, cot_prc_comum = NULL, cot_prc_min = 35, cot_prc_max = 20, cot_prc_med = 35, cot_prc_mediana = 28.75 WHERE cot_id = 1410;</v>
      </c>
    </row>
    <row r="1412" spans="1:10" x14ac:dyDescent="0.3">
      <c r="A1412">
        <v>1411</v>
      </c>
      <c r="B1412">
        <f>IF('Boletins Nuppa Site'!A1412&lt;&gt;0,'Boletins Nuppa Site'!A1412,"NULL")</f>
        <v>73</v>
      </c>
      <c r="C1412">
        <v>20</v>
      </c>
      <c r="D1412" t="str">
        <f>IF('Boletins Nuppa Site'!G1412&lt;&gt;0,'Boletins Nuppa Site'!G1412,"NULL")</f>
        <v>NULL</v>
      </c>
      <c r="E1412" s="14">
        <f>IF('Boletins Nuppa Site'!H1412&lt;&gt;0,'Boletins Nuppa Site'!H1412,"NULL")</f>
        <v>80</v>
      </c>
      <c r="F1412" s="14">
        <f>IF('Boletins Nuppa Site'!I1412&lt;&gt;0,'Boletins Nuppa Site'!I1412,"NULL")</f>
        <v>80</v>
      </c>
      <c r="G1412" s="14">
        <f>IF('Boletins Nuppa Site'!J1412&lt;&gt;0,'Boletins Nuppa Site'!J1412,"NULL")</f>
        <v>80</v>
      </c>
      <c r="H1412" s="14">
        <f>IF('Boletins Nuppa Site'!K1412&lt;&gt;0,'Boletins Nuppa Site'!K1412,"NULL")</f>
        <v>80</v>
      </c>
      <c r="I1412" t="str">
        <f t="shared" si="44"/>
        <v>INSERT INTO COTACAO (cot_id, cot_blt_id, cot_pap_id, cot_prc_comum, cot_prc_min, cot_prc_max, cot_prc_med, cot_prc_mediana) VALUES (1411, 73, 20, NULL, 80, 80, 80, 80);</v>
      </c>
      <c r="J1412" t="str">
        <f t="shared" si="45"/>
        <v>UPDATE COTACAO SET cot_id = 1411, cot_blt_id = 73, cot_pap_id = 20, cot_prc_comum = NULL, cot_prc_min = 80, cot_prc_max = 80, cot_prc_med = 80, cot_prc_mediana = 80 WHERE cot_id = 1411;</v>
      </c>
    </row>
    <row r="1413" spans="1:10" x14ac:dyDescent="0.3">
      <c r="A1413">
        <v>1412</v>
      </c>
      <c r="B1413">
        <f>IF('Boletins Nuppa Site'!A1413&lt;&gt;0,'Boletins Nuppa Site'!A1413,"NULL")</f>
        <v>73</v>
      </c>
      <c r="C1413">
        <v>21</v>
      </c>
      <c r="D1413" s="14">
        <f>IF('Boletins Nuppa Site'!G1413&lt;&gt;0,'Boletins Nuppa Site'!G1413,"NULL")</f>
        <v>40</v>
      </c>
      <c r="E1413" s="14">
        <f>IF('Boletins Nuppa Site'!H1413&lt;&gt;0,'Boletins Nuppa Site'!H1413,"NULL")</f>
        <v>30</v>
      </c>
      <c r="F1413" s="14">
        <f>IF('Boletins Nuppa Site'!I1413&lt;&gt;0,'Boletins Nuppa Site'!I1413,"NULL")</f>
        <v>40</v>
      </c>
      <c r="G1413" s="14">
        <f>IF('Boletins Nuppa Site'!J1413&lt;&gt;0,'Boletins Nuppa Site'!J1413,"NULL")</f>
        <v>35</v>
      </c>
      <c r="H1413" s="14">
        <f>IF('Boletins Nuppa Site'!K1413&lt;&gt;0,'Boletins Nuppa Site'!K1413,"NULL")</f>
        <v>35</v>
      </c>
      <c r="I1413" t="str">
        <f t="shared" si="44"/>
        <v>INSERT INTO COTACAO (cot_id, cot_blt_id, cot_pap_id, cot_prc_comum, cot_prc_min, cot_prc_max, cot_prc_med, cot_prc_mediana) VALUES (1412, 73, 21, 40, 30, 40, 35, 35);</v>
      </c>
      <c r="J1413" t="str">
        <f t="shared" si="45"/>
        <v>UPDATE COTACAO SET cot_id = 1412, cot_blt_id = 73, cot_pap_id = 21, cot_prc_comum = 40, cot_prc_min = 30, cot_prc_max = 40, cot_prc_med = 35, cot_prc_mediana = 35 WHERE cot_id = 1412;</v>
      </c>
    </row>
    <row r="1414" spans="1:10" x14ac:dyDescent="0.3">
      <c r="A1414">
        <v>1413</v>
      </c>
      <c r="B1414">
        <f>IF('Boletins Nuppa Site'!A1414&lt;&gt;0,'Boletins Nuppa Site'!A1414,"NULL")</f>
        <v>73</v>
      </c>
      <c r="C1414">
        <v>22</v>
      </c>
      <c r="D1414" s="14">
        <f>IF('Boletins Nuppa Site'!G1414&lt;&gt;0,'Boletins Nuppa Site'!G1414,"NULL")</f>
        <v>45</v>
      </c>
      <c r="E1414" s="14">
        <f>IF('Boletins Nuppa Site'!H1414&lt;&gt;0,'Boletins Nuppa Site'!H1414,"NULL")</f>
        <v>45</v>
      </c>
      <c r="F1414" s="14">
        <f>IF('Boletins Nuppa Site'!I1414&lt;&gt;0,'Boletins Nuppa Site'!I1414,"NULL")</f>
        <v>70</v>
      </c>
      <c r="G1414" t="str">
        <f>IF('Boletins Nuppa Site'!J1414&lt;&gt;0,'Boletins Nuppa Site'!J1414,"NULL")</f>
        <v>56.25</v>
      </c>
      <c r="H1414" s="14">
        <f>IF('Boletins Nuppa Site'!K1414&lt;&gt;0,'Boletins Nuppa Site'!K1414,"NULL")</f>
        <v>55</v>
      </c>
      <c r="I1414" t="str">
        <f t="shared" si="44"/>
        <v>INSERT INTO COTACAO (cot_id, cot_blt_id, cot_pap_id, cot_prc_comum, cot_prc_min, cot_prc_max, cot_prc_med, cot_prc_mediana) VALUES (1413, 73, 22, 45, 45, 70, 56.25, 55);</v>
      </c>
      <c r="J1414" t="str">
        <f t="shared" si="45"/>
        <v>UPDATE COTACAO SET cot_id = 1413, cot_blt_id = 73, cot_pap_id = 22, cot_prc_comum = 45, cot_prc_min = 45, cot_prc_max = 70, cot_prc_med = 56.25, cot_prc_mediana = 55 WHERE cot_id = 1413;</v>
      </c>
    </row>
    <row r="1415" spans="1:10" x14ac:dyDescent="0.3">
      <c r="A1415">
        <v>1414</v>
      </c>
      <c r="B1415">
        <f>IF('Boletins Nuppa Site'!A1415&lt;&gt;0,'Boletins Nuppa Site'!A1415,"NULL")</f>
        <v>73</v>
      </c>
      <c r="C1415">
        <v>23</v>
      </c>
      <c r="D1415" t="str">
        <f>IF('Boletins Nuppa Site'!G1415&lt;&gt;0,'Boletins Nuppa Site'!G1415,"NULL")</f>
        <v>NULL</v>
      </c>
      <c r="E1415" s="14">
        <f>IF('Boletins Nuppa Site'!H1415&lt;&gt;0,'Boletins Nuppa Site'!H1415,"NULL")</f>
        <v>50</v>
      </c>
      <c r="F1415" s="14">
        <f>IF('Boletins Nuppa Site'!I1415&lt;&gt;0,'Boletins Nuppa Site'!I1415,"NULL")</f>
        <v>70</v>
      </c>
      <c r="G1415" s="14">
        <f>IF('Boletins Nuppa Site'!J1415&lt;&gt;0,'Boletins Nuppa Site'!J1415,"NULL")</f>
        <v>60</v>
      </c>
      <c r="H1415" s="14">
        <f>IF('Boletins Nuppa Site'!K1415&lt;&gt;0,'Boletins Nuppa Site'!K1415,"NULL")</f>
        <v>60</v>
      </c>
      <c r="I1415" t="str">
        <f t="shared" si="44"/>
        <v>INSERT INTO COTACAO (cot_id, cot_blt_id, cot_pap_id, cot_prc_comum, cot_prc_min, cot_prc_max, cot_prc_med, cot_prc_mediana) VALUES (1414, 73, 23, NULL, 50, 70, 60, 60);</v>
      </c>
      <c r="J1415" t="str">
        <f t="shared" si="45"/>
        <v>UPDATE COTACAO SET cot_id = 1414, cot_blt_id = 73, cot_pap_id = 23, cot_prc_comum = NULL, cot_prc_min = 50, cot_prc_max = 70, cot_prc_med = 60, cot_prc_mediana = 60 WHERE cot_id = 1414;</v>
      </c>
    </row>
    <row r="1416" spans="1:10" x14ac:dyDescent="0.3">
      <c r="A1416">
        <v>1415</v>
      </c>
      <c r="B1416">
        <f>IF('Boletins Nuppa Site'!A1416&lt;&gt;0,'Boletins Nuppa Site'!A1416,"NULL")</f>
        <v>73</v>
      </c>
      <c r="C1416">
        <v>24</v>
      </c>
      <c r="D1416" t="str">
        <f>IF('Boletins Nuppa Site'!G1416&lt;&gt;0,'Boletins Nuppa Site'!G1416,"NULL")</f>
        <v>NULL</v>
      </c>
      <c r="E1416" s="14">
        <f>IF('Boletins Nuppa Site'!H1416&lt;&gt;0,'Boletins Nuppa Site'!H1416,"NULL")</f>
        <v>45</v>
      </c>
      <c r="F1416" s="14">
        <f>IF('Boletins Nuppa Site'!I1416&lt;&gt;0,'Boletins Nuppa Site'!I1416,"NULL")</f>
        <v>110</v>
      </c>
      <c r="G1416" t="str">
        <f>IF('Boletins Nuppa Site'!J1416&lt;&gt;0,'Boletins Nuppa Site'!J1416,"NULL")</f>
        <v>81.67</v>
      </c>
      <c r="H1416" s="14">
        <f>IF('Boletins Nuppa Site'!K1416&lt;&gt;0,'Boletins Nuppa Site'!K1416,"NULL")</f>
        <v>90</v>
      </c>
      <c r="I1416" t="str">
        <f t="shared" si="44"/>
        <v>INSERT INTO COTACAO (cot_id, cot_blt_id, cot_pap_id, cot_prc_comum, cot_prc_min, cot_prc_max, cot_prc_med, cot_prc_mediana) VALUES (1415, 73, 24, NULL, 45, 110, 81.67, 90);</v>
      </c>
      <c r="J1416" t="str">
        <f t="shared" si="45"/>
        <v>UPDATE COTACAO SET cot_id = 1415, cot_blt_id = 73, cot_pap_id = 24, cot_prc_comum = NULL, cot_prc_min = 45, cot_prc_max = 110, cot_prc_med = 81.67, cot_prc_mediana = 90 WHERE cot_id = 1415;</v>
      </c>
    </row>
    <row r="1417" spans="1:10" x14ac:dyDescent="0.3">
      <c r="A1417">
        <v>1416</v>
      </c>
      <c r="B1417">
        <f>IF('Boletins Nuppa Site'!A1417&lt;&gt;0,'Boletins Nuppa Site'!A1417,"NULL")</f>
        <v>73</v>
      </c>
      <c r="C1417">
        <v>26</v>
      </c>
      <c r="D1417" s="14">
        <f>IF('Boletins Nuppa Site'!G1417&lt;&gt;0,'Boletins Nuppa Site'!G1417,"NULL")</f>
        <v>55</v>
      </c>
      <c r="E1417" s="14">
        <f>IF('Boletins Nuppa Site'!H1417&lt;&gt;0,'Boletins Nuppa Site'!H1417,"NULL")</f>
        <v>40</v>
      </c>
      <c r="F1417" s="14">
        <f>IF('Boletins Nuppa Site'!I1417&lt;&gt;0,'Boletins Nuppa Site'!I1417,"NULL")</f>
        <v>55</v>
      </c>
      <c r="G1417" t="str">
        <f>IF('Boletins Nuppa Site'!J1417&lt;&gt;0,'Boletins Nuppa Site'!J1417,"NULL")</f>
        <v>48.75</v>
      </c>
      <c r="H1417" s="14">
        <f>IF('Boletins Nuppa Site'!K1417&lt;&gt;0,'Boletins Nuppa Site'!K1417,"NULL")</f>
        <v>50</v>
      </c>
      <c r="I1417" t="str">
        <f t="shared" si="44"/>
        <v>INSERT INTO COTACAO (cot_id, cot_blt_id, cot_pap_id, cot_prc_comum, cot_prc_min, cot_prc_max, cot_prc_med, cot_prc_mediana) VALUES (1416, 73, 26, 55, 40, 55, 48.75, 50);</v>
      </c>
      <c r="J1417" t="str">
        <f t="shared" si="45"/>
        <v>UPDATE COTACAO SET cot_id = 1416, cot_blt_id = 73, cot_pap_id = 26, cot_prc_comum = 55, cot_prc_min = 40, cot_prc_max = 55, cot_prc_med = 48.75, cot_prc_mediana = 50 WHERE cot_id = 1416;</v>
      </c>
    </row>
    <row r="1418" spans="1:10" x14ac:dyDescent="0.3">
      <c r="A1418">
        <v>1417</v>
      </c>
      <c r="B1418">
        <f>IF('Boletins Nuppa Site'!A1418&lt;&gt;0,'Boletins Nuppa Site'!A1418,"NULL")</f>
        <v>73</v>
      </c>
      <c r="C1418">
        <v>27</v>
      </c>
      <c r="D1418" t="str">
        <f>IF('Boletins Nuppa Site'!G1418&lt;&gt;0,'Boletins Nuppa Site'!G1418,"NULL")</f>
        <v>NULL</v>
      </c>
      <c r="E1418" s="14">
        <f>IF('Boletins Nuppa Site'!H1418&lt;&gt;0,'Boletins Nuppa Site'!H1418,"NULL")</f>
        <v>55</v>
      </c>
      <c r="F1418" s="14">
        <f>IF('Boletins Nuppa Site'!I1418&lt;&gt;0,'Boletins Nuppa Site'!I1418,"NULL")</f>
        <v>85</v>
      </c>
      <c r="G1418" t="str">
        <f>IF('Boletins Nuppa Site'!J1418&lt;&gt;0,'Boletins Nuppa Site'!J1418,"NULL")</f>
        <v>68.75</v>
      </c>
      <c r="H1418" t="str">
        <f>IF('Boletins Nuppa Site'!K1418&lt;&gt;0,'Boletins Nuppa Site'!K1418,"NULL")</f>
        <v>67.5</v>
      </c>
      <c r="I1418" t="str">
        <f t="shared" si="44"/>
        <v>INSERT INTO COTACAO (cot_id, cot_blt_id, cot_pap_id, cot_prc_comum, cot_prc_min, cot_prc_max, cot_prc_med, cot_prc_mediana) VALUES (1417, 73, 27, NULL, 55, 85, 68.75, 67.5);</v>
      </c>
      <c r="J1418" t="str">
        <f t="shared" si="45"/>
        <v>UPDATE COTACAO SET cot_id = 1417, cot_blt_id = 73, cot_pap_id = 27, cot_prc_comum = NULL, cot_prc_min = 55, cot_prc_max = 85, cot_prc_med = 68.75, cot_prc_mediana = 67.5 WHERE cot_id = 1417;</v>
      </c>
    </row>
    <row r="1419" spans="1:10" x14ac:dyDescent="0.3">
      <c r="A1419">
        <v>1418</v>
      </c>
      <c r="B1419">
        <f>IF('Boletins Nuppa Site'!A1419&lt;&gt;0,'Boletins Nuppa Site'!A1419,"NULL")</f>
        <v>73</v>
      </c>
      <c r="C1419">
        <v>28</v>
      </c>
      <c r="D1419" t="str">
        <f>IF('Boletins Nuppa Site'!G1419&lt;&gt;0,'Boletins Nuppa Site'!G1419,"NULL")</f>
        <v>NULL</v>
      </c>
      <c r="E1419" s="14">
        <f>IF('Boletins Nuppa Site'!H1419&lt;&gt;0,'Boletins Nuppa Site'!H1419,"NULL")</f>
        <v>90</v>
      </c>
      <c r="F1419" s="14">
        <f>IF('Boletins Nuppa Site'!I1419&lt;&gt;0,'Boletins Nuppa Site'!I1419,"NULL")</f>
        <v>100</v>
      </c>
      <c r="G1419" s="14">
        <f>IF('Boletins Nuppa Site'!J1419&lt;&gt;0,'Boletins Nuppa Site'!J1419,"NULL")</f>
        <v>95</v>
      </c>
      <c r="H1419" s="14">
        <f>IF('Boletins Nuppa Site'!K1419&lt;&gt;0,'Boletins Nuppa Site'!K1419,"NULL")</f>
        <v>95</v>
      </c>
      <c r="I1419" t="str">
        <f t="shared" si="44"/>
        <v>INSERT INTO COTACAO (cot_id, cot_blt_id, cot_pap_id, cot_prc_comum, cot_prc_min, cot_prc_max, cot_prc_med, cot_prc_mediana) VALUES (1418, 73, 28, NULL, 90, 100, 95, 95);</v>
      </c>
      <c r="J1419" t="str">
        <f t="shared" si="45"/>
        <v>UPDATE COTACAO SET cot_id = 1418, cot_blt_id = 73, cot_pap_id = 28, cot_prc_comum = NULL, cot_prc_min = 90, cot_prc_max = 100, cot_prc_med = 95, cot_prc_mediana = 95 WHERE cot_id = 1418;</v>
      </c>
    </row>
    <row r="1420" spans="1:10" x14ac:dyDescent="0.3">
      <c r="A1420">
        <v>1419</v>
      </c>
      <c r="B1420">
        <f>IF('Boletins Nuppa Site'!A1420&lt;&gt;0,'Boletins Nuppa Site'!A1420,"NULL")</f>
        <v>73</v>
      </c>
      <c r="C1420">
        <v>29</v>
      </c>
      <c r="D1420" t="str">
        <f>IF('Boletins Nuppa Site'!G1420&lt;&gt;0,'Boletins Nuppa Site'!G1420,"NULL")</f>
        <v>NULL</v>
      </c>
      <c r="E1420" s="14">
        <f>IF('Boletins Nuppa Site'!H1420&lt;&gt;0,'Boletins Nuppa Site'!H1420,"NULL")</f>
        <v>70</v>
      </c>
      <c r="F1420" s="14">
        <f>IF('Boletins Nuppa Site'!I1420&lt;&gt;0,'Boletins Nuppa Site'!I1420,"NULL")</f>
        <v>70</v>
      </c>
      <c r="G1420" s="14">
        <f>IF('Boletins Nuppa Site'!J1420&lt;&gt;0,'Boletins Nuppa Site'!J1420,"NULL")</f>
        <v>70</v>
      </c>
      <c r="H1420" s="14">
        <f>IF('Boletins Nuppa Site'!K1420&lt;&gt;0,'Boletins Nuppa Site'!K1420,"NULL")</f>
        <v>70</v>
      </c>
      <c r="I1420" t="str">
        <f t="shared" si="44"/>
        <v>INSERT INTO COTACAO (cot_id, cot_blt_id, cot_pap_id, cot_prc_comum, cot_prc_min, cot_prc_max, cot_prc_med, cot_prc_mediana) VALUES (1419, 73, 29, NULL, 70, 70, 70, 70);</v>
      </c>
      <c r="J1420" t="str">
        <f t="shared" si="45"/>
        <v>UPDATE COTACAO SET cot_id = 1419, cot_blt_id = 73, cot_pap_id = 29, cot_prc_comum = NULL, cot_prc_min = 70, cot_prc_max = 70, cot_prc_med = 70, cot_prc_mediana = 70 WHERE cot_id = 1419;</v>
      </c>
    </row>
    <row r="1421" spans="1:10" x14ac:dyDescent="0.3">
      <c r="A1421">
        <v>1420</v>
      </c>
      <c r="B1421">
        <f>IF('Boletins Nuppa Site'!A1421&lt;&gt;0,'Boletins Nuppa Site'!A1421,"NULL")</f>
        <v>73</v>
      </c>
      <c r="C1421">
        <v>30</v>
      </c>
      <c r="D1421" t="str">
        <f>IF('Boletins Nuppa Site'!G1421&lt;&gt;0,'Boletins Nuppa Site'!G1421,"NULL")</f>
        <v>NULL</v>
      </c>
      <c r="E1421" s="14">
        <f>IF('Boletins Nuppa Site'!H1421&lt;&gt;0,'Boletins Nuppa Site'!H1421,"NULL")</f>
        <v>70</v>
      </c>
      <c r="F1421" s="14">
        <f>IF('Boletins Nuppa Site'!I1421&lt;&gt;0,'Boletins Nuppa Site'!I1421,"NULL")</f>
        <v>80</v>
      </c>
      <c r="G1421" s="14">
        <f>IF('Boletins Nuppa Site'!J1421&lt;&gt;0,'Boletins Nuppa Site'!J1421,"NULL")</f>
        <v>75</v>
      </c>
      <c r="H1421" s="14">
        <f>IF('Boletins Nuppa Site'!K1421&lt;&gt;0,'Boletins Nuppa Site'!K1421,"NULL")</f>
        <v>75</v>
      </c>
      <c r="I1421" t="str">
        <f t="shared" si="44"/>
        <v>INSERT INTO COTACAO (cot_id, cot_blt_id, cot_pap_id, cot_prc_comum, cot_prc_min, cot_prc_max, cot_prc_med, cot_prc_mediana) VALUES (1420, 73, 30, NULL, 70, 80, 75, 75);</v>
      </c>
      <c r="J1421" t="str">
        <f t="shared" si="45"/>
        <v>UPDATE COTACAO SET cot_id = 1420, cot_blt_id = 73, cot_pap_id = 30, cot_prc_comum = NULL, cot_prc_min = 70, cot_prc_max = 80, cot_prc_med = 75, cot_prc_mediana = 75 WHERE cot_id = 1420;</v>
      </c>
    </row>
    <row r="1422" spans="1:10" x14ac:dyDescent="0.3">
      <c r="A1422">
        <v>1421</v>
      </c>
      <c r="B1422">
        <f>IF('Boletins Nuppa Site'!A1422&lt;&gt;0,'Boletins Nuppa Site'!A1422,"NULL")</f>
        <v>73</v>
      </c>
      <c r="C1422">
        <v>31</v>
      </c>
      <c r="D1422" s="14">
        <f>IF('Boletins Nuppa Site'!G1422&lt;&gt;0,'Boletins Nuppa Site'!G1422,"NULL")</f>
        <v>100</v>
      </c>
      <c r="E1422" s="14">
        <f>IF('Boletins Nuppa Site'!H1422&lt;&gt;0,'Boletins Nuppa Site'!H1422,"NULL")</f>
        <v>75</v>
      </c>
      <c r="F1422" s="14">
        <f>IF('Boletins Nuppa Site'!I1422&lt;&gt;0,'Boletins Nuppa Site'!I1422,"NULL")</f>
        <v>100</v>
      </c>
      <c r="G1422" t="str">
        <f>IF('Boletins Nuppa Site'!J1422&lt;&gt;0,'Boletins Nuppa Site'!J1422,"NULL")</f>
        <v>88.75</v>
      </c>
      <c r="H1422" s="14">
        <f>IF('Boletins Nuppa Site'!K1422&lt;&gt;0,'Boletins Nuppa Site'!K1422,"NULL")</f>
        <v>90</v>
      </c>
      <c r="I1422" t="str">
        <f t="shared" si="44"/>
        <v>INSERT INTO COTACAO (cot_id, cot_blt_id, cot_pap_id, cot_prc_comum, cot_prc_min, cot_prc_max, cot_prc_med, cot_prc_mediana) VALUES (1421, 73, 31, 100, 75, 100, 88.75, 90);</v>
      </c>
      <c r="J1422" t="str">
        <f t="shared" si="45"/>
        <v>UPDATE COTACAO SET cot_id = 1421, cot_blt_id = 73, cot_pap_id = 31, cot_prc_comum = 100, cot_prc_min = 75, cot_prc_max = 100, cot_prc_med = 88.75, cot_prc_mediana = 90 WHERE cot_id = 1421;</v>
      </c>
    </row>
    <row r="1423" spans="1:10" x14ac:dyDescent="0.3">
      <c r="A1423">
        <v>1422</v>
      </c>
      <c r="B1423">
        <f>IF('Boletins Nuppa Site'!A1423&lt;&gt;0,'Boletins Nuppa Site'!A1423,"NULL")</f>
        <v>73</v>
      </c>
      <c r="C1423">
        <v>32</v>
      </c>
      <c r="D1423" s="14">
        <f>IF('Boletins Nuppa Site'!G1423&lt;&gt;0,'Boletins Nuppa Site'!G1423,"NULL")</f>
        <v>45</v>
      </c>
      <c r="E1423" s="14">
        <f>IF('Boletins Nuppa Site'!H1423&lt;&gt;0,'Boletins Nuppa Site'!H1423,"NULL")</f>
        <v>45</v>
      </c>
      <c r="F1423" s="14">
        <f>IF('Boletins Nuppa Site'!I1423&lt;&gt;0,'Boletins Nuppa Site'!I1423,"NULL")</f>
        <v>85</v>
      </c>
      <c r="G1423" t="str">
        <f>IF('Boletins Nuppa Site'!J1423&lt;&gt;0,'Boletins Nuppa Site'!J1423,"NULL")</f>
        <v>57.5</v>
      </c>
      <c r="H1423" s="14">
        <f>IF('Boletins Nuppa Site'!K1423&lt;&gt;0,'Boletins Nuppa Site'!K1423,"NULL")</f>
        <v>50</v>
      </c>
      <c r="I1423" t="str">
        <f t="shared" si="44"/>
        <v>INSERT INTO COTACAO (cot_id, cot_blt_id, cot_pap_id, cot_prc_comum, cot_prc_min, cot_prc_max, cot_prc_med, cot_prc_mediana) VALUES (1422, 73, 32, 45, 45, 85, 57.5, 50);</v>
      </c>
      <c r="J1423" t="str">
        <f t="shared" si="45"/>
        <v>UPDATE COTACAO SET cot_id = 1422, cot_blt_id = 73, cot_pap_id = 32, cot_prc_comum = 45, cot_prc_min = 45, cot_prc_max = 85, cot_prc_med = 57.5, cot_prc_mediana = 50 WHERE cot_id = 1422;</v>
      </c>
    </row>
    <row r="1424" spans="1:10" x14ac:dyDescent="0.3">
      <c r="A1424">
        <v>1423</v>
      </c>
      <c r="B1424">
        <f>IF('Boletins Nuppa Site'!A1424&lt;&gt;0,'Boletins Nuppa Site'!A1424,"NULL")</f>
        <v>73</v>
      </c>
      <c r="C1424">
        <v>33</v>
      </c>
      <c r="D1424" s="14">
        <f>IF('Boletins Nuppa Site'!G1424&lt;&gt;0,'Boletins Nuppa Site'!G1424,"NULL")</f>
        <v>160</v>
      </c>
      <c r="E1424" s="14">
        <f>IF('Boletins Nuppa Site'!H1424&lt;&gt;0,'Boletins Nuppa Site'!H1424,"NULL")</f>
        <v>150</v>
      </c>
      <c r="F1424" s="14">
        <f>IF('Boletins Nuppa Site'!I1424&lt;&gt;0,'Boletins Nuppa Site'!I1424,"NULL")</f>
        <v>180</v>
      </c>
      <c r="G1424" t="str">
        <f>IF('Boletins Nuppa Site'!J1424&lt;&gt;0,'Boletins Nuppa Site'!J1424,"NULL")</f>
        <v>162.5</v>
      </c>
      <c r="H1424" s="14">
        <f>IF('Boletins Nuppa Site'!K1424&lt;&gt;0,'Boletins Nuppa Site'!K1424,"NULL")</f>
        <v>160</v>
      </c>
      <c r="I1424" t="str">
        <f t="shared" si="44"/>
        <v>INSERT INTO COTACAO (cot_id, cot_blt_id, cot_pap_id, cot_prc_comum, cot_prc_min, cot_prc_max, cot_prc_med, cot_prc_mediana) VALUES (1423, 73, 33, 160, 150, 180, 162.5, 160);</v>
      </c>
      <c r="J1424" t="str">
        <f t="shared" si="45"/>
        <v>UPDATE COTACAO SET cot_id = 1423, cot_blt_id = 73, cot_pap_id = 33, cot_prc_comum = 160, cot_prc_min = 150, cot_prc_max = 180, cot_prc_med = 162.5, cot_prc_mediana = 160 WHERE cot_id = 1423;</v>
      </c>
    </row>
    <row r="1425" spans="1:10" x14ac:dyDescent="0.3">
      <c r="A1425">
        <v>1424</v>
      </c>
      <c r="B1425">
        <f>IF('Boletins Nuppa Site'!A1425&lt;&gt;0,'Boletins Nuppa Site'!A1425,"NULL")</f>
        <v>73</v>
      </c>
      <c r="C1425">
        <v>34</v>
      </c>
      <c r="D1425" t="str">
        <f>IF('Boletins Nuppa Site'!G1425&lt;&gt;0,'Boletins Nuppa Site'!G1425,"NULL")</f>
        <v>NULL</v>
      </c>
      <c r="E1425" s="14">
        <f>IF('Boletins Nuppa Site'!H1425&lt;&gt;0,'Boletins Nuppa Site'!H1425,"NULL")</f>
        <v>50</v>
      </c>
      <c r="F1425" s="14">
        <f>IF('Boletins Nuppa Site'!I1425&lt;&gt;0,'Boletins Nuppa Site'!I1425,"NULL")</f>
        <v>80</v>
      </c>
      <c r="G1425" s="14">
        <f>IF('Boletins Nuppa Site'!J1425&lt;&gt;0,'Boletins Nuppa Site'!J1425,"NULL")</f>
        <v>65</v>
      </c>
      <c r="H1425" s="14">
        <f>IF('Boletins Nuppa Site'!K1425&lt;&gt;0,'Boletins Nuppa Site'!K1425,"NULL")</f>
        <v>65</v>
      </c>
      <c r="I1425" t="str">
        <f t="shared" si="44"/>
        <v>INSERT INTO COTACAO (cot_id, cot_blt_id, cot_pap_id, cot_prc_comum, cot_prc_min, cot_prc_max, cot_prc_med, cot_prc_mediana) VALUES (1424, 73, 34, NULL, 50, 80, 65, 65);</v>
      </c>
      <c r="J1425" t="str">
        <f t="shared" si="45"/>
        <v>UPDATE COTACAO SET cot_id = 1424, cot_blt_id = 73, cot_pap_id = 34, cot_prc_comum = NULL, cot_prc_min = 50, cot_prc_max = 80, cot_prc_med = 65, cot_prc_mediana = 65 WHERE cot_id = 1424;</v>
      </c>
    </row>
    <row r="1426" spans="1:10" x14ac:dyDescent="0.3">
      <c r="A1426">
        <v>1425</v>
      </c>
      <c r="B1426">
        <f>IF('Boletins Nuppa Site'!A1426&lt;&gt;0,'Boletins Nuppa Site'!A1426,"NULL")</f>
        <v>73</v>
      </c>
      <c r="C1426">
        <v>35</v>
      </c>
      <c r="D1426" t="str">
        <f>IF('Boletins Nuppa Site'!G1426&lt;&gt;0,'Boletins Nuppa Site'!G1426,"NULL")</f>
        <v>NULL</v>
      </c>
      <c r="E1426" t="str">
        <f>IF('Boletins Nuppa Site'!H1426&lt;&gt;0,'Boletins Nuppa Site'!H1426,"NULL")</f>
        <v>NULL</v>
      </c>
      <c r="F1426" s="14">
        <f>IF('Boletins Nuppa Site'!I1426&lt;&gt;0,'Boletins Nuppa Site'!I1426,"NULL")</f>
        <v>90</v>
      </c>
      <c r="G1426" s="14">
        <f>IF('Boletins Nuppa Site'!J1426&lt;&gt;0,'Boletins Nuppa Site'!J1426,"NULL")</f>
        <v>120</v>
      </c>
      <c r="H1426" t="str">
        <f>IF('Boletins Nuppa Site'!K1426&lt;&gt;0,'Boletins Nuppa Site'!K1426,"NULL")</f>
        <v>103.33</v>
      </c>
      <c r="I1426" t="str">
        <f t="shared" si="44"/>
        <v>INSERT INTO COTACAO (cot_id, cot_blt_id, cot_pap_id, cot_prc_comum, cot_prc_min, cot_prc_max, cot_prc_med, cot_prc_mediana) VALUES (1425, 73, 35, NULL, NULL, 90, 120, 103.33);</v>
      </c>
      <c r="J1426" t="str">
        <f t="shared" si="45"/>
        <v>UPDATE COTACAO SET cot_id = 1425, cot_blt_id = 73, cot_pap_id = 35, cot_prc_comum = NULL, cot_prc_min = NULL, cot_prc_max = 90, cot_prc_med = 120, cot_prc_mediana = 103.33 WHERE cot_id = 1425;</v>
      </c>
    </row>
    <row r="1427" spans="1:10" x14ac:dyDescent="0.3">
      <c r="A1427">
        <v>1426</v>
      </c>
      <c r="B1427">
        <f>IF('Boletins Nuppa Site'!A1427&lt;&gt;0,'Boletins Nuppa Site'!A1427,"NULL")</f>
        <v>73</v>
      </c>
      <c r="C1427">
        <v>36</v>
      </c>
      <c r="D1427" t="str">
        <f>IF('Boletins Nuppa Site'!G1427&lt;&gt;0,'Boletins Nuppa Site'!G1427,"NULL")</f>
        <v>NULL</v>
      </c>
      <c r="E1427" t="str">
        <f>IF('Boletins Nuppa Site'!H1427&lt;&gt;0,'Boletins Nuppa Site'!H1427,"NULL")</f>
        <v>NULL</v>
      </c>
      <c r="F1427" t="str">
        <f>IF('Boletins Nuppa Site'!I1427&lt;&gt;0,'Boletins Nuppa Site'!I1427,"NULL")</f>
        <v>NULL</v>
      </c>
      <c r="G1427" t="str">
        <f>IF('Boletins Nuppa Site'!J1427&lt;&gt;0,'Boletins Nuppa Site'!J1427,"NULL")</f>
        <v>NULL</v>
      </c>
      <c r="H1427" t="str">
        <f>IF('Boletins Nuppa Site'!K1427&lt;&gt;0,'Boletins Nuppa Site'!K1427,"NULL")</f>
        <v>NULL</v>
      </c>
      <c r="I1427" t="str">
        <f t="shared" si="44"/>
        <v>INSERT INTO COTACAO (cot_id, cot_blt_id, cot_pap_id, cot_prc_comum, cot_prc_min, cot_prc_max, cot_prc_med, cot_prc_mediana) VALUES (1426, 73, 36, NULL, NULL, NULL, NULL, NULL);</v>
      </c>
      <c r="J1427" t="str">
        <f t="shared" si="45"/>
        <v>UPDATE COTACAO SET cot_id = 1426, cot_blt_id = 73, cot_pap_id = 36, cot_prc_comum = NULL, cot_prc_min = NULL, cot_prc_max = NULL, cot_prc_med = NULL, cot_prc_mediana = NULL WHERE cot_id = 1426;</v>
      </c>
    </row>
    <row r="1428" spans="1:10" x14ac:dyDescent="0.3">
      <c r="A1428">
        <v>1427</v>
      </c>
      <c r="B1428">
        <f>IF('Boletins Nuppa Site'!A1428&lt;&gt;0,'Boletins Nuppa Site'!A1428,"NULL")</f>
        <v>73</v>
      </c>
      <c r="C1428">
        <v>37</v>
      </c>
      <c r="D1428" t="str">
        <f>IF('Boletins Nuppa Site'!G1428&lt;&gt;0,'Boletins Nuppa Site'!G1428,"NULL")</f>
        <v>NULL</v>
      </c>
      <c r="E1428" t="str">
        <f>IF('Boletins Nuppa Site'!H1428&lt;&gt;0,'Boletins Nuppa Site'!H1428,"NULL")</f>
        <v>NULL</v>
      </c>
      <c r="F1428" t="str">
        <f>IF('Boletins Nuppa Site'!I1428&lt;&gt;0,'Boletins Nuppa Site'!I1428,"NULL")</f>
        <v>NULL</v>
      </c>
      <c r="G1428" t="str">
        <f>IF('Boletins Nuppa Site'!J1428&lt;&gt;0,'Boletins Nuppa Site'!J1428,"NULL")</f>
        <v>NULL</v>
      </c>
      <c r="H1428" t="str">
        <f>IF('Boletins Nuppa Site'!K1428&lt;&gt;0,'Boletins Nuppa Site'!K1428,"NULL")</f>
        <v>NULL</v>
      </c>
      <c r="I1428" t="str">
        <f t="shared" si="44"/>
        <v>INSERT INTO COTACAO (cot_id, cot_blt_id, cot_pap_id, cot_prc_comum, cot_prc_min, cot_prc_max, cot_prc_med, cot_prc_mediana) VALUES (1427, 73, 37, NULL, NULL, NULL, NULL, NULL);</v>
      </c>
      <c r="J1428" t="str">
        <f t="shared" si="45"/>
        <v>UPDATE COTACAO SET cot_id = 1427, cot_blt_id = 73, cot_pap_id = 37, cot_prc_comum = NULL, cot_prc_min = NULL, cot_prc_max = NULL, cot_prc_med = NULL, cot_prc_mediana = NULL WHERE cot_id = 1427;</v>
      </c>
    </row>
    <row r="1429" spans="1:10" x14ac:dyDescent="0.3">
      <c r="A1429">
        <v>1428</v>
      </c>
      <c r="B1429">
        <f>IF('Boletins Nuppa Site'!A1429&lt;&gt;0,'Boletins Nuppa Site'!A1429,"NULL")</f>
        <v>73</v>
      </c>
      <c r="C1429">
        <v>38</v>
      </c>
      <c r="D1429" t="str">
        <f>IF('Boletins Nuppa Site'!G1429&lt;&gt;0,'Boletins Nuppa Site'!G1429,"NULL")</f>
        <v>NULL</v>
      </c>
      <c r="E1429" t="str">
        <f>IF('Boletins Nuppa Site'!H1429&lt;&gt;0,'Boletins Nuppa Site'!H1429,"NULL")</f>
        <v>NULL</v>
      </c>
      <c r="F1429" t="str">
        <f>IF('Boletins Nuppa Site'!I1429&lt;&gt;0,'Boletins Nuppa Site'!I1429,"NULL")</f>
        <v>NULL</v>
      </c>
      <c r="G1429" t="str">
        <f>IF('Boletins Nuppa Site'!J1429&lt;&gt;0,'Boletins Nuppa Site'!J1429,"NULL")</f>
        <v>NULL</v>
      </c>
      <c r="H1429" t="str">
        <f>IF('Boletins Nuppa Site'!K1429&lt;&gt;0,'Boletins Nuppa Site'!K1429,"NULL")</f>
        <v>NULL</v>
      </c>
      <c r="I1429" t="str">
        <f t="shared" si="44"/>
        <v>INSERT INTO COTACAO (cot_id, cot_blt_id, cot_pap_id, cot_prc_comum, cot_prc_min, cot_prc_max, cot_prc_med, cot_prc_mediana) VALUES (1428, 73, 38, NULL, NULL, NULL, NULL, NULL);</v>
      </c>
      <c r="J1429" t="str">
        <f t="shared" si="45"/>
        <v>UPDATE COTACAO SET cot_id = 1428, cot_blt_id = 73, cot_pap_id = 38, cot_prc_comum = NULL, cot_prc_min = NULL, cot_prc_max = NULL, cot_prc_med = NULL, cot_prc_mediana = NULL WHERE cot_id = 1428;</v>
      </c>
    </row>
    <row r="1430" spans="1:10" x14ac:dyDescent="0.3">
      <c r="A1430">
        <v>1429</v>
      </c>
      <c r="B1430">
        <f>IF('Boletins Nuppa Site'!A1430&lt;&gt;0,'Boletins Nuppa Site'!A1430,"NULL")</f>
        <v>73</v>
      </c>
      <c r="C1430">
        <v>39</v>
      </c>
      <c r="D1430" t="str">
        <f>IF('Boletins Nuppa Site'!G1430&lt;&gt;0,'Boletins Nuppa Site'!G1430,"NULL")</f>
        <v>NULL</v>
      </c>
      <c r="E1430" s="14">
        <f>IF('Boletins Nuppa Site'!H1430&lt;&gt;0,'Boletins Nuppa Site'!H1430,"NULL")</f>
        <v>70</v>
      </c>
      <c r="F1430" s="14">
        <f>IF('Boletins Nuppa Site'!I1430&lt;&gt;0,'Boletins Nuppa Site'!I1430,"NULL")</f>
        <v>70</v>
      </c>
      <c r="G1430" s="14">
        <f>IF('Boletins Nuppa Site'!J1430&lt;&gt;0,'Boletins Nuppa Site'!J1430,"NULL")</f>
        <v>70</v>
      </c>
      <c r="H1430" s="14">
        <f>IF('Boletins Nuppa Site'!K1430&lt;&gt;0,'Boletins Nuppa Site'!K1430,"NULL")</f>
        <v>70</v>
      </c>
      <c r="I1430" t="str">
        <f t="shared" si="44"/>
        <v>INSERT INTO COTACAO (cot_id, cot_blt_id, cot_pap_id, cot_prc_comum, cot_prc_min, cot_prc_max, cot_prc_med, cot_prc_mediana) VALUES (1429, 73, 39, NULL, 70, 70, 70, 70);</v>
      </c>
      <c r="J1430" t="str">
        <f t="shared" si="45"/>
        <v>UPDATE COTACAO SET cot_id = 1429, cot_blt_id = 73, cot_pap_id = 39, cot_prc_comum = NULL, cot_prc_min = 70, cot_prc_max = 70, cot_prc_med = 70, cot_prc_mediana = 70 WHERE cot_id = 1429;</v>
      </c>
    </row>
    <row r="1431" spans="1:10" x14ac:dyDescent="0.3">
      <c r="A1431">
        <v>1430</v>
      </c>
      <c r="B1431">
        <f>IF('Boletins Nuppa Site'!A1431&lt;&gt;0,'Boletins Nuppa Site'!A1431,"NULL")</f>
        <v>73</v>
      </c>
      <c r="C1431">
        <v>40</v>
      </c>
      <c r="D1431" t="str">
        <f>IF('Boletins Nuppa Site'!G1431&lt;&gt;0,'Boletins Nuppa Site'!G1431,"NULL")</f>
        <v>NULL</v>
      </c>
      <c r="E1431" s="14" t="str">
        <f>IF('Boletins Nuppa Site'!H1431&lt;&gt;0,'Boletins Nuppa Site'!H1431,"NULL")</f>
        <v>NULL</v>
      </c>
      <c r="F1431" s="14" t="str">
        <f>IF('Boletins Nuppa Site'!I1431&lt;&gt;0,'Boletins Nuppa Site'!I1431,"NULL")</f>
        <v>NULL</v>
      </c>
      <c r="G1431" s="14" t="str">
        <f>IF('Boletins Nuppa Site'!J1431&lt;&gt;0,'Boletins Nuppa Site'!J1431,"NULL")</f>
        <v>NULL</v>
      </c>
      <c r="H1431" s="14" t="str">
        <f>IF('Boletins Nuppa Site'!K1431&lt;&gt;0,'Boletins Nuppa Site'!K1431,"NULL")</f>
        <v>NULL</v>
      </c>
      <c r="I1431" t="str">
        <f t="shared" si="44"/>
        <v>INSERT INTO COTACAO (cot_id, cot_blt_id, cot_pap_id, cot_prc_comum, cot_prc_min, cot_prc_max, cot_prc_med, cot_prc_mediana) VALUES (1430, 73, 40, NULL, NULL, NULL, NULL, NULL);</v>
      </c>
      <c r="J1431" t="str">
        <f t="shared" si="45"/>
        <v>UPDATE COTACAO SET cot_id = 1430, cot_blt_id = 73, cot_pap_id = 40, cot_prc_comum = NULL, cot_prc_min = NULL, cot_prc_max = NULL, cot_prc_med = NULL, cot_prc_mediana = NULL WHERE cot_id = 1430;</v>
      </c>
    </row>
    <row r="1432" spans="1:10" x14ac:dyDescent="0.3">
      <c r="A1432">
        <v>1431</v>
      </c>
      <c r="B1432">
        <f>IF('Boletins Nuppa Site'!A1432&lt;&gt;0,'Boletins Nuppa Site'!A1432,"NULL")</f>
        <v>74</v>
      </c>
      <c r="C1432">
        <v>1</v>
      </c>
      <c r="D1432">
        <f>IF('Boletins Nuppa Site'!G1432&lt;&gt;0,'Boletins Nuppa Site'!G1432,"NULL")</f>
        <v>48</v>
      </c>
      <c r="E1432" s="14">
        <f>IF('Boletins Nuppa Site'!H1432&lt;&gt;0,'Boletins Nuppa Site'!H1432,"NULL")</f>
        <v>36</v>
      </c>
      <c r="F1432" s="14">
        <f>IF('Boletins Nuppa Site'!I1432&lt;&gt;0,'Boletins Nuppa Site'!I1432,"NULL")</f>
        <v>60</v>
      </c>
      <c r="G1432" s="14">
        <f>IF('Boletins Nuppa Site'!J1432&lt;&gt;0,'Boletins Nuppa Site'!J1432,"NULL")</f>
        <v>48</v>
      </c>
      <c r="H1432" s="14">
        <f>IF('Boletins Nuppa Site'!K1432&lt;&gt;0,'Boletins Nuppa Site'!K1432,"NULL")</f>
        <v>48</v>
      </c>
      <c r="I1432" t="str">
        <f t="shared" si="44"/>
        <v>INSERT INTO COTACAO (cot_id, cot_blt_id, cot_pap_id, cot_prc_comum, cot_prc_min, cot_prc_max, cot_prc_med, cot_prc_mediana) VALUES (1431, 74, 1, 48, 36, 60, 48, 48);</v>
      </c>
      <c r="J1432" t="str">
        <f t="shared" si="45"/>
        <v>UPDATE COTACAO SET cot_id = 1431, cot_blt_id = 74, cot_pap_id = 1, cot_prc_comum = 48, cot_prc_min = 36, cot_prc_max = 60, cot_prc_med = 48, cot_prc_mediana = 48 WHERE cot_id = 1431;</v>
      </c>
    </row>
    <row r="1433" spans="1:10" x14ac:dyDescent="0.3">
      <c r="A1433">
        <v>1432</v>
      </c>
      <c r="B1433">
        <f>IF('Boletins Nuppa Site'!A1433&lt;&gt;0,'Boletins Nuppa Site'!A1433,"NULL")</f>
        <v>74</v>
      </c>
      <c r="C1433">
        <v>2</v>
      </c>
      <c r="D1433">
        <f>IF('Boletins Nuppa Site'!G1433&lt;&gt;0,'Boletins Nuppa Site'!G1433,"NULL")</f>
        <v>84</v>
      </c>
      <c r="E1433" s="14">
        <f>IF('Boletins Nuppa Site'!H1433&lt;&gt;0,'Boletins Nuppa Site'!H1433,"NULL")</f>
        <v>72</v>
      </c>
      <c r="F1433" s="14">
        <f>IF('Boletins Nuppa Site'!I1433&lt;&gt;0,'Boletins Nuppa Site'!I1433,"NULL")</f>
        <v>84</v>
      </c>
      <c r="G1433" s="14">
        <f>IF('Boletins Nuppa Site'!J1433&lt;&gt;0,'Boletins Nuppa Site'!J1433,"NULL")</f>
        <v>80</v>
      </c>
      <c r="H1433" s="14">
        <f>IF('Boletins Nuppa Site'!K1433&lt;&gt;0,'Boletins Nuppa Site'!K1433,"NULL")</f>
        <v>84</v>
      </c>
      <c r="I1433" t="str">
        <f t="shared" si="44"/>
        <v>INSERT INTO COTACAO (cot_id, cot_blt_id, cot_pap_id, cot_prc_comum, cot_prc_min, cot_prc_max, cot_prc_med, cot_prc_mediana) VALUES (1432, 74, 2, 84, 72, 84, 80, 84);</v>
      </c>
      <c r="J1433" t="str">
        <f t="shared" si="45"/>
        <v>UPDATE COTACAO SET cot_id = 1432, cot_blt_id = 74, cot_pap_id = 2, cot_prc_comum = 84, cot_prc_min = 72, cot_prc_max = 84, cot_prc_med = 80, cot_prc_mediana = 84 WHERE cot_id = 1432;</v>
      </c>
    </row>
    <row r="1434" spans="1:10" x14ac:dyDescent="0.3">
      <c r="A1434">
        <v>1433</v>
      </c>
      <c r="B1434">
        <f>IF('Boletins Nuppa Site'!A1434&lt;&gt;0,'Boletins Nuppa Site'!A1434,"NULL")</f>
        <v>74</v>
      </c>
      <c r="C1434">
        <v>3</v>
      </c>
      <c r="D1434">
        <f>IF('Boletins Nuppa Site'!G1434&lt;&gt;0,'Boletins Nuppa Site'!G1434,"NULL")</f>
        <v>36</v>
      </c>
      <c r="E1434" s="14">
        <f>IF('Boletins Nuppa Site'!H1434&lt;&gt;0,'Boletins Nuppa Site'!H1434,"NULL")</f>
        <v>25</v>
      </c>
      <c r="F1434" s="14">
        <f>IF('Boletins Nuppa Site'!I1434&lt;&gt;0,'Boletins Nuppa Site'!I1434,"NULL")</f>
        <v>42</v>
      </c>
      <c r="G1434" s="14" t="str">
        <f>IF('Boletins Nuppa Site'!J1434&lt;&gt;0,'Boletins Nuppa Site'!J1434,"NULL")</f>
        <v>34.75</v>
      </c>
      <c r="H1434" s="14">
        <f>IF('Boletins Nuppa Site'!K1434&lt;&gt;0,'Boletins Nuppa Site'!K1434,"NULL")</f>
        <v>36</v>
      </c>
      <c r="I1434" t="str">
        <f t="shared" si="44"/>
        <v>INSERT INTO COTACAO (cot_id, cot_blt_id, cot_pap_id, cot_prc_comum, cot_prc_min, cot_prc_max, cot_prc_med, cot_prc_mediana) VALUES (1433, 74, 3, 36, 25, 42, 34.75, 36);</v>
      </c>
      <c r="J1434" t="str">
        <f t="shared" si="45"/>
        <v>UPDATE COTACAO SET cot_id = 1433, cot_blt_id = 74, cot_pap_id = 3, cot_prc_comum = 36, cot_prc_min = 25, cot_prc_max = 42, cot_prc_med = 34.75, cot_prc_mediana = 36 WHERE cot_id = 1433;</v>
      </c>
    </row>
    <row r="1435" spans="1:10" x14ac:dyDescent="0.3">
      <c r="A1435">
        <v>1434</v>
      </c>
      <c r="B1435">
        <f>IF('Boletins Nuppa Site'!A1435&lt;&gt;0,'Boletins Nuppa Site'!A1435,"NULL")</f>
        <v>74</v>
      </c>
      <c r="C1435">
        <v>4</v>
      </c>
      <c r="D1435">
        <f>IF('Boletins Nuppa Site'!G1435&lt;&gt;0,'Boletins Nuppa Site'!G1435,"NULL")</f>
        <v>18</v>
      </c>
      <c r="E1435" s="14">
        <f>IF('Boletins Nuppa Site'!H1435&lt;&gt;0,'Boletins Nuppa Site'!H1435,"NULL")</f>
        <v>18</v>
      </c>
      <c r="F1435" s="14">
        <f>IF('Boletins Nuppa Site'!I1435&lt;&gt;0,'Boletins Nuppa Site'!I1435,"NULL")</f>
        <v>24</v>
      </c>
      <c r="G1435" s="14">
        <f>IF('Boletins Nuppa Site'!J1435&lt;&gt;0,'Boletins Nuppa Site'!J1435,"NULL")</f>
        <v>21</v>
      </c>
      <c r="H1435" s="14">
        <f>IF('Boletins Nuppa Site'!K1435&lt;&gt;0,'Boletins Nuppa Site'!K1435,"NULL")</f>
        <v>21</v>
      </c>
      <c r="I1435" t="str">
        <f t="shared" si="44"/>
        <v>INSERT INTO COTACAO (cot_id, cot_blt_id, cot_pap_id, cot_prc_comum, cot_prc_min, cot_prc_max, cot_prc_med, cot_prc_mediana) VALUES (1434, 74, 4, 18, 18, 24, 21, 21);</v>
      </c>
      <c r="J1435" t="str">
        <f t="shared" si="45"/>
        <v>UPDATE COTACAO SET cot_id = 1434, cot_blt_id = 74, cot_pap_id = 4, cot_prc_comum = 18, cot_prc_min = 18, cot_prc_max = 24, cot_prc_med = 21, cot_prc_mediana = 21 WHERE cot_id = 1434;</v>
      </c>
    </row>
    <row r="1436" spans="1:10" x14ac:dyDescent="0.3">
      <c r="A1436">
        <v>1435</v>
      </c>
      <c r="B1436">
        <f>IF('Boletins Nuppa Site'!A1436&lt;&gt;0,'Boletins Nuppa Site'!A1436,"NULL")</f>
        <v>74</v>
      </c>
      <c r="C1436">
        <v>5</v>
      </c>
      <c r="D1436">
        <f>IF('Boletins Nuppa Site'!G1436&lt;&gt;0,'Boletins Nuppa Site'!G1436,"NULL")</f>
        <v>18</v>
      </c>
      <c r="E1436" s="14">
        <f>IF('Boletins Nuppa Site'!H1436&lt;&gt;0,'Boletins Nuppa Site'!H1436,"NULL")</f>
        <v>18</v>
      </c>
      <c r="F1436" s="14">
        <f>IF('Boletins Nuppa Site'!I1436&lt;&gt;0,'Boletins Nuppa Site'!I1436,"NULL")</f>
        <v>24</v>
      </c>
      <c r="G1436" s="14">
        <f>IF('Boletins Nuppa Site'!J1436&lt;&gt;0,'Boletins Nuppa Site'!J1436,"NULL")</f>
        <v>21</v>
      </c>
      <c r="H1436" s="14">
        <f>IF('Boletins Nuppa Site'!K1436&lt;&gt;0,'Boletins Nuppa Site'!K1436,"NULL")</f>
        <v>21</v>
      </c>
      <c r="I1436" t="str">
        <f t="shared" si="44"/>
        <v>INSERT INTO COTACAO (cot_id, cot_blt_id, cot_pap_id, cot_prc_comum, cot_prc_min, cot_prc_max, cot_prc_med, cot_prc_mediana) VALUES (1435, 74, 5, 18, 18, 24, 21, 21);</v>
      </c>
      <c r="J1436" t="str">
        <f t="shared" si="45"/>
        <v>UPDATE COTACAO SET cot_id = 1435, cot_blt_id = 74, cot_pap_id = 5, cot_prc_comum = 18, cot_prc_min = 18, cot_prc_max = 24, cot_prc_med = 21, cot_prc_mediana = 21 WHERE cot_id = 1435;</v>
      </c>
    </row>
    <row r="1437" spans="1:10" x14ac:dyDescent="0.3">
      <c r="A1437">
        <v>1436</v>
      </c>
      <c r="B1437">
        <f>IF('Boletins Nuppa Site'!A1437&lt;&gt;0,'Boletins Nuppa Site'!A1437,"NULL")</f>
        <v>74</v>
      </c>
      <c r="C1437">
        <v>6</v>
      </c>
      <c r="D1437">
        <f>IF('Boletins Nuppa Site'!G1437&lt;&gt;0,'Boletins Nuppa Site'!G1437,"NULL")</f>
        <v>60</v>
      </c>
      <c r="E1437" s="14">
        <f>IF('Boletins Nuppa Site'!H1437&lt;&gt;0,'Boletins Nuppa Site'!H1437,"NULL")</f>
        <v>60</v>
      </c>
      <c r="F1437" s="14">
        <f>IF('Boletins Nuppa Site'!I1437&lt;&gt;0,'Boletins Nuppa Site'!I1437,"NULL")</f>
        <v>60</v>
      </c>
      <c r="G1437" s="14">
        <f>IF('Boletins Nuppa Site'!J1437&lt;&gt;0,'Boletins Nuppa Site'!J1437,"NULL")</f>
        <v>60</v>
      </c>
      <c r="H1437" s="14">
        <f>IF('Boletins Nuppa Site'!K1437&lt;&gt;0,'Boletins Nuppa Site'!K1437,"NULL")</f>
        <v>60</v>
      </c>
      <c r="I1437" t="str">
        <f t="shared" si="44"/>
        <v>INSERT INTO COTACAO (cot_id, cot_blt_id, cot_pap_id, cot_prc_comum, cot_prc_min, cot_prc_max, cot_prc_med, cot_prc_mediana) VALUES (1436, 74, 6, 60, 60, 60, 60, 60);</v>
      </c>
      <c r="J1437" t="str">
        <f t="shared" si="45"/>
        <v>UPDATE COTACAO SET cot_id = 1436, cot_blt_id = 74, cot_pap_id = 6, cot_prc_comum = 60, cot_prc_min = 60, cot_prc_max = 60, cot_prc_med = 60, cot_prc_mediana = 60 WHERE cot_id = 1436;</v>
      </c>
    </row>
    <row r="1438" spans="1:10" x14ac:dyDescent="0.3">
      <c r="A1438">
        <v>1437</v>
      </c>
      <c r="B1438">
        <f>IF('Boletins Nuppa Site'!A1438&lt;&gt;0,'Boletins Nuppa Site'!A1438,"NULL")</f>
        <v>74</v>
      </c>
      <c r="C1438">
        <v>7</v>
      </c>
      <c r="D1438" t="str">
        <f>IF('Boletins Nuppa Site'!G1438&lt;&gt;0,'Boletins Nuppa Site'!G1438,"NULL")</f>
        <v>NULL</v>
      </c>
      <c r="E1438" s="14">
        <f>IF('Boletins Nuppa Site'!H1438&lt;&gt;0,'Boletins Nuppa Site'!H1438,"NULL")</f>
        <v>42</v>
      </c>
      <c r="F1438" s="14">
        <f>IF('Boletins Nuppa Site'!I1438&lt;&gt;0,'Boletins Nuppa Site'!I1438,"NULL")</f>
        <v>72</v>
      </c>
      <c r="G1438" s="14">
        <f>IF('Boletins Nuppa Site'!J1438&lt;&gt;0,'Boletins Nuppa Site'!J1438,"NULL")</f>
        <v>58</v>
      </c>
      <c r="H1438" s="14">
        <f>IF('Boletins Nuppa Site'!K1438&lt;&gt;0,'Boletins Nuppa Site'!K1438,"NULL")</f>
        <v>60</v>
      </c>
      <c r="I1438" t="str">
        <f t="shared" si="44"/>
        <v>INSERT INTO COTACAO (cot_id, cot_blt_id, cot_pap_id, cot_prc_comum, cot_prc_min, cot_prc_max, cot_prc_med, cot_prc_mediana) VALUES (1437, 74, 7, NULL, 42, 72, 58, 60);</v>
      </c>
      <c r="J1438" t="str">
        <f t="shared" si="45"/>
        <v>UPDATE COTACAO SET cot_id = 1437, cot_blt_id = 74, cot_pap_id = 7, cot_prc_comum = NULL, cot_prc_min = 42, cot_prc_max = 72, cot_prc_med = 58, cot_prc_mediana = 60 WHERE cot_id = 1437;</v>
      </c>
    </row>
    <row r="1439" spans="1:10" x14ac:dyDescent="0.3">
      <c r="A1439">
        <v>1438</v>
      </c>
      <c r="B1439">
        <f>IF('Boletins Nuppa Site'!A1439&lt;&gt;0,'Boletins Nuppa Site'!A1439,"NULL")</f>
        <v>74</v>
      </c>
      <c r="C1439">
        <v>8</v>
      </c>
      <c r="D1439">
        <f>IF('Boletins Nuppa Site'!G1439&lt;&gt;0,'Boletins Nuppa Site'!G1439,"NULL")</f>
        <v>72</v>
      </c>
      <c r="E1439" s="14">
        <f>IF('Boletins Nuppa Site'!H1439&lt;&gt;0,'Boletins Nuppa Site'!H1439,"NULL")</f>
        <v>60</v>
      </c>
      <c r="F1439" s="14">
        <f>IF('Boletins Nuppa Site'!I1439&lt;&gt;0,'Boletins Nuppa Site'!I1439,"NULL")</f>
        <v>72</v>
      </c>
      <c r="G1439" s="14">
        <f>IF('Boletins Nuppa Site'!J1439&lt;&gt;0,'Boletins Nuppa Site'!J1439,"NULL")</f>
        <v>69</v>
      </c>
      <c r="H1439" s="14">
        <f>IF('Boletins Nuppa Site'!K1439&lt;&gt;0,'Boletins Nuppa Site'!K1439,"NULL")</f>
        <v>72</v>
      </c>
      <c r="I1439" t="str">
        <f t="shared" si="44"/>
        <v>INSERT INTO COTACAO (cot_id, cot_blt_id, cot_pap_id, cot_prc_comum, cot_prc_min, cot_prc_max, cot_prc_med, cot_prc_mediana) VALUES (1438, 74, 8, 72, 60, 72, 69, 72);</v>
      </c>
      <c r="J1439" t="str">
        <f t="shared" si="45"/>
        <v>UPDATE COTACAO SET cot_id = 1438, cot_blt_id = 74, cot_pap_id = 8, cot_prc_comum = 72, cot_prc_min = 60, cot_prc_max = 72, cot_prc_med = 69, cot_prc_mediana = 72 WHERE cot_id = 1438;</v>
      </c>
    </row>
    <row r="1440" spans="1:10" x14ac:dyDescent="0.3">
      <c r="A1440">
        <v>1439</v>
      </c>
      <c r="B1440">
        <f>IF('Boletins Nuppa Site'!A1440&lt;&gt;0,'Boletins Nuppa Site'!A1440,"NULL")</f>
        <v>74</v>
      </c>
      <c r="C1440">
        <v>9</v>
      </c>
      <c r="D1440">
        <f>IF('Boletins Nuppa Site'!G1440&lt;&gt;0,'Boletins Nuppa Site'!G1440,"NULL")</f>
        <v>18</v>
      </c>
      <c r="E1440" s="14">
        <f>IF('Boletins Nuppa Site'!H1440&lt;&gt;0,'Boletins Nuppa Site'!H1440,"NULL")</f>
        <v>18</v>
      </c>
      <c r="F1440" s="14">
        <f>IF('Boletins Nuppa Site'!I1440&lt;&gt;0,'Boletins Nuppa Site'!I1440,"NULL")</f>
        <v>24</v>
      </c>
      <c r="G1440" s="14">
        <f>IF('Boletins Nuppa Site'!J1440&lt;&gt;0,'Boletins Nuppa Site'!J1440,"NULL")</f>
        <v>21</v>
      </c>
      <c r="H1440" s="14">
        <f>IF('Boletins Nuppa Site'!K1440&lt;&gt;0,'Boletins Nuppa Site'!K1440,"NULL")</f>
        <v>21</v>
      </c>
      <c r="I1440" t="str">
        <f t="shared" si="44"/>
        <v>INSERT INTO COTACAO (cot_id, cot_blt_id, cot_pap_id, cot_prc_comum, cot_prc_min, cot_prc_max, cot_prc_med, cot_prc_mediana) VALUES (1439, 74, 9, 18, 18, 24, 21, 21);</v>
      </c>
      <c r="J1440" t="str">
        <f t="shared" si="45"/>
        <v>UPDATE COTACAO SET cot_id = 1439, cot_blt_id = 74, cot_pap_id = 9, cot_prc_comum = 18, cot_prc_min = 18, cot_prc_max = 24, cot_prc_med = 21, cot_prc_mediana = 21 WHERE cot_id = 1439;</v>
      </c>
    </row>
    <row r="1441" spans="1:10" x14ac:dyDescent="0.3">
      <c r="A1441">
        <v>1440</v>
      </c>
      <c r="B1441">
        <f>IF('Boletins Nuppa Site'!A1441&lt;&gt;0,'Boletins Nuppa Site'!A1441,"NULL")</f>
        <v>74</v>
      </c>
      <c r="C1441">
        <v>10</v>
      </c>
      <c r="D1441" t="str">
        <f>IF('Boletins Nuppa Site'!G1441&lt;&gt;0,'Boletins Nuppa Site'!G1441,"NULL")</f>
        <v>NULL</v>
      </c>
      <c r="E1441" s="14">
        <f>IF('Boletins Nuppa Site'!H1441&lt;&gt;0,'Boletins Nuppa Site'!H1441,"NULL")</f>
        <v>50</v>
      </c>
      <c r="F1441" s="14">
        <f>IF('Boletins Nuppa Site'!I1441&lt;&gt;0,'Boletins Nuppa Site'!I1441,"NULL")</f>
        <v>78</v>
      </c>
      <c r="G1441" s="14" t="str">
        <f>IF('Boletins Nuppa Site'!J1441&lt;&gt;0,'Boletins Nuppa Site'!J1441,"NULL")</f>
        <v>62.67</v>
      </c>
      <c r="H1441" s="14">
        <f>IF('Boletins Nuppa Site'!K1441&lt;&gt;0,'Boletins Nuppa Site'!K1441,"NULL")</f>
        <v>60</v>
      </c>
      <c r="I1441" t="str">
        <f t="shared" si="44"/>
        <v>INSERT INTO COTACAO (cot_id, cot_blt_id, cot_pap_id, cot_prc_comum, cot_prc_min, cot_prc_max, cot_prc_med, cot_prc_mediana) VALUES (1440, 74, 10, NULL, 50, 78, 62.67, 60);</v>
      </c>
      <c r="J1441" t="str">
        <f t="shared" si="45"/>
        <v>UPDATE COTACAO SET cot_id = 1440, cot_blt_id = 74, cot_pap_id = 10, cot_prc_comum = NULL, cot_prc_min = 50, cot_prc_max = 78, cot_prc_med = 62.67, cot_prc_mediana = 60 WHERE cot_id = 1440;</v>
      </c>
    </row>
    <row r="1442" spans="1:10" x14ac:dyDescent="0.3">
      <c r="A1442">
        <v>1441</v>
      </c>
      <c r="B1442">
        <f>IF('Boletins Nuppa Site'!A1442&lt;&gt;0,'Boletins Nuppa Site'!A1442,"NULL")</f>
        <v>74</v>
      </c>
      <c r="C1442">
        <v>11</v>
      </c>
      <c r="D1442">
        <f>IF('Boletins Nuppa Site'!G1442&lt;&gt;0,'Boletins Nuppa Site'!G1442,"NULL")</f>
        <v>18</v>
      </c>
      <c r="E1442" s="14">
        <f>IF('Boletins Nuppa Site'!H1442&lt;&gt;0,'Boletins Nuppa Site'!H1442,"NULL")</f>
        <v>18</v>
      </c>
      <c r="F1442" s="14">
        <f>IF('Boletins Nuppa Site'!I1442&lt;&gt;0,'Boletins Nuppa Site'!I1442,"NULL")</f>
        <v>24</v>
      </c>
      <c r="G1442" s="14">
        <f>IF('Boletins Nuppa Site'!J1442&lt;&gt;0,'Boletins Nuppa Site'!J1442,"NULL")</f>
        <v>21</v>
      </c>
      <c r="H1442" s="14">
        <f>IF('Boletins Nuppa Site'!K1442&lt;&gt;0,'Boletins Nuppa Site'!K1442,"NULL")</f>
        <v>21</v>
      </c>
      <c r="I1442" t="str">
        <f t="shared" si="44"/>
        <v>INSERT INTO COTACAO (cot_id, cot_blt_id, cot_pap_id, cot_prc_comum, cot_prc_min, cot_prc_max, cot_prc_med, cot_prc_mediana) VALUES (1441, 74, 11, 18, 18, 24, 21, 21);</v>
      </c>
      <c r="J1442" t="str">
        <f t="shared" si="45"/>
        <v>UPDATE COTACAO SET cot_id = 1441, cot_blt_id = 74, cot_pap_id = 11, cot_prc_comum = 18, cot_prc_min = 18, cot_prc_max = 24, cot_prc_med = 21, cot_prc_mediana = 21 WHERE cot_id = 1441;</v>
      </c>
    </row>
    <row r="1443" spans="1:10" x14ac:dyDescent="0.3">
      <c r="A1443">
        <v>1442</v>
      </c>
      <c r="B1443">
        <f>IF('Boletins Nuppa Site'!A1443&lt;&gt;0,'Boletins Nuppa Site'!A1443,"NULL")</f>
        <v>74</v>
      </c>
      <c r="C1443">
        <v>12</v>
      </c>
      <c r="D1443">
        <f>IF('Boletins Nuppa Site'!G1443&lt;&gt;0,'Boletins Nuppa Site'!G1443,"NULL")</f>
        <v>60</v>
      </c>
      <c r="E1443" s="14">
        <f>IF('Boletins Nuppa Site'!H1443&lt;&gt;0,'Boletins Nuppa Site'!H1443,"NULL")</f>
        <v>48</v>
      </c>
      <c r="F1443" s="14">
        <f>IF('Boletins Nuppa Site'!I1443&lt;&gt;0,'Boletins Nuppa Site'!I1443,"NULL")</f>
        <v>60</v>
      </c>
      <c r="G1443" s="14">
        <f>IF('Boletins Nuppa Site'!J1443&lt;&gt;0,'Boletins Nuppa Site'!J1443,"NULL")</f>
        <v>56</v>
      </c>
      <c r="H1443" s="14">
        <f>IF('Boletins Nuppa Site'!K1443&lt;&gt;0,'Boletins Nuppa Site'!K1443,"NULL")</f>
        <v>60</v>
      </c>
      <c r="I1443" t="str">
        <f t="shared" si="44"/>
        <v>INSERT INTO COTACAO (cot_id, cot_blt_id, cot_pap_id, cot_prc_comum, cot_prc_min, cot_prc_max, cot_prc_med, cot_prc_mediana) VALUES (1442, 74, 12, 60, 48, 60, 56, 60);</v>
      </c>
      <c r="J1443" t="str">
        <f t="shared" si="45"/>
        <v>UPDATE COTACAO SET cot_id = 1442, cot_blt_id = 74, cot_pap_id = 12, cot_prc_comum = 60, cot_prc_min = 48, cot_prc_max = 60, cot_prc_med = 56, cot_prc_mediana = 60 WHERE cot_id = 1442;</v>
      </c>
    </row>
    <row r="1444" spans="1:10" x14ac:dyDescent="0.3">
      <c r="A1444">
        <v>1443</v>
      </c>
      <c r="B1444">
        <f>IF('Boletins Nuppa Site'!A1444&lt;&gt;0,'Boletins Nuppa Site'!A1444,"NULL")</f>
        <v>74</v>
      </c>
      <c r="C1444">
        <v>13</v>
      </c>
      <c r="D1444">
        <f>IF('Boletins Nuppa Site'!G1444&lt;&gt;0,'Boletins Nuppa Site'!G1444,"NULL")</f>
        <v>60</v>
      </c>
      <c r="E1444" s="14">
        <f>IF('Boletins Nuppa Site'!H1444&lt;&gt;0,'Boletins Nuppa Site'!H1444,"NULL")</f>
        <v>36</v>
      </c>
      <c r="F1444" s="14">
        <f>IF('Boletins Nuppa Site'!I1444&lt;&gt;0,'Boletins Nuppa Site'!I1444,"NULL")</f>
        <v>60</v>
      </c>
      <c r="G1444" s="14">
        <f>IF('Boletins Nuppa Site'!J1444&lt;&gt;0,'Boletins Nuppa Site'!J1444,"NULL")</f>
        <v>51</v>
      </c>
      <c r="H1444" s="14">
        <f>IF('Boletins Nuppa Site'!K1444&lt;&gt;0,'Boletins Nuppa Site'!K1444,"NULL")</f>
        <v>54</v>
      </c>
      <c r="I1444" t="str">
        <f t="shared" si="44"/>
        <v>INSERT INTO COTACAO (cot_id, cot_blt_id, cot_pap_id, cot_prc_comum, cot_prc_min, cot_prc_max, cot_prc_med, cot_prc_mediana) VALUES (1443, 74, 13, 60, 36, 60, 51, 54);</v>
      </c>
      <c r="J1444" t="str">
        <f t="shared" si="45"/>
        <v>UPDATE COTACAO SET cot_id = 1443, cot_blt_id = 74, cot_pap_id = 13, cot_prc_comum = 60, cot_prc_min = 36, cot_prc_max = 60, cot_prc_med = 51, cot_prc_mediana = 54 WHERE cot_id = 1443;</v>
      </c>
    </row>
    <row r="1445" spans="1:10" x14ac:dyDescent="0.3">
      <c r="A1445">
        <v>1444</v>
      </c>
      <c r="B1445">
        <f>IF('Boletins Nuppa Site'!A1445&lt;&gt;0,'Boletins Nuppa Site'!A1445,"NULL")</f>
        <v>74</v>
      </c>
      <c r="C1445">
        <v>14</v>
      </c>
      <c r="D1445" t="str">
        <f>IF('Boletins Nuppa Site'!G1445&lt;&gt;0,'Boletins Nuppa Site'!G1445,"NULL")</f>
        <v>NULL</v>
      </c>
      <c r="E1445" s="14">
        <f>IF('Boletins Nuppa Site'!H1445&lt;&gt;0,'Boletins Nuppa Site'!H1445,"NULL")</f>
        <v>48</v>
      </c>
      <c r="F1445" s="14">
        <f>IF('Boletins Nuppa Site'!I1445&lt;&gt;0,'Boletins Nuppa Site'!I1445,"NULL")</f>
        <v>72</v>
      </c>
      <c r="G1445" s="14">
        <f>IF('Boletins Nuppa Site'!J1445&lt;&gt;0,'Boletins Nuppa Site'!J1445,"NULL")</f>
        <v>60</v>
      </c>
      <c r="H1445" s="14">
        <f>IF('Boletins Nuppa Site'!K1445&lt;&gt;0,'Boletins Nuppa Site'!K1445,"NULL")</f>
        <v>60</v>
      </c>
      <c r="I1445" t="str">
        <f t="shared" si="44"/>
        <v>INSERT INTO COTACAO (cot_id, cot_blt_id, cot_pap_id, cot_prc_comum, cot_prc_min, cot_prc_max, cot_prc_med, cot_prc_mediana) VALUES (1444, 74, 14, NULL, 48, 72, 60, 60);</v>
      </c>
      <c r="J1445" t="str">
        <f t="shared" si="45"/>
        <v>UPDATE COTACAO SET cot_id = 1444, cot_blt_id = 74, cot_pap_id = 14, cot_prc_comum = NULL, cot_prc_min = 48, cot_prc_max = 72, cot_prc_med = 60, cot_prc_mediana = 60 WHERE cot_id = 1444;</v>
      </c>
    </row>
    <row r="1446" spans="1:10" x14ac:dyDescent="0.3">
      <c r="A1446">
        <v>1445</v>
      </c>
      <c r="B1446">
        <f>IF('Boletins Nuppa Site'!A1446&lt;&gt;0,'Boletins Nuppa Site'!A1446,"NULL")</f>
        <v>74</v>
      </c>
      <c r="C1446">
        <v>15</v>
      </c>
      <c r="D1446">
        <f>IF('Boletins Nuppa Site'!G1446&lt;&gt;0,'Boletins Nuppa Site'!G1446,"NULL")</f>
        <v>24</v>
      </c>
      <c r="E1446" s="14">
        <f>IF('Boletins Nuppa Site'!H1446&lt;&gt;0,'Boletins Nuppa Site'!H1446,"NULL")</f>
        <v>24</v>
      </c>
      <c r="F1446" s="14">
        <f>IF('Boletins Nuppa Site'!I1446&lt;&gt;0,'Boletins Nuppa Site'!I1446,"NULL")</f>
        <v>36</v>
      </c>
      <c r="G1446" s="14" t="str">
        <f>IF('Boletins Nuppa Site'!J1446&lt;&gt;0,'Boletins Nuppa Site'!J1446,"NULL")</f>
        <v>28.5</v>
      </c>
      <c r="H1446" s="14">
        <f>IF('Boletins Nuppa Site'!K1446&lt;&gt;0,'Boletins Nuppa Site'!K1446,"NULL")</f>
        <v>27</v>
      </c>
      <c r="I1446" t="str">
        <f t="shared" si="44"/>
        <v>INSERT INTO COTACAO (cot_id, cot_blt_id, cot_pap_id, cot_prc_comum, cot_prc_min, cot_prc_max, cot_prc_med, cot_prc_mediana) VALUES (1445, 74, 15, 24, 24, 36, 28.5, 27);</v>
      </c>
      <c r="J1446" t="str">
        <f t="shared" si="45"/>
        <v>UPDATE COTACAO SET cot_id = 1445, cot_blt_id = 74, cot_pap_id = 15, cot_prc_comum = 24, cot_prc_min = 24, cot_prc_max = 36, cot_prc_med = 28.5, cot_prc_mediana = 27 WHERE cot_id = 1445;</v>
      </c>
    </row>
    <row r="1447" spans="1:10" x14ac:dyDescent="0.3">
      <c r="A1447">
        <v>1446</v>
      </c>
      <c r="B1447">
        <f>IF('Boletins Nuppa Site'!A1447&lt;&gt;0,'Boletins Nuppa Site'!A1447,"NULL")</f>
        <v>74</v>
      </c>
      <c r="C1447">
        <v>16</v>
      </c>
      <c r="D1447">
        <f>IF('Boletins Nuppa Site'!G1447&lt;&gt;0,'Boletins Nuppa Site'!G1447,"NULL")</f>
        <v>48</v>
      </c>
      <c r="E1447" s="14">
        <f>IF('Boletins Nuppa Site'!H1447&lt;&gt;0,'Boletins Nuppa Site'!H1447,"NULL")</f>
        <v>48</v>
      </c>
      <c r="F1447" s="14">
        <f>IF('Boletins Nuppa Site'!I1447&lt;&gt;0,'Boletins Nuppa Site'!I1447,"NULL")</f>
        <v>48</v>
      </c>
      <c r="G1447" s="14">
        <f>IF('Boletins Nuppa Site'!J1447&lt;&gt;0,'Boletins Nuppa Site'!J1447,"NULL")</f>
        <v>48</v>
      </c>
      <c r="H1447" s="14">
        <f>IF('Boletins Nuppa Site'!K1447&lt;&gt;0,'Boletins Nuppa Site'!K1447,"NULL")</f>
        <v>48</v>
      </c>
      <c r="I1447" t="str">
        <f t="shared" si="44"/>
        <v>INSERT INTO COTACAO (cot_id, cot_blt_id, cot_pap_id, cot_prc_comum, cot_prc_min, cot_prc_max, cot_prc_med, cot_prc_mediana) VALUES (1446, 74, 16, 48, 48, 48, 48, 48);</v>
      </c>
      <c r="J1447" t="str">
        <f t="shared" si="45"/>
        <v>UPDATE COTACAO SET cot_id = 1446, cot_blt_id = 74, cot_pap_id = 16, cot_prc_comum = 48, cot_prc_min = 48, cot_prc_max = 48, cot_prc_med = 48, cot_prc_mediana = 48 WHERE cot_id = 1446;</v>
      </c>
    </row>
    <row r="1448" spans="1:10" x14ac:dyDescent="0.3">
      <c r="A1448">
        <v>1447</v>
      </c>
      <c r="B1448">
        <f>IF('Boletins Nuppa Site'!A1448&lt;&gt;0,'Boletins Nuppa Site'!A1448,"NULL")</f>
        <v>74</v>
      </c>
      <c r="C1448">
        <v>17</v>
      </c>
      <c r="D1448">
        <f>IF('Boletins Nuppa Site'!G1448&lt;&gt;0,'Boletins Nuppa Site'!G1448,"NULL")</f>
        <v>5</v>
      </c>
      <c r="E1448" s="14">
        <f>IF('Boletins Nuppa Site'!H1448&lt;&gt;0,'Boletins Nuppa Site'!H1448,"NULL")</f>
        <v>5</v>
      </c>
      <c r="F1448" s="14">
        <f>IF('Boletins Nuppa Site'!I1448&lt;&gt;0,'Boletins Nuppa Site'!I1448,"NULL")</f>
        <v>5</v>
      </c>
      <c r="G1448" s="14">
        <f>IF('Boletins Nuppa Site'!J1448&lt;&gt;0,'Boletins Nuppa Site'!J1448,"NULL")</f>
        <v>5</v>
      </c>
      <c r="H1448" s="14">
        <f>IF('Boletins Nuppa Site'!K1448&lt;&gt;0,'Boletins Nuppa Site'!K1448,"NULL")</f>
        <v>5</v>
      </c>
      <c r="I1448" t="str">
        <f t="shared" si="44"/>
        <v>INSERT INTO COTACAO (cot_id, cot_blt_id, cot_pap_id, cot_prc_comum, cot_prc_min, cot_prc_max, cot_prc_med, cot_prc_mediana) VALUES (1447, 74, 17, 5, 5, 5, 5, 5);</v>
      </c>
      <c r="J1448" t="str">
        <f t="shared" si="45"/>
        <v>UPDATE COTACAO SET cot_id = 1447, cot_blt_id = 74, cot_pap_id = 17, cot_prc_comum = 5, cot_prc_min = 5, cot_prc_max = 5, cot_prc_med = 5, cot_prc_mediana = 5 WHERE cot_id = 1447;</v>
      </c>
    </row>
    <row r="1449" spans="1:10" x14ac:dyDescent="0.3">
      <c r="A1449">
        <v>1448</v>
      </c>
      <c r="B1449">
        <f>IF('Boletins Nuppa Site'!A1449&lt;&gt;0,'Boletins Nuppa Site'!A1449,"NULL")</f>
        <v>74</v>
      </c>
      <c r="C1449">
        <v>18</v>
      </c>
      <c r="D1449">
        <f>IF('Boletins Nuppa Site'!G1449&lt;&gt;0,'Boletins Nuppa Site'!G1449,"NULL")</f>
        <v>12</v>
      </c>
      <c r="E1449" s="14">
        <f>IF('Boletins Nuppa Site'!H1449&lt;&gt;0,'Boletins Nuppa Site'!H1449,"NULL")</f>
        <v>12</v>
      </c>
      <c r="F1449" s="14">
        <f>IF('Boletins Nuppa Site'!I1449&lt;&gt;0,'Boletins Nuppa Site'!I1449,"NULL")</f>
        <v>15</v>
      </c>
      <c r="G1449" s="14" t="str">
        <f>IF('Boletins Nuppa Site'!J1449&lt;&gt;0,'Boletins Nuppa Site'!J1449,"NULL")</f>
        <v>13.5</v>
      </c>
      <c r="H1449" s="14" t="str">
        <f>IF('Boletins Nuppa Site'!K1449&lt;&gt;0,'Boletins Nuppa Site'!K1449,"NULL")</f>
        <v>13.5</v>
      </c>
      <c r="I1449" t="str">
        <f t="shared" si="44"/>
        <v>INSERT INTO COTACAO (cot_id, cot_blt_id, cot_pap_id, cot_prc_comum, cot_prc_min, cot_prc_max, cot_prc_med, cot_prc_mediana) VALUES (1448, 74, 18, 12, 12, 15, 13.5, 13.5);</v>
      </c>
      <c r="J1449" t="str">
        <f t="shared" si="45"/>
        <v>UPDATE COTACAO SET cot_id = 1448, cot_blt_id = 74, cot_pap_id = 18, cot_prc_comum = 12, cot_prc_min = 12, cot_prc_max = 15, cot_prc_med = 13.5, cot_prc_mediana = 13.5 WHERE cot_id = 1448;</v>
      </c>
    </row>
    <row r="1450" spans="1:10" x14ac:dyDescent="0.3">
      <c r="A1450">
        <v>1449</v>
      </c>
      <c r="B1450">
        <f>IF('Boletins Nuppa Site'!A1450&lt;&gt;0,'Boletins Nuppa Site'!A1450,"NULL")</f>
        <v>74</v>
      </c>
      <c r="C1450">
        <v>19</v>
      </c>
      <c r="D1450">
        <f>IF('Boletins Nuppa Site'!G1450&lt;&gt;0,'Boletins Nuppa Site'!G1450,"NULL")</f>
        <v>35</v>
      </c>
      <c r="E1450" s="14">
        <f>IF('Boletins Nuppa Site'!H1450&lt;&gt;0,'Boletins Nuppa Site'!H1450,"NULL")</f>
        <v>20</v>
      </c>
      <c r="F1450" s="14">
        <f>IF('Boletins Nuppa Site'!I1450&lt;&gt;0,'Boletins Nuppa Site'!I1450,"NULL")</f>
        <v>35</v>
      </c>
      <c r="G1450" s="14" t="str">
        <f>IF('Boletins Nuppa Site'!J1450&lt;&gt;0,'Boletins Nuppa Site'!J1450,"NULL")</f>
        <v>28.75</v>
      </c>
      <c r="H1450" s="14">
        <f>IF('Boletins Nuppa Site'!K1450&lt;&gt;0,'Boletins Nuppa Site'!K1450,"NULL")</f>
        <v>30</v>
      </c>
      <c r="I1450" t="str">
        <f t="shared" si="44"/>
        <v>INSERT INTO COTACAO (cot_id, cot_blt_id, cot_pap_id, cot_prc_comum, cot_prc_min, cot_prc_max, cot_prc_med, cot_prc_mediana) VALUES (1449, 74, 19, 35, 20, 35, 28.75, 30);</v>
      </c>
      <c r="J1450" t="str">
        <f t="shared" si="45"/>
        <v>UPDATE COTACAO SET cot_id = 1449, cot_blt_id = 74, cot_pap_id = 19, cot_prc_comum = 35, cot_prc_min = 20, cot_prc_max = 35, cot_prc_med = 28.75, cot_prc_mediana = 30 WHERE cot_id = 1449;</v>
      </c>
    </row>
    <row r="1451" spans="1:10" x14ac:dyDescent="0.3">
      <c r="A1451">
        <v>1450</v>
      </c>
      <c r="B1451">
        <f>IF('Boletins Nuppa Site'!A1451&lt;&gt;0,'Boletins Nuppa Site'!A1451,"NULL")</f>
        <v>74</v>
      </c>
      <c r="C1451">
        <v>20</v>
      </c>
      <c r="D1451" t="str">
        <f>IF('Boletins Nuppa Site'!G1451&lt;&gt;0,'Boletins Nuppa Site'!G1451,"NULL")</f>
        <v>NULL</v>
      </c>
      <c r="E1451" s="14">
        <f>IF('Boletins Nuppa Site'!H1451&lt;&gt;0,'Boletins Nuppa Site'!H1451,"NULL")</f>
        <v>80</v>
      </c>
      <c r="F1451" s="14">
        <f>IF('Boletins Nuppa Site'!I1451&lt;&gt;0,'Boletins Nuppa Site'!I1451,"NULL")</f>
        <v>80</v>
      </c>
      <c r="G1451" s="14">
        <f>IF('Boletins Nuppa Site'!J1451&lt;&gt;0,'Boletins Nuppa Site'!J1451,"NULL")</f>
        <v>80</v>
      </c>
      <c r="H1451" s="14">
        <f>IF('Boletins Nuppa Site'!K1451&lt;&gt;0,'Boletins Nuppa Site'!K1451,"NULL")</f>
        <v>80</v>
      </c>
      <c r="I1451" t="str">
        <f t="shared" si="44"/>
        <v>INSERT INTO COTACAO (cot_id, cot_blt_id, cot_pap_id, cot_prc_comum, cot_prc_min, cot_prc_max, cot_prc_med, cot_prc_mediana) VALUES (1450, 74, 20, NULL, 80, 80, 80, 80);</v>
      </c>
      <c r="J1451" t="str">
        <f t="shared" si="45"/>
        <v>UPDATE COTACAO SET cot_id = 1450, cot_blt_id = 74, cot_pap_id = 20, cot_prc_comum = NULL, cot_prc_min = 80, cot_prc_max = 80, cot_prc_med = 80, cot_prc_mediana = 80 WHERE cot_id = 1450;</v>
      </c>
    </row>
    <row r="1452" spans="1:10" x14ac:dyDescent="0.3">
      <c r="A1452">
        <v>1451</v>
      </c>
      <c r="B1452">
        <f>IF('Boletins Nuppa Site'!A1452&lt;&gt;0,'Boletins Nuppa Site'!A1452,"NULL")</f>
        <v>74</v>
      </c>
      <c r="C1452">
        <v>21</v>
      </c>
      <c r="D1452">
        <f>IF('Boletins Nuppa Site'!G1452&lt;&gt;0,'Boletins Nuppa Site'!G1452,"NULL")</f>
        <v>40</v>
      </c>
      <c r="E1452" s="14">
        <f>IF('Boletins Nuppa Site'!H1452&lt;&gt;0,'Boletins Nuppa Site'!H1452,"NULL")</f>
        <v>30</v>
      </c>
      <c r="F1452" s="14">
        <f>IF('Boletins Nuppa Site'!I1452&lt;&gt;0,'Boletins Nuppa Site'!I1452,"NULL")</f>
        <v>40</v>
      </c>
      <c r="G1452" s="14">
        <f>IF('Boletins Nuppa Site'!J1452&lt;&gt;0,'Boletins Nuppa Site'!J1452,"NULL")</f>
        <v>35</v>
      </c>
      <c r="H1452" s="14">
        <f>IF('Boletins Nuppa Site'!K1452&lt;&gt;0,'Boletins Nuppa Site'!K1452,"NULL")</f>
        <v>35</v>
      </c>
      <c r="I1452" t="str">
        <f t="shared" si="44"/>
        <v>INSERT INTO COTACAO (cot_id, cot_blt_id, cot_pap_id, cot_prc_comum, cot_prc_min, cot_prc_max, cot_prc_med, cot_prc_mediana) VALUES (1451, 74, 21, 40, 30, 40, 35, 35);</v>
      </c>
      <c r="J1452" t="str">
        <f t="shared" si="45"/>
        <v>UPDATE COTACAO SET cot_id = 1451, cot_blt_id = 74, cot_pap_id = 21, cot_prc_comum = 40, cot_prc_min = 30, cot_prc_max = 40, cot_prc_med = 35, cot_prc_mediana = 35 WHERE cot_id = 1451;</v>
      </c>
    </row>
    <row r="1453" spans="1:10" x14ac:dyDescent="0.3">
      <c r="A1453">
        <v>1452</v>
      </c>
      <c r="B1453">
        <f>IF('Boletins Nuppa Site'!A1453&lt;&gt;0,'Boletins Nuppa Site'!A1453,"NULL")</f>
        <v>74</v>
      </c>
      <c r="C1453">
        <v>22</v>
      </c>
      <c r="D1453">
        <f>IF('Boletins Nuppa Site'!G1453&lt;&gt;0,'Boletins Nuppa Site'!G1453,"NULL")</f>
        <v>45</v>
      </c>
      <c r="E1453" s="14">
        <f>IF('Boletins Nuppa Site'!H1453&lt;&gt;0,'Boletins Nuppa Site'!H1453,"NULL")</f>
        <v>45</v>
      </c>
      <c r="F1453" s="14">
        <f>IF('Boletins Nuppa Site'!I1453&lt;&gt;0,'Boletins Nuppa Site'!I1453,"NULL")</f>
        <v>70</v>
      </c>
      <c r="G1453" s="14" t="str">
        <f>IF('Boletins Nuppa Site'!J1453&lt;&gt;0,'Boletins Nuppa Site'!J1453,"NULL")</f>
        <v>56.25</v>
      </c>
      <c r="H1453" s="14">
        <f>IF('Boletins Nuppa Site'!K1453&lt;&gt;0,'Boletins Nuppa Site'!K1453,"NULL")</f>
        <v>55</v>
      </c>
      <c r="I1453" t="str">
        <f t="shared" si="44"/>
        <v>INSERT INTO COTACAO (cot_id, cot_blt_id, cot_pap_id, cot_prc_comum, cot_prc_min, cot_prc_max, cot_prc_med, cot_prc_mediana) VALUES (1452, 74, 22, 45, 45, 70, 56.25, 55);</v>
      </c>
      <c r="J1453" t="str">
        <f t="shared" si="45"/>
        <v>UPDATE COTACAO SET cot_id = 1452, cot_blt_id = 74, cot_pap_id = 22, cot_prc_comum = 45, cot_prc_min = 45, cot_prc_max = 70, cot_prc_med = 56.25, cot_prc_mediana = 55 WHERE cot_id = 1452;</v>
      </c>
    </row>
    <row r="1454" spans="1:10" x14ac:dyDescent="0.3">
      <c r="A1454">
        <v>1453</v>
      </c>
      <c r="B1454">
        <f>IF('Boletins Nuppa Site'!A1454&lt;&gt;0,'Boletins Nuppa Site'!A1454,"NULL")</f>
        <v>74</v>
      </c>
      <c r="C1454">
        <v>23</v>
      </c>
      <c r="D1454" t="str">
        <f>IF('Boletins Nuppa Site'!G1454&lt;&gt;0,'Boletins Nuppa Site'!G1454,"NULL")</f>
        <v>NULL</v>
      </c>
      <c r="E1454" s="14">
        <f>IF('Boletins Nuppa Site'!H1454&lt;&gt;0,'Boletins Nuppa Site'!H1454,"NULL")</f>
        <v>50</v>
      </c>
      <c r="F1454" s="14">
        <f>IF('Boletins Nuppa Site'!I1454&lt;&gt;0,'Boletins Nuppa Site'!I1454,"NULL")</f>
        <v>70</v>
      </c>
      <c r="G1454" s="14">
        <f>IF('Boletins Nuppa Site'!J1454&lt;&gt;0,'Boletins Nuppa Site'!J1454,"NULL")</f>
        <v>60</v>
      </c>
      <c r="H1454" s="14">
        <f>IF('Boletins Nuppa Site'!K1454&lt;&gt;0,'Boletins Nuppa Site'!K1454,"NULL")</f>
        <v>60</v>
      </c>
      <c r="I1454" t="str">
        <f t="shared" si="44"/>
        <v>INSERT INTO COTACAO (cot_id, cot_blt_id, cot_pap_id, cot_prc_comum, cot_prc_min, cot_prc_max, cot_prc_med, cot_prc_mediana) VALUES (1453, 74, 23, NULL, 50, 70, 60, 60);</v>
      </c>
      <c r="J1454" t="str">
        <f t="shared" si="45"/>
        <v>UPDATE COTACAO SET cot_id = 1453, cot_blt_id = 74, cot_pap_id = 23, cot_prc_comum = NULL, cot_prc_min = 50, cot_prc_max = 70, cot_prc_med = 60, cot_prc_mediana = 60 WHERE cot_id = 1453;</v>
      </c>
    </row>
    <row r="1455" spans="1:10" x14ac:dyDescent="0.3">
      <c r="A1455">
        <v>1454</v>
      </c>
      <c r="B1455">
        <f>IF('Boletins Nuppa Site'!A1455&lt;&gt;0,'Boletins Nuppa Site'!A1455,"NULL")</f>
        <v>74</v>
      </c>
      <c r="C1455">
        <v>24</v>
      </c>
      <c r="D1455" t="str">
        <f>IF('Boletins Nuppa Site'!G1455&lt;&gt;0,'Boletins Nuppa Site'!G1455,"NULL")</f>
        <v>NULL</v>
      </c>
      <c r="E1455" s="14">
        <f>IF('Boletins Nuppa Site'!H1455&lt;&gt;0,'Boletins Nuppa Site'!H1455,"NULL")</f>
        <v>45</v>
      </c>
      <c r="F1455" s="14">
        <f>IF('Boletins Nuppa Site'!I1455&lt;&gt;0,'Boletins Nuppa Site'!I1455,"NULL")</f>
        <v>110</v>
      </c>
      <c r="G1455" s="14" t="str">
        <f>IF('Boletins Nuppa Site'!J1455&lt;&gt;0,'Boletins Nuppa Site'!J1455,"NULL")</f>
        <v>81.67</v>
      </c>
      <c r="H1455" s="14">
        <f>IF('Boletins Nuppa Site'!K1455&lt;&gt;0,'Boletins Nuppa Site'!K1455,"NULL")</f>
        <v>90</v>
      </c>
      <c r="I1455" t="str">
        <f t="shared" si="44"/>
        <v>INSERT INTO COTACAO (cot_id, cot_blt_id, cot_pap_id, cot_prc_comum, cot_prc_min, cot_prc_max, cot_prc_med, cot_prc_mediana) VALUES (1454, 74, 24, NULL, 45, 110, 81.67, 90);</v>
      </c>
      <c r="J1455" t="str">
        <f t="shared" si="45"/>
        <v>UPDATE COTACAO SET cot_id = 1454, cot_blt_id = 74, cot_pap_id = 24, cot_prc_comum = NULL, cot_prc_min = 45, cot_prc_max = 110, cot_prc_med = 81.67, cot_prc_mediana = 90 WHERE cot_id = 1454;</v>
      </c>
    </row>
    <row r="1456" spans="1:10" x14ac:dyDescent="0.3">
      <c r="A1456">
        <v>1455</v>
      </c>
      <c r="B1456">
        <f>IF('Boletins Nuppa Site'!A1456&lt;&gt;0,'Boletins Nuppa Site'!A1456,"NULL")</f>
        <v>74</v>
      </c>
      <c r="C1456">
        <v>25</v>
      </c>
      <c r="D1456" t="str">
        <f>IF('Boletins Nuppa Site'!G1456&lt;&gt;0,'Boletins Nuppa Site'!G1456,"NULL")</f>
        <v>NULL</v>
      </c>
      <c r="E1456" s="14">
        <f>IF('Boletins Nuppa Site'!H1456&lt;&gt;0,'Boletins Nuppa Site'!H1456,"NULL")</f>
        <v>55</v>
      </c>
      <c r="F1456" s="14">
        <f>IF('Boletins Nuppa Site'!I1456&lt;&gt;0,'Boletins Nuppa Site'!I1456,"NULL")</f>
        <v>70</v>
      </c>
      <c r="G1456" s="14" t="str">
        <f>IF('Boletins Nuppa Site'!J1456&lt;&gt;0,'Boletins Nuppa Site'!J1456,"NULL")</f>
        <v>62.5</v>
      </c>
      <c r="H1456" s="14" t="str">
        <f>IF('Boletins Nuppa Site'!K1456&lt;&gt;0,'Boletins Nuppa Site'!K1456,"NULL")</f>
        <v>62.5</v>
      </c>
      <c r="I1456" t="str">
        <f t="shared" si="44"/>
        <v>INSERT INTO COTACAO (cot_id, cot_blt_id, cot_pap_id, cot_prc_comum, cot_prc_min, cot_prc_max, cot_prc_med, cot_prc_mediana) VALUES (1455, 74, 25, NULL, 55, 70, 62.5, 62.5);</v>
      </c>
      <c r="J1456" t="str">
        <f t="shared" si="45"/>
        <v>UPDATE COTACAO SET cot_id = 1455, cot_blt_id = 74, cot_pap_id = 25, cot_prc_comum = NULL, cot_prc_min = 55, cot_prc_max = 70, cot_prc_med = 62.5, cot_prc_mediana = 62.5 WHERE cot_id = 1455;</v>
      </c>
    </row>
    <row r="1457" spans="1:10" x14ac:dyDescent="0.3">
      <c r="A1457">
        <v>1456</v>
      </c>
      <c r="B1457">
        <f>IF('Boletins Nuppa Site'!A1457&lt;&gt;0,'Boletins Nuppa Site'!A1457,"NULL")</f>
        <v>74</v>
      </c>
      <c r="C1457">
        <v>26</v>
      </c>
      <c r="D1457">
        <f>IF('Boletins Nuppa Site'!G1457&lt;&gt;0,'Boletins Nuppa Site'!G1457,"NULL")</f>
        <v>55</v>
      </c>
      <c r="E1457" s="14">
        <f>IF('Boletins Nuppa Site'!H1457&lt;&gt;0,'Boletins Nuppa Site'!H1457,"NULL")</f>
        <v>40</v>
      </c>
      <c r="F1457" s="14">
        <f>IF('Boletins Nuppa Site'!I1457&lt;&gt;0,'Boletins Nuppa Site'!I1457,"NULL")</f>
        <v>55</v>
      </c>
      <c r="G1457" s="14" t="str">
        <f>IF('Boletins Nuppa Site'!J1457&lt;&gt;0,'Boletins Nuppa Site'!J1457,"NULL")</f>
        <v>48.75</v>
      </c>
      <c r="H1457" s="14">
        <f>IF('Boletins Nuppa Site'!K1457&lt;&gt;0,'Boletins Nuppa Site'!K1457,"NULL")</f>
        <v>50</v>
      </c>
      <c r="I1457" t="str">
        <f t="shared" si="44"/>
        <v>INSERT INTO COTACAO (cot_id, cot_blt_id, cot_pap_id, cot_prc_comum, cot_prc_min, cot_prc_max, cot_prc_med, cot_prc_mediana) VALUES (1456, 74, 26, 55, 40, 55, 48.75, 50);</v>
      </c>
      <c r="J1457" t="str">
        <f t="shared" si="45"/>
        <v>UPDATE COTACAO SET cot_id = 1456, cot_blt_id = 74, cot_pap_id = 26, cot_prc_comum = 55, cot_prc_min = 40, cot_prc_max = 55, cot_prc_med = 48.75, cot_prc_mediana = 50 WHERE cot_id = 1456;</v>
      </c>
    </row>
    <row r="1458" spans="1:10" x14ac:dyDescent="0.3">
      <c r="A1458">
        <v>1457</v>
      </c>
      <c r="B1458">
        <f>IF('Boletins Nuppa Site'!A1458&lt;&gt;0,'Boletins Nuppa Site'!A1458,"NULL")</f>
        <v>74</v>
      </c>
      <c r="C1458">
        <v>27</v>
      </c>
      <c r="D1458" t="str">
        <f>IF('Boletins Nuppa Site'!G1458&lt;&gt;0,'Boletins Nuppa Site'!G1458,"NULL")</f>
        <v>NULL</v>
      </c>
      <c r="E1458" s="14">
        <f>IF('Boletins Nuppa Site'!H1458&lt;&gt;0,'Boletins Nuppa Site'!H1458,"NULL")</f>
        <v>55</v>
      </c>
      <c r="F1458" s="14">
        <f>IF('Boletins Nuppa Site'!I1458&lt;&gt;0,'Boletins Nuppa Site'!I1458,"NULL")</f>
        <v>85</v>
      </c>
      <c r="G1458" s="14" t="str">
        <f>IF('Boletins Nuppa Site'!J1458&lt;&gt;0,'Boletins Nuppa Site'!J1458,"NULL")</f>
        <v>68.75</v>
      </c>
      <c r="H1458" s="14" t="str">
        <f>IF('Boletins Nuppa Site'!K1458&lt;&gt;0,'Boletins Nuppa Site'!K1458,"NULL")</f>
        <v>67.5</v>
      </c>
      <c r="I1458" t="str">
        <f t="shared" si="44"/>
        <v>INSERT INTO COTACAO (cot_id, cot_blt_id, cot_pap_id, cot_prc_comum, cot_prc_min, cot_prc_max, cot_prc_med, cot_prc_mediana) VALUES (1457, 74, 27, NULL, 55, 85, 68.75, 67.5);</v>
      </c>
      <c r="J1458" t="str">
        <f t="shared" si="45"/>
        <v>UPDATE COTACAO SET cot_id = 1457, cot_blt_id = 74, cot_pap_id = 27, cot_prc_comum = NULL, cot_prc_min = 55, cot_prc_max = 85, cot_prc_med = 68.75, cot_prc_mediana = 67.5 WHERE cot_id = 1457;</v>
      </c>
    </row>
    <row r="1459" spans="1:10" x14ac:dyDescent="0.3">
      <c r="A1459">
        <v>1458</v>
      </c>
      <c r="B1459">
        <f>IF('Boletins Nuppa Site'!A1459&lt;&gt;0,'Boletins Nuppa Site'!A1459,"NULL")</f>
        <v>74</v>
      </c>
      <c r="C1459">
        <v>28</v>
      </c>
      <c r="D1459" t="str">
        <f>IF('Boletins Nuppa Site'!G1459&lt;&gt;0,'Boletins Nuppa Site'!G1459,"NULL")</f>
        <v>NULL</v>
      </c>
      <c r="E1459" s="14">
        <f>IF('Boletins Nuppa Site'!H1459&lt;&gt;0,'Boletins Nuppa Site'!H1459,"NULL")</f>
        <v>90</v>
      </c>
      <c r="F1459" s="14">
        <f>IF('Boletins Nuppa Site'!I1459&lt;&gt;0,'Boletins Nuppa Site'!I1459,"NULL")</f>
        <v>100</v>
      </c>
      <c r="G1459" s="14">
        <f>IF('Boletins Nuppa Site'!J1459&lt;&gt;0,'Boletins Nuppa Site'!J1459,"NULL")</f>
        <v>95</v>
      </c>
      <c r="H1459" s="14">
        <f>IF('Boletins Nuppa Site'!K1459&lt;&gt;0,'Boletins Nuppa Site'!K1459,"NULL")</f>
        <v>95</v>
      </c>
      <c r="I1459" t="str">
        <f t="shared" si="44"/>
        <v>INSERT INTO COTACAO (cot_id, cot_blt_id, cot_pap_id, cot_prc_comum, cot_prc_min, cot_prc_max, cot_prc_med, cot_prc_mediana) VALUES (1458, 74, 28, NULL, 90, 100, 95, 95);</v>
      </c>
      <c r="J1459" t="str">
        <f t="shared" si="45"/>
        <v>UPDATE COTACAO SET cot_id = 1458, cot_blt_id = 74, cot_pap_id = 28, cot_prc_comum = NULL, cot_prc_min = 90, cot_prc_max = 100, cot_prc_med = 95, cot_prc_mediana = 95 WHERE cot_id = 1458;</v>
      </c>
    </row>
    <row r="1460" spans="1:10" x14ac:dyDescent="0.3">
      <c r="A1460">
        <v>1459</v>
      </c>
      <c r="B1460">
        <f>IF('Boletins Nuppa Site'!A1460&lt;&gt;0,'Boletins Nuppa Site'!A1460,"NULL")</f>
        <v>74</v>
      </c>
      <c r="C1460">
        <v>29</v>
      </c>
      <c r="D1460" t="str">
        <f>IF('Boletins Nuppa Site'!G1460&lt;&gt;0,'Boletins Nuppa Site'!G1460,"NULL")</f>
        <v>NULL</v>
      </c>
      <c r="E1460" s="14">
        <f>IF('Boletins Nuppa Site'!H1460&lt;&gt;0,'Boletins Nuppa Site'!H1460,"NULL")</f>
        <v>70</v>
      </c>
      <c r="F1460" s="14">
        <f>IF('Boletins Nuppa Site'!I1460&lt;&gt;0,'Boletins Nuppa Site'!I1460,"NULL")</f>
        <v>70</v>
      </c>
      <c r="G1460" s="14">
        <f>IF('Boletins Nuppa Site'!J1460&lt;&gt;0,'Boletins Nuppa Site'!J1460,"NULL")</f>
        <v>70</v>
      </c>
      <c r="H1460" s="14">
        <f>IF('Boletins Nuppa Site'!K1460&lt;&gt;0,'Boletins Nuppa Site'!K1460,"NULL")</f>
        <v>70</v>
      </c>
      <c r="I1460" t="str">
        <f t="shared" si="44"/>
        <v>INSERT INTO COTACAO (cot_id, cot_blt_id, cot_pap_id, cot_prc_comum, cot_prc_min, cot_prc_max, cot_prc_med, cot_prc_mediana) VALUES (1459, 74, 29, NULL, 70, 70, 70, 70);</v>
      </c>
      <c r="J1460" t="str">
        <f t="shared" si="45"/>
        <v>UPDATE COTACAO SET cot_id = 1459, cot_blt_id = 74, cot_pap_id = 29, cot_prc_comum = NULL, cot_prc_min = 70, cot_prc_max = 70, cot_prc_med = 70, cot_prc_mediana = 70 WHERE cot_id = 1459;</v>
      </c>
    </row>
    <row r="1461" spans="1:10" x14ac:dyDescent="0.3">
      <c r="A1461">
        <v>1460</v>
      </c>
      <c r="B1461">
        <f>IF('Boletins Nuppa Site'!A1461&lt;&gt;0,'Boletins Nuppa Site'!A1461,"NULL")</f>
        <v>74</v>
      </c>
      <c r="C1461">
        <v>30</v>
      </c>
      <c r="D1461" t="str">
        <f>IF('Boletins Nuppa Site'!G1461&lt;&gt;0,'Boletins Nuppa Site'!G1461,"NULL")</f>
        <v>NULL</v>
      </c>
      <c r="E1461" s="14">
        <f>IF('Boletins Nuppa Site'!H1461&lt;&gt;0,'Boletins Nuppa Site'!H1461,"NULL")</f>
        <v>70</v>
      </c>
      <c r="F1461" s="14">
        <f>IF('Boletins Nuppa Site'!I1461&lt;&gt;0,'Boletins Nuppa Site'!I1461,"NULL")</f>
        <v>80</v>
      </c>
      <c r="G1461" s="14">
        <f>IF('Boletins Nuppa Site'!J1461&lt;&gt;0,'Boletins Nuppa Site'!J1461,"NULL")</f>
        <v>75</v>
      </c>
      <c r="H1461" s="14">
        <f>IF('Boletins Nuppa Site'!K1461&lt;&gt;0,'Boletins Nuppa Site'!K1461,"NULL")</f>
        <v>75</v>
      </c>
      <c r="I1461" t="str">
        <f t="shared" si="44"/>
        <v>INSERT INTO COTACAO (cot_id, cot_blt_id, cot_pap_id, cot_prc_comum, cot_prc_min, cot_prc_max, cot_prc_med, cot_prc_mediana) VALUES (1460, 74, 30, NULL, 70, 80, 75, 75);</v>
      </c>
      <c r="J1461" t="str">
        <f t="shared" si="45"/>
        <v>UPDATE COTACAO SET cot_id = 1460, cot_blt_id = 74, cot_pap_id = 30, cot_prc_comum = NULL, cot_prc_min = 70, cot_prc_max = 80, cot_prc_med = 75, cot_prc_mediana = 75 WHERE cot_id = 1460;</v>
      </c>
    </row>
    <row r="1462" spans="1:10" x14ac:dyDescent="0.3">
      <c r="A1462">
        <v>1461</v>
      </c>
      <c r="B1462">
        <f>IF('Boletins Nuppa Site'!A1462&lt;&gt;0,'Boletins Nuppa Site'!A1462,"NULL")</f>
        <v>74</v>
      </c>
      <c r="C1462">
        <v>31</v>
      </c>
      <c r="D1462">
        <f>IF('Boletins Nuppa Site'!G1462&lt;&gt;0,'Boletins Nuppa Site'!G1462,"NULL")</f>
        <v>100</v>
      </c>
      <c r="E1462" s="14">
        <f>IF('Boletins Nuppa Site'!H1462&lt;&gt;0,'Boletins Nuppa Site'!H1462,"NULL")</f>
        <v>75</v>
      </c>
      <c r="F1462" s="14">
        <f>IF('Boletins Nuppa Site'!I1462&lt;&gt;0,'Boletins Nuppa Site'!I1462,"NULL")</f>
        <v>100</v>
      </c>
      <c r="G1462" s="14" t="str">
        <f>IF('Boletins Nuppa Site'!J1462&lt;&gt;0,'Boletins Nuppa Site'!J1462,"NULL")</f>
        <v>88.75</v>
      </c>
      <c r="H1462" s="14">
        <f>IF('Boletins Nuppa Site'!K1462&lt;&gt;0,'Boletins Nuppa Site'!K1462,"NULL")</f>
        <v>90</v>
      </c>
      <c r="I1462" t="str">
        <f t="shared" si="44"/>
        <v>INSERT INTO COTACAO (cot_id, cot_blt_id, cot_pap_id, cot_prc_comum, cot_prc_min, cot_prc_max, cot_prc_med, cot_prc_mediana) VALUES (1461, 74, 31, 100, 75, 100, 88.75, 90);</v>
      </c>
      <c r="J1462" t="str">
        <f t="shared" si="45"/>
        <v>UPDATE COTACAO SET cot_id = 1461, cot_blt_id = 74, cot_pap_id = 31, cot_prc_comum = 100, cot_prc_min = 75, cot_prc_max = 100, cot_prc_med = 88.75, cot_prc_mediana = 90 WHERE cot_id = 1461;</v>
      </c>
    </row>
    <row r="1463" spans="1:10" x14ac:dyDescent="0.3">
      <c r="A1463">
        <v>1462</v>
      </c>
      <c r="B1463">
        <f>IF('Boletins Nuppa Site'!A1463&lt;&gt;0,'Boletins Nuppa Site'!A1463,"NULL")</f>
        <v>74</v>
      </c>
      <c r="C1463">
        <v>32</v>
      </c>
      <c r="D1463">
        <f>IF('Boletins Nuppa Site'!G1463&lt;&gt;0,'Boletins Nuppa Site'!G1463,"NULL")</f>
        <v>45</v>
      </c>
      <c r="E1463" s="14">
        <f>IF('Boletins Nuppa Site'!H1463&lt;&gt;0,'Boletins Nuppa Site'!H1463,"NULL")</f>
        <v>45</v>
      </c>
      <c r="F1463" s="14">
        <f>IF('Boletins Nuppa Site'!I1463&lt;&gt;0,'Boletins Nuppa Site'!I1463,"NULL")</f>
        <v>85</v>
      </c>
      <c r="G1463" s="14" t="str">
        <f>IF('Boletins Nuppa Site'!J1463&lt;&gt;0,'Boletins Nuppa Site'!J1463,"NULL")</f>
        <v>57.5</v>
      </c>
      <c r="H1463" s="14">
        <f>IF('Boletins Nuppa Site'!K1463&lt;&gt;0,'Boletins Nuppa Site'!K1463,"NULL")</f>
        <v>50</v>
      </c>
      <c r="I1463" t="str">
        <f t="shared" si="44"/>
        <v>INSERT INTO COTACAO (cot_id, cot_blt_id, cot_pap_id, cot_prc_comum, cot_prc_min, cot_prc_max, cot_prc_med, cot_prc_mediana) VALUES (1462, 74, 32, 45, 45, 85, 57.5, 50);</v>
      </c>
      <c r="J1463" t="str">
        <f t="shared" si="45"/>
        <v>UPDATE COTACAO SET cot_id = 1462, cot_blt_id = 74, cot_pap_id = 32, cot_prc_comum = 45, cot_prc_min = 45, cot_prc_max = 85, cot_prc_med = 57.5, cot_prc_mediana = 50 WHERE cot_id = 1462;</v>
      </c>
    </row>
    <row r="1464" spans="1:10" x14ac:dyDescent="0.3">
      <c r="A1464">
        <v>1463</v>
      </c>
      <c r="B1464">
        <f>IF('Boletins Nuppa Site'!A1464&lt;&gt;0,'Boletins Nuppa Site'!A1464,"NULL")</f>
        <v>74</v>
      </c>
      <c r="C1464">
        <v>33</v>
      </c>
      <c r="D1464">
        <f>IF('Boletins Nuppa Site'!G1464&lt;&gt;0,'Boletins Nuppa Site'!G1464,"NULL")</f>
        <v>160</v>
      </c>
      <c r="E1464" s="14">
        <f>IF('Boletins Nuppa Site'!H1464&lt;&gt;0,'Boletins Nuppa Site'!H1464,"NULL")</f>
        <v>150</v>
      </c>
      <c r="F1464" s="14">
        <f>IF('Boletins Nuppa Site'!I1464&lt;&gt;0,'Boletins Nuppa Site'!I1464,"NULL")</f>
        <v>180</v>
      </c>
      <c r="G1464" s="14" t="str">
        <f>IF('Boletins Nuppa Site'!J1464&lt;&gt;0,'Boletins Nuppa Site'!J1464,"NULL")</f>
        <v>162.5</v>
      </c>
      <c r="H1464" s="14">
        <f>IF('Boletins Nuppa Site'!K1464&lt;&gt;0,'Boletins Nuppa Site'!K1464,"NULL")</f>
        <v>160</v>
      </c>
      <c r="I1464" t="str">
        <f t="shared" si="44"/>
        <v>INSERT INTO COTACAO (cot_id, cot_blt_id, cot_pap_id, cot_prc_comum, cot_prc_min, cot_prc_max, cot_prc_med, cot_prc_mediana) VALUES (1463, 74, 33, 160, 150, 180, 162.5, 160);</v>
      </c>
      <c r="J1464" t="str">
        <f t="shared" si="45"/>
        <v>UPDATE COTACAO SET cot_id = 1463, cot_blt_id = 74, cot_pap_id = 33, cot_prc_comum = 160, cot_prc_min = 150, cot_prc_max = 180, cot_prc_med = 162.5, cot_prc_mediana = 160 WHERE cot_id = 1463;</v>
      </c>
    </row>
    <row r="1465" spans="1:10" x14ac:dyDescent="0.3">
      <c r="A1465">
        <v>1464</v>
      </c>
      <c r="B1465">
        <f>IF('Boletins Nuppa Site'!A1465&lt;&gt;0,'Boletins Nuppa Site'!A1465,"NULL")</f>
        <v>74</v>
      </c>
      <c r="C1465">
        <v>34</v>
      </c>
      <c r="D1465" t="str">
        <f>IF('Boletins Nuppa Site'!G1465&lt;&gt;0,'Boletins Nuppa Site'!G1465,"NULL")</f>
        <v>NULL</v>
      </c>
      <c r="E1465" s="14">
        <f>IF('Boletins Nuppa Site'!H1465&lt;&gt;0,'Boletins Nuppa Site'!H1465,"NULL")</f>
        <v>50</v>
      </c>
      <c r="F1465" s="14">
        <f>IF('Boletins Nuppa Site'!I1465&lt;&gt;0,'Boletins Nuppa Site'!I1465,"NULL")</f>
        <v>80</v>
      </c>
      <c r="G1465" s="14">
        <f>IF('Boletins Nuppa Site'!J1465&lt;&gt;0,'Boletins Nuppa Site'!J1465,"NULL")</f>
        <v>65</v>
      </c>
      <c r="H1465" s="14">
        <f>IF('Boletins Nuppa Site'!K1465&lt;&gt;0,'Boletins Nuppa Site'!K1465,"NULL")</f>
        <v>65</v>
      </c>
      <c r="I1465" t="str">
        <f t="shared" si="44"/>
        <v>INSERT INTO COTACAO (cot_id, cot_blt_id, cot_pap_id, cot_prc_comum, cot_prc_min, cot_prc_max, cot_prc_med, cot_prc_mediana) VALUES (1464, 74, 34, NULL, 50, 80, 65, 65);</v>
      </c>
      <c r="J1465" t="str">
        <f t="shared" si="45"/>
        <v>UPDATE COTACAO SET cot_id = 1464, cot_blt_id = 74, cot_pap_id = 34, cot_prc_comum = NULL, cot_prc_min = 50, cot_prc_max = 80, cot_prc_med = 65, cot_prc_mediana = 65 WHERE cot_id = 1464;</v>
      </c>
    </row>
    <row r="1466" spans="1:10" x14ac:dyDescent="0.3">
      <c r="A1466">
        <v>1465</v>
      </c>
      <c r="B1466">
        <f>IF('Boletins Nuppa Site'!A1466&lt;&gt;0,'Boletins Nuppa Site'!A1466,"NULL")</f>
        <v>74</v>
      </c>
      <c r="C1466">
        <v>35</v>
      </c>
      <c r="D1466" t="str">
        <f>IF('Boletins Nuppa Site'!G1466&lt;&gt;0,'Boletins Nuppa Site'!G1466,"NULL")</f>
        <v>NULL</v>
      </c>
      <c r="E1466" s="14">
        <f>IF('Boletins Nuppa Site'!H1466&lt;&gt;0,'Boletins Nuppa Site'!H1466,"NULL")</f>
        <v>90</v>
      </c>
      <c r="F1466" s="14">
        <f>IF('Boletins Nuppa Site'!I1466&lt;&gt;0,'Boletins Nuppa Site'!I1466,"NULL")</f>
        <v>120</v>
      </c>
      <c r="G1466" s="14" t="str">
        <f>IF('Boletins Nuppa Site'!J1466&lt;&gt;0,'Boletins Nuppa Site'!J1466,"NULL")</f>
        <v>103.33</v>
      </c>
      <c r="H1466" s="14">
        <f>IF('Boletins Nuppa Site'!K1466&lt;&gt;0,'Boletins Nuppa Site'!K1466,"NULL")</f>
        <v>100</v>
      </c>
      <c r="I1466" t="str">
        <f t="shared" si="44"/>
        <v>INSERT INTO COTACAO (cot_id, cot_blt_id, cot_pap_id, cot_prc_comum, cot_prc_min, cot_prc_max, cot_prc_med, cot_prc_mediana) VALUES (1465, 74, 35, NULL, 90, 120, 103.33, 100);</v>
      </c>
      <c r="J1466" t="str">
        <f t="shared" si="45"/>
        <v>UPDATE COTACAO SET cot_id = 1465, cot_blt_id = 74, cot_pap_id = 35, cot_prc_comum = NULL, cot_prc_min = 90, cot_prc_max = 120, cot_prc_med = 103.33, cot_prc_mediana = 100 WHERE cot_id = 1465;</v>
      </c>
    </row>
    <row r="1467" spans="1:10" x14ac:dyDescent="0.3">
      <c r="A1467">
        <v>1466</v>
      </c>
      <c r="B1467">
        <f>IF('Boletins Nuppa Site'!A1467&lt;&gt;0,'Boletins Nuppa Site'!A1467,"NULL")</f>
        <v>74</v>
      </c>
      <c r="C1467">
        <v>36</v>
      </c>
      <c r="D1467" t="str">
        <f>IF('Boletins Nuppa Site'!G1467&lt;&gt;0,'Boletins Nuppa Site'!G1467,"NULL")</f>
        <v>NULL</v>
      </c>
      <c r="E1467" s="14" t="str">
        <f>IF('Boletins Nuppa Site'!H1467&lt;&gt;0,'Boletins Nuppa Site'!H1467,"NULL")</f>
        <v>NULL</v>
      </c>
      <c r="F1467" s="14" t="str">
        <f>IF('Boletins Nuppa Site'!I1467&lt;&gt;0,'Boletins Nuppa Site'!I1467,"NULL")</f>
        <v>NULL</v>
      </c>
      <c r="G1467" s="14" t="str">
        <f>IF('Boletins Nuppa Site'!J1467&lt;&gt;0,'Boletins Nuppa Site'!J1467,"NULL")</f>
        <v>NULL</v>
      </c>
      <c r="H1467" s="14" t="str">
        <f>IF('Boletins Nuppa Site'!K1467&lt;&gt;0,'Boletins Nuppa Site'!K1467,"NULL")</f>
        <v>NULL</v>
      </c>
      <c r="I1467" t="str">
        <f t="shared" si="44"/>
        <v>INSERT INTO COTACAO (cot_id, cot_blt_id, cot_pap_id, cot_prc_comum, cot_prc_min, cot_prc_max, cot_prc_med, cot_prc_mediana) VALUES (1466, 74, 36, NULL, NULL, NULL, NULL, NULL);</v>
      </c>
      <c r="J1467" t="str">
        <f t="shared" si="45"/>
        <v>UPDATE COTACAO SET cot_id = 1466, cot_blt_id = 74, cot_pap_id = 36, cot_prc_comum = NULL, cot_prc_min = NULL, cot_prc_max = NULL, cot_prc_med = NULL, cot_prc_mediana = NULL WHERE cot_id = 1466;</v>
      </c>
    </row>
    <row r="1468" spans="1:10" x14ac:dyDescent="0.3">
      <c r="A1468">
        <v>1467</v>
      </c>
      <c r="B1468">
        <f>IF('Boletins Nuppa Site'!A1468&lt;&gt;0,'Boletins Nuppa Site'!A1468,"NULL")</f>
        <v>74</v>
      </c>
      <c r="C1468">
        <v>37</v>
      </c>
      <c r="D1468" t="str">
        <f>IF('Boletins Nuppa Site'!G1468&lt;&gt;0,'Boletins Nuppa Site'!G1468,"NULL")</f>
        <v>NULL</v>
      </c>
      <c r="E1468" s="14" t="str">
        <f>IF('Boletins Nuppa Site'!H1468&lt;&gt;0,'Boletins Nuppa Site'!H1468,"NULL")</f>
        <v>NULL</v>
      </c>
      <c r="F1468" s="14" t="str">
        <f>IF('Boletins Nuppa Site'!I1468&lt;&gt;0,'Boletins Nuppa Site'!I1468,"NULL")</f>
        <v>NULL</v>
      </c>
      <c r="G1468" s="14" t="str">
        <f>IF('Boletins Nuppa Site'!J1468&lt;&gt;0,'Boletins Nuppa Site'!J1468,"NULL")</f>
        <v>NULL</v>
      </c>
      <c r="H1468" s="14" t="str">
        <f>IF('Boletins Nuppa Site'!K1468&lt;&gt;0,'Boletins Nuppa Site'!K1468,"NULL")</f>
        <v>NULL</v>
      </c>
      <c r="I1468" t="str">
        <f t="shared" si="44"/>
        <v>INSERT INTO COTACAO (cot_id, cot_blt_id, cot_pap_id, cot_prc_comum, cot_prc_min, cot_prc_max, cot_prc_med, cot_prc_mediana) VALUES (1467, 74, 37, NULL, NULL, NULL, NULL, NULL);</v>
      </c>
      <c r="J1468" t="str">
        <f t="shared" si="45"/>
        <v>UPDATE COTACAO SET cot_id = 1467, cot_blt_id = 74, cot_pap_id = 37, cot_prc_comum = NULL, cot_prc_min = NULL, cot_prc_max = NULL, cot_prc_med = NULL, cot_prc_mediana = NULL WHERE cot_id = 1467;</v>
      </c>
    </row>
    <row r="1469" spans="1:10" x14ac:dyDescent="0.3">
      <c r="A1469">
        <v>1468</v>
      </c>
      <c r="B1469">
        <f>IF('Boletins Nuppa Site'!A1469&lt;&gt;0,'Boletins Nuppa Site'!A1469,"NULL")</f>
        <v>74</v>
      </c>
      <c r="C1469">
        <v>38</v>
      </c>
      <c r="D1469" t="str">
        <f>IF('Boletins Nuppa Site'!G1469&lt;&gt;0,'Boletins Nuppa Site'!G1469,"NULL")</f>
        <v>NULL</v>
      </c>
      <c r="E1469" s="14" t="str">
        <f>IF('Boletins Nuppa Site'!H1469&lt;&gt;0,'Boletins Nuppa Site'!H1469,"NULL")</f>
        <v>NULL</v>
      </c>
      <c r="F1469" s="14" t="str">
        <f>IF('Boletins Nuppa Site'!I1469&lt;&gt;0,'Boletins Nuppa Site'!I1469,"NULL")</f>
        <v>NULL</v>
      </c>
      <c r="G1469" s="14" t="str">
        <f>IF('Boletins Nuppa Site'!J1469&lt;&gt;0,'Boletins Nuppa Site'!J1469,"NULL")</f>
        <v>NULL</v>
      </c>
      <c r="H1469" s="14" t="str">
        <f>IF('Boletins Nuppa Site'!K1469&lt;&gt;0,'Boletins Nuppa Site'!K1469,"NULL")</f>
        <v>NULL</v>
      </c>
      <c r="I1469" t="str">
        <f t="shared" si="44"/>
        <v>INSERT INTO COTACAO (cot_id, cot_blt_id, cot_pap_id, cot_prc_comum, cot_prc_min, cot_prc_max, cot_prc_med, cot_prc_mediana) VALUES (1468, 74, 38, NULL, NULL, NULL, NULL, NULL);</v>
      </c>
      <c r="J1469" t="str">
        <f t="shared" si="45"/>
        <v>UPDATE COTACAO SET cot_id = 1468, cot_blt_id = 74, cot_pap_id = 38, cot_prc_comum = NULL, cot_prc_min = NULL, cot_prc_max = NULL, cot_prc_med = NULL, cot_prc_mediana = NULL WHERE cot_id = 1468;</v>
      </c>
    </row>
    <row r="1470" spans="1:10" x14ac:dyDescent="0.3">
      <c r="A1470">
        <v>1469</v>
      </c>
      <c r="B1470">
        <f>IF('Boletins Nuppa Site'!A1470&lt;&gt;0,'Boletins Nuppa Site'!A1470,"NULL")</f>
        <v>74</v>
      </c>
      <c r="C1470">
        <v>39</v>
      </c>
      <c r="D1470" t="str">
        <f>IF('Boletins Nuppa Site'!G1470&lt;&gt;0,'Boletins Nuppa Site'!G1470,"NULL")</f>
        <v>NULL</v>
      </c>
      <c r="E1470" s="14">
        <f>IF('Boletins Nuppa Site'!H1470&lt;&gt;0,'Boletins Nuppa Site'!H1470,"NULL")</f>
        <v>70</v>
      </c>
      <c r="F1470" s="14">
        <f>IF('Boletins Nuppa Site'!I1470&lt;&gt;0,'Boletins Nuppa Site'!I1470,"NULL")</f>
        <v>70</v>
      </c>
      <c r="G1470" s="14">
        <f>IF('Boletins Nuppa Site'!J1470&lt;&gt;0,'Boletins Nuppa Site'!J1470,"NULL")</f>
        <v>70</v>
      </c>
      <c r="H1470" s="14">
        <f>IF('Boletins Nuppa Site'!K1470&lt;&gt;0,'Boletins Nuppa Site'!K1470,"NULL")</f>
        <v>70</v>
      </c>
      <c r="I1470" t="str">
        <f t="shared" si="44"/>
        <v>INSERT INTO COTACAO (cot_id, cot_blt_id, cot_pap_id, cot_prc_comum, cot_prc_min, cot_prc_max, cot_prc_med, cot_prc_mediana) VALUES (1469, 74, 39, NULL, 70, 70, 70, 70);</v>
      </c>
      <c r="J1470" t="str">
        <f t="shared" si="45"/>
        <v>UPDATE COTACAO SET cot_id = 1469, cot_blt_id = 74, cot_pap_id = 39, cot_prc_comum = NULL, cot_prc_min = 70, cot_prc_max = 70, cot_prc_med = 70, cot_prc_mediana = 70 WHERE cot_id = 1469;</v>
      </c>
    </row>
    <row r="1471" spans="1:10" x14ac:dyDescent="0.3">
      <c r="A1471">
        <v>1470</v>
      </c>
      <c r="B1471">
        <f>IF('Boletins Nuppa Site'!A1471&lt;&gt;0,'Boletins Nuppa Site'!A1471,"NULL")</f>
        <v>74</v>
      </c>
      <c r="C1471">
        <v>40</v>
      </c>
      <c r="D1471" t="str">
        <f>IF('Boletins Nuppa Site'!G1471&lt;&gt;0,'Boletins Nuppa Site'!G1471,"NULL")</f>
        <v>NULL</v>
      </c>
      <c r="E1471" s="14" t="str">
        <f>IF('Boletins Nuppa Site'!H1471&lt;&gt;0,'Boletins Nuppa Site'!H1471,"NULL")</f>
        <v>NULL</v>
      </c>
      <c r="F1471" s="14" t="str">
        <f>IF('Boletins Nuppa Site'!I1471&lt;&gt;0,'Boletins Nuppa Site'!I1471,"NULL")</f>
        <v>NULL</v>
      </c>
      <c r="G1471" s="14" t="str">
        <f>IF('Boletins Nuppa Site'!J1471&lt;&gt;0,'Boletins Nuppa Site'!J1471,"NULL")</f>
        <v>NULL</v>
      </c>
      <c r="H1471" s="14" t="str">
        <f>IF('Boletins Nuppa Site'!K1471&lt;&gt;0,'Boletins Nuppa Site'!K1471,"NULL")</f>
        <v>NULL</v>
      </c>
      <c r="I1471" t="str">
        <f t="shared" si="44"/>
        <v>INSERT INTO COTACAO (cot_id, cot_blt_id, cot_pap_id, cot_prc_comum, cot_prc_min, cot_prc_max, cot_prc_med, cot_prc_mediana) VALUES (1470, 74, 40, NULL, NULL, NULL, NULL, NULL);</v>
      </c>
      <c r="J1471" t="str">
        <f t="shared" si="45"/>
        <v>UPDATE COTACAO SET cot_id = 1470, cot_blt_id = 74, cot_pap_id = 40, cot_prc_comum = NULL, cot_prc_min = NULL, cot_prc_max = NULL, cot_prc_med = NULL, cot_prc_mediana = NULL WHERE cot_id = 1470;</v>
      </c>
    </row>
    <row r="1472" spans="1:10" x14ac:dyDescent="0.3">
      <c r="A1472">
        <v>1471</v>
      </c>
      <c r="B1472">
        <f>IF('Boletins Nuppa Site'!A1472&lt;&gt;0,'Boletins Nuppa Site'!A1472,"NULL")</f>
        <v>75</v>
      </c>
      <c r="C1472">
        <v>1</v>
      </c>
      <c r="D1472" t="str">
        <f>IF('Boletins Nuppa Site'!G1472&lt;&gt;0,'Boletins Nuppa Site'!G1472,"NULL")</f>
        <v>NULL</v>
      </c>
      <c r="E1472" s="14">
        <f>IF('Boletins Nuppa Site'!H1472&lt;&gt;0,'Boletins Nuppa Site'!H1472,"NULL")</f>
        <v>36</v>
      </c>
      <c r="F1472" s="14">
        <f>IF('Boletins Nuppa Site'!I1472&lt;&gt;0,'Boletins Nuppa Site'!I1472,"NULL")</f>
        <v>60</v>
      </c>
      <c r="G1472" s="14">
        <f>IF('Boletins Nuppa Site'!J1472&lt;&gt;0,'Boletins Nuppa Site'!J1472,"NULL")</f>
        <v>48</v>
      </c>
      <c r="H1472" s="14">
        <f>IF('Boletins Nuppa Site'!K1472&lt;&gt;0,'Boletins Nuppa Site'!K1472,"NULL")</f>
        <v>48</v>
      </c>
      <c r="I1472" t="str">
        <f t="shared" si="44"/>
        <v>INSERT INTO COTACAO (cot_id, cot_blt_id, cot_pap_id, cot_prc_comum, cot_prc_min, cot_prc_max, cot_prc_med, cot_prc_mediana) VALUES (1471, 75, 1, NULL, 36, 60, 48, 48);</v>
      </c>
      <c r="J1472" t="str">
        <f t="shared" si="45"/>
        <v>UPDATE COTACAO SET cot_id = 1471, cot_blt_id = 75, cot_pap_id = 1, cot_prc_comum = NULL, cot_prc_min = 36, cot_prc_max = 60, cot_prc_med = 48, cot_prc_mediana = 48 WHERE cot_id = 1471;</v>
      </c>
    </row>
    <row r="1473" spans="1:10" x14ac:dyDescent="0.3">
      <c r="A1473">
        <v>1472</v>
      </c>
      <c r="B1473">
        <f>IF('Boletins Nuppa Site'!A1473&lt;&gt;0,'Boletins Nuppa Site'!A1473,"NULL")</f>
        <v>75</v>
      </c>
      <c r="C1473">
        <v>2</v>
      </c>
      <c r="D1473">
        <f>IF('Boletins Nuppa Site'!G1473&lt;&gt;0,'Boletins Nuppa Site'!G1473,"NULL")</f>
        <v>72</v>
      </c>
      <c r="E1473" s="14">
        <f>IF('Boletins Nuppa Site'!H1473&lt;&gt;0,'Boletins Nuppa Site'!H1473,"NULL")</f>
        <v>78</v>
      </c>
      <c r="F1473" s="14">
        <f>IF('Boletins Nuppa Site'!I1473&lt;&gt;0,'Boletins Nuppa Site'!I1473,"NULL")</f>
        <v>84</v>
      </c>
      <c r="G1473" s="14">
        <f>IF('Boletins Nuppa Site'!J1473&lt;&gt;0,'Boletins Nuppa Site'!J1473,"NULL")</f>
        <v>78</v>
      </c>
      <c r="H1473" s="14">
        <f>IF('Boletins Nuppa Site'!K1473&lt;&gt;0,'Boletins Nuppa Site'!K1473,"NULL")</f>
        <v>78</v>
      </c>
      <c r="I1473" t="str">
        <f t="shared" si="44"/>
        <v>INSERT INTO COTACAO (cot_id, cot_blt_id, cot_pap_id, cot_prc_comum, cot_prc_min, cot_prc_max, cot_prc_med, cot_prc_mediana) VALUES (1472, 75, 2, 72, 78, 84, 78, 78);</v>
      </c>
      <c r="J1473" t="str">
        <f t="shared" si="45"/>
        <v>UPDATE COTACAO SET cot_id = 1472, cot_blt_id = 75, cot_pap_id = 2, cot_prc_comum = 72, cot_prc_min = 78, cot_prc_max = 84, cot_prc_med = 78, cot_prc_mediana = 78 WHERE cot_id = 1472;</v>
      </c>
    </row>
    <row r="1474" spans="1:10" x14ac:dyDescent="0.3">
      <c r="A1474">
        <v>1473</v>
      </c>
      <c r="B1474">
        <f>IF('Boletins Nuppa Site'!A1474&lt;&gt;0,'Boletins Nuppa Site'!A1474,"NULL")</f>
        <v>75</v>
      </c>
      <c r="C1474">
        <v>3</v>
      </c>
      <c r="D1474">
        <f>IF('Boletins Nuppa Site'!G1474&lt;&gt;0,'Boletins Nuppa Site'!G1474,"NULL")</f>
        <v>30</v>
      </c>
      <c r="E1474" s="14">
        <f>IF('Boletins Nuppa Site'!H1474&lt;&gt;0,'Boletins Nuppa Site'!H1474,"NULL")</f>
        <v>30</v>
      </c>
      <c r="F1474" s="14">
        <f>IF('Boletins Nuppa Site'!I1474&lt;&gt;0,'Boletins Nuppa Site'!I1474,"NULL")</f>
        <v>30</v>
      </c>
      <c r="G1474" s="14">
        <f>IF('Boletins Nuppa Site'!J1474&lt;&gt;0,'Boletins Nuppa Site'!J1474,"NULL")</f>
        <v>30</v>
      </c>
      <c r="H1474" s="14">
        <f>IF('Boletins Nuppa Site'!K1474&lt;&gt;0,'Boletins Nuppa Site'!K1474,"NULL")</f>
        <v>30</v>
      </c>
      <c r="I1474" t="str">
        <f t="shared" si="44"/>
        <v>INSERT INTO COTACAO (cot_id, cot_blt_id, cot_pap_id, cot_prc_comum, cot_prc_min, cot_prc_max, cot_prc_med, cot_prc_mediana) VALUES (1473, 75, 3, 30, 30, 30, 30, 30);</v>
      </c>
      <c r="J1474" t="str">
        <f t="shared" si="45"/>
        <v>UPDATE COTACAO SET cot_id = 1473, cot_blt_id = 75, cot_pap_id = 3, cot_prc_comum = 30, cot_prc_min = 30, cot_prc_max = 30, cot_prc_med = 30, cot_prc_mediana = 30 WHERE cot_id = 1473;</v>
      </c>
    </row>
    <row r="1475" spans="1:10" x14ac:dyDescent="0.3">
      <c r="A1475">
        <v>1474</v>
      </c>
      <c r="B1475">
        <f>IF('Boletins Nuppa Site'!A1475&lt;&gt;0,'Boletins Nuppa Site'!A1475,"NULL")</f>
        <v>75</v>
      </c>
      <c r="C1475">
        <v>4</v>
      </c>
      <c r="D1475">
        <f>IF('Boletins Nuppa Site'!G1475&lt;&gt;0,'Boletins Nuppa Site'!G1475,"NULL")</f>
        <v>18</v>
      </c>
      <c r="E1475" s="14">
        <f>IF('Boletins Nuppa Site'!H1475&lt;&gt;0,'Boletins Nuppa Site'!H1475,"NULL")</f>
        <v>18</v>
      </c>
      <c r="F1475" s="14">
        <f>IF('Boletins Nuppa Site'!I1475&lt;&gt;0,'Boletins Nuppa Site'!I1475,"NULL")</f>
        <v>20</v>
      </c>
      <c r="G1475" s="14" t="str">
        <f>IF('Boletins Nuppa Site'!J1475&lt;&gt;0,'Boletins Nuppa Site'!J1475,"NULL")</f>
        <v>18.67</v>
      </c>
      <c r="H1475" s="14">
        <f>IF('Boletins Nuppa Site'!K1475&lt;&gt;0,'Boletins Nuppa Site'!K1475,"NULL")</f>
        <v>18</v>
      </c>
      <c r="I1475" t="str">
        <f t="shared" ref="I1475:I1538" si="46">"INSERT INTO COTACAO (cot_id, cot_blt_id, cot_pap_id, cot_prc_comum, cot_prc_min, cot_prc_max, cot_prc_med, cot_prc_mediana) VALUES ("&amp;A1475&amp;", "&amp;B1475&amp;", "&amp;C1475&amp;", "&amp;D1475&amp;", "&amp;E1475&amp;", "&amp;F1475&amp;", "&amp;G1475&amp;", "&amp;H1475&amp;");"</f>
        <v>INSERT INTO COTACAO (cot_id, cot_blt_id, cot_pap_id, cot_prc_comum, cot_prc_min, cot_prc_max, cot_prc_med, cot_prc_mediana) VALUES (1474, 75, 4, 18, 18, 20, 18.67, 18);</v>
      </c>
      <c r="J1475" t="str">
        <f t="shared" ref="J1475:J1538" si="47">"UPDATE COTACAO SET cot_id = "&amp;A1475&amp;", cot_blt_id = "&amp;B1475&amp;", cot_pap_id = "&amp;C1475&amp;", cot_prc_comum = "&amp;D1475&amp;", cot_prc_min = "&amp;E1475&amp;", cot_prc_max = "&amp;F1475&amp;", cot_prc_med = "&amp;G1475&amp;", cot_prc_mediana = "&amp;H1475&amp;" WHERE cot_id = "&amp;A1475&amp;";"</f>
        <v>UPDATE COTACAO SET cot_id = 1474, cot_blt_id = 75, cot_pap_id = 4, cot_prc_comum = 18, cot_prc_min = 18, cot_prc_max = 20, cot_prc_med = 18.67, cot_prc_mediana = 18 WHERE cot_id = 1474;</v>
      </c>
    </row>
    <row r="1476" spans="1:10" x14ac:dyDescent="0.3">
      <c r="A1476">
        <v>1475</v>
      </c>
      <c r="B1476">
        <f>IF('Boletins Nuppa Site'!A1476&lt;&gt;0,'Boletins Nuppa Site'!A1476,"NULL")</f>
        <v>75</v>
      </c>
      <c r="C1476">
        <v>5</v>
      </c>
      <c r="D1476">
        <f>IF('Boletins Nuppa Site'!G1476&lt;&gt;0,'Boletins Nuppa Site'!G1476,"NULL")</f>
        <v>18</v>
      </c>
      <c r="E1476" s="14">
        <f>IF('Boletins Nuppa Site'!H1476&lt;&gt;0,'Boletins Nuppa Site'!H1476,"NULL")</f>
        <v>18</v>
      </c>
      <c r="F1476" s="14">
        <f>IF('Boletins Nuppa Site'!I1476&lt;&gt;0,'Boletins Nuppa Site'!I1476,"NULL")</f>
        <v>20</v>
      </c>
      <c r="G1476" s="14" t="str">
        <f>IF('Boletins Nuppa Site'!J1476&lt;&gt;0,'Boletins Nuppa Site'!J1476,"NULL")</f>
        <v>18.67</v>
      </c>
      <c r="H1476" s="14">
        <f>IF('Boletins Nuppa Site'!K1476&lt;&gt;0,'Boletins Nuppa Site'!K1476,"NULL")</f>
        <v>18</v>
      </c>
      <c r="I1476" t="str">
        <f t="shared" si="46"/>
        <v>INSERT INTO COTACAO (cot_id, cot_blt_id, cot_pap_id, cot_prc_comum, cot_prc_min, cot_prc_max, cot_prc_med, cot_prc_mediana) VALUES (1475, 75, 5, 18, 18, 20, 18.67, 18);</v>
      </c>
      <c r="J1476" t="str">
        <f t="shared" si="47"/>
        <v>UPDATE COTACAO SET cot_id = 1475, cot_blt_id = 75, cot_pap_id = 5, cot_prc_comum = 18, cot_prc_min = 18, cot_prc_max = 20, cot_prc_med = 18.67, cot_prc_mediana = 18 WHERE cot_id = 1475;</v>
      </c>
    </row>
    <row r="1477" spans="1:10" x14ac:dyDescent="0.3">
      <c r="A1477">
        <v>1476</v>
      </c>
      <c r="B1477">
        <f>IF('Boletins Nuppa Site'!A1477&lt;&gt;0,'Boletins Nuppa Site'!A1477,"NULL")</f>
        <v>75</v>
      </c>
      <c r="C1477">
        <v>6</v>
      </c>
      <c r="D1477">
        <f>IF('Boletins Nuppa Site'!G1477&lt;&gt;0,'Boletins Nuppa Site'!G1477,"NULL")</f>
        <v>48</v>
      </c>
      <c r="E1477" s="14" t="str">
        <f>IF('Boletins Nuppa Site'!H1477&lt;&gt;0,'Boletins Nuppa Site'!H1477,"NULL")</f>
        <v>NULL</v>
      </c>
      <c r="F1477" s="14">
        <f>IF('Boletins Nuppa Site'!I1477&lt;&gt;0,'Boletins Nuppa Site'!I1477,"NULL")</f>
        <v>60</v>
      </c>
      <c r="G1477" s="14">
        <f>IF('Boletins Nuppa Site'!J1477&lt;&gt;0,'Boletins Nuppa Site'!J1477,"NULL")</f>
        <v>54</v>
      </c>
      <c r="H1477" s="14">
        <f>IF('Boletins Nuppa Site'!K1477&lt;&gt;0,'Boletins Nuppa Site'!K1477,"NULL")</f>
        <v>54</v>
      </c>
      <c r="I1477" t="str">
        <f t="shared" si="46"/>
        <v>INSERT INTO COTACAO (cot_id, cot_blt_id, cot_pap_id, cot_prc_comum, cot_prc_min, cot_prc_max, cot_prc_med, cot_prc_mediana) VALUES (1476, 75, 6, 48, NULL, 60, 54, 54);</v>
      </c>
      <c r="J1477" t="str">
        <f t="shared" si="47"/>
        <v>UPDATE COTACAO SET cot_id = 1476, cot_blt_id = 75, cot_pap_id = 6, cot_prc_comum = 48, cot_prc_min = NULL, cot_prc_max = 60, cot_prc_med = 54, cot_prc_mediana = 54 WHERE cot_id = 1476;</v>
      </c>
    </row>
    <row r="1478" spans="1:10" x14ac:dyDescent="0.3">
      <c r="A1478">
        <v>1477</v>
      </c>
      <c r="B1478">
        <f>IF('Boletins Nuppa Site'!A1478&lt;&gt;0,'Boletins Nuppa Site'!A1478,"NULL")</f>
        <v>75</v>
      </c>
      <c r="C1478">
        <v>7</v>
      </c>
      <c r="D1478">
        <f>IF('Boletins Nuppa Site'!G1478&lt;&gt;0,'Boletins Nuppa Site'!G1478,"NULL")</f>
        <v>60</v>
      </c>
      <c r="E1478" s="14" t="str">
        <f>IF('Boletins Nuppa Site'!H1478&lt;&gt;0,'Boletins Nuppa Site'!H1478,"NULL")</f>
        <v>NULL</v>
      </c>
      <c r="F1478" s="14">
        <f>IF('Boletins Nuppa Site'!I1478&lt;&gt;0,'Boletins Nuppa Site'!I1478,"NULL")</f>
        <v>72</v>
      </c>
      <c r="G1478" s="14">
        <f>IF('Boletins Nuppa Site'!J1478&lt;&gt;0,'Boletins Nuppa Site'!J1478,"NULL")</f>
        <v>66</v>
      </c>
      <c r="H1478" s="14">
        <f>IF('Boletins Nuppa Site'!K1478&lt;&gt;0,'Boletins Nuppa Site'!K1478,"NULL")</f>
        <v>66</v>
      </c>
      <c r="I1478" t="str">
        <f t="shared" si="46"/>
        <v>INSERT INTO COTACAO (cot_id, cot_blt_id, cot_pap_id, cot_prc_comum, cot_prc_min, cot_prc_max, cot_prc_med, cot_prc_mediana) VALUES (1477, 75, 7, 60, NULL, 72, 66, 66);</v>
      </c>
      <c r="J1478" t="str">
        <f t="shared" si="47"/>
        <v>UPDATE COTACAO SET cot_id = 1477, cot_blt_id = 75, cot_pap_id = 7, cot_prc_comum = 60, cot_prc_min = NULL, cot_prc_max = 72, cot_prc_med = 66, cot_prc_mediana = 66 WHERE cot_id = 1477;</v>
      </c>
    </row>
    <row r="1479" spans="1:10" x14ac:dyDescent="0.3">
      <c r="A1479">
        <v>1478</v>
      </c>
      <c r="B1479">
        <f>IF('Boletins Nuppa Site'!A1479&lt;&gt;0,'Boletins Nuppa Site'!A1479,"NULL")</f>
        <v>75</v>
      </c>
      <c r="C1479">
        <v>8</v>
      </c>
      <c r="D1479">
        <f>IF('Boletins Nuppa Site'!G1479&lt;&gt;0,'Boletins Nuppa Site'!G1479,"NULL")</f>
        <v>72</v>
      </c>
      <c r="E1479" s="14">
        <f>IF('Boletins Nuppa Site'!H1479&lt;&gt;0,'Boletins Nuppa Site'!H1479,"NULL")</f>
        <v>72</v>
      </c>
      <c r="F1479" s="14">
        <f>IF('Boletins Nuppa Site'!I1479&lt;&gt;0,'Boletins Nuppa Site'!I1479,"NULL")</f>
        <v>72</v>
      </c>
      <c r="G1479" s="14">
        <f>IF('Boletins Nuppa Site'!J1479&lt;&gt;0,'Boletins Nuppa Site'!J1479,"NULL")</f>
        <v>72</v>
      </c>
      <c r="H1479" s="14">
        <f>IF('Boletins Nuppa Site'!K1479&lt;&gt;0,'Boletins Nuppa Site'!K1479,"NULL")</f>
        <v>72</v>
      </c>
      <c r="I1479" t="str">
        <f t="shared" si="46"/>
        <v>INSERT INTO COTACAO (cot_id, cot_blt_id, cot_pap_id, cot_prc_comum, cot_prc_min, cot_prc_max, cot_prc_med, cot_prc_mediana) VALUES (1478, 75, 8, 72, 72, 72, 72, 72);</v>
      </c>
      <c r="J1479" t="str">
        <f t="shared" si="47"/>
        <v>UPDATE COTACAO SET cot_id = 1478, cot_blt_id = 75, cot_pap_id = 8, cot_prc_comum = 72, cot_prc_min = 72, cot_prc_max = 72, cot_prc_med = 72, cot_prc_mediana = 72 WHERE cot_id = 1478;</v>
      </c>
    </row>
    <row r="1480" spans="1:10" x14ac:dyDescent="0.3">
      <c r="A1480">
        <v>1479</v>
      </c>
      <c r="B1480">
        <f>IF('Boletins Nuppa Site'!A1480&lt;&gt;0,'Boletins Nuppa Site'!A1480,"NULL")</f>
        <v>75</v>
      </c>
      <c r="C1480">
        <v>9</v>
      </c>
      <c r="D1480">
        <f>IF('Boletins Nuppa Site'!G1480&lt;&gt;0,'Boletins Nuppa Site'!G1480,"NULL")</f>
        <v>18</v>
      </c>
      <c r="E1480" s="14">
        <f>IF('Boletins Nuppa Site'!H1480&lt;&gt;0,'Boletins Nuppa Site'!H1480,"NULL")</f>
        <v>18</v>
      </c>
      <c r="F1480" s="14">
        <f>IF('Boletins Nuppa Site'!I1480&lt;&gt;0,'Boletins Nuppa Site'!I1480,"NULL")</f>
        <v>25</v>
      </c>
      <c r="G1480" s="14" t="str">
        <f>IF('Boletins Nuppa Site'!J1480&lt;&gt;0,'Boletins Nuppa Site'!J1480,"NULL")</f>
        <v>20.33</v>
      </c>
      <c r="H1480" s="14">
        <f>IF('Boletins Nuppa Site'!K1480&lt;&gt;0,'Boletins Nuppa Site'!K1480,"NULL")</f>
        <v>18</v>
      </c>
      <c r="I1480" t="str">
        <f t="shared" si="46"/>
        <v>INSERT INTO COTACAO (cot_id, cot_blt_id, cot_pap_id, cot_prc_comum, cot_prc_min, cot_prc_max, cot_prc_med, cot_prc_mediana) VALUES (1479, 75, 9, 18, 18, 25, 20.33, 18);</v>
      </c>
      <c r="J1480" t="str">
        <f t="shared" si="47"/>
        <v>UPDATE COTACAO SET cot_id = 1479, cot_blt_id = 75, cot_pap_id = 9, cot_prc_comum = 18, cot_prc_min = 18, cot_prc_max = 25, cot_prc_med = 20.33, cot_prc_mediana = 18 WHERE cot_id = 1479;</v>
      </c>
    </row>
    <row r="1481" spans="1:10" x14ac:dyDescent="0.3">
      <c r="A1481">
        <v>1480</v>
      </c>
      <c r="B1481">
        <f>IF('Boletins Nuppa Site'!A1481&lt;&gt;0,'Boletins Nuppa Site'!A1481,"NULL")</f>
        <v>75</v>
      </c>
      <c r="C1481">
        <v>10</v>
      </c>
      <c r="D1481">
        <f>IF('Boletins Nuppa Site'!G1481&lt;&gt;0,'Boletins Nuppa Site'!G1481,"NULL")</f>
        <v>72</v>
      </c>
      <c r="E1481" s="14">
        <f>IF('Boletins Nuppa Site'!H1481&lt;&gt;0,'Boletins Nuppa Site'!H1481,"NULL")</f>
        <v>72</v>
      </c>
      <c r="F1481" s="14">
        <f>IF('Boletins Nuppa Site'!I1481&lt;&gt;0,'Boletins Nuppa Site'!I1481,"NULL")</f>
        <v>72</v>
      </c>
      <c r="G1481" s="14">
        <f>IF('Boletins Nuppa Site'!J1481&lt;&gt;0,'Boletins Nuppa Site'!J1481,"NULL")</f>
        <v>72</v>
      </c>
      <c r="H1481" s="14">
        <f>IF('Boletins Nuppa Site'!K1481&lt;&gt;0,'Boletins Nuppa Site'!K1481,"NULL")</f>
        <v>72</v>
      </c>
      <c r="I1481" t="str">
        <f t="shared" si="46"/>
        <v>INSERT INTO COTACAO (cot_id, cot_blt_id, cot_pap_id, cot_prc_comum, cot_prc_min, cot_prc_max, cot_prc_med, cot_prc_mediana) VALUES (1480, 75, 10, 72, 72, 72, 72, 72);</v>
      </c>
      <c r="J1481" t="str">
        <f t="shared" si="47"/>
        <v>UPDATE COTACAO SET cot_id = 1480, cot_blt_id = 75, cot_pap_id = 10, cot_prc_comum = 72, cot_prc_min = 72, cot_prc_max = 72, cot_prc_med = 72, cot_prc_mediana = 72 WHERE cot_id = 1480;</v>
      </c>
    </row>
    <row r="1482" spans="1:10" x14ac:dyDescent="0.3">
      <c r="A1482">
        <v>1481</v>
      </c>
      <c r="B1482">
        <f>IF('Boletins Nuppa Site'!A1482&lt;&gt;0,'Boletins Nuppa Site'!A1482,"NULL")</f>
        <v>75</v>
      </c>
      <c r="C1482">
        <v>11</v>
      </c>
      <c r="D1482">
        <f>IF('Boletins Nuppa Site'!G1482&lt;&gt;0,'Boletins Nuppa Site'!G1482,"NULL")</f>
        <v>18</v>
      </c>
      <c r="E1482" s="14">
        <f>IF('Boletins Nuppa Site'!H1482&lt;&gt;0,'Boletins Nuppa Site'!H1482,"NULL")</f>
        <v>18</v>
      </c>
      <c r="F1482" s="14">
        <f>IF('Boletins Nuppa Site'!I1482&lt;&gt;0,'Boletins Nuppa Site'!I1482,"NULL")</f>
        <v>20</v>
      </c>
      <c r="G1482" s="14" t="str">
        <f>IF('Boletins Nuppa Site'!J1482&lt;&gt;0,'Boletins Nuppa Site'!J1482,"NULL")</f>
        <v>18.67</v>
      </c>
      <c r="H1482" s="14">
        <f>IF('Boletins Nuppa Site'!K1482&lt;&gt;0,'Boletins Nuppa Site'!K1482,"NULL")</f>
        <v>18</v>
      </c>
      <c r="I1482" t="str">
        <f t="shared" si="46"/>
        <v>INSERT INTO COTACAO (cot_id, cot_blt_id, cot_pap_id, cot_prc_comum, cot_prc_min, cot_prc_max, cot_prc_med, cot_prc_mediana) VALUES (1481, 75, 11, 18, 18, 20, 18.67, 18);</v>
      </c>
      <c r="J1482" t="str">
        <f t="shared" si="47"/>
        <v>UPDATE COTACAO SET cot_id = 1481, cot_blt_id = 75, cot_pap_id = 11, cot_prc_comum = 18, cot_prc_min = 18, cot_prc_max = 20, cot_prc_med = 18.67, cot_prc_mediana = 18 WHERE cot_id = 1481;</v>
      </c>
    </row>
    <row r="1483" spans="1:10" x14ac:dyDescent="0.3">
      <c r="A1483">
        <v>1482</v>
      </c>
      <c r="B1483">
        <f>IF('Boletins Nuppa Site'!A1483&lt;&gt;0,'Boletins Nuppa Site'!A1483,"NULL")</f>
        <v>75</v>
      </c>
      <c r="C1483">
        <v>12</v>
      </c>
      <c r="D1483">
        <f>IF('Boletins Nuppa Site'!G1483&lt;&gt;0,'Boletins Nuppa Site'!G1483,"NULL")</f>
        <v>48</v>
      </c>
      <c r="E1483" s="14">
        <f>IF('Boletins Nuppa Site'!H1483&lt;&gt;0,'Boletins Nuppa Site'!H1483,"NULL")</f>
        <v>48</v>
      </c>
      <c r="F1483" s="14">
        <f>IF('Boletins Nuppa Site'!I1483&lt;&gt;0,'Boletins Nuppa Site'!I1483,"NULL")</f>
        <v>72</v>
      </c>
      <c r="G1483" s="14">
        <f>IF('Boletins Nuppa Site'!J1483&lt;&gt;0,'Boletins Nuppa Site'!J1483,"NULL")</f>
        <v>60</v>
      </c>
      <c r="H1483" s="14">
        <f>IF('Boletins Nuppa Site'!K1483&lt;&gt;0,'Boletins Nuppa Site'!K1483,"NULL")</f>
        <v>60</v>
      </c>
      <c r="I1483" t="str">
        <f t="shared" si="46"/>
        <v>INSERT INTO COTACAO (cot_id, cot_blt_id, cot_pap_id, cot_prc_comum, cot_prc_min, cot_prc_max, cot_prc_med, cot_prc_mediana) VALUES (1482, 75, 12, 48, 48, 72, 60, 60);</v>
      </c>
      <c r="J1483" t="str">
        <f t="shared" si="47"/>
        <v>UPDATE COTACAO SET cot_id = 1482, cot_blt_id = 75, cot_pap_id = 12, cot_prc_comum = 48, cot_prc_min = 48, cot_prc_max = 72, cot_prc_med = 60, cot_prc_mediana = 60 WHERE cot_id = 1482;</v>
      </c>
    </row>
    <row r="1484" spans="1:10" x14ac:dyDescent="0.3">
      <c r="A1484">
        <v>1483</v>
      </c>
      <c r="B1484">
        <f>IF('Boletins Nuppa Site'!A1484&lt;&gt;0,'Boletins Nuppa Site'!A1484,"NULL")</f>
        <v>75</v>
      </c>
      <c r="C1484">
        <v>13</v>
      </c>
      <c r="D1484">
        <f>IF('Boletins Nuppa Site'!G1484&lt;&gt;0,'Boletins Nuppa Site'!G1484,"NULL")</f>
        <v>48</v>
      </c>
      <c r="E1484" s="14">
        <f>IF('Boletins Nuppa Site'!H1484&lt;&gt;0,'Boletins Nuppa Site'!H1484,"NULL")</f>
        <v>40</v>
      </c>
      <c r="F1484" s="14">
        <f>IF('Boletins Nuppa Site'!I1484&lt;&gt;0,'Boletins Nuppa Site'!I1484,"NULL")</f>
        <v>60</v>
      </c>
      <c r="G1484" s="14">
        <f>IF('Boletins Nuppa Site'!J1484&lt;&gt;0,'Boletins Nuppa Site'!J1484,"NULL")</f>
        <v>52</v>
      </c>
      <c r="H1484" s="14">
        <f>IF('Boletins Nuppa Site'!K1484&lt;&gt;0,'Boletins Nuppa Site'!K1484,"NULL")</f>
        <v>50</v>
      </c>
      <c r="I1484" t="str">
        <f t="shared" si="46"/>
        <v>INSERT INTO COTACAO (cot_id, cot_blt_id, cot_pap_id, cot_prc_comum, cot_prc_min, cot_prc_max, cot_prc_med, cot_prc_mediana) VALUES (1483, 75, 13, 48, 40, 60, 52, 50);</v>
      </c>
      <c r="J1484" t="str">
        <f t="shared" si="47"/>
        <v>UPDATE COTACAO SET cot_id = 1483, cot_blt_id = 75, cot_pap_id = 13, cot_prc_comum = 48, cot_prc_min = 40, cot_prc_max = 60, cot_prc_med = 52, cot_prc_mediana = 50 WHERE cot_id = 1483;</v>
      </c>
    </row>
    <row r="1485" spans="1:10" x14ac:dyDescent="0.3">
      <c r="A1485">
        <v>1484</v>
      </c>
      <c r="B1485">
        <f>IF('Boletins Nuppa Site'!A1485&lt;&gt;0,'Boletins Nuppa Site'!A1485,"NULL")</f>
        <v>75</v>
      </c>
      <c r="C1485">
        <v>14</v>
      </c>
      <c r="D1485">
        <f>IF('Boletins Nuppa Site'!G1485&lt;&gt;0,'Boletins Nuppa Site'!G1485,"NULL")</f>
        <v>48</v>
      </c>
      <c r="E1485" s="14" t="str">
        <f>IF('Boletins Nuppa Site'!H1485&lt;&gt;0,'Boletins Nuppa Site'!H1485,"NULL")</f>
        <v>NULL</v>
      </c>
      <c r="F1485" s="14">
        <f>IF('Boletins Nuppa Site'!I1485&lt;&gt;0,'Boletins Nuppa Site'!I1485,"NULL")</f>
        <v>60</v>
      </c>
      <c r="G1485" s="14">
        <f>IF('Boletins Nuppa Site'!J1485&lt;&gt;0,'Boletins Nuppa Site'!J1485,"NULL")</f>
        <v>50</v>
      </c>
      <c r="H1485" s="14" t="str">
        <f>IF('Boletins Nuppa Site'!K1485&lt;&gt;0,'Boletins Nuppa Site'!K1485,"NULL")</f>
        <v>NULL</v>
      </c>
      <c r="I1485" t="str">
        <f t="shared" si="46"/>
        <v>INSERT INTO COTACAO (cot_id, cot_blt_id, cot_pap_id, cot_prc_comum, cot_prc_min, cot_prc_max, cot_prc_med, cot_prc_mediana) VALUES (1484, 75, 14, 48, NULL, 60, 50, NULL);</v>
      </c>
      <c r="J1485" t="str">
        <f t="shared" si="47"/>
        <v>UPDATE COTACAO SET cot_id = 1484, cot_blt_id = 75, cot_pap_id = 14, cot_prc_comum = 48, cot_prc_min = NULL, cot_prc_max = 60, cot_prc_med = 50, cot_prc_mediana = NULL WHERE cot_id = 1484;</v>
      </c>
    </row>
    <row r="1486" spans="1:10" x14ac:dyDescent="0.3">
      <c r="A1486">
        <v>1485</v>
      </c>
      <c r="B1486">
        <f>IF('Boletins Nuppa Site'!A1486&lt;&gt;0,'Boletins Nuppa Site'!A1486,"NULL")</f>
        <v>75</v>
      </c>
      <c r="C1486">
        <v>15</v>
      </c>
      <c r="D1486">
        <f>IF('Boletins Nuppa Site'!G1486&lt;&gt;0,'Boletins Nuppa Site'!G1486,"NULL")</f>
        <v>30</v>
      </c>
      <c r="E1486" s="14">
        <f>IF('Boletins Nuppa Site'!H1486&lt;&gt;0,'Boletins Nuppa Site'!H1486,"NULL")</f>
        <v>24</v>
      </c>
      <c r="F1486" s="14">
        <f>IF('Boletins Nuppa Site'!I1486&lt;&gt;0,'Boletins Nuppa Site'!I1486,"NULL")</f>
        <v>30</v>
      </c>
      <c r="G1486" s="14">
        <f>IF('Boletins Nuppa Site'!J1486&lt;&gt;0,'Boletins Nuppa Site'!J1486,"NULL")</f>
        <v>28</v>
      </c>
      <c r="H1486" s="14">
        <f>IF('Boletins Nuppa Site'!K1486&lt;&gt;0,'Boletins Nuppa Site'!K1486,"NULL")</f>
        <v>30</v>
      </c>
      <c r="I1486" t="str">
        <f t="shared" si="46"/>
        <v>INSERT INTO COTACAO (cot_id, cot_blt_id, cot_pap_id, cot_prc_comum, cot_prc_min, cot_prc_max, cot_prc_med, cot_prc_mediana) VALUES (1485, 75, 15, 30, 24, 30, 28, 30);</v>
      </c>
      <c r="J1486" t="str">
        <f t="shared" si="47"/>
        <v>UPDATE COTACAO SET cot_id = 1485, cot_blt_id = 75, cot_pap_id = 15, cot_prc_comum = 30, cot_prc_min = 24, cot_prc_max = 30, cot_prc_med = 28, cot_prc_mediana = 30 WHERE cot_id = 1485;</v>
      </c>
    </row>
    <row r="1487" spans="1:10" x14ac:dyDescent="0.3">
      <c r="A1487">
        <v>1486</v>
      </c>
      <c r="B1487">
        <f>IF('Boletins Nuppa Site'!A1487&lt;&gt;0,'Boletins Nuppa Site'!A1487,"NULL")</f>
        <v>75</v>
      </c>
      <c r="C1487">
        <v>16</v>
      </c>
      <c r="D1487">
        <f>IF('Boletins Nuppa Site'!G1487&lt;&gt;0,'Boletins Nuppa Site'!G1487,"NULL")</f>
        <v>48</v>
      </c>
      <c r="E1487" s="14" t="str">
        <f>IF('Boletins Nuppa Site'!H1487&lt;&gt;0,'Boletins Nuppa Site'!H1487,"NULL")</f>
        <v>NULL</v>
      </c>
      <c r="F1487" s="14">
        <f>IF('Boletins Nuppa Site'!I1487&lt;&gt;0,'Boletins Nuppa Site'!I1487,"NULL")</f>
        <v>60</v>
      </c>
      <c r="G1487" s="14">
        <f>IF('Boletins Nuppa Site'!J1487&lt;&gt;0,'Boletins Nuppa Site'!J1487,"NULL")</f>
        <v>54</v>
      </c>
      <c r="H1487" s="14">
        <f>IF('Boletins Nuppa Site'!K1487&lt;&gt;0,'Boletins Nuppa Site'!K1487,"NULL")</f>
        <v>54</v>
      </c>
      <c r="I1487" t="str">
        <f t="shared" si="46"/>
        <v>INSERT INTO COTACAO (cot_id, cot_blt_id, cot_pap_id, cot_prc_comum, cot_prc_min, cot_prc_max, cot_prc_med, cot_prc_mediana) VALUES (1486, 75, 16, 48, NULL, 60, 54, 54);</v>
      </c>
      <c r="J1487" t="str">
        <f t="shared" si="47"/>
        <v>UPDATE COTACAO SET cot_id = 1486, cot_blt_id = 75, cot_pap_id = 16, cot_prc_comum = 48, cot_prc_min = NULL, cot_prc_max = 60, cot_prc_med = 54, cot_prc_mediana = 54 WHERE cot_id = 1486;</v>
      </c>
    </row>
    <row r="1488" spans="1:10" x14ac:dyDescent="0.3">
      <c r="A1488">
        <v>1487</v>
      </c>
      <c r="B1488">
        <f>IF('Boletins Nuppa Site'!A1488&lt;&gt;0,'Boletins Nuppa Site'!A1488,"NULL")</f>
        <v>75</v>
      </c>
      <c r="C1488">
        <v>17</v>
      </c>
      <c r="D1488">
        <f>IF('Boletins Nuppa Site'!G1488&lt;&gt;0,'Boletins Nuppa Site'!G1488,"NULL")</f>
        <v>5</v>
      </c>
      <c r="E1488" s="14">
        <f>IF('Boletins Nuppa Site'!H1488&lt;&gt;0,'Boletins Nuppa Site'!H1488,"NULL")</f>
        <v>5</v>
      </c>
      <c r="F1488" s="14">
        <f>IF('Boletins Nuppa Site'!I1488&lt;&gt;0,'Boletins Nuppa Site'!I1488,"NULL")</f>
        <v>5</v>
      </c>
      <c r="G1488" s="14">
        <f>IF('Boletins Nuppa Site'!J1488&lt;&gt;0,'Boletins Nuppa Site'!J1488,"NULL")</f>
        <v>5</v>
      </c>
      <c r="H1488" s="14">
        <f>IF('Boletins Nuppa Site'!K1488&lt;&gt;0,'Boletins Nuppa Site'!K1488,"NULL")</f>
        <v>5</v>
      </c>
      <c r="I1488" t="str">
        <f t="shared" si="46"/>
        <v>INSERT INTO COTACAO (cot_id, cot_blt_id, cot_pap_id, cot_prc_comum, cot_prc_min, cot_prc_max, cot_prc_med, cot_prc_mediana) VALUES (1487, 75, 17, 5, 5, 5, 5, 5);</v>
      </c>
      <c r="J1488" t="str">
        <f t="shared" si="47"/>
        <v>UPDATE COTACAO SET cot_id = 1487, cot_blt_id = 75, cot_pap_id = 17, cot_prc_comum = 5, cot_prc_min = 5, cot_prc_max = 5, cot_prc_med = 5, cot_prc_mediana = 5 WHERE cot_id = 1487;</v>
      </c>
    </row>
    <row r="1489" spans="1:10" x14ac:dyDescent="0.3">
      <c r="A1489">
        <v>1488</v>
      </c>
      <c r="B1489">
        <f>IF('Boletins Nuppa Site'!A1489&lt;&gt;0,'Boletins Nuppa Site'!A1489,"NULL")</f>
        <v>75</v>
      </c>
      <c r="C1489">
        <v>18</v>
      </c>
      <c r="D1489">
        <f>IF('Boletins Nuppa Site'!G1489&lt;&gt;0,'Boletins Nuppa Site'!G1489,"NULL")</f>
        <v>15</v>
      </c>
      <c r="E1489" s="14">
        <f>IF('Boletins Nuppa Site'!H1489&lt;&gt;0,'Boletins Nuppa Site'!H1489,"NULL")</f>
        <v>12</v>
      </c>
      <c r="F1489" s="14">
        <f>IF('Boletins Nuppa Site'!I1489&lt;&gt;0,'Boletins Nuppa Site'!I1489,"NULL")</f>
        <v>15</v>
      </c>
      <c r="G1489" s="14">
        <f>IF('Boletins Nuppa Site'!J1489&lt;&gt;0,'Boletins Nuppa Site'!J1489,"NULL")</f>
        <v>14</v>
      </c>
      <c r="H1489" s="14">
        <f>IF('Boletins Nuppa Site'!K1489&lt;&gt;0,'Boletins Nuppa Site'!K1489,"NULL")</f>
        <v>15</v>
      </c>
      <c r="I1489" t="str">
        <f t="shared" si="46"/>
        <v>INSERT INTO COTACAO (cot_id, cot_blt_id, cot_pap_id, cot_prc_comum, cot_prc_min, cot_prc_max, cot_prc_med, cot_prc_mediana) VALUES (1488, 75, 18, 15, 12, 15, 14, 15);</v>
      </c>
      <c r="J1489" t="str">
        <f t="shared" si="47"/>
        <v>UPDATE COTACAO SET cot_id = 1488, cot_blt_id = 75, cot_pap_id = 18, cot_prc_comum = 15, cot_prc_min = 12, cot_prc_max = 15, cot_prc_med = 14, cot_prc_mediana = 15 WHERE cot_id = 1488;</v>
      </c>
    </row>
    <row r="1490" spans="1:10" x14ac:dyDescent="0.3">
      <c r="A1490">
        <v>1489</v>
      </c>
      <c r="B1490">
        <f>IF('Boletins Nuppa Site'!A1490&lt;&gt;0,'Boletins Nuppa Site'!A1490,"NULL")</f>
        <v>75</v>
      </c>
      <c r="C1490">
        <v>19</v>
      </c>
      <c r="D1490">
        <f>IF('Boletins Nuppa Site'!G1490&lt;&gt;0,'Boletins Nuppa Site'!G1490,"NULL")</f>
        <v>25</v>
      </c>
      <c r="E1490" s="14">
        <f>IF('Boletins Nuppa Site'!H1490&lt;&gt;0,'Boletins Nuppa Site'!H1490,"NULL")</f>
        <v>25</v>
      </c>
      <c r="F1490" s="14">
        <f>IF('Boletins Nuppa Site'!I1490&lt;&gt;0,'Boletins Nuppa Site'!I1490,"NULL")</f>
        <v>30</v>
      </c>
      <c r="G1490" s="14" t="str">
        <f>IF('Boletins Nuppa Site'!J1490&lt;&gt;0,'Boletins Nuppa Site'!J1490,"NULL")</f>
        <v>26.67</v>
      </c>
      <c r="H1490" s="14">
        <f>IF('Boletins Nuppa Site'!K1490&lt;&gt;0,'Boletins Nuppa Site'!K1490,"NULL")</f>
        <v>25</v>
      </c>
      <c r="I1490" t="str">
        <f t="shared" si="46"/>
        <v>INSERT INTO COTACAO (cot_id, cot_blt_id, cot_pap_id, cot_prc_comum, cot_prc_min, cot_prc_max, cot_prc_med, cot_prc_mediana) VALUES (1489, 75, 19, 25, 25, 30, 26.67, 25);</v>
      </c>
      <c r="J1490" t="str">
        <f t="shared" si="47"/>
        <v>UPDATE COTACAO SET cot_id = 1489, cot_blt_id = 75, cot_pap_id = 19, cot_prc_comum = 25, cot_prc_min = 25, cot_prc_max = 30, cot_prc_med = 26.67, cot_prc_mediana = 25 WHERE cot_id = 1489;</v>
      </c>
    </row>
    <row r="1491" spans="1:10" x14ac:dyDescent="0.3">
      <c r="A1491">
        <v>1490</v>
      </c>
      <c r="B1491">
        <f>IF('Boletins Nuppa Site'!A1491&lt;&gt;0,'Boletins Nuppa Site'!A1491,"NULL")</f>
        <v>75</v>
      </c>
      <c r="C1491">
        <v>20</v>
      </c>
      <c r="D1491">
        <f>IF('Boletins Nuppa Site'!G1491&lt;&gt;0,'Boletins Nuppa Site'!G1491,"NULL")</f>
        <v>75</v>
      </c>
      <c r="E1491" s="14">
        <f>IF('Boletins Nuppa Site'!H1491&lt;&gt;0,'Boletins Nuppa Site'!H1491,"NULL")</f>
        <v>75</v>
      </c>
      <c r="F1491" s="14">
        <f>IF('Boletins Nuppa Site'!I1491&lt;&gt;0,'Boletins Nuppa Site'!I1491,"NULL")</f>
        <v>80</v>
      </c>
      <c r="G1491" s="14" t="str">
        <f>IF('Boletins Nuppa Site'!J1491&lt;&gt;0,'Boletins Nuppa Site'!J1491,"NULL")</f>
        <v>76.67</v>
      </c>
      <c r="H1491" s="14">
        <f>IF('Boletins Nuppa Site'!K1491&lt;&gt;0,'Boletins Nuppa Site'!K1491,"NULL")</f>
        <v>75</v>
      </c>
      <c r="I1491" t="str">
        <f t="shared" si="46"/>
        <v>INSERT INTO COTACAO (cot_id, cot_blt_id, cot_pap_id, cot_prc_comum, cot_prc_min, cot_prc_max, cot_prc_med, cot_prc_mediana) VALUES (1490, 75, 20, 75, 75, 80, 76.67, 75);</v>
      </c>
      <c r="J1491" t="str">
        <f t="shared" si="47"/>
        <v>UPDATE COTACAO SET cot_id = 1490, cot_blt_id = 75, cot_pap_id = 20, cot_prc_comum = 75, cot_prc_min = 75, cot_prc_max = 80, cot_prc_med = 76.67, cot_prc_mediana = 75 WHERE cot_id = 1490;</v>
      </c>
    </row>
    <row r="1492" spans="1:10" x14ac:dyDescent="0.3">
      <c r="A1492">
        <v>1491</v>
      </c>
      <c r="B1492">
        <f>IF('Boletins Nuppa Site'!A1492&lt;&gt;0,'Boletins Nuppa Site'!A1492,"NULL")</f>
        <v>75</v>
      </c>
      <c r="C1492">
        <v>21</v>
      </c>
      <c r="D1492">
        <f>IF('Boletins Nuppa Site'!G1492&lt;&gt;0,'Boletins Nuppa Site'!G1492,"NULL")</f>
        <v>25</v>
      </c>
      <c r="E1492" s="14">
        <f>IF('Boletins Nuppa Site'!H1492&lt;&gt;0,'Boletins Nuppa Site'!H1492,"NULL")</f>
        <v>25</v>
      </c>
      <c r="F1492" s="14">
        <f>IF('Boletins Nuppa Site'!I1492&lt;&gt;0,'Boletins Nuppa Site'!I1492,"NULL")</f>
        <v>40</v>
      </c>
      <c r="G1492" s="14" t="str">
        <f>IF('Boletins Nuppa Site'!J1492&lt;&gt;0,'Boletins Nuppa Site'!J1492,"NULL")</f>
        <v>28.57</v>
      </c>
      <c r="H1492" s="14">
        <f>IF('Boletins Nuppa Site'!K1492&lt;&gt;0,'Boletins Nuppa Site'!K1492,"NULL")</f>
        <v>25</v>
      </c>
      <c r="I1492" t="str">
        <f t="shared" si="46"/>
        <v>INSERT INTO COTACAO (cot_id, cot_blt_id, cot_pap_id, cot_prc_comum, cot_prc_min, cot_prc_max, cot_prc_med, cot_prc_mediana) VALUES (1491, 75, 21, 25, 25, 40, 28.57, 25);</v>
      </c>
      <c r="J1492" t="str">
        <f t="shared" si="47"/>
        <v>UPDATE COTACAO SET cot_id = 1491, cot_blt_id = 75, cot_pap_id = 21, cot_prc_comum = 25, cot_prc_min = 25, cot_prc_max = 40, cot_prc_med = 28.57, cot_prc_mediana = 25 WHERE cot_id = 1491;</v>
      </c>
    </row>
    <row r="1493" spans="1:10" x14ac:dyDescent="0.3">
      <c r="A1493">
        <v>1492</v>
      </c>
      <c r="B1493">
        <f>IF('Boletins Nuppa Site'!A1493&lt;&gt;0,'Boletins Nuppa Site'!A1493,"NULL")</f>
        <v>75</v>
      </c>
      <c r="C1493">
        <v>22</v>
      </c>
      <c r="D1493">
        <f>IF('Boletins Nuppa Site'!G1493&lt;&gt;0,'Boletins Nuppa Site'!G1493,"NULL")</f>
        <v>70</v>
      </c>
      <c r="E1493" s="14">
        <f>IF('Boletins Nuppa Site'!H1493&lt;&gt;0,'Boletins Nuppa Site'!H1493,"NULL")</f>
        <v>45</v>
      </c>
      <c r="F1493" s="14">
        <f>IF('Boletins Nuppa Site'!I1493&lt;&gt;0,'Boletins Nuppa Site'!I1493,"NULL")</f>
        <v>70</v>
      </c>
      <c r="G1493" s="14" t="str">
        <f>IF('Boletins Nuppa Site'!J1493&lt;&gt;0,'Boletins Nuppa Site'!J1493,"NULL")</f>
        <v>60.83</v>
      </c>
      <c r="H1493" s="14" t="str">
        <f>IF('Boletins Nuppa Site'!K1493&lt;&gt;0,'Boletins Nuppa Site'!K1493,"NULL")</f>
        <v>67.5</v>
      </c>
      <c r="I1493" t="str">
        <f t="shared" si="46"/>
        <v>INSERT INTO COTACAO (cot_id, cot_blt_id, cot_pap_id, cot_prc_comum, cot_prc_min, cot_prc_max, cot_prc_med, cot_prc_mediana) VALUES (1492, 75, 22, 70, 45, 70, 60.83, 67.5);</v>
      </c>
      <c r="J1493" t="str">
        <f t="shared" si="47"/>
        <v>UPDATE COTACAO SET cot_id = 1492, cot_blt_id = 75, cot_pap_id = 22, cot_prc_comum = 70, cot_prc_min = 45, cot_prc_max = 70, cot_prc_med = 60.83, cot_prc_mediana = 67.5 WHERE cot_id = 1492;</v>
      </c>
    </row>
    <row r="1494" spans="1:10" x14ac:dyDescent="0.3">
      <c r="A1494">
        <v>1493</v>
      </c>
      <c r="B1494">
        <f>IF('Boletins Nuppa Site'!A1494&lt;&gt;0,'Boletins Nuppa Site'!A1494,"NULL")</f>
        <v>75</v>
      </c>
      <c r="C1494">
        <v>23</v>
      </c>
      <c r="D1494">
        <f>IF('Boletins Nuppa Site'!G1494&lt;&gt;0,'Boletins Nuppa Site'!G1494,"NULL")</f>
        <v>50</v>
      </c>
      <c r="E1494" s="14">
        <f>IF('Boletins Nuppa Site'!H1494&lt;&gt;0,'Boletins Nuppa Site'!H1494,"NULL")</f>
        <v>50</v>
      </c>
      <c r="F1494" s="14">
        <f>IF('Boletins Nuppa Site'!I1494&lt;&gt;0,'Boletins Nuppa Site'!I1494,"NULL")</f>
        <v>65</v>
      </c>
      <c r="G1494" s="14">
        <f>IF('Boletins Nuppa Site'!J1494&lt;&gt;0,'Boletins Nuppa Site'!J1494,"NULL")</f>
        <v>56</v>
      </c>
      <c r="H1494" s="14">
        <f>IF('Boletins Nuppa Site'!K1494&lt;&gt;0,'Boletins Nuppa Site'!K1494,"NULL")</f>
        <v>55</v>
      </c>
      <c r="I1494" t="str">
        <f t="shared" si="46"/>
        <v>INSERT INTO COTACAO (cot_id, cot_blt_id, cot_pap_id, cot_prc_comum, cot_prc_min, cot_prc_max, cot_prc_med, cot_prc_mediana) VALUES (1493, 75, 23, 50, 50, 65, 56, 55);</v>
      </c>
      <c r="J1494" t="str">
        <f t="shared" si="47"/>
        <v>UPDATE COTACAO SET cot_id = 1493, cot_blt_id = 75, cot_pap_id = 23, cot_prc_comum = 50, cot_prc_min = 50, cot_prc_max = 65, cot_prc_med = 56, cot_prc_mediana = 55 WHERE cot_id = 1493;</v>
      </c>
    </row>
    <row r="1495" spans="1:10" x14ac:dyDescent="0.3">
      <c r="A1495">
        <v>1494</v>
      </c>
      <c r="B1495">
        <f>IF('Boletins Nuppa Site'!A1495&lt;&gt;0,'Boletins Nuppa Site'!A1495,"NULL")</f>
        <v>75</v>
      </c>
      <c r="C1495">
        <v>24</v>
      </c>
      <c r="D1495">
        <f>IF('Boletins Nuppa Site'!G1495&lt;&gt;0,'Boletins Nuppa Site'!G1495,"NULL")</f>
        <v>45</v>
      </c>
      <c r="E1495" s="14" t="str">
        <f>IF('Boletins Nuppa Site'!H1495&lt;&gt;0,'Boletins Nuppa Site'!H1495,"NULL")</f>
        <v>NULL</v>
      </c>
      <c r="F1495" s="14">
        <f>IF('Boletins Nuppa Site'!I1495&lt;&gt;0,'Boletins Nuppa Site'!I1495,"NULL")</f>
        <v>80</v>
      </c>
      <c r="G1495" s="14" t="str">
        <f>IF('Boletins Nuppa Site'!J1495&lt;&gt;0,'Boletins Nuppa Site'!J1495,"NULL")</f>
        <v>66.67</v>
      </c>
      <c r="H1495" s="14">
        <f>IF('Boletins Nuppa Site'!K1495&lt;&gt;0,'Boletins Nuppa Site'!K1495,"NULL")</f>
        <v>75</v>
      </c>
      <c r="I1495" t="str">
        <f t="shared" si="46"/>
        <v>INSERT INTO COTACAO (cot_id, cot_blt_id, cot_pap_id, cot_prc_comum, cot_prc_min, cot_prc_max, cot_prc_med, cot_prc_mediana) VALUES (1494, 75, 24, 45, NULL, 80, 66.67, 75);</v>
      </c>
      <c r="J1495" t="str">
        <f t="shared" si="47"/>
        <v>UPDATE COTACAO SET cot_id = 1494, cot_blt_id = 75, cot_pap_id = 24, cot_prc_comum = 45, cot_prc_min = NULL, cot_prc_max = 80, cot_prc_med = 66.67, cot_prc_mediana = 75 WHERE cot_id = 1494;</v>
      </c>
    </row>
    <row r="1496" spans="1:10" x14ac:dyDescent="0.3">
      <c r="A1496">
        <v>1495</v>
      </c>
      <c r="B1496">
        <f>IF('Boletins Nuppa Site'!A1496&lt;&gt;0,'Boletins Nuppa Site'!A1496,"NULL")</f>
        <v>75</v>
      </c>
      <c r="C1496">
        <v>25</v>
      </c>
      <c r="D1496">
        <f>IF('Boletins Nuppa Site'!G1496&lt;&gt;0,'Boletins Nuppa Site'!G1496,"NULL")</f>
        <v>50</v>
      </c>
      <c r="E1496" s="14">
        <f>IF('Boletins Nuppa Site'!H1496&lt;&gt;0,'Boletins Nuppa Site'!H1496,"NULL")</f>
        <v>50</v>
      </c>
      <c r="F1496" s="14">
        <f>IF('Boletins Nuppa Site'!I1496&lt;&gt;0,'Boletins Nuppa Site'!I1496,"NULL")</f>
        <v>65</v>
      </c>
      <c r="G1496" s="14" t="str">
        <f>IF('Boletins Nuppa Site'!J1496&lt;&gt;0,'Boletins Nuppa Site'!J1496,"NULL")</f>
        <v>57.5</v>
      </c>
      <c r="H1496" s="14" t="str">
        <f>IF('Boletins Nuppa Site'!K1496&lt;&gt;0,'Boletins Nuppa Site'!K1496,"NULL")</f>
        <v>56.67</v>
      </c>
      <c r="I1496" t="str">
        <f t="shared" si="46"/>
        <v>INSERT INTO COTACAO (cot_id, cot_blt_id, cot_pap_id, cot_prc_comum, cot_prc_min, cot_prc_max, cot_prc_med, cot_prc_mediana) VALUES (1495, 75, 25, 50, 50, 65, 57.5, 56.67);</v>
      </c>
      <c r="J1496" t="str">
        <f t="shared" si="47"/>
        <v>UPDATE COTACAO SET cot_id = 1495, cot_blt_id = 75, cot_pap_id = 25, cot_prc_comum = 50, cot_prc_min = 50, cot_prc_max = 65, cot_prc_med = 57.5, cot_prc_mediana = 56.67 WHERE cot_id = 1495;</v>
      </c>
    </row>
    <row r="1497" spans="1:10" x14ac:dyDescent="0.3">
      <c r="A1497">
        <v>1496</v>
      </c>
      <c r="B1497">
        <f>IF('Boletins Nuppa Site'!A1497&lt;&gt;0,'Boletins Nuppa Site'!A1497,"NULL")</f>
        <v>75</v>
      </c>
      <c r="C1497">
        <v>26</v>
      </c>
      <c r="D1497">
        <f>IF('Boletins Nuppa Site'!G1497&lt;&gt;0,'Boletins Nuppa Site'!G1497,"NULL")</f>
        <v>45</v>
      </c>
      <c r="E1497" s="14">
        <f>IF('Boletins Nuppa Site'!H1497&lt;&gt;0,'Boletins Nuppa Site'!H1497,"NULL")</f>
        <v>40</v>
      </c>
      <c r="F1497" s="14">
        <f>IF('Boletins Nuppa Site'!I1497&lt;&gt;0,'Boletins Nuppa Site'!I1497,"NULL")</f>
        <v>60</v>
      </c>
      <c r="G1497" s="14" t="str">
        <f>IF('Boletins Nuppa Site'!J1497&lt;&gt;0,'Boletins Nuppa Site'!J1497,"NULL")</f>
        <v>48.57</v>
      </c>
      <c r="H1497" s="14">
        <f>IF('Boletins Nuppa Site'!K1497&lt;&gt;0,'Boletins Nuppa Site'!K1497,"NULL")</f>
        <v>45</v>
      </c>
      <c r="I1497" t="str">
        <f t="shared" si="46"/>
        <v>INSERT INTO COTACAO (cot_id, cot_blt_id, cot_pap_id, cot_prc_comum, cot_prc_min, cot_prc_max, cot_prc_med, cot_prc_mediana) VALUES (1496, 75, 26, 45, 40, 60, 48.57, 45);</v>
      </c>
      <c r="J1497" t="str">
        <f t="shared" si="47"/>
        <v>UPDATE COTACAO SET cot_id = 1496, cot_blt_id = 75, cot_pap_id = 26, cot_prc_comum = 45, cot_prc_min = 40, cot_prc_max = 60, cot_prc_med = 48.57, cot_prc_mediana = 45 WHERE cot_id = 1496;</v>
      </c>
    </row>
    <row r="1498" spans="1:10" x14ac:dyDescent="0.3">
      <c r="A1498">
        <v>1497</v>
      </c>
      <c r="B1498">
        <f>IF('Boletins Nuppa Site'!A1498&lt;&gt;0,'Boletins Nuppa Site'!A1498,"NULL")</f>
        <v>75</v>
      </c>
      <c r="C1498">
        <v>27</v>
      </c>
      <c r="D1498">
        <f>IF('Boletins Nuppa Site'!G1498&lt;&gt;0,'Boletins Nuppa Site'!G1498,"NULL")</f>
        <v>40</v>
      </c>
      <c r="E1498" s="14">
        <f>IF('Boletins Nuppa Site'!H1498&lt;&gt;0,'Boletins Nuppa Site'!H1498,"NULL")</f>
        <v>55</v>
      </c>
      <c r="F1498" s="14">
        <f>IF('Boletins Nuppa Site'!I1498&lt;&gt;0,'Boletins Nuppa Site'!I1498,"NULL")</f>
        <v>55</v>
      </c>
      <c r="G1498" s="14" t="str">
        <f>IF('Boletins Nuppa Site'!J1498&lt;&gt;0,'Boletins Nuppa Site'!J1498,"NULL")</f>
        <v>51.43</v>
      </c>
      <c r="H1498" s="14">
        <f>IF('Boletins Nuppa Site'!K1498&lt;&gt;0,'Boletins Nuppa Site'!K1498,"NULL")</f>
        <v>55</v>
      </c>
      <c r="I1498" t="str">
        <f t="shared" si="46"/>
        <v>INSERT INTO COTACAO (cot_id, cot_blt_id, cot_pap_id, cot_prc_comum, cot_prc_min, cot_prc_max, cot_prc_med, cot_prc_mediana) VALUES (1497, 75, 27, 40, 55, 55, 51.43, 55);</v>
      </c>
      <c r="J1498" t="str">
        <f t="shared" si="47"/>
        <v>UPDATE COTACAO SET cot_id = 1497, cot_blt_id = 75, cot_pap_id = 27, cot_prc_comum = 40, cot_prc_min = 55, cot_prc_max = 55, cot_prc_med = 51.43, cot_prc_mediana = 55 WHERE cot_id = 1497;</v>
      </c>
    </row>
    <row r="1499" spans="1:10" x14ac:dyDescent="0.3">
      <c r="A1499">
        <v>1498</v>
      </c>
      <c r="B1499">
        <f>IF('Boletins Nuppa Site'!A1499&lt;&gt;0,'Boletins Nuppa Site'!A1499,"NULL")</f>
        <v>75</v>
      </c>
      <c r="C1499">
        <v>28</v>
      </c>
      <c r="D1499">
        <f>IF('Boletins Nuppa Site'!G1499&lt;&gt;0,'Boletins Nuppa Site'!G1499,"NULL")</f>
        <v>100</v>
      </c>
      <c r="E1499" s="14">
        <f>IF('Boletins Nuppa Site'!H1499&lt;&gt;0,'Boletins Nuppa Site'!H1499,"NULL")</f>
        <v>120</v>
      </c>
      <c r="F1499" s="14">
        <f>IF('Boletins Nuppa Site'!I1499&lt;&gt;0,'Boletins Nuppa Site'!I1499,"NULL")</f>
        <v>130</v>
      </c>
      <c r="G1499" s="14">
        <f>IF('Boletins Nuppa Site'!J1499&lt;&gt;0,'Boletins Nuppa Site'!J1499,"NULL")</f>
        <v>116</v>
      </c>
      <c r="H1499" s="14">
        <f>IF('Boletins Nuppa Site'!K1499&lt;&gt;0,'Boletins Nuppa Site'!K1499,"NULL")</f>
        <v>120</v>
      </c>
      <c r="I1499" t="str">
        <f t="shared" si="46"/>
        <v>INSERT INTO COTACAO (cot_id, cot_blt_id, cot_pap_id, cot_prc_comum, cot_prc_min, cot_prc_max, cot_prc_med, cot_prc_mediana) VALUES (1498, 75, 28, 100, 120, 130, 116, 120);</v>
      </c>
      <c r="J1499" t="str">
        <f t="shared" si="47"/>
        <v>UPDATE COTACAO SET cot_id = 1498, cot_blt_id = 75, cot_pap_id = 28, cot_prc_comum = 100, cot_prc_min = 120, cot_prc_max = 130, cot_prc_med = 116, cot_prc_mediana = 120 WHERE cot_id = 1498;</v>
      </c>
    </row>
    <row r="1500" spans="1:10" x14ac:dyDescent="0.3">
      <c r="A1500">
        <v>1499</v>
      </c>
      <c r="B1500">
        <f>IF('Boletins Nuppa Site'!A1500&lt;&gt;0,'Boletins Nuppa Site'!A1500,"NULL")</f>
        <v>75</v>
      </c>
      <c r="C1500">
        <v>29</v>
      </c>
      <c r="D1500">
        <f>IF('Boletins Nuppa Site'!G1500&lt;&gt;0,'Boletins Nuppa Site'!G1500,"NULL")</f>
        <v>55</v>
      </c>
      <c r="E1500" s="14" t="str">
        <f>IF('Boletins Nuppa Site'!H1500&lt;&gt;0,'Boletins Nuppa Site'!H1500,"NULL")</f>
        <v>NULL</v>
      </c>
      <c r="F1500" s="14">
        <f>IF('Boletins Nuppa Site'!I1500&lt;&gt;0,'Boletins Nuppa Site'!I1500,"NULL")</f>
        <v>55</v>
      </c>
      <c r="G1500" s="14">
        <f>IF('Boletins Nuppa Site'!J1500&lt;&gt;0,'Boletins Nuppa Site'!J1500,"NULL")</f>
        <v>55</v>
      </c>
      <c r="H1500" s="14">
        <f>IF('Boletins Nuppa Site'!K1500&lt;&gt;0,'Boletins Nuppa Site'!K1500,"NULL")</f>
        <v>55</v>
      </c>
      <c r="I1500" t="str">
        <f t="shared" si="46"/>
        <v>INSERT INTO COTACAO (cot_id, cot_blt_id, cot_pap_id, cot_prc_comum, cot_prc_min, cot_prc_max, cot_prc_med, cot_prc_mediana) VALUES (1499, 75, 29, 55, NULL, 55, 55, 55);</v>
      </c>
      <c r="J1500" t="str">
        <f t="shared" si="47"/>
        <v>UPDATE COTACAO SET cot_id = 1499, cot_blt_id = 75, cot_pap_id = 29, cot_prc_comum = 55, cot_prc_min = NULL, cot_prc_max = 55, cot_prc_med = 55, cot_prc_mediana = 55 WHERE cot_id = 1499;</v>
      </c>
    </row>
    <row r="1501" spans="1:10" x14ac:dyDescent="0.3">
      <c r="A1501">
        <v>1500</v>
      </c>
      <c r="B1501">
        <f>IF('Boletins Nuppa Site'!A1501&lt;&gt;0,'Boletins Nuppa Site'!A1501,"NULL")</f>
        <v>75</v>
      </c>
      <c r="C1501">
        <v>30</v>
      </c>
      <c r="D1501">
        <f>IF('Boletins Nuppa Site'!G1501&lt;&gt;0,'Boletins Nuppa Site'!G1501,"NULL")</f>
        <v>60</v>
      </c>
      <c r="E1501" s="14">
        <f>IF('Boletins Nuppa Site'!H1501&lt;&gt;0,'Boletins Nuppa Site'!H1501,"NULL")</f>
        <v>50</v>
      </c>
      <c r="F1501" s="14">
        <f>IF('Boletins Nuppa Site'!I1501&lt;&gt;0,'Boletins Nuppa Site'!I1501,"NULL")</f>
        <v>85</v>
      </c>
      <c r="G1501" s="14">
        <f>IF('Boletins Nuppa Site'!J1501&lt;&gt;0,'Boletins Nuppa Site'!J1501,"NULL")</f>
        <v>60</v>
      </c>
      <c r="H1501" s="14" t="str">
        <f>IF('Boletins Nuppa Site'!K1501&lt;&gt;0,'Boletins Nuppa Site'!K1501,"NULL")</f>
        <v>63.75</v>
      </c>
      <c r="I1501" t="str">
        <f t="shared" si="46"/>
        <v>INSERT INTO COTACAO (cot_id, cot_blt_id, cot_pap_id, cot_prc_comum, cot_prc_min, cot_prc_max, cot_prc_med, cot_prc_mediana) VALUES (1500, 75, 30, 60, 50, 85, 60, 63.75);</v>
      </c>
      <c r="J1501" t="str">
        <f t="shared" si="47"/>
        <v>UPDATE COTACAO SET cot_id = 1500, cot_blt_id = 75, cot_pap_id = 30, cot_prc_comum = 60, cot_prc_min = 50, cot_prc_max = 85, cot_prc_med = 60, cot_prc_mediana = 63.75 WHERE cot_id = 1500;</v>
      </c>
    </row>
    <row r="1502" spans="1:10" x14ac:dyDescent="0.3">
      <c r="A1502">
        <v>1501</v>
      </c>
      <c r="B1502">
        <f>IF('Boletins Nuppa Site'!A1502&lt;&gt;0,'Boletins Nuppa Site'!A1502,"NULL")</f>
        <v>75</v>
      </c>
      <c r="C1502">
        <v>31</v>
      </c>
      <c r="D1502">
        <f>IF('Boletins Nuppa Site'!G1502&lt;&gt;0,'Boletins Nuppa Site'!G1502,"NULL")</f>
        <v>75</v>
      </c>
      <c r="E1502" s="14" t="str">
        <f>IF('Boletins Nuppa Site'!H1502&lt;&gt;0,'Boletins Nuppa Site'!H1502,"NULL")</f>
        <v>NULL</v>
      </c>
      <c r="F1502" s="14">
        <f>IF('Boletins Nuppa Site'!I1502&lt;&gt;0,'Boletins Nuppa Site'!I1502,"NULL")</f>
        <v>100</v>
      </c>
      <c r="G1502" s="14" t="str">
        <f>IF('Boletins Nuppa Site'!J1502&lt;&gt;0,'Boletins Nuppa Site'!J1502,"NULL")</f>
        <v>87.5</v>
      </c>
      <c r="H1502" s="14" t="str">
        <f>IF('Boletins Nuppa Site'!K1502&lt;&gt;0,'Boletins Nuppa Site'!K1502,"NULL")</f>
        <v>87.5</v>
      </c>
      <c r="I1502" t="str">
        <f t="shared" si="46"/>
        <v>INSERT INTO COTACAO (cot_id, cot_blt_id, cot_pap_id, cot_prc_comum, cot_prc_min, cot_prc_max, cot_prc_med, cot_prc_mediana) VALUES (1501, 75, 31, 75, NULL, 100, 87.5, 87.5);</v>
      </c>
      <c r="J1502" t="str">
        <f t="shared" si="47"/>
        <v>UPDATE COTACAO SET cot_id = 1501, cot_blt_id = 75, cot_pap_id = 31, cot_prc_comum = 75, cot_prc_min = NULL, cot_prc_max = 100, cot_prc_med = 87.5, cot_prc_mediana = 87.5 WHERE cot_id = 1501;</v>
      </c>
    </row>
    <row r="1503" spans="1:10" x14ac:dyDescent="0.3">
      <c r="A1503">
        <v>1502</v>
      </c>
      <c r="B1503">
        <f>IF('Boletins Nuppa Site'!A1503&lt;&gt;0,'Boletins Nuppa Site'!A1503,"NULL")</f>
        <v>75</v>
      </c>
      <c r="C1503">
        <v>32</v>
      </c>
      <c r="D1503">
        <f>IF('Boletins Nuppa Site'!G1503&lt;&gt;0,'Boletins Nuppa Site'!G1503,"NULL")</f>
        <v>40</v>
      </c>
      <c r="E1503" s="14">
        <f>IF('Boletins Nuppa Site'!H1503&lt;&gt;0,'Boletins Nuppa Site'!H1503,"NULL")</f>
        <v>50</v>
      </c>
      <c r="F1503" s="14">
        <f>IF('Boletins Nuppa Site'!I1503&lt;&gt;0,'Boletins Nuppa Site'!I1503,"NULL")</f>
        <v>70</v>
      </c>
      <c r="G1503" s="14" t="str">
        <f>IF('Boletins Nuppa Site'!J1503&lt;&gt;0,'Boletins Nuppa Site'!J1503,"NULL")</f>
        <v>52.14</v>
      </c>
      <c r="H1503" s="14">
        <f>IF('Boletins Nuppa Site'!K1503&lt;&gt;0,'Boletins Nuppa Site'!K1503,"NULL")</f>
        <v>50</v>
      </c>
      <c r="I1503" t="str">
        <f t="shared" si="46"/>
        <v>INSERT INTO COTACAO (cot_id, cot_blt_id, cot_pap_id, cot_prc_comum, cot_prc_min, cot_prc_max, cot_prc_med, cot_prc_mediana) VALUES (1502, 75, 32, 40, 50, 70, 52.14, 50);</v>
      </c>
      <c r="J1503" t="str">
        <f t="shared" si="47"/>
        <v>UPDATE COTACAO SET cot_id = 1502, cot_blt_id = 75, cot_pap_id = 32, cot_prc_comum = 40, cot_prc_min = 50, cot_prc_max = 70, cot_prc_med = 52.14, cot_prc_mediana = 50 WHERE cot_id = 1502;</v>
      </c>
    </row>
    <row r="1504" spans="1:10" x14ac:dyDescent="0.3">
      <c r="A1504">
        <v>1503</v>
      </c>
      <c r="B1504">
        <f>IF('Boletins Nuppa Site'!A1504&lt;&gt;0,'Boletins Nuppa Site'!A1504,"NULL")</f>
        <v>75</v>
      </c>
      <c r="C1504">
        <v>33</v>
      </c>
      <c r="D1504">
        <f>IF('Boletins Nuppa Site'!G1504&lt;&gt;0,'Boletins Nuppa Site'!G1504,"NULL")</f>
        <v>180</v>
      </c>
      <c r="E1504" s="14">
        <f>IF('Boletins Nuppa Site'!H1504&lt;&gt;0,'Boletins Nuppa Site'!H1504,"NULL")</f>
        <v>150</v>
      </c>
      <c r="F1504" s="14">
        <f>IF('Boletins Nuppa Site'!I1504&lt;&gt;0,'Boletins Nuppa Site'!I1504,"NULL")</f>
        <v>180</v>
      </c>
      <c r="G1504" s="14" t="str">
        <f>IF('Boletins Nuppa Site'!J1504&lt;&gt;0,'Boletins Nuppa Site'!J1504,"NULL")</f>
        <v>166.67</v>
      </c>
      <c r="H1504" s="14">
        <f>IF('Boletins Nuppa Site'!K1504&lt;&gt;0,'Boletins Nuppa Site'!K1504,"NULL")</f>
        <v>165</v>
      </c>
      <c r="I1504" t="str">
        <f t="shared" si="46"/>
        <v>INSERT INTO COTACAO (cot_id, cot_blt_id, cot_pap_id, cot_prc_comum, cot_prc_min, cot_prc_max, cot_prc_med, cot_prc_mediana) VALUES (1503, 75, 33, 180, 150, 180, 166.67, 165);</v>
      </c>
      <c r="J1504" t="str">
        <f t="shared" si="47"/>
        <v>UPDATE COTACAO SET cot_id = 1503, cot_blt_id = 75, cot_pap_id = 33, cot_prc_comum = 180, cot_prc_min = 150, cot_prc_max = 180, cot_prc_med = 166.67, cot_prc_mediana = 165 WHERE cot_id = 1503;</v>
      </c>
    </row>
    <row r="1505" spans="1:10" x14ac:dyDescent="0.3">
      <c r="A1505">
        <v>1504</v>
      </c>
      <c r="B1505">
        <f>IF('Boletins Nuppa Site'!A1505&lt;&gt;0,'Boletins Nuppa Site'!A1505,"NULL")</f>
        <v>75</v>
      </c>
      <c r="C1505">
        <v>34</v>
      </c>
      <c r="D1505">
        <f>IF('Boletins Nuppa Site'!G1505&lt;&gt;0,'Boletins Nuppa Site'!G1505,"NULL")</f>
        <v>60</v>
      </c>
      <c r="E1505" s="14">
        <f>IF('Boletins Nuppa Site'!H1505&lt;&gt;0,'Boletins Nuppa Site'!H1505,"NULL")</f>
        <v>70</v>
      </c>
      <c r="F1505" s="14">
        <f>IF('Boletins Nuppa Site'!I1505&lt;&gt;0,'Boletins Nuppa Site'!I1505,"NULL")</f>
        <v>80</v>
      </c>
      <c r="G1505" s="14" t="str">
        <f>IF('Boletins Nuppa Site'!J1505&lt;&gt;0,'Boletins Nuppa Site'!J1505,"NULL")</f>
        <v>68.57</v>
      </c>
      <c r="H1505" s="14">
        <f>IF('Boletins Nuppa Site'!K1505&lt;&gt;0,'Boletins Nuppa Site'!K1505,"NULL")</f>
        <v>70</v>
      </c>
      <c r="I1505" t="str">
        <f t="shared" si="46"/>
        <v>INSERT INTO COTACAO (cot_id, cot_blt_id, cot_pap_id, cot_prc_comum, cot_prc_min, cot_prc_max, cot_prc_med, cot_prc_mediana) VALUES (1504, 75, 34, 60, 70, 80, 68.57, 70);</v>
      </c>
      <c r="J1505" t="str">
        <f t="shared" si="47"/>
        <v>UPDATE COTACAO SET cot_id = 1504, cot_blt_id = 75, cot_pap_id = 34, cot_prc_comum = 60, cot_prc_min = 70, cot_prc_max = 80, cot_prc_med = 68.57, cot_prc_mediana = 70 WHERE cot_id = 1504;</v>
      </c>
    </row>
    <row r="1506" spans="1:10" x14ac:dyDescent="0.3">
      <c r="A1506">
        <v>1505</v>
      </c>
      <c r="B1506">
        <f>IF('Boletins Nuppa Site'!A1506&lt;&gt;0,'Boletins Nuppa Site'!A1506,"NULL")</f>
        <v>75</v>
      </c>
      <c r="C1506">
        <v>35</v>
      </c>
      <c r="D1506">
        <f>IF('Boletins Nuppa Site'!G1506&lt;&gt;0,'Boletins Nuppa Site'!G1506,"NULL")</f>
        <v>80</v>
      </c>
      <c r="E1506" s="14" t="str">
        <f>IF('Boletins Nuppa Site'!H1506&lt;&gt;0,'Boletins Nuppa Site'!H1506,"NULL")</f>
        <v>NULL</v>
      </c>
      <c r="F1506" s="14">
        <f>IF('Boletins Nuppa Site'!I1506&lt;&gt;0,'Boletins Nuppa Site'!I1506,"NULL")</f>
        <v>120</v>
      </c>
      <c r="G1506" s="14">
        <f>IF('Boletins Nuppa Site'!J1506&lt;&gt;0,'Boletins Nuppa Site'!J1506,"NULL")</f>
        <v>95</v>
      </c>
      <c r="H1506" s="14" t="str">
        <f>IF('Boletins Nuppa Site'!K1506&lt;&gt;0,'Boletins Nuppa Site'!K1506,"NULL")</f>
        <v>97.5</v>
      </c>
      <c r="I1506" t="str">
        <f t="shared" si="46"/>
        <v>INSERT INTO COTACAO (cot_id, cot_blt_id, cot_pap_id, cot_prc_comum, cot_prc_min, cot_prc_max, cot_prc_med, cot_prc_mediana) VALUES (1505, 75, 35, 80, NULL, 120, 95, 97.5);</v>
      </c>
      <c r="J1506" t="str">
        <f t="shared" si="47"/>
        <v>UPDATE COTACAO SET cot_id = 1505, cot_blt_id = 75, cot_pap_id = 35, cot_prc_comum = 80, cot_prc_min = NULL, cot_prc_max = 120, cot_prc_med = 95, cot_prc_mediana = 97.5 WHERE cot_id = 1505;</v>
      </c>
    </row>
    <row r="1507" spans="1:10" x14ac:dyDescent="0.3">
      <c r="A1507">
        <v>1506</v>
      </c>
      <c r="B1507">
        <f>IF('Boletins Nuppa Site'!A1507&lt;&gt;0,'Boletins Nuppa Site'!A1507,"NULL")</f>
        <v>75</v>
      </c>
      <c r="C1507">
        <v>36</v>
      </c>
      <c r="D1507" t="str">
        <f>IF('Boletins Nuppa Site'!G1507&lt;&gt;0,'Boletins Nuppa Site'!G1507,"NULL")</f>
        <v>NULL</v>
      </c>
      <c r="E1507" s="14" t="str">
        <f>IF('Boletins Nuppa Site'!H1507&lt;&gt;0,'Boletins Nuppa Site'!H1507,"NULL")</f>
        <v>NULL</v>
      </c>
      <c r="F1507" s="14" t="str">
        <f>IF('Boletins Nuppa Site'!I1507&lt;&gt;0,'Boletins Nuppa Site'!I1507,"NULL")</f>
        <v>NULL</v>
      </c>
      <c r="G1507" s="14" t="str">
        <f>IF('Boletins Nuppa Site'!J1507&lt;&gt;0,'Boletins Nuppa Site'!J1507,"NULL")</f>
        <v>NULL</v>
      </c>
      <c r="H1507" s="14" t="str">
        <f>IF('Boletins Nuppa Site'!K1507&lt;&gt;0,'Boletins Nuppa Site'!K1507,"NULL")</f>
        <v>NULL</v>
      </c>
      <c r="I1507" t="str">
        <f t="shared" si="46"/>
        <v>INSERT INTO COTACAO (cot_id, cot_blt_id, cot_pap_id, cot_prc_comum, cot_prc_min, cot_prc_max, cot_prc_med, cot_prc_mediana) VALUES (1506, 75, 36, NULL, NULL, NULL, NULL, NULL);</v>
      </c>
      <c r="J1507" t="str">
        <f t="shared" si="47"/>
        <v>UPDATE COTACAO SET cot_id = 1506, cot_blt_id = 75, cot_pap_id = 36, cot_prc_comum = NULL, cot_prc_min = NULL, cot_prc_max = NULL, cot_prc_med = NULL, cot_prc_mediana = NULL WHERE cot_id = 1506;</v>
      </c>
    </row>
    <row r="1508" spans="1:10" x14ac:dyDescent="0.3">
      <c r="A1508">
        <v>1507</v>
      </c>
      <c r="B1508">
        <f>IF('Boletins Nuppa Site'!A1508&lt;&gt;0,'Boletins Nuppa Site'!A1508,"NULL")</f>
        <v>75</v>
      </c>
      <c r="C1508">
        <v>37</v>
      </c>
      <c r="D1508" t="str">
        <f>IF('Boletins Nuppa Site'!G1508&lt;&gt;0,'Boletins Nuppa Site'!G1508,"NULL")</f>
        <v>NULL</v>
      </c>
      <c r="E1508" s="14" t="str">
        <f>IF('Boletins Nuppa Site'!H1508&lt;&gt;0,'Boletins Nuppa Site'!H1508,"NULL")</f>
        <v>NULL</v>
      </c>
      <c r="F1508" s="14" t="str">
        <f>IF('Boletins Nuppa Site'!I1508&lt;&gt;0,'Boletins Nuppa Site'!I1508,"NULL")</f>
        <v>NULL</v>
      </c>
      <c r="G1508" s="14" t="str">
        <f>IF('Boletins Nuppa Site'!J1508&lt;&gt;0,'Boletins Nuppa Site'!J1508,"NULL")</f>
        <v>NULL</v>
      </c>
      <c r="H1508" s="14" t="str">
        <f>IF('Boletins Nuppa Site'!K1508&lt;&gt;0,'Boletins Nuppa Site'!K1508,"NULL")</f>
        <v>NULL</v>
      </c>
      <c r="I1508" t="str">
        <f t="shared" si="46"/>
        <v>INSERT INTO COTACAO (cot_id, cot_blt_id, cot_pap_id, cot_prc_comum, cot_prc_min, cot_prc_max, cot_prc_med, cot_prc_mediana) VALUES (1507, 75, 37, NULL, NULL, NULL, NULL, NULL);</v>
      </c>
      <c r="J1508" t="str">
        <f t="shared" si="47"/>
        <v>UPDATE COTACAO SET cot_id = 1507, cot_blt_id = 75, cot_pap_id = 37, cot_prc_comum = NULL, cot_prc_min = NULL, cot_prc_max = NULL, cot_prc_med = NULL, cot_prc_mediana = NULL WHERE cot_id = 1507;</v>
      </c>
    </row>
    <row r="1509" spans="1:10" x14ac:dyDescent="0.3">
      <c r="A1509">
        <v>1508</v>
      </c>
      <c r="B1509">
        <f>IF('Boletins Nuppa Site'!A1509&lt;&gt;0,'Boletins Nuppa Site'!A1509,"NULL")</f>
        <v>75</v>
      </c>
      <c r="C1509">
        <v>38</v>
      </c>
      <c r="D1509" t="str">
        <f>IF('Boletins Nuppa Site'!G1509&lt;&gt;0,'Boletins Nuppa Site'!G1509,"NULL")</f>
        <v>NULL</v>
      </c>
      <c r="E1509" s="14" t="str">
        <f>IF('Boletins Nuppa Site'!H1509&lt;&gt;0,'Boletins Nuppa Site'!H1509,"NULL")</f>
        <v>NULL</v>
      </c>
      <c r="F1509" s="14" t="str">
        <f>IF('Boletins Nuppa Site'!I1509&lt;&gt;0,'Boletins Nuppa Site'!I1509,"NULL")</f>
        <v>NULL</v>
      </c>
      <c r="G1509" s="14" t="str">
        <f>IF('Boletins Nuppa Site'!J1509&lt;&gt;0,'Boletins Nuppa Site'!J1509,"NULL")</f>
        <v>NULL</v>
      </c>
      <c r="H1509" s="14" t="str">
        <f>IF('Boletins Nuppa Site'!K1509&lt;&gt;0,'Boletins Nuppa Site'!K1509,"NULL")</f>
        <v>NULL</v>
      </c>
      <c r="I1509" t="str">
        <f t="shared" si="46"/>
        <v>INSERT INTO COTACAO (cot_id, cot_blt_id, cot_pap_id, cot_prc_comum, cot_prc_min, cot_prc_max, cot_prc_med, cot_prc_mediana) VALUES (1508, 75, 38, NULL, NULL, NULL, NULL, NULL);</v>
      </c>
      <c r="J1509" t="str">
        <f t="shared" si="47"/>
        <v>UPDATE COTACAO SET cot_id = 1508, cot_blt_id = 75, cot_pap_id = 38, cot_prc_comum = NULL, cot_prc_min = NULL, cot_prc_max = NULL, cot_prc_med = NULL, cot_prc_mediana = NULL WHERE cot_id = 1508;</v>
      </c>
    </row>
    <row r="1510" spans="1:10" x14ac:dyDescent="0.3">
      <c r="A1510">
        <v>1509</v>
      </c>
      <c r="B1510">
        <f>IF('Boletins Nuppa Site'!A1510&lt;&gt;0,'Boletins Nuppa Site'!A1510,"NULL")</f>
        <v>75</v>
      </c>
      <c r="C1510">
        <v>39</v>
      </c>
      <c r="D1510" t="str">
        <f>IF('Boletins Nuppa Site'!G1510&lt;&gt;0,'Boletins Nuppa Site'!G1510,"NULL")</f>
        <v>NULL</v>
      </c>
      <c r="E1510" s="14" t="str">
        <f>IF('Boletins Nuppa Site'!H1510&lt;&gt;0,'Boletins Nuppa Site'!H1510,"NULL")</f>
        <v>NULL</v>
      </c>
      <c r="F1510" s="14" t="str">
        <f>IF('Boletins Nuppa Site'!I1510&lt;&gt;0,'Boletins Nuppa Site'!I1510,"NULL")</f>
        <v>NULL</v>
      </c>
      <c r="G1510" s="14" t="str">
        <f>IF('Boletins Nuppa Site'!J1510&lt;&gt;0,'Boletins Nuppa Site'!J1510,"NULL")</f>
        <v>NULL</v>
      </c>
      <c r="H1510" s="14" t="str">
        <f>IF('Boletins Nuppa Site'!K1510&lt;&gt;0,'Boletins Nuppa Site'!K1510,"NULL")</f>
        <v>NULL</v>
      </c>
      <c r="I1510" t="str">
        <f t="shared" si="46"/>
        <v>INSERT INTO COTACAO (cot_id, cot_blt_id, cot_pap_id, cot_prc_comum, cot_prc_min, cot_prc_max, cot_prc_med, cot_prc_mediana) VALUES (1509, 75, 39, NULL, NULL, NULL, NULL, NULL);</v>
      </c>
      <c r="J1510" t="str">
        <f t="shared" si="47"/>
        <v>UPDATE COTACAO SET cot_id = 1509, cot_blt_id = 75, cot_pap_id = 39, cot_prc_comum = NULL, cot_prc_min = NULL, cot_prc_max = NULL, cot_prc_med = NULL, cot_prc_mediana = NULL WHERE cot_id = 1509;</v>
      </c>
    </row>
    <row r="1511" spans="1:10" x14ac:dyDescent="0.3">
      <c r="A1511">
        <v>1510</v>
      </c>
      <c r="B1511">
        <f>IF('Boletins Nuppa Site'!A1511&lt;&gt;0,'Boletins Nuppa Site'!A1511,"NULL")</f>
        <v>75</v>
      </c>
      <c r="C1511">
        <v>40</v>
      </c>
      <c r="D1511" t="str">
        <f>IF('Boletins Nuppa Site'!G1511&lt;&gt;0,'Boletins Nuppa Site'!G1511,"NULL")</f>
        <v>NULL</v>
      </c>
      <c r="E1511" s="14" t="str">
        <f>IF('Boletins Nuppa Site'!H1511&lt;&gt;0,'Boletins Nuppa Site'!H1511,"NULL")</f>
        <v>NULL</v>
      </c>
      <c r="F1511" s="14" t="str">
        <f>IF('Boletins Nuppa Site'!I1511&lt;&gt;0,'Boletins Nuppa Site'!I1511,"NULL")</f>
        <v>NULL</v>
      </c>
      <c r="G1511" s="14" t="str">
        <f>IF('Boletins Nuppa Site'!J1511&lt;&gt;0,'Boletins Nuppa Site'!J1511,"NULL")</f>
        <v>NULL</v>
      </c>
      <c r="H1511" s="14" t="str">
        <f>IF('Boletins Nuppa Site'!K1511&lt;&gt;0,'Boletins Nuppa Site'!K1511,"NULL")</f>
        <v>NULL</v>
      </c>
      <c r="I1511" t="str">
        <f t="shared" si="46"/>
        <v>INSERT INTO COTACAO (cot_id, cot_blt_id, cot_pap_id, cot_prc_comum, cot_prc_min, cot_prc_max, cot_prc_med, cot_prc_mediana) VALUES (1510, 75, 40, NULL, NULL, NULL, NULL, NULL);</v>
      </c>
      <c r="J1511" t="str">
        <f t="shared" si="47"/>
        <v>UPDATE COTACAO SET cot_id = 1510, cot_blt_id = 75, cot_pap_id = 40, cot_prc_comum = NULL, cot_prc_min = NULL, cot_prc_max = NULL, cot_prc_med = NULL, cot_prc_mediana = NULL WHERE cot_id = 1510;</v>
      </c>
    </row>
    <row r="1512" spans="1:10" x14ac:dyDescent="0.3">
      <c r="A1512">
        <v>1511</v>
      </c>
      <c r="B1512">
        <f>IF('Boletins Nuppa Site'!A1512&lt;&gt;0,'Boletins Nuppa Site'!A1512,"NULL")</f>
        <v>76</v>
      </c>
      <c r="C1512">
        <v>1</v>
      </c>
      <c r="D1512" t="str">
        <f>IF('Boletins Nuppa Site'!G1512&lt;&gt;0,'Boletins Nuppa Site'!G1512,"NULL")</f>
        <v xml:space="preserve"> 48.00</v>
      </c>
      <c r="E1512" s="14" t="str">
        <f>IF('Boletins Nuppa Site'!H1512&lt;&gt;0,'Boletins Nuppa Site'!H1512,"NULL")</f>
        <v xml:space="preserve"> 48.00</v>
      </c>
      <c r="F1512" s="14" t="str">
        <f>IF('Boletins Nuppa Site'!I1512&lt;&gt;0,'Boletins Nuppa Site'!I1512,"NULL")</f>
        <v xml:space="preserve"> 60.00</v>
      </c>
      <c r="G1512" s="14" t="str">
        <f>IF('Boletins Nuppa Site'!J1512&lt;&gt;0,'Boletins Nuppa Site'!J1512,"NULL")</f>
        <v xml:space="preserve"> 54.00</v>
      </c>
      <c r="H1512" s="14" t="str">
        <f>IF('Boletins Nuppa Site'!K1512&lt;&gt;0,'Boletins Nuppa Site'!K1512,"NULL")</f>
        <v xml:space="preserve"> 54.00</v>
      </c>
      <c r="I1512" t="str">
        <f t="shared" si="46"/>
        <v>INSERT INTO COTACAO (cot_id, cot_blt_id, cot_pap_id, cot_prc_comum, cot_prc_min, cot_prc_max, cot_prc_med, cot_prc_mediana) VALUES (1511, 76, 1,  48.00,  48.00,  60.00,  54.00,  54.00);</v>
      </c>
      <c r="J1512" t="str">
        <f t="shared" si="47"/>
        <v>UPDATE COTACAO SET cot_id = 1511, cot_blt_id = 76, cot_pap_id = 1, cot_prc_comum =  48.00, cot_prc_min =  48.00, cot_prc_max =  60.00, cot_prc_med =  54.00, cot_prc_mediana =  54.00 WHERE cot_id = 1511;</v>
      </c>
    </row>
    <row r="1513" spans="1:10" x14ac:dyDescent="0.3">
      <c r="A1513">
        <v>1512</v>
      </c>
      <c r="B1513">
        <f>IF('Boletins Nuppa Site'!A1513&lt;&gt;0,'Boletins Nuppa Site'!A1513,"NULL")</f>
        <v>76</v>
      </c>
      <c r="C1513">
        <v>2</v>
      </c>
      <c r="D1513" t="str">
        <f>IF('Boletins Nuppa Site'!G1513&lt;&gt;0,'Boletins Nuppa Site'!G1513,"NULL")</f>
        <v xml:space="preserve"> 72.00</v>
      </c>
      <c r="E1513" s="14" t="str">
        <f>IF('Boletins Nuppa Site'!H1513&lt;&gt;0,'Boletins Nuppa Site'!H1513,"NULL")</f>
        <v xml:space="preserve"> 60.00</v>
      </c>
      <c r="F1513" s="14" t="str">
        <f>IF('Boletins Nuppa Site'!I1513&lt;&gt;0,'Boletins Nuppa Site'!I1513,"NULL")</f>
        <v xml:space="preserve"> 84.00</v>
      </c>
      <c r="G1513" s="14" t="str">
        <f>IF('Boletins Nuppa Site'!J1513&lt;&gt;0,'Boletins Nuppa Site'!J1513,"NULL")</f>
        <v xml:space="preserve"> 72.00</v>
      </c>
      <c r="H1513" s="14" t="str">
        <f>IF('Boletins Nuppa Site'!K1513&lt;&gt;0,'Boletins Nuppa Site'!K1513,"NULL")</f>
        <v xml:space="preserve"> 72.00</v>
      </c>
      <c r="I1513" t="str">
        <f t="shared" si="46"/>
        <v>INSERT INTO COTACAO (cot_id, cot_blt_id, cot_pap_id, cot_prc_comum, cot_prc_min, cot_prc_max, cot_prc_med, cot_prc_mediana) VALUES (1512, 76, 2,  72.00,  60.00,  84.00,  72.00,  72.00);</v>
      </c>
      <c r="J1513" t="str">
        <f t="shared" si="47"/>
        <v>UPDATE COTACAO SET cot_id = 1512, cot_blt_id = 76, cot_pap_id = 2, cot_prc_comum =  72.00, cot_prc_min =  60.00, cot_prc_max =  84.00, cot_prc_med =  72.00, cot_prc_mediana =  72.00 WHERE cot_id = 1512;</v>
      </c>
    </row>
    <row r="1514" spans="1:10" x14ac:dyDescent="0.3">
      <c r="A1514">
        <v>1513</v>
      </c>
      <c r="B1514">
        <f>IF('Boletins Nuppa Site'!A1514&lt;&gt;0,'Boletins Nuppa Site'!A1514,"NULL")</f>
        <v>76</v>
      </c>
      <c r="C1514">
        <v>3</v>
      </c>
      <c r="D1514" t="str">
        <f>IF('Boletins Nuppa Site'!G1514&lt;&gt;0,'Boletins Nuppa Site'!G1514,"NULL")</f>
        <v xml:space="preserve"> 30.00</v>
      </c>
      <c r="E1514" s="14" t="str">
        <f>IF('Boletins Nuppa Site'!H1514&lt;&gt;0,'Boletins Nuppa Site'!H1514,"NULL")</f>
        <v xml:space="preserve"> 30.00</v>
      </c>
      <c r="F1514" s="14" t="str">
        <f>IF('Boletins Nuppa Site'!I1514&lt;&gt;0,'Boletins Nuppa Site'!I1514,"NULL")</f>
        <v xml:space="preserve"> 42.00</v>
      </c>
      <c r="G1514" s="14" t="str">
        <f>IF('Boletins Nuppa Site'!J1514&lt;&gt;0,'Boletins Nuppa Site'!J1514,"NULL")</f>
        <v xml:space="preserve"> 34.50</v>
      </c>
      <c r="H1514" s="14" t="str">
        <f>IF('Boletins Nuppa Site'!K1514&lt;&gt;0,'Boletins Nuppa Site'!K1514,"NULL")</f>
        <v xml:space="preserve"> 33.00</v>
      </c>
      <c r="I1514" t="str">
        <f t="shared" si="46"/>
        <v>INSERT INTO COTACAO (cot_id, cot_blt_id, cot_pap_id, cot_prc_comum, cot_prc_min, cot_prc_max, cot_prc_med, cot_prc_mediana) VALUES (1513, 76, 3,  30.00,  30.00,  42.00,  34.50,  33.00);</v>
      </c>
      <c r="J1514" t="str">
        <f t="shared" si="47"/>
        <v>UPDATE COTACAO SET cot_id = 1513, cot_blt_id = 76, cot_pap_id = 3, cot_prc_comum =  30.00, cot_prc_min =  30.00, cot_prc_max =  42.00, cot_prc_med =  34.50, cot_prc_mediana =  33.00 WHERE cot_id = 1513;</v>
      </c>
    </row>
    <row r="1515" spans="1:10" x14ac:dyDescent="0.3">
      <c r="A1515">
        <v>1514</v>
      </c>
      <c r="B1515">
        <f>IF('Boletins Nuppa Site'!A1515&lt;&gt;0,'Boletins Nuppa Site'!A1515,"NULL")</f>
        <v>76</v>
      </c>
      <c r="C1515">
        <v>4</v>
      </c>
      <c r="D1515" t="str">
        <f>IF('Boletins Nuppa Site'!G1515&lt;&gt;0,'Boletins Nuppa Site'!G1515,"NULL")</f>
        <v xml:space="preserve"> 24.00</v>
      </c>
      <c r="E1515" s="14" t="str">
        <f>IF('Boletins Nuppa Site'!H1515&lt;&gt;0,'Boletins Nuppa Site'!H1515,"NULL")</f>
        <v xml:space="preserve"> 18.00</v>
      </c>
      <c r="F1515" s="14" t="str">
        <f>IF('Boletins Nuppa Site'!I1515&lt;&gt;0,'Boletins Nuppa Site'!I1515,"NULL")</f>
        <v xml:space="preserve"> 24.00</v>
      </c>
      <c r="G1515" s="14" t="str">
        <f>IF('Boletins Nuppa Site'!J1515&lt;&gt;0,'Boletins Nuppa Site'!J1515,"NULL")</f>
        <v xml:space="preserve"> 22.50</v>
      </c>
      <c r="H1515" s="14" t="str">
        <f>IF('Boletins Nuppa Site'!K1515&lt;&gt;0,'Boletins Nuppa Site'!K1515,"NULL")</f>
        <v xml:space="preserve"> 24.00</v>
      </c>
      <c r="I1515" t="str">
        <f t="shared" si="46"/>
        <v>INSERT INTO COTACAO (cot_id, cot_blt_id, cot_pap_id, cot_prc_comum, cot_prc_min, cot_prc_max, cot_prc_med, cot_prc_mediana) VALUES (1514, 76, 4,  24.00,  18.00,  24.00,  22.50,  24.00);</v>
      </c>
      <c r="J1515" t="str">
        <f t="shared" si="47"/>
        <v>UPDATE COTACAO SET cot_id = 1514, cot_blt_id = 76, cot_pap_id = 4, cot_prc_comum =  24.00, cot_prc_min =  18.00, cot_prc_max =  24.00, cot_prc_med =  22.50, cot_prc_mediana =  24.00 WHERE cot_id = 1514;</v>
      </c>
    </row>
    <row r="1516" spans="1:10" x14ac:dyDescent="0.3">
      <c r="A1516">
        <v>1515</v>
      </c>
      <c r="B1516">
        <f>IF('Boletins Nuppa Site'!A1516&lt;&gt;0,'Boletins Nuppa Site'!A1516,"NULL")</f>
        <v>76</v>
      </c>
      <c r="C1516">
        <v>5</v>
      </c>
      <c r="D1516" t="str">
        <f>IF('Boletins Nuppa Site'!G1516&lt;&gt;0,'Boletins Nuppa Site'!G1516,"NULL")</f>
        <v xml:space="preserve"> 24.00</v>
      </c>
      <c r="E1516" s="14" t="str">
        <f>IF('Boletins Nuppa Site'!H1516&lt;&gt;0,'Boletins Nuppa Site'!H1516,"NULL")</f>
        <v xml:space="preserve"> 24.00</v>
      </c>
      <c r="F1516" s="14" t="str">
        <f>IF('Boletins Nuppa Site'!I1516&lt;&gt;0,'Boletins Nuppa Site'!I1516,"NULL")</f>
        <v xml:space="preserve"> 60.00</v>
      </c>
      <c r="G1516" s="14" t="str">
        <f>IF('Boletins Nuppa Site'!J1516&lt;&gt;0,'Boletins Nuppa Site'!J1516,"NULL")</f>
        <v xml:space="preserve"> 33.00</v>
      </c>
      <c r="H1516" s="14" t="str">
        <f>IF('Boletins Nuppa Site'!K1516&lt;&gt;0,'Boletins Nuppa Site'!K1516,"NULL")</f>
        <v xml:space="preserve"> 24.00</v>
      </c>
      <c r="I1516" t="str">
        <f t="shared" si="46"/>
        <v>INSERT INTO COTACAO (cot_id, cot_blt_id, cot_pap_id, cot_prc_comum, cot_prc_min, cot_prc_max, cot_prc_med, cot_prc_mediana) VALUES (1515, 76, 5,  24.00,  24.00,  60.00,  33.00,  24.00);</v>
      </c>
      <c r="J1516" t="str">
        <f t="shared" si="47"/>
        <v>UPDATE COTACAO SET cot_id = 1515, cot_blt_id = 76, cot_pap_id = 5, cot_prc_comum =  24.00, cot_prc_min =  24.00, cot_prc_max =  60.00, cot_prc_med =  33.00, cot_prc_mediana =  24.00 WHERE cot_id = 1515;</v>
      </c>
    </row>
    <row r="1517" spans="1:10" x14ac:dyDescent="0.3">
      <c r="A1517">
        <v>1516</v>
      </c>
      <c r="B1517">
        <f>IF('Boletins Nuppa Site'!A1517&lt;&gt;0,'Boletins Nuppa Site'!A1517,"NULL")</f>
        <v>76</v>
      </c>
      <c r="C1517">
        <v>6</v>
      </c>
      <c r="D1517" t="str">
        <f>IF('Boletins Nuppa Site'!G1517&lt;&gt;0,'Boletins Nuppa Site'!G1517,"NULL")</f>
        <v xml:space="preserve"> 60.00</v>
      </c>
      <c r="E1517" s="14" t="str">
        <f>IF('Boletins Nuppa Site'!H1517&lt;&gt;0,'Boletins Nuppa Site'!H1517,"NULL")</f>
        <v xml:space="preserve"> 60.00</v>
      </c>
      <c r="F1517" s="14" t="str">
        <f>IF('Boletins Nuppa Site'!I1517&lt;&gt;0,'Boletins Nuppa Site'!I1517,"NULL")</f>
        <v xml:space="preserve"> 60.00</v>
      </c>
      <c r="G1517" s="14" t="str">
        <f>IF('Boletins Nuppa Site'!J1517&lt;&gt;0,'Boletins Nuppa Site'!J1517,"NULL")</f>
        <v xml:space="preserve"> 60.00</v>
      </c>
      <c r="H1517" s="14" t="str">
        <f>IF('Boletins Nuppa Site'!K1517&lt;&gt;0,'Boletins Nuppa Site'!K1517,"NULL")</f>
        <v xml:space="preserve"> 60.00</v>
      </c>
      <c r="I1517" t="str">
        <f t="shared" si="46"/>
        <v>INSERT INTO COTACAO (cot_id, cot_blt_id, cot_pap_id, cot_prc_comum, cot_prc_min, cot_prc_max, cot_prc_med, cot_prc_mediana) VALUES (1516, 76, 6,  60.00,  60.00,  60.00,  60.00,  60.00);</v>
      </c>
      <c r="J1517" t="str">
        <f t="shared" si="47"/>
        <v>UPDATE COTACAO SET cot_id = 1516, cot_blt_id = 76, cot_pap_id = 6, cot_prc_comum =  60.00, cot_prc_min =  60.00, cot_prc_max =  60.00, cot_prc_med =  60.00, cot_prc_mediana =  60.00 WHERE cot_id = 1516;</v>
      </c>
    </row>
    <row r="1518" spans="1:10" x14ac:dyDescent="0.3">
      <c r="A1518">
        <v>1517</v>
      </c>
      <c r="B1518">
        <f>IF('Boletins Nuppa Site'!A1518&lt;&gt;0,'Boletins Nuppa Site'!A1518,"NULL")</f>
        <v>76</v>
      </c>
      <c r="C1518">
        <v>7</v>
      </c>
      <c r="D1518" t="str">
        <f>IF('Boletins Nuppa Site'!G1518&lt;&gt;0,'Boletins Nuppa Site'!G1518,"NULL")</f>
        <v xml:space="preserve"> 60.00</v>
      </c>
      <c r="E1518" s="14" t="str">
        <f>IF('Boletins Nuppa Site'!H1518&lt;&gt;0,'Boletins Nuppa Site'!H1518,"NULL")</f>
        <v xml:space="preserve"> 60.00</v>
      </c>
      <c r="F1518" s="14" t="str">
        <f>IF('Boletins Nuppa Site'!I1518&lt;&gt;0,'Boletins Nuppa Site'!I1518,"NULL")</f>
        <v xml:space="preserve"> 72.00</v>
      </c>
      <c r="G1518" s="14" t="str">
        <f>IF('Boletins Nuppa Site'!J1518&lt;&gt;0,'Boletins Nuppa Site'!J1518,"NULL")</f>
        <v xml:space="preserve"> 64.00</v>
      </c>
      <c r="H1518" s="14" t="str">
        <f>IF('Boletins Nuppa Site'!K1518&lt;&gt;0,'Boletins Nuppa Site'!K1518,"NULL")</f>
        <v xml:space="preserve"> 60.00</v>
      </c>
      <c r="I1518" t="str">
        <f t="shared" si="46"/>
        <v>INSERT INTO COTACAO (cot_id, cot_blt_id, cot_pap_id, cot_prc_comum, cot_prc_min, cot_prc_max, cot_prc_med, cot_prc_mediana) VALUES (1517, 76, 7,  60.00,  60.00,  72.00,  64.00,  60.00);</v>
      </c>
      <c r="J1518" t="str">
        <f t="shared" si="47"/>
        <v>UPDATE COTACAO SET cot_id = 1517, cot_blt_id = 76, cot_pap_id = 7, cot_prc_comum =  60.00, cot_prc_min =  60.00, cot_prc_max =  72.00, cot_prc_med =  64.00, cot_prc_mediana =  60.00 WHERE cot_id = 1517;</v>
      </c>
    </row>
    <row r="1519" spans="1:10" x14ac:dyDescent="0.3">
      <c r="A1519">
        <v>1518</v>
      </c>
      <c r="B1519">
        <f>IF('Boletins Nuppa Site'!A1519&lt;&gt;0,'Boletins Nuppa Site'!A1519,"NULL")</f>
        <v>76</v>
      </c>
      <c r="C1519">
        <v>8</v>
      </c>
      <c r="D1519" t="str">
        <f>IF('Boletins Nuppa Site'!G1519&lt;&gt;0,'Boletins Nuppa Site'!G1519,"NULL")</f>
        <v xml:space="preserve"> 72.00</v>
      </c>
      <c r="E1519" s="14" t="str">
        <f>IF('Boletins Nuppa Site'!H1519&lt;&gt;0,'Boletins Nuppa Site'!H1519,"NULL")</f>
        <v xml:space="preserve"> 70.00</v>
      </c>
      <c r="F1519" s="14" t="str">
        <f>IF('Boletins Nuppa Site'!I1519&lt;&gt;0,'Boletins Nuppa Site'!I1519,"NULL")</f>
        <v xml:space="preserve"> 72.00</v>
      </c>
      <c r="G1519" s="14" t="str">
        <f>IF('Boletins Nuppa Site'!J1519&lt;&gt;0,'Boletins Nuppa Site'!J1519,"NULL")</f>
        <v xml:space="preserve"> 71.50</v>
      </c>
      <c r="H1519" s="14" t="str">
        <f>IF('Boletins Nuppa Site'!K1519&lt;&gt;0,'Boletins Nuppa Site'!K1519,"NULL")</f>
        <v xml:space="preserve"> 72.00</v>
      </c>
      <c r="I1519" t="str">
        <f t="shared" si="46"/>
        <v>INSERT INTO COTACAO (cot_id, cot_blt_id, cot_pap_id, cot_prc_comum, cot_prc_min, cot_prc_max, cot_prc_med, cot_prc_mediana) VALUES (1518, 76, 8,  72.00,  70.00,  72.00,  71.50,  72.00);</v>
      </c>
      <c r="J1519" t="str">
        <f t="shared" si="47"/>
        <v>UPDATE COTACAO SET cot_id = 1518, cot_blt_id = 76, cot_pap_id = 8, cot_prc_comum =  72.00, cot_prc_min =  70.00, cot_prc_max =  72.00, cot_prc_med =  71.50, cot_prc_mediana =  72.00 WHERE cot_id = 1518;</v>
      </c>
    </row>
    <row r="1520" spans="1:10" x14ac:dyDescent="0.3">
      <c r="A1520">
        <v>1519</v>
      </c>
      <c r="B1520">
        <f>IF('Boletins Nuppa Site'!A1520&lt;&gt;0,'Boletins Nuppa Site'!A1520,"NULL")</f>
        <v>76</v>
      </c>
      <c r="C1520">
        <v>9</v>
      </c>
      <c r="D1520" t="str">
        <f>IF('Boletins Nuppa Site'!G1520&lt;&gt;0,'Boletins Nuppa Site'!G1520,"NULL")</f>
        <v xml:space="preserve"> 24.00</v>
      </c>
      <c r="E1520" s="14" t="str">
        <f>IF('Boletins Nuppa Site'!H1520&lt;&gt;0,'Boletins Nuppa Site'!H1520,"NULL")</f>
        <v xml:space="preserve"> 18.00</v>
      </c>
      <c r="F1520" s="14" t="str">
        <f>IF('Boletins Nuppa Site'!I1520&lt;&gt;0,'Boletins Nuppa Site'!I1520,"NULL")</f>
        <v xml:space="preserve"> 24.00</v>
      </c>
      <c r="G1520" s="14" t="str">
        <f>IF('Boletins Nuppa Site'!J1520&lt;&gt;0,'Boletins Nuppa Site'!J1520,"NULL")</f>
        <v xml:space="preserve"> 21.50</v>
      </c>
      <c r="H1520" s="14" t="str">
        <f>IF('Boletins Nuppa Site'!K1520&lt;&gt;0,'Boletins Nuppa Site'!K1520,"NULL")</f>
        <v xml:space="preserve"> 22.00</v>
      </c>
      <c r="I1520" t="str">
        <f t="shared" si="46"/>
        <v>INSERT INTO COTACAO (cot_id, cot_blt_id, cot_pap_id, cot_prc_comum, cot_prc_min, cot_prc_max, cot_prc_med, cot_prc_mediana) VALUES (1519, 76, 9,  24.00,  18.00,  24.00,  21.50,  22.00);</v>
      </c>
      <c r="J1520" t="str">
        <f t="shared" si="47"/>
        <v>UPDATE COTACAO SET cot_id = 1519, cot_blt_id = 76, cot_pap_id = 9, cot_prc_comum =  24.00, cot_prc_min =  18.00, cot_prc_max =  24.00, cot_prc_med =  21.50, cot_prc_mediana =  22.00 WHERE cot_id = 1519;</v>
      </c>
    </row>
    <row r="1521" spans="1:10" x14ac:dyDescent="0.3">
      <c r="A1521">
        <v>1520</v>
      </c>
      <c r="B1521">
        <f>IF('Boletins Nuppa Site'!A1521&lt;&gt;0,'Boletins Nuppa Site'!A1521,"NULL")</f>
        <v>76</v>
      </c>
      <c r="C1521">
        <v>10</v>
      </c>
      <c r="D1521" t="str">
        <f>IF('Boletins Nuppa Site'!G1521&lt;&gt;0,'Boletins Nuppa Site'!G1521,"NULL")</f>
        <v xml:space="preserve"> 60.00</v>
      </c>
      <c r="E1521" s="14" t="str">
        <f>IF('Boletins Nuppa Site'!H1521&lt;&gt;0,'Boletins Nuppa Site'!H1521,"NULL")</f>
        <v xml:space="preserve"> 60.00</v>
      </c>
      <c r="F1521" s="14" t="str">
        <f>IF('Boletins Nuppa Site'!I1521&lt;&gt;0,'Boletins Nuppa Site'!I1521,"NULL")</f>
        <v xml:space="preserve"> 70.00</v>
      </c>
      <c r="G1521" s="14" t="str">
        <f>IF('Boletins Nuppa Site'!J1521&lt;&gt;0,'Boletins Nuppa Site'!J1521,"NULL")</f>
        <v xml:space="preserve"> 63.33</v>
      </c>
      <c r="H1521" s="14" t="str">
        <f>IF('Boletins Nuppa Site'!K1521&lt;&gt;0,'Boletins Nuppa Site'!K1521,"NULL")</f>
        <v xml:space="preserve"> 60.00</v>
      </c>
      <c r="I1521" t="str">
        <f t="shared" si="46"/>
        <v>INSERT INTO COTACAO (cot_id, cot_blt_id, cot_pap_id, cot_prc_comum, cot_prc_min, cot_prc_max, cot_prc_med, cot_prc_mediana) VALUES (1520, 76, 10,  60.00,  60.00,  70.00,  63.33,  60.00);</v>
      </c>
      <c r="J1521" t="str">
        <f t="shared" si="47"/>
        <v>UPDATE COTACAO SET cot_id = 1520, cot_blt_id = 76, cot_pap_id = 10, cot_prc_comum =  60.00, cot_prc_min =  60.00, cot_prc_max =  70.00, cot_prc_med =  63.33, cot_prc_mediana =  60.00 WHERE cot_id = 1520;</v>
      </c>
    </row>
    <row r="1522" spans="1:10" x14ac:dyDescent="0.3">
      <c r="A1522">
        <v>1521</v>
      </c>
      <c r="B1522">
        <f>IF('Boletins Nuppa Site'!A1522&lt;&gt;0,'Boletins Nuppa Site'!A1522,"NULL")</f>
        <v>76</v>
      </c>
      <c r="C1522">
        <v>11</v>
      </c>
      <c r="D1522" t="str">
        <f>IF('Boletins Nuppa Site'!G1522&lt;&gt;0,'Boletins Nuppa Site'!G1522,"NULL")</f>
        <v xml:space="preserve"> 24.00</v>
      </c>
      <c r="E1522" s="14" t="str">
        <f>IF('Boletins Nuppa Site'!H1522&lt;&gt;0,'Boletins Nuppa Site'!H1522,"NULL")</f>
        <v xml:space="preserve"> 18.00</v>
      </c>
      <c r="F1522" s="14" t="str">
        <f>IF('Boletins Nuppa Site'!I1522&lt;&gt;0,'Boletins Nuppa Site'!I1522,"NULL")</f>
        <v xml:space="preserve"> 24.00</v>
      </c>
      <c r="G1522" s="14" t="str">
        <f>IF('Boletins Nuppa Site'!J1522&lt;&gt;0,'Boletins Nuppa Site'!J1522,"NULL")</f>
        <v xml:space="preserve"> 22.50</v>
      </c>
      <c r="H1522" s="14" t="str">
        <f>IF('Boletins Nuppa Site'!K1522&lt;&gt;0,'Boletins Nuppa Site'!K1522,"NULL")</f>
        <v xml:space="preserve"> 24.00</v>
      </c>
      <c r="I1522" t="str">
        <f t="shared" si="46"/>
        <v>INSERT INTO COTACAO (cot_id, cot_blt_id, cot_pap_id, cot_prc_comum, cot_prc_min, cot_prc_max, cot_prc_med, cot_prc_mediana) VALUES (1521, 76, 11,  24.00,  18.00,  24.00,  22.50,  24.00);</v>
      </c>
      <c r="J1522" t="str">
        <f t="shared" si="47"/>
        <v>UPDATE COTACAO SET cot_id = 1521, cot_blt_id = 76, cot_pap_id = 11, cot_prc_comum =  24.00, cot_prc_min =  18.00, cot_prc_max =  24.00, cot_prc_med =  22.50, cot_prc_mediana =  24.00 WHERE cot_id = 1521;</v>
      </c>
    </row>
    <row r="1523" spans="1:10" x14ac:dyDescent="0.3">
      <c r="A1523">
        <v>1522</v>
      </c>
      <c r="B1523">
        <f>IF('Boletins Nuppa Site'!A1523&lt;&gt;0,'Boletins Nuppa Site'!A1523,"NULL")</f>
        <v>76</v>
      </c>
      <c r="C1523">
        <v>12</v>
      </c>
      <c r="D1523" t="str">
        <f>IF('Boletins Nuppa Site'!G1523&lt;&gt;0,'Boletins Nuppa Site'!G1523,"NULL")</f>
        <v xml:space="preserve"> 60.00</v>
      </c>
      <c r="E1523" s="14" t="str">
        <f>IF('Boletins Nuppa Site'!H1523&lt;&gt;0,'Boletins Nuppa Site'!H1523,"NULL")</f>
        <v xml:space="preserve"> 60.00</v>
      </c>
      <c r="F1523" s="14" t="str">
        <f>IF('Boletins Nuppa Site'!I1523&lt;&gt;0,'Boletins Nuppa Site'!I1523,"NULL")</f>
        <v xml:space="preserve"> 72.00</v>
      </c>
      <c r="G1523" s="14" t="str">
        <f>IF('Boletins Nuppa Site'!J1523&lt;&gt;0,'Boletins Nuppa Site'!J1523,"NULL")</f>
        <v xml:space="preserve"> 63.00</v>
      </c>
      <c r="H1523" s="14" t="str">
        <f>IF('Boletins Nuppa Site'!K1523&lt;&gt;0,'Boletins Nuppa Site'!K1523,"NULL")</f>
        <v xml:space="preserve"> 60.00</v>
      </c>
      <c r="I1523" t="str">
        <f t="shared" si="46"/>
        <v>INSERT INTO COTACAO (cot_id, cot_blt_id, cot_pap_id, cot_prc_comum, cot_prc_min, cot_prc_max, cot_prc_med, cot_prc_mediana) VALUES (1522, 76, 12,  60.00,  60.00,  72.00,  63.00,  60.00);</v>
      </c>
      <c r="J1523" t="str">
        <f t="shared" si="47"/>
        <v>UPDATE COTACAO SET cot_id = 1522, cot_blt_id = 76, cot_pap_id = 12, cot_prc_comum =  60.00, cot_prc_min =  60.00, cot_prc_max =  72.00, cot_prc_med =  63.00, cot_prc_mediana =  60.00 WHERE cot_id = 1522;</v>
      </c>
    </row>
    <row r="1524" spans="1:10" x14ac:dyDescent="0.3">
      <c r="A1524">
        <v>1523</v>
      </c>
      <c r="B1524">
        <f>IF('Boletins Nuppa Site'!A1524&lt;&gt;0,'Boletins Nuppa Site'!A1524,"NULL")</f>
        <v>76</v>
      </c>
      <c r="C1524">
        <v>13</v>
      </c>
      <c r="D1524" t="str">
        <f>IF('Boletins Nuppa Site'!G1524&lt;&gt;0,'Boletins Nuppa Site'!G1524,"NULL")</f>
        <v xml:space="preserve"> 48.00</v>
      </c>
      <c r="E1524" s="14" t="str">
        <f>IF('Boletins Nuppa Site'!H1524&lt;&gt;0,'Boletins Nuppa Site'!H1524,"NULL")</f>
        <v xml:space="preserve"> 48.00</v>
      </c>
      <c r="F1524" s="14" t="str">
        <f>IF('Boletins Nuppa Site'!I1524&lt;&gt;0,'Boletins Nuppa Site'!I1524,"NULL")</f>
        <v xml:space="preserve"> 60.00</v>
      </c>
      <c r="G1524" s="14" t="str">
        <f>IF('Boletins Nuppa Site'!J1524&lt;&gt;0,'Boletins Nuppa Site'!J1524,"NULL")</f>
        <v xml:space="preserve"> 54.00</v>
      </c>
      <c r="H1524" s="14" t="str">
        <f>IF('Boletins Nuppa Site'!K1524&lt;&gt;0,'Boletins Nuppa Site'!K1524,"NULL")</f>
        <v xml:space="preserve"> 54.00</v>
      </c>
      <c r="I1524" t="str">
        <f t="shared" si="46"/>
        <v>INSERT INTO COTACAO (cot_id, cot_blt_id, cot_pap_id, cot_prc_comum, cot_prc_min, cot_prc_max, cot_prc_med, cot_prc_mediana) VALUES (1523, 76, 13,  48.00,  48.00,  60.00,  54.00,  54.00);</v>
      </c>
      <c r="J1524" t="str">
        <f t="shared" si="47"/>
        <v>UPDATE COTACAO SET cot_id = 1523, cot_blt_id = 76, cot_pap_id = 13, cot_prc_comum =  48.00, cot_prc_min =  48.00, cot_prc_max =  60.00, cot_prc_med =  54.00, cot_prc_mediana =  54.00 WHERE cot_id = 1523;</v>
      </c>
    </row>
    <row r="1525" spans="1:10" x14ac:dyDescent="0.3">
      <c r="A1525">
        <v>1524</v>
      </c>
      <c r="B1525">
        <f>IF('Boletins Nuppa Site'!A1525&lt;&gt;0,'Boletins Nuppa Site'!A1525,"NULL")</f>
        <v>76</v>
      </c>
      <c r="C1525">
        <v>14</v>
      </c>
      <c r="D1525" t="str">
        <f>IF('Boletins Nuppa Site'!G1525&lt;&gt;0,'Boletins Nuppa Site'!G1525,"NULL")</f>
        <v xml:space="preserve"> 72.00</v>
      </c>
      <c r="E1525" s="14" t="str">
        <f>IF('Boletins Nuppa Site'!H1525&lt;&gt;0,'Boletins Nuppa Site'!H1525,"NULL")</f>
        <v xml:space="preserve"> 48.00</v>
      </c>
      <c r="F1525" s="14" t="str">
        <f>IF('Boletins Nuppa Site'!I1525&lt;&gt;0,'Boletins Nuppa Site'!I1525,"NULL")</f>
        <v xml:space="preserve"> 72.00</v>
      </c>
      <c r="G1525" s="14" t="str">
        <f>IF('Boletins Nuppa Site'!J1525&lt;&gt;0,'Boletins Nuppa Site'!J1525,"NULL")</f>
        <v xml:space="preserve"> 64.00</v>
      </c>
      <c r="H1525" s="14" t="str">
        <f>IF('Boletins Nuppa Site'!K1525&lt;&gt;0,'Boletins Nuppa Site'!K1525,"NULL")</f>
        <v xml:space="preserve"> 72.00</v>
      </c>
      <c r="I1525" t="str">
        <f t="shared" si="46"/>
        <v>INSERT INTO COTACAO (cot_id, cot_blt_id, cot_pap_id, cot_prc_comum, cot_prc_min, cot_prc_max, cot_prc_med, cot_prc_mediana) VALUES (1524, 76, 14,  72.00,  48.00,  72.00,  64.00,  72.00);</v>
      </c>
      <c r="J1525" t="str">
        <f t="shared" si="47"/>
        <v>UPDATE COTACAO SET cot_id = 1524, cot_blt_id = 76, cot_pap_id = 14, cot_prc_comum =  72.00, cot_prc_min =  48.00, cot_prc_max =  72.00, cot_prc_med =  64.00, cot_prc_mediana =  72.00 WHERE cot_id = 1524;</v>
      </c>
    </row>
    <row r="1526" spans="1:10" x14ac:dyDescent="0.3">
      <c r="A1526">
        <v>1525</v>
      </c>
      <c r="B1526">
        <f>IF('Boletins Nuppa Site'!A1526&lt;&gt;0,'Boletins Nuppa Site'!A1526,"NULL")</f>
        <v>76</v>
      </c>
      <c r="C1526">
        <v>15</v>
      </c>
      <c r="D1526" t="str">
        <f>IF('Boletins Nuppa Site'!G1526&lt;&gt;0,'Boletins Nuppa Site'!G1526,"NULL")</f>
        <v xml:space="preserve"> 24.00</v>
      </c>
      <c r="E1526" s="14" t="str">
        <f>IF('Boletins Nuppa Site'!H1526&lt;&gt;0,'Boletins Nuppa Site'!H1526,"NULL")</f>
        <v xml:space="preserve"> 24.00</v>
      </c>
      <c r="F1526" s="14" t="str">
        <f>IF('Boletins Nuppa Site'!I1526&lt;&gt;0,'Boletins Nuppa Site'!I1526,"NULL")</f>
        <v xml:space="preserve"> 30.00</v>
      </c>
      <c r="G1526" s="14" t="str">
        <f>IF('Boletins Nuppa Site'!J1526&lt;&gt;0,'Boletins Nuppa Site'!J1526,"NULL")</f>
        <v xml:space="preserve"> 25.50</v>
      </c>
      <c r="H1526" s="14" t="str">
        <f>IF('Boletins Nuppa Site'!K1526&lt;&gt;0,'Boletins Nuppa Site'!K1526,"NULL")</f>
        <v xml:space="preserve"> 24.00</v>
      </c>
      <c r="I1526" t="str">
        <f t="shared" si="46"/>
        <v>INSERT INTO COTACAO (cot_id, cot_blt_id, cot_pap_id, cot_prc_comum, cot_prc_min, cot_prc_max, cot_prc_med, cot_prc_mediana) VALUES (1525, 76, 15,  24.00,  24.00,  30.00,  25.50,  24.00);</v>
      </c>
      <c r="J1526" t="str">
        <f t="shared" si="47"/>
        <v>UPDATE COTACAO SET cot_id = 1525, cot_blt_id = 76, cot_pap_id = 15, cot_prc_comum =  24.00, cot_prc_min =  24.00, cot_prc_max =  30.00, cot_prc_med =  25.50, cot_prc_mediana =  24.00 WHERE cot_id = 1525;</v>
      </c>
    </row>
    <row r="1527" spans="1:10" x14ac:dyDescent="0.3">
      <c r="A1527">
        <v>1526</v>
      </c>
      <c r="B1527">
        <f>IF('Boletins Nuppa Site'!A1527&lt;&gt;0,'Boletins Nuppa Site'!A1527,"NULL")</f>
        <v>76</v>
      </c>
      <c r="C1527">
        <v>16</v>
      </c>
      <c r="D1527" t="str">
        <f>IF('Boletins Nuppa Site'!G1527&lt;&gt;0,'Boletins Nuppa Site'!G1527,"NULL")</f>
        <v xml:space="preserve"> 48.00</v>
      </c>
      <c r="E1527" s="14" t="str">
        <f>IF('Boletins Nuppa Site'!H1527&lt;&gt;0,'Boletins Nuppa Site'!H1527,"NULL")</f>
        <v xml:space="preserve"> 48.00</v>
      </c>
      <c r="F1527" s="14" t="str">
        <f>IF('Boletins Nuppa Site'!I1527&lt;&gt;0,'Boletins Nuppa Site'!I1527,"NULL")</f>
        <v xml:space="preserve"> 60.00</v>
      </c>
      <c r="G1527" s="14" t="str">
        <f>IF('Boletins Nuppa Site'!J1527&lt;&gt;0,'Boletins Nuppa Site'!J1527,"NULL")</f>
        <v xml:space="preserve"> 51.00</v>
      </c>
      <c r="H1527" s="14" t="str">
        <f>IF('Boletins Nuppa Site'!K1527&lt;&gt;0,'Boletins Nuppa Site'!K1527,"NULL")</f>
        <v xml:space="preserve"> 48.00</v>
      </c>
      <c r="I1527" t="str">
        <f t="shared" si="46"/>
        <v>INSERT INTO COTACAO (cot_id, cot_blt_id, cot_pap_id, cot_prc_comum, cot_prc_min, cot_prc_max, cot_prc_med, cot_prc_mediana) VALUES (1526, 76, 16,  48.00,  48.00,  60.00,  51.00,  48.00);</v>
      </c>
      <c r="J1527" t="str">
        <f t="shared" si="47"/>
        <v>UPDATE COTACAO SET cot_id = 1526, cot_blt_id = 76, cot_pap_id = 16, cot_prc_comum =  48.00, cot_prc_min =  48.00, cot_prc_max =  60.00, cot_prc_med =  51.00, cot_prc_mediana =  48.00 WHERE cot_id = 1526;</v>
      </c>
    </row>
    <row r="1528" spans="1:10" x14ac:dyDescent="0.3">
      <c r="A1528">
        <v>1527</v>
      </c>
      <c r="B1528">
        <f>IF('Boletins Nuppa Site'!A1528&lt;&gt;0,'Boletins Nuppa Site'!A1528,"NULL")</f>
        <v>76</v>
      </c>
      <c r="C1528">
        <v>17</v>
      </c>
      <c r="D1528" t="str">
        <f>IF('Boletins Nuppa Site'!G1528&lt;&gt;0,'Boletins Nuppa Site'!G1528,"NULL")</f>
        <v xml:space="preserve"> 5.00</v>
      </c>
      <c r="E1528" s="14" t="str">
        <f>IF('Boletins Nuppa Site'!H1528&lt;&gt;0,'Boletins Nuppa Site'!H1528,"NULL")</f>
        <v xml:space="preserve"> 5.00</v>
      </c>
      <c r="F1528" s="14" t="str">
        <f>IF('Boletins Nuppa Site'!I1528&lt;&gt;0,'Boletins Nuppa Site'!I1528,"NULL")</f>
        <v xml:space="preserve"> 5.00</v>
      </c>
      <c r="G1528" s="14" t="str">
        <f>IF('Boletins Nuppa Site'!J1528&lt;&gt;0,'Boletins Nuppa Site'!J1528,"NULL")</f>
        <v xml:space="preserve"> 5.00</v>
      </c>
      <c r="H1528" s="14" t="str">
        <f>IF('Boletins Nuppa Site'!K1528&lt;&gt;0,'Boletins Nuppa Site'!K1528,"NULL")</f>
        <v xml:space="preserve"> 5.00</v>
      </c>
      <c r="I1528" t="str">
        <f t="shared" si="46"/>
        <v>INSERT INTO COTACAO (cot_id, cot_blt_id, cot_pap_id, cot_prc_comum, cot_prc_min, cot_prc_max, cot_prc_med, cot_prc_mediana) VALUES (1527, 76, 17,  5.00,  5.00,  5.00,  5.00,  5.00);</v>
      </c>
      <c r="J1528" t="str">
        <f t="shared" si="47"/>
        <v>UPDATE COTACAO SET cot_id = 1527, cot_blt_id = 76, cot_pap_id = 17, cot_prc_comum =  5.00, cot_prc_min =  5.00, cot_prc_max =  5.00, cot_prc_med =  5.00, cot_prc_mediana =  5.00 WHERE cot_id = 1527;</v>
      </c>
    </row>
    <row r="1529" spans="1:10" x14ac:dyDescent="0.3">
      <c r="A1529">
        <v>1528</v>
      </c>
      <c r="B1529">
        <f>IF('Boletins Nuppa Site'!A1529&lt;&gt;0,'Boletins Nuppa Site'!A1529,"NULL")</f>
        <v>76</v>
      </c>
      <c r="C1529">
        <v>18</v>
      </c>
      <c r="D1529" t="str">
        <f>IF('Boletins Nuppa Site'!G1529&lt;&gt;0,'Boletins Nuppa Site'!G1529,"NULL")</f>
        <v xml:space="preserve"> 15.00</v>
      </c>
      <c r="E1529" s="14" t="str">
        <f>IF('Boletins Nuppa Site'!H1529&lt;&gt;0,'Boletins Nuppa Site'!H1529,"NULL")</f>
        <v xml:space="preserve"> 12.00</v>
      </c>
      <c r="F1529" s="14" t="str">
        <f>IF('Boletins Nuppa Site'!I1529&lt;&gt;0,'Boletins Nuppa Site'!I1529,"NULL")</f>
        <v xml:space="preserve"> 15.00</v>
      </c>
      <c r="G1529" s="14" t="str">
        <f>IF('Boletins Nuppa Site'!J1529&lt;&gt;0,'Boletins Nuppa Site'!J1529,"NULL")</f>
        <v xml:space="preserve"> 14.25</v>
      </c>
      <c r="H1529" s="14" t="str">
        <f>IF('Boletins Nuppa Site'!K1529&lt;&gt;0,'Boletins Nuppa Site'!K1529,"NULL")</f>
        <v xml:space="preserve"> 15.00</v>
      </c>
      <c r="I1529" t="str">
        <f t="shared" si="46"/>
        <v>INSERT INTO COTACAO (cot_id, cot_blt_id, cot_pap_id, cot_prc_comum, cot_prc_min, cot_prc_max, cot_prc_med, cot_prc_mediana) VALUES (1528, 76, 18,  15.00,  12.00,  15.00,  14.25,  15.00);</v>
      </c>
      <c r="J1529" t="str">
        <f t="shared" si="47"/>
        <v>UPDATE COTACAO SET cot_id = 1528, cot_blt_id = 76, cot_pap_id = 18, cot_prc_comum =  15.00, cot_prc_min =  12.00, cot_prc_max =  15.00, cot_prc_med =  14.25, cot_prc_mediana =  15.00 WHERE cot_id = 1528;</v>
      </c>
    </row>
    <row r="1530" spans="1:10" x14ac:dyDescent="0.3">
      <c r="A1530">
        <v>1529</v>
      </c>
      <c r="B1530">
        <f>IF('Boletins Nuppa Site'!A1530&lt;&gt;0,'Boletins Nuppa Site'!A1530,"NULL")</f>
        <v>76</v>
      </c>
      <c r="C1530">
        <v>19</v>
      </c>
      <c r="D1530" t="str">
        <f>IF('Boletins Nuppa Site'!G1530&lt;&gt;0,'Boletins Nuppa Site'!G1530,"NULL")</f>
        <v xml:space="preserve"> 30.00</v>
      </c>
      <c r="E1530" s="14" t="str">
        <f>IF('Boletins Nuppa Site'!H1530&lt;&gt;0,'Boletins Nuppa Site'!H1530,"NULL")</f>
        <v xml:space="preserve"> 20.00</v>
      </c>
      <c r="F1530" s="14" t="str">
        <f>IF('Boletins Nuppa Site'!I1530&lt;&gt;0,'Boletins Nuppa Site'!I1530,"NULL")</f>
        <v xml:space="preserve"> 30.00</v>
      </c>
      <c r="G1530" s="14" t="str">
        <f>IF('Boletins Nuppa Site'!J1530&lt;&gt;0,'Boletins Nuppa Site'!J1530,"NULL")</f>
        <v xml:space="preserve"> 26.25</v>
      </c>
      <c r="H1530" s="14" t="str">
        <f>IF('Boletins Nuppa Site'!K1530&lt;&gt;0,'Boletins Nuppa Site'!K1530,"NULL")</f>
        <v xml:space="preserve"> 27.50</v>
      </c>
      <c r="I1530" t="str">
        <f t="shared" si="46"/>
        <v>INSERT INTO COTACAO (cot_id, cot_blt_id, cot_pap_id, cot_prc_comum, cot_prc_min, cot_prc_max, cot_prc_med, cot_prc_mediana) VALUES (1529, 76, 19,  30.00,  20.00,  30.00,  26.25,  27.50);</v>
      </c>
      <c r="J1530" t="str">
        <f t="shared" si="47"/>
        <v>UPDATE COTACAO SET cot_id = 1529, cot_blt_id = 76, cot_pap_id = 19, cot_prc_comum =  30.00, cot_prc_min =  20.00, cot_prc_max =  30.00, cot_prc_med =  26.25, cot_prc_mediana =  27.50 WHERE cot_id = 1529;</v>
      </c>
    </row>
    <row r="1531" spans="1:10" x14ac:dyDescent="0.3">
      <c r="A1531">
        <v>1530</v>
      </c>
      <c r="B1531">
        <f>IF('Boletins Nuppa Site'!A1531&lt;&gt;0,'Boletins Nuppa Site'!A1531,"NULL")</f>
        <v>76</v>
      </c>
      <c r="C1531">
        <v>20</v>
      </c>
      <c r="D1531" t="str">
        <f>IF('Boletins Nuppa Site'!G1531&lt;&gt;0,'Boletins Nuppa Site'!G1531,"NULL")</f>
        <v>NULL</v>
      </c>
      <c r="E1531" s="14" t="str">
        <f>IF('Boletins Nuppa Site'!H1531&lt;&gt;0,'Boletins Nuppa Site'!H1531,"NULL")</f>
        <v xml:space="preserve"> 75.00</v>
      </c>
      <c r="F1531" s="14" t="str">
        <f>IF('Boletins Nuppa Site'!I1531&lt;&gt;0,'Boletins Nuppa Site'!I1531,"NULL")</f>
        <v xml:space="preserve"> 80.00</v>
      </c>
      <c r="G1531" s="14" t="str">
        <f>IF('Boletins Nuppa Site'!J1531&lt;&gt;0,'Boletins Nuppa Site'!J1531,"NULL")</f>
        <v xml:space="preserve"> 77.50</v>
      </c>
      <c r="H1531" s="14" t="str">
        <f>IF('Boletins Nuppa Site'!K1531&lt;&gt;0,'Boletins Nuppa Site'!K1531,"NULL")</f>
        <v xml:space="preserve"> 77.50</v>
      </c>
      <c r="I1531" t="str">
        <f t="shared" si="46"/>
        <v>INSERT INTO COTACAO (cot_id, cot_blt_id, cot_pap_id, cot_prc_comum, cot_prc_min, cot_prc_max, cot_prc_med, cot_prc_mediana) VALUES (1530, 76, 20, NULL,  75.00,  80.00,  77.50,  77.50);</v>
      </c>
      <c r="J1531" t="str">
        <f t="shared" si="47"/>
        <v>UPDATE COTACAO SET cot_id = 1530, cot_blt_id = 76, cot_pap_id = 20, cot_prc_comum = NULL, cot_prc_min =  75.00, cot_prc_max =  80.00, cot_prc_med =  77.50, cot_prc_mediana =  77.50 WHERE cot_id = 1530;</v>
      </c>
    </row>
    <row r="1532" spans="1:10" x14ac:dyDescent="0.3">
      <c r="A1532">
        <v>1531</v>
      </c>
      <c r="B1532">
        <f>IF('Boletins Nuppa Site'!A1532&lt;&gt;0,'Boletins Nuppa Site'!A1532,"NULL")</f>
        <v>76</v>
      </c>
      <c r="C1532">
        <v>21</v>
      </c>
      <c r="D1532" t="str">
        <f>IF('Boletins Nuppa Site'!G1532&lt;&gt;0,'Boletins Nuppa Site'!G1532,"NULL")</f>
        <v xml:space="preserve"> 35.00</v>
      </c>
      <c r="E1532" s="14" t="str">
        <f>IF('Boletins Nuppa Site'!H1532&lt;&gt;0,'Boletins Nuppa Site'!H1532,"NULL")</f>
        <v xml:space="preserve"> 30.00</v>
      </c>
      <c r="F1532" s="14" t="str">
        <f>IF('Boletins Nuppa Site'!I1532&lt;&gt;0,'Boletins Nuppa Site'!I1532,"NULL")</f>
        <v xml:space="preserve"> 35.00</v>
      </c>
      <c r="G1532" s="14" t="str">
        <f>IF('Boletins Nuppa Site'!J1532&lt;&gt;0,'Boletins Nuppa Site'!J1532,"NULL")</f>
        <v xml:space="preserve"> 33.75</v>
      </c>
      <c r="H1532" s="14" t="str">
        <f>IF('Boletins Nuppa Site'!K1532&lt;&gt;0,'Boletins Nuppa Site'!K1532,"NULL")</f>
        <v xml:space="preserve"> 35.00</v>
      </c>
      <c r="I1532" t="str">
        <f t="shared" si="46"/>
        <v>INSERT INTO COTACAO (cot_id, cot_blt_id, cot_pap_id, cot_prc_comum, cot_prc_min, cot_prc_max, cot_prc_med, cot_prc_mediana) VALUES (1531, 76, 21,  35.00,  30.00,  35.00,  33.75,  35.00);</v>
      </c>
      <c r="J1532" t="str">
        <f t="shared" si="47"/>
        <v>UPDATE COTACAO SET cot_id = 1531, cot_blt_id = 76, cot_pap_id = 21, cot_prc_comum =  35.00, cot_prc_min =  30.00, cot_prc_max =  35.00, cot_prc_med =  33.75, cot_prc_mediana =  35.00 WHERE cot_id = 1531;</v>
      </c>
    </row>
    <row r="1533" spans="1:10" x14ac:dyDescent="0.3">
      <c r="A1533">
        <v>1532</v>
      </c>
      <c r="B1533">
        <f>IF('Boletins Nuppa Site'!A1533&lt;&gt;0,'Boletins Nuppa Site'!A1533,"NULL")</f>
        <v>76</v>
      </c>
      <c r="C1533">
        <v>22</v>
      </c>
      <c r="D1533" t="str">
        <f>IF('Boletins Nuppa Site'!G1533&lt;&gt;0,'Boletins Nuppa Site'!G1533,"NULL")</f>
        <v>NULL</v>
      </c>
      <c r="E1533" s="14" t="str">
        <f>IF('Boletins Nuppa Site'!H1533&lt;&gt;0,'Boletins Nuppa Site'!H1533,"NULL")</f>
        <v xml:space="preserve"> 45.00</v>
      </c>
      <c r="F1533" s="14" t="str">
        <f>IF('Boletins Nuppa Site'!I1533&lt;&gt;0,'Boletins Nuppa Site'!I1533,"NULL")</f>
        <v xml:space="preserve"> 70.00</v>
      </c>
      <c r="G1533" s="14" t="str">
        <f>IF('Boletins Nuppa Site'!J1533&lt;&gt;0,'Boletins Nuppa Site'!J1533,"NULL")</f>
        <v xml:space="preserve"> 60.00</v>
      </c>
      <c r="H1533" s="14" t="str">
        <f>IF('Boletins Nuppa Site'!K1533&lt;&gt;0,'Boletins Nuppa Site'!K1533,"NULL")</f>
        <v xml:space="preserve"> 62.50</v>
      </c>
      <c r="I1533" t="str">
        <f t="shared" si="46"/>
        <v>INSERT INTO COTACAO (cot_id, cot_blt_id, cot_pap_id, cot_prc_comum, cot_prc_min, cot_prc_max, cot_prc_med, cot_prc_mediana) VALUES (1532, 76, 22, NULL,  45.00,  70.00,  60.00,  62.50);</v>
      </c>
      <c r="J1533" t="str">
        <f t="shared" si="47"/>
        <v>UPDATE COTACAO SET cot_id = 1532, cot_blt_id = 76, cot_pap_id = 22, cot_prc_comum = NULL, cot_prc_min =  45.00, cot_prc_max =  70.00, cot_prc_med =  60.00, cot_prc_mediana =  62.50 WHERE cot_id = 1532;</v>
      </c>
    </row>
    <row r="1534" spans="1:10" x14ac:dyDescent="0.3">
      <c r="A1534">
        <v>1533</v>
      </c>
      <c r="B1534">
        <f>IF('Boletins Nuppa Site'!A1534&lt;&gt;0,'Boletins Nuppa Site'!A1534,"NULL")</f>
        <v>76</v>
      </c>
      <c r="C1534">
        <v>23</v>
      </c>
      <c r="D1534" t="str">
        <f>IF('Boletins Nuppa Site'!G1534&lt;&gt;0,'Boletins Nuppa Site'!G1534,"NULL")</f>
        <v>NULL</v>
      </c>
      <c r="E1534" s="14" t="str">
        <f>IF('Boletins Nuppa Site'!H1534&lt;&gt;0,'Boletins Nuppa Site'!H1534,"NULL")</f>
        <v xml:space="preserve"> 45.00</v>
      </c>
      <c r="F1534" s="14" t="str">
        <f>IF('Boletins Nuppa Site'!I1534&lt;&gt;0,'Boletins Nuppa Site'!I1534,"NULL")</f>
        <v xml:space="preserve"> 60.00</v>
      </c>
      <c r="G1534" s="14" t="str">
        <f>IF('Boletins Nuppa Site'!J1534&lt;&gt;0,'Boletins Nuppa Site'!J1534,"NULL")</f>
        <v xml:space="preserve"> 51.67</v>
      </c>
      <c r="H1534" s="14" t="str">
        <f>IF('Boletins Nuppa Site'!K1534&lt;&gt;0,'Boletins Nuppa Site'!K1534,"NULL")</f>
        <v xml:space="preserve"> 50.00</v>
      </c>
      <c r="I1534" t="str">
        <f t="shared" si="46"/>
        <v>INSERT INTO COTACAO (cot_id, cot_blt_id, cot_pap_id, cot_prc_comum, cot_prc_min, cot_prc_max, cot_prc_med, cot_prc_mediana) VALUES (1533, 76, 23, NULL,  45.00,  60.00,  51.67,  50.00);</v>
      </c>
      <c r="J1534" t="str">
        <f t="shared" si="47"/>
        <v>UPDATE COTACAO SET cot_id = 1533, cot_blt_id = 76, cot_pap_id = 23, cot_prc_comum = NULL, cot_prc_min =  45.00, cot_prc_max =  60.00, cot_prc_med =  51.67, cot_prc_mediana =  50.00 WHERE cot_id = 1533;</v>
      </c>
    </row>
    <row r="1535" spans="1:10" x14ac:dyDescent="0.3">
      <c r="A1535">
        <v>1534</v>
      </c>
      <c r="B1535">
        <f>IF('Boletins Nuppa Site'!A1535&lt;&gt;0,'Boletins Nuppa Site'!A1535,"NULL")</f>
        <v>76</v>
      </c>
      <c r="C1535">
        <v>24</v>
      </c>
      <c r="D1535" t="str">
        <f>IF('Boletins Nuppa Site'!G1535&lt;&gt;0,'Boletins Nuppa Site'!G1535,"NULL")</f>
        <v>NULL</v>
      </c>
      <c r="E1535" s="14" t="str">
        <f>IF('Boletins Nuppa Site'!H1535&lt;&gt;0,'Boletins Nuppa Site'!H1535,"NULL")</f>
        <v xml:space="preserve"> 60.00</v>
      </c>
      <c r="F1535" s="14" t="str">
        <f>IF('Boletins Nuppa Site'!I1535&lt;&gt;0,'Boletins Nuppa Site'!I1535,"NULL")</f>
        <v xml:space="preserve"> 60.00</v>
      </c>
      <c r="G1535" s="14" t="str">
        <f>IF('Boletins Nuppa Site'!J1535&lt;&gt;0,'Boletins Nuppa Site'!J1535,"NULL")</f>
        <v xml:space="preserve"> 60.00</v>
      </c>
      <c r="H1535" s="14" t="str">
        <f>IF('Boletins Nuppa Site'!K1535&lt;&gt;0,'Boletins Nuppa Site'!K1535,"NULL")</f>
        <v xml:space="preserve"> 60.00</v>
      </c>
      <c r="I1535" t="str">
        <f t="shared" si="46"/>
        <v>INSERT INTO COTACAO (cot_id, cot_blt_id, cot_pap_id, cot_prc_comum, cot_prc_min, cot_prc_max, cot_prc_med, cot_prc_mediana) VALUES (1534, 76, 24, NULL,  60.00,  60.00,  60.00,  60.00);</v>
      </c>
      <c r="J1535" t="str">
        <f t="shared" si="47"/>
        <v>UPDATE COTACAO SET cot_id = 1534, cot_blt_id = 76, cot_pap_id = 24, cot_prc_comum = NULL, cot_prc_min =  60.00, cot_prc_max =  60.00, cot_prc_med =  60.00, cot_prc_mediana =  60.00 WHERE cot_id = 1534;</v>
      </c>
    </row>
    <row r="1536" spans="1:10" x14ac:dyDescent="0.3">
      <c r="A1536">
        <v>1535</v>
      </c>
      <c r="B1536">
        <f>IF('Boletins Nuppa Site'!A1536&lt;&gt;0,'Boletins Nuppa Site'!A1536,"NULL")</f>
        <v>76</v>
      </c>
      <c r="C1536">
        <v>25</v>
      </c>
      <c r="D1536" t="str">
        <f>IF('Boletins Nuppa Site'!G1536&lt;&gt;0,'Boletins Nuppa Site'!G1536,"NULL")</f>
        <v xml:space="preserve"> 50.00</v>
      </c>
      <c r="E1536" s="14" t="str">
        <f>IF('Boletins Nuppa Site'!H1536&lt;&gt;0,'Boletins Nuppa Site'!H1536,"NULL")</f>
        <v xml:space="preserve"> 50.00</v>
      </c>
      <c r="F1536" s="14" t="str">
        <f>IF('Boletins Nuppa Site'!I1536&lt;&gt;0,'Boletins Nuppa Site'!I1536,"NULL")</f>
        <v xml:space="preserve"> 65.00</v>
      </c>
      <c r="G1536" s="14" t="str">
        <f>IF('Boletins Nuppa Site'!J1536&lt;&gt;0,'Boletins Nuppa Site'!J1536,"NULL")</f>
        <v xml:space="preserve"> 56.25</v>
      </c>
      <c r="H1536" s="14" t="str">
        <f>IF('Boletins Nuppa Site'!K1536&lt;&gt;0,'Boletins Nuppa Site'!K1536,"NULL")</f>
        <v xml:space="preserve"> 55.00</v>
      </c>
      <c r="I1536" t="str">
        <f t="shared" si="46"/>
        <v>INSERT INTO COTACAO (cot_id, cot_blt_id, cot_pap_id, cot_prc_comum, cot_prc_min, cot_prc_max, cot_prc_med, cot_prc_mediana) VALUES (1535, 76, 25,  50.00,  50.00,  65.00,  56.25,  55.00);</v>
      </c>
      <c r="J1536" t="str">
        <f t="shared" si="47"/>
        <v>UPDATE COTACAO SET cot_id = 1535, cot_blt_id = 76, cot_pap_id = 25, cot_prc_comum =  50.00, cot_prc_min =  50.00, cot_prc_max =  65.00, cot_prc_med =  56.25, cot_prc_mediana =  55.00 WHERE cot_id = 1535;</v>
      </c>
    </row>
    <row r="1537" spans="1:10" x14ac:dyDescent="0.3">
      <c r="A1537">
        <v>1536</v>
      </c>
      <c r="B1537">
        <f>IF('Boletins Nuppa Site'!A1537&lt;&gt;0,'Boletins Nuppa Site'!A1537,"NULL")</f>
        <v>76</v>
      </c>
      <c r="C1537">
        <v>26</v>
      </c>
      <c r="D1537" t="str">
        <f>IF('Boletins Nuppa Site'!G1537&lt;&gt;0,'Boletins Nuppa Site'!G1537,"NULL")</f>
        <v xml:space="preserve"> 55.00</v>
      </c>
      <c r="E1537" s="14" t="str">
        <f>IF('Boletins Nuppa Site'!H1537&lt;&gt;0,'Boletins Nuppa Site'!H1537,"NULL")</f>
        <v xml:space="preserve"> 40.00</v>
      </c>
      <c r="F1537" s="14" t="str">
        <f>IF('Boletins Nuppa Site'!I1537&lt;&gt;0,'Boletins Nuppa Site'!I1537,"NULL")</f>
        <v xml:space="preserve"> 55.00</v>
      </c>
      <c r="G1537" s="14" t="str">
        <f>IF('Boletins Nuppa Site'!J1537&lt;&gt;0,'Boletins Nuppa Site'!J1537,"NULL")</f>
        <v xml:space="preserve"> 48.75</v>
      </c>
      <c r="H1537" s="14" t="str">
        <f>IF('Boletins Nuppa Site'!K1537&lt;&gt;0,'Boletins Nuppa Site'!K1537,"NULL")</f>
        <v xml:space="preserve"> 50.00</v>
      </c>
      <c r="I1537" t="str">
        <f t="shared" si="46"/>
        <v>INSERT INTO COTACAO (cot_id, cot_blt_id, cot_pap_id, cot_prc_comum, cot_prc_min, cot_prc_max, cot_prc_med, cot_prc_mediana) VALUES (1536, 76, 26,  55.00,  40.00,  55.00,  48.75,  50.00);</v>
      </c>
      <c r="J1537" t="str">
        <f t="shared" si="47"/>
        <v>UPDATE COTACAO SET cot_id = 1536, cot_blt_id = 76, cot_pap_id = 26, cot_prc_comum =  55.00, cot_prc_min =  40.00, cot_prc_max =  55.00, cot_prc_med =  48.75, cot_prc_mediana =  50.00 WHERE cot_id = 1536;</v>
      </c>
    </row>
    <row r="1538" spans="1:10" x14ac:dyDescent="0.3">
      <c r="A1538">
        <v>1537</v>
      </c>
      <c r="B1538">
        <f>IF('Boletins Nuppa Site'!A1538&lt;&gt;0,'Boletins Nuppa Site'!A1538,"NULL")</f>
        <v>76</v>
      </c>
      <c r="C1538">
        <v>27</v>
      </c>
      <c r="D1538" t="str">
        <f>IF('Boletins Nuppa Site'!G1538&lt;&gt;0,'Boletins Nuppa Site'!G1538,"NULL")</f>
        <v xml:space="preserve"> 50.00</v>
      </c>
      <c r="E1538" s="14" t="str">
        <f>IF('Boletins Nuppa Site'!H1538&lt;&gt;0,'Boletins Nuppa Site'!H1538,"NULL")</f>
        <v xml:space="preserve"> 50.00</v>
      </c>
      <c r="F1538" s="14" t="str">
        <f>IF('Boletins Nuppa Site'!I1538&lt;&gt;0,'Boletins Nuppa Site'!I1538,"NULL")</f>
        <v xml:space="preserve"> 75.00</v>
      </c>
      <c r="G1538" s="14" t="str">
        <f>IF('Boletins Nuppa Site'!J1538&lt;&gt;0,'Boletins Nuppa Site'!J1538,"NULL")</f>
        <v xml:space="preserve"> 57.50</v>
      </c>
      <c r="H1538" s="14" t="str">
        <f>IF('Boletins Nuppa Site'!K1538&lt;&gt;0,'Boletins Nuppa Site'!K1538,"NULL")</f>
        <v xml:space="preserve"> 52.50</v>
      </c>
      <c r="I1538" t="str">
        <f t="shared" si="46"/>
        <v>INSERT INTO COTACAO (cot_id, cot_blt_id, cot_pap_id, cot_prc_comum, cot_prc_min, cot_prc_max, cot_prc_med, cot_prc_mediana) VALUES (1537, 76, 27,  50.00,  50.00,  75.00,  57.50,  52.50);</v>
      </c>
      <c r="J1538" t="str">
        <f t="shared" si="47"/>
        <v>UPDATE COTACAO SET cot_id = 1537, cot_blt_id = 76, cot_pap_id = 27, cot_prc_comum =  50.00, cot_prc_min =  50.00, cot_prc_max =  75.00, cot_prc_med =  57.50, cot_prc_mediana =  52.50 WHERE cot_id = 1537;</v>
      </c>
    </row>
    <row r="1539" spans="1:10" x14ac:dyDescent="0.3">
      <c r="A1539">
        <v>1538</v>
      </c>
      <c r="B1539">
        <f>IF('Boletins Nuppa Site'!A1539&lt;&gt;0,'Boletins Nuppa Site'!A1539,"NULL")</f>
        <v>76</v>
      </c>
      <c r="C1539">
        <v>28</v>
      </c>
      <c r="D1539" t="str">
        <f>IF('Boletins Nuppa Site'!G1539&lt;&gt;0,'Boletins Nuppa Site'!G1539,"NULL")</f>
        <v>NULL</v>
      </c>
      <c r="E1539" s="14" t="str">
        <f>IF('Boletins Nuppa Site'!H1539&lt;&gt;0,'Boletins Nuppa Site'!H1539,"NULL")</f>
        <v xml:space="preserve"> 80.00</v>
      </c>
      <c r="F1539" s="14" t="str">
        <f>IF('Boletins Nuppa Site'!I1539&lt;&gt;0,'Boletins Nuppa Site'!I1539,"NULL")</f>
        <v xml:space="preserve"> 120.00</v>
      </c>
      <c r="G1539" s="14" t="str">
        <f>IF('Boletins Nuppa Site'!J1539&lt;&gt;0,'Boletins Nuppa Site'!J1539,"NULL")</f>
        <v xml:space="preserve"> 103.33</v>
      </c>
      <c r="H1539" s="14" t="str">
        <f>IF('Boletins Nuppa Site'!K1539&lt;&gt;0,'Boletins Nuppa Site'!K1539,"NULL")</f>
        <v xml:space="preserve"> 110.00</v>
      </c>
      <c r="I1539" t="str">
        <f t="shared" ref="I1539:I1602" si="48">"INSERT INTO COTACAO (cot_id, cot_blt_id, cot_pap_id, cot_prc_comum, cot_prc_min, cot_prc_max, cot_prc_med, cot_prc_mediana) VALUES ("&amp;A1539&amp;", "&amp;B1539&amp;", "&amp;C1539&amp;", "&amp;D1539&amp;", "&amp;E1539&amp;", "&amp;F1539&amp;", "&amp;G1539&amp;", "&amp;H1539&amp;");"</f>
        <v>INSERT INTO COTACAO (cot_id, cot_blt_id, cot_pap_id, cot_prc_comum, cot_prc_min, cot_prc_max, cot_prc_med, cot_prc_mediana) VALUES (1538, 76, 28, NULL,  80.00,  120.00,  103.33,  110.00);</v>
      </c>
      <c r="J1539" t="str">
        <f t="shared" ref="J1539:J1602" si="49">"UPDATE COTACAO SET cot_id = "&amp;A1539&amp;", cot_blt_id = "&amp;B1539&amp;", cot_pap_id = "&amp;C1539&amp;", cot_prc_comum = "&amp;D1539&amp;", cot_prc_min = "&amp;E1539&amp;", cot_prc_max = "&amp;F1539&amp;", cot_prc_med = "&amp;G1539&amp;", cot_prc_mediana = "&amp;H1539&amp;" WHERE cot_id = "&amp;A1539&amp;";"</f>
        <v>UPDATE COTACAO SET cot_id = 1538, cot_blt_id = 76, cot_pap_id = 28, cot_prc_comum = NULL, cot_prc_min =  80.00, cot_prc_max =  120.00, cot_prc_med =  103.33, cot_prc_mediana =  110.00 WHERE cot_id = 1538;</v>
      </c>
    </row>
    <row r="1540" spans="1:10" x14ac:dyDescent="0.3">
      <c r="A1540">
        <v>1539</v>
      </c>
      <c r="B1540">
        <f>IF('Boletins Nuppa Site'!A1540&lt;&gt;0,'Boletins Nuppa Site'!A1540,"NULL")</f>
        <v>76</v>
      </c>
      <c r="C1540">
        <v>29</v>
      </c>
      <c r="D1540" t="str">
        <f>IF('Boletins Nuppa Site'!G1540&lt;&gt;0,'Boletins Nuppa Site'!G1540,"NULL")</f>
        <v>NULL</v>
      </c>
      <c r="E1540" s="14" t="str">
        <f>IF('Boletins Nuppa Site'!H1540&lt;&gt;0,'Boletins Nuppa Site'!H1540,"NULL")</f>
        <v xml:space="preserve"> 50.00</v>
      </c>
      <c r="F1540" s="14" t="str">
        <f>IF('Boletins Nuppa Site'!I1540&lt;&gt;0,'Boletins Nuppa Site'!I1540,"NULL")</f>
        <v xml:space="preserve"> 60.00</v>
      </c>
      <c r="G1540" s="14" t="str">
        <f>IF('Boletins Nuppa Site'!J1540&lt;&gt;0,'Boletins Nuppa Site'!J1540,"NULL")</f>
        <v xml:space="preserve"> 55.00</v>
      </c>
      <c r="H1540" s="14" t="str">
        <f>IF('Boletins Nuppa Site'!K1540&lt;&gt;0,'Boletins Nuppa Site'!K1540,"NULL")</f>
        <v xml:space="preserve"> 55.00</v>
      </c>
      <c r="I1540" t="str">
        <f t="shared" si="48"/>
        <v>INSERT INTO COTACAO (cot_id, cot_blt_id, cot_pap_id, cot_prc_comum, cot_prc_min, cot_prc_max, cot_prc_med, cot_prc_mediana) VALUES (1539, 76, 29, NULL,  50.00,  60.00,  55.00,  55.00);</v>
      </c>
      <c r="J1540" t="str">
        <f t="shared" si="49"/>
        <v>UPDATE COTACAO SET cot_id = 1539, cot_blt_id = 76, cot_pap_id = 29, cot_prc_comum = NULL, cot_prc_min =  50.00, cot_prc_max =  60.00, cot_prc_med =  55.00, cot_prc_mediana =  55.00 WHERE cot_id = 1539;</v>
      </c>
    </row>
    <row r="1541" spans="1:10" x14ac:dyDescent="0.3">
      <c r="A1541">
        <v>1540</v>
      </c>
      <c r="B1541">
        <f>IF('Boletins Nuppa Site'!A1541&lt;&gt;0,'Boletins Nuppa Site'!A1541,"NULL")</f>
        <v>76</v>
      </c>
      <c r="C1541">
        <v>30</v>
      </c>
      <c r="D1541" t="str">
        <f>IF('Boletins Nuppa Site'!G1541&lt;&gt;0,'Boletins Nuppa Site'!G1541,"NULL")</f>
        <v xml:space="preserve"> 50.00</v>
      </c>
      <c r="E1541" s="14" t="str">
        <f>IF('Boletins Nuppa Site'!H1541&lt;&gt;0,'Boletins Nuppa Site'!H1541,"NULL")</f>
        <v xml:space="preserve"> 40.00</v>
      </c>
      <c r="F1541" s="14" t="str">
        <f>IF('Boletins Nuppa Site'!I1541&lt;&gt;0,'Boletins Nuppa Site'!I1541,"NULL")</f>
        <v xml:space="preserve"> 50.00</v>
      </c>
      <c r="G1541" s="14" t="str">
        <f>IF('Boletins Nuppa Site'!J1541&lt;&gt;0,'Boletins Nuppa Site'!J1541,"NULL")</f>
        <v xml:space="preserve"> 47.50</v>
      </c>
      <c r="H1541" s="14" t="str">
        <f>IF('Boletins Nuppa Site'!K1541&lt;&gt;0,'Boletins Nuppa Site'!K1541,"NULL")</f>
        <v xml:space="preserve"> 50.00</v>
      </c>
      <c r="I1541" t="str">
        <f t="shared" si="48"/>
        <v>INSERT INTO COTACAO (cot_id, cot_blt_id, cot_pap_id, cot_prc_comum, cot_prc_min, cot_prc_max, cot_prc_med, cot_prc_mediana) VALUES (1540, 76, 30,  50.00,  40.00,  50.00,  47.50,  50.00);</v>
      </c>
      <c r="J1541" t="str">
        <f t="shared" si="49"/>
        <v>UPDATE COTACAO SET cot_id = 1540, cot_blt_id = 76, cot_pap_id = 30, cot_prc_comum =  50.00, cot_prc_min =  40.00, cot_prc_max =  50.00, cot_prc_med =  47.50, cot_prc_mediana =  50.00 WHERE cot_id = 1540;</v>
      </c>
    </row>
    <row r="1542" spans="1:10" x14ac:dyDescent="0.3">
      <c r="A1542">
        <v>1541</v>
      </c>
      <c r="B1542">
        <f>IF('Boletins Nuppa Site'!A1542&lt;&gt;0,'Boletins Nuppa Site'!A1542,"NULL")</f>
        <v>76</v>
      </c>
      <c r="C1542">
        <v>31</v>
      </c>
      <c r="D1542" t="str">
        <f>IF('Boletins Nuppa Site'!G1542&lt;&gt;0,'Boletins Nuppa Site'!G1542,"NULL")</f>
        <v xml:space="preserve"> 70.00</v>
      </c>
      <c r="E1542" s="14" t="str">
        <f>IF('Boletins Nuppa Site'!H1542&lt;&gt;0,'Boletins Nuppa Site'!H1542,"NULL")</f>
        <v xml:space="preserve"> 65.00</v>
      </c>
      <c r="F1542" s="14" t="str">
        <f>IF('Boletins Nuppa Site'!I1542&lt;&gt;0,'Boletins Nuppa Site'!I1542,"NULL")</f>
        <v xml:space="preserve"> 90.00</v>
      </c>
      <c r="G1542" s="14" t="str">
        <f>IF('Boletins Nuppa Site'!J1542&lt;&gt;0,'Boletins Nuppa Site'!J1542,"NULL")</f>
        <v xml:space="preserve"> 73.75</v>
      </c>
      <c r="H1542" s="14" t="str">
        <f>IF('Boletins Nuppa Site'!K1542&lt;&gt;0,'Boletins Nuppa Site'!K1542,"NULL")</f>
        <v xml:space="preserve"> 70.00</v>
      </c>
      <c r="I1542" t="str">
        <f t="shared" si="48"/>
        <v>INSERT INTO COTACAO (cot_id, cot_blt_id, cot_pap_id, cot_prc_comum, cot_prc_min, cot_prc_max, cot_prc_med, cot_prc_mediana) VALUES (1541, 76, 31,  70.00,  65.00,  90.00,  73.75,  70.00);</v>
      </c>
      <c r="J1542" t="str">
        <f t="shared" si="49"/>
        <v>UPDATE COTACAO SET cot_id = 1541, cot_blt_id = 76, cot_pap_id = 31, cot_prc_comum =  70.00, cot_prc_min =  65.00, cot_prc_max =  90.00, cot_prc_med =  73.75, cot_prc_mediana =  70.00 WHERE cot_id = 1541;</v>
      </c>
    </row>
    <row r="1543" spans="1:10" x14ac:dyDescent="0.3">
      <c r="A1543">
        <v>1542</v>
      </c>
      <c r="B1543">
        <f>IF('Boletins Nuppa Site'!A1543&lt;&gt;0,'Boletins Nuppa Site'!A1543,"NULL")</f>
        <v>76</v>
      </c>
      <c r="C1543">
        <v>32</v>
      </c>
      <c r="D1543" t="str">
        <f>IF('Boletins Nuppa Site'!G1543&lt;&gt;0,'Boletins Nuppa Site'!G1543,"NULL")</f>
        <v xml:space="preserve"> 50.00</v>
      </c>
      <c r="E1543" s="14" t="str">
        <f>IF('Boletins Nuppa Site'!H1543&lt;&gt;0,'Boletins Nuppa Site'!H1543,"NULL")</f>
        <v xml:space="preserve"> 40.00</v>
      </c>
      <c r="F1543" s="14" t="str">
        <f>IF('Boletins Nuppa Site'!I1543&lt;&gt;0,'Boletins Nuppa Site'!I1543,"NULL")</f>
        <v xml:space="preserve"> 50.00</v>
      </c>
      <c r="G1543" s="14" t="str">
        <f>IF('Boletins Nuppa Site'!J1543&lt;&gt;0,'Boletins Nuppa Site'!J1543,"NULL")</f>
        <v xml:space="preserve"> 46.25</v>
      </c>
      <c r="H1543" s="14" t="str">
        <f>IF('Boletins Nuppa Site'!K1543&lt;&gt;0,'Boletins Nuppa Site'!K1543,"NULL")</f>
        <v xml:space="preserve"> 47.50</v>
      </c>
      <c r="I1543" t="str">
        <f t="shared" si="48"/>
        <v>INSERT INTO COTACAO (cot_id, cot_blt_id, cot_pap_id, cot_prc_comum, cot_prc_min, cot_prc_max, cot_prc_med, cot_prc_mediana) VALUES (1542, 76, 32,  50.00,  40.00,  50.00,  46.25,  47.50);</v>
      </c>
      <c r="J1543" t="str">
        <f t="shared" si="49"/>
        <v>UPDATE COTACAO SET cot_id = 1542, cot_blt_id = 76, cot_pap_id = 32, cot_prc_comum =  50.00, cot_prc_min =  40.00, cot_prc_max =  50.00, cot_prc_med =  46.25, cot_prc_mediana =  47.50 WHERE cot_id = 1542;</v>
      </c>
    </row>
    <row r="1544" spans="1:10" x14ac:dyDescent="0.3">
      <c r="A1544">
        <v>1543</v>
      </c>
      <c r="B1544">
        <f>IF('Boletins Nuppa Site'!A1544&lt;&gt;0,'Boletins Nuppa Site'!A1544,"NULL")</f>
        <v>76</v>
      </c>
      <c r="C1544">
        <v>33</v>
      </c>
      <c r="D1544" t="str">
        <f>IF('Boletins Nuppa Site'!G1544&lt;&gt;0,'Boletins Nuppa Site'!G1544,"NULL")</f>
        <v>NULL</v>
      </c>
      <c r="E1544" s="14" t="str">
        <f>IF('Boletins Nuppa Site'!H1544&lt;&gt;0,'Boletins Nuppa Site'!H1544,"NULL")</f>
        <v xml:space="preserve"> 150.00</v>
      </c>
      <c r="F1544" s="14" t="str">
        <f>IF('Boletins Nuppa Site'!I1544&lt;&gt;0,'Boletins Nuppa Site'!I1544,"NULL")</f>
        <v xml:space="preserve"> 180.00</v>
      </c>
      <c r="G1544" s="14" t="str">
        <f>IF('Boletins Nuppa Site'!J1544&lt;&gt;0,'Boletins Nuppa Site'!J1544,"NULL")</f>
        <v xml:space="preserve"> 163.33</v>
      </c>
      <c r="H1544" s="14" t="str">
        <f>IF('Boletins Nuppa Site'!K1544&lt;&gt;0,'Boletins Nuppa Site'!K1544,"NULL")</f>
        <v xml:space="preserve"> 160.00</v>
      </c>
      <c r="I1544" t="str">
        <f t="shared" si="48"/>
        <v>INSERT INTO COTACAO (cot_id, cot_blt_id, cot_pap_id, cot_prc_comum, cot_prc_min, cot_prc_max, cot_prc_med, cot_prc_mediana) VALUES (1543, 76, 33, NULL,  150.00,  180.00,  163.33,  160.00);</v>
      </c>
      <c r="J1544" t="str">
        <f t="shared" si="49"/>
        <v>UPDATE COTACAO SET cot_id = 1543, cot_blt_id = 76, cot_pap_id = 33, cot_prc_comum = NULL, cot_prc_min =  150.00, cot_prc_max =  180.00, cot_prc_med =  163.33, cot_prc_mediana =  160.00 WHERE cot_id = 1543;</v>
      </c>
    </row>
    <row r="1545" spans="1:10" x14ac:dyDescent="0.3">
      <c r="A1545">
        <v>1544</v>
      </c>
      <c r="B1545">
        <f>IF('Boletins Nuppa Site'!A1545&lt;&gt;0,'Boletins Nuppa Site'!A1545,"NULL")</f>
        <v>76</v>
      </c>
      <c r="C1545">
        <v>34</v>
      </c>
      <c r="D1545" t="str">
        <f>IF('Boletins Nuppa Site'!G1545&lt;&gt;0,'Boletins Nuppa Site'!G1545,"NULL")</f>
        <v xml:space="preserve"> 80.00</v>
      </c>
      <c r="E1545" s="14" t="str">
        <f>IF('Boletins Nuppa Site'!H1545&lt;&gt;0,'Boletins Nuppa Site'!H1545,"NULL")</f>
        <v xml:space="preserve"> 70.00</v>
      </c>
      <c r="F1545" s="14" t="str">
        <f>IF('Boletins Nuppa Site'!I1545&lt;&gt;0,'Boletins Nuppa Site'!I1545,"NULL")</f>
        <v xml:space="preserve"> 95.00</v>
      </c>
      <c r="G1545" s="14" t="str">
        <f>IF('Boletins Nuppa Site'!J1545&lt;&gt;0,'Boletins Nuppa Site'!J1545,"NULL")</f>
        <v xml:space="preserve"> 81.25</v>
      </c>
      <c r="H1545" s="14" t="str">
        <f>IF('Boletins Nuppa Site'!K1545&lt;&gt;0,'Boletins Nuppa Site'!K1545,"NULL")</f>
        <v xml:space="preserve"> 80.00</v>
      </c>
      <c r="I1545" t="str">
        <f t="shared" si="48"/>
        <v>INSERT INTO COTACAO (cot_id, cot_blt_id, cot_pap_id, cot_prc_comum, cot_prc_min, cot_prc_max, cot_prc_med, cot_prc_mediana) VALUES (1544, 76, 34,  80.00,  70.00,  95.00,  81.25,  80.00);</v>
      </c>
      <c r="J1545" t="str">
        <f t="shared" si="49"/>
        <v>UPDATE COTACAO SET cot_id = 1544, cot_blt_id = 76, cot_pap_id = 34, cot_prc_comum =  80.00, cot_prc_min =  70.00, cot_prc_max =  95.00, cot_prc_med =  81.25, cot_prc_mediana =  80.00 WHERE cot_id = 1544;</v>
      </c>
    </row>
    <row r="1546" spans="1:10" x14ac:dyDescent="0.3">
      <c r="A1546">
        <v>1545</v>
      </c>
      <c r="B1546">
        <f>IF('Boletins Nuppa Site'!A1546&lt;&gt;0,'Boletins Nuppa Site'!A1546,"NULL")</f>
        <v>76</v>
      </c>
      <c r="C1546">
        <v>35</v>
      </c>
      <c r="D1546" t="str">
        <f>IF('Boletins Nuppa Site'!G1546&lt;&gt;0,'Boletins Nuppa Site'!G1546,"NULL")</f>
        <v>NULL</v>
      </c>
      <c r="E1546" s="14" t="str">
        <f>IF('Boletins Nuppa Site'!H1546&lt;&gt;0,'Boletins Nuppa Site'!H1546,"NULL")</f>
        <v xml:space="preserve"> 90.00</v>
      </c>
      <c r="F1546" s="14" t="str">
        <f>IF('Boletins Nuppa Site'!I1546&lt;&gt;0,'Boletins Nuppa Site'!I1546,"NULL")</f>
        <v xml:space="preserve"> 180.00</v>
      </c>
      <c r="G1546" s="14" t="str">
        <f>IF('Boletins Nuppa Site'!J1546&lt;&gt;0,'Boletins Nuppa Site'!J1546,"NULL")</f>
        <v xml:space="preserve"> 123.33</v>
      </c>
      <c r="H1546" s="14" t="str">
        <f>IF('Boletins Nuppa Site'!K1546&lt;&gt;0,'Boletins Nuppa Site'!K1546,"NULL")</f>
        <v xml:space="preserve"> 100.00</v>
      </c>
      <c r="I1546" t="str">
        <f t="shared" si="48"/>
        <v>INSERT INTO COTACAO (cot_id, cot_blt_id, cot_pap_id, cot_prc_comum, cot_prc_min, cot_prc_max, cot_prc_med, cot_prc_mediana) VALUES (1545, 76, 35, NULL,  90.00,  180.00,  123.33,  100.00);</v>
      </c>
      <c r="J1546" t="str">
        <f t="shared" si="49"/>
        <v>UPDATE COTACAO SET cot_id = 1545, cot_blt_id = 76, cot_pap_id = 35, cot_prc_comum = NULL, cot_prc_min =  90.00, cot_prc_max =  180.00, cot_prc_med =  123.33, cot_prc_mediana =  100.00 WHERE cot_id = 1545;</v>
      </c>
    </row>
    <row r="1547" spans="1:10" x14ac:dyDescent="0.3">
      <c r="A1547">
        <v>1546</v>
      </c>
      <c r="B1547">
        <f>IF('Boletins Nuppa Site'!A1547&lt;&gt;0,'Boletins Nuppa Site'!A1547,"NULL")</f>
        <v>76</v>
      </c>
      <c r="C1547">
        <v>36</v>
      </c>
      <c r="D1547" t="str">
        <f>IF('Boletins Nuppa Site'!G1547&lt;&gt;0,'Boletins Nuppa Site'!G1547,"NULL")</f>
        <v>NULL</v>
      </c>
      <c r="E1547" s="14" t="str">
        <f>IF('Boletins Nuppa Site'!H1547&lt;&gt;0,'Boletins Nuppa Site'!H1547,"NULL")</f>
        <v>NULL</v>
      </c>
      <c r="F1547" s="14" t="str">
        <f>IF('Boletins Nuppa Site'!I1547&lt;&gt;0,'Boletins Nuppa Site'!I1547,"NULL")</f>
        <v>NULL</v>
      </c>
      <c r="G1547" s="14" t="str">
        <f>IF('Boletins Nuppa Site'!J1547&lt;&gt;0,'Boletins Nuppa Site'!J1547,"NULL")</f>
        <v>NULL</v>
      </c>
      <c r="H1547" s="14" t="str">
        <f>IF('Boletins Nuppa Site'!K1547&lt;&gt;0,'Boletins Nuppa Site'!K1547,"NULL")</f>
        <v>NULL</v>
      </c>
      <c r="I1547" t="str">
        <f t="shared" si="48"/>
        <v>INSERT INTO COTACAO (cot_id, cot_blt_id, cot_pap_id, cot_prc_comum, cot_prc_min, cot_prc_max, cot_prc_med, cot_prc_mediana) VALUES (1546, 76, 36, NULL, NULL, NULL, NULL, NULL);</v>
      </c>
      <c r="J1547" t="str">
        <f t="shared" si="49"/>
        <v>UPDATE COTACAO SET cot_id = 1546, cot_blt_id = 76, cot_pap_id = 36, cot_prc_comum = NULL, cot_prc_min = NULL, cot_prc_max = NULL, cot_prc_med = NULL, cot_prc_mediana = NULL WHERE cot_id = 1546;</v>
      </c>
    </row>
    <row r="1548" spans="1:10" x14ac:dyDescent="0.3">
      <c r="A1548">
        <v>1547</v>
      </c>
      <c r="B1548">
        <f>IF('Boletins Nuppa Site'!A1548&lt;&gt;0,'Boletins Nuppa Site'!A1548,"NULL")</f>
        <v>76</v>
      </c>
      <c r="C1548">
        <v>37</v>
      </c>
      <c r="D1548" t="str">
        <f>IF('Boletins Nuppa Site'!G1548&lt;&gt;0,'Boletins Nuppa Site'!G1548,"NULL")</f>
        <v>NULL</v>
      </c>
      <c r="E1548" s="14" t="str">
        <f>IF('Boletins Nuppa Site'!H1548&lt;&gt;0,'Boletins Nuppa Site'!H1548,"NULL")</f>
        <v>NULL</v>
      </c>
      <c r="F1548" s="14" t="str">
        <f>IF('Boletins Nuppa Site'!I1548&lt;&gt;0,'Boletins Nuppa Site'!I1548,"NULL")</f>
        <v>NULL</v>
      </c>
      <c r="G1548" s="14" t="str">
        <f>IF('Boletins Nuppa Site'!J1548&lt;&gt;0,'Boletins Nuppa Site'!J1548,"NULL")</f>
        <v>NULL</v>
      </c>
      <c r="H1548" s="14" t="str">
        <f>IF('Boletins Nuppa Site'!K1548&lt;&gt;0,'Boletins Nuppa Site'!K1548,"NULL")</f>
        <v>NULL</v>
      </c>
      <c r="I1548" t="str">
        <f t="shared" si="48"/>
        <v>INSERT INTO COTACAO (cot_id, cot_blt_id, cot_pap_id, cot_prc_comum, cot_prc_min, cot_prc_max, cot_prc_med, cot_prc_mediana) VALUES (1547, 76, 37, NULL, NULL, NULL, NULL, NULL);</v>
      </c>
      <c r="J1548" t="str">
        <f t="shared" si="49"/>
        <v>UPDATE COTACAO SET cot_id = 1547, cot_blt_id = 76, cot_pap_id = 37, cot_prc_comum = NULL, cot_prc_min = NULL, cot_prc_max = NULL, cot_prc_med = NULL, cot_prc_mediana = NULL WHERE cot_id = 1547;</v>
      </c>
    </row>
    <row r="1549" spans="1:10" x14ac:dyDescent="0.3">
      <c r="A1549">
        <v>1548</v>
      </c>
      <c r="B1549">
        <f>IF('Boletins Nuppa Site'!A1549&lt;&gt;0,'Boletins Nuppa Site'!A1549,"NULL")</f>
        <v>76</v>
      </c>
      <c r="C1549">
        <v>38</v>
      </c>
      <c r="D1549" t="str">
        <f>IF('Boletins Nuppa Site'!G1549&lt;&gt;0,'Boletins Nuppa Site'!G1549,"NULL")</f>
        <v>NULL</v>
      </c>
      <c r="E1549" s="14" t="str">
        <f>IF('Boletins Nuppa Site'!H1549&lt;&gt;0,'Boletins Nuppa Site'!H1549,"NULL")</f>
        <v>NULL</v>
      </c>
      <c r="F1549" s="14" t="str">
        <f>IF('Boletins Nuppa Site'!I1549&lt;&gt;0,'Boletins Nuppa Site'!I1549,"NULL")</f>
        <v>NULL</v>
      </c>
      <c r="G1549" s="14" t="str">
        <f>IF('Boletins Nuppa Site'!J1549&lt;&gt;0,'Boletins Nuppa Site'!J1549,"NULL")</f>
        <v>NULL</v>
      </c>
      <c r="H1549" s="14" t="str">
        <f>IF('Boletins Nuppa Site'!K1549&lt;&gt;0,'Boletins Nuppa Site'!K1549,"NULL")</f>
        <v>NULL</v>
      </c>
      <c r="I1549" t="str">
        <f t="shared" si="48"/>
        <v>INSERT INTO COTACAO (cot_id, cot_blt_id, cot_pap_id, cot_prc_comum, cot_prc_min, cot_prc_max, cot_prc_med, cot_prc_mediana) VALUES (1548, 76, 38, NULL, NULL, NULL, NULL, NULL);</v>
      </c>
      <c r="J1549" t="str">
        <f t="shared" si="49"/>
        <v>UPDATE COTACAO SET cot_id = 1548, cot_blt_id = 76, cot_pap_id = 38, cot_prc_comum = NULL, cot_prc_min = NULL, cot_prc_max = NULL, cot_prc_med = NULL, cot_prc_mediana = NULL WHERE cot_id = 1548;</v>
      </c>
    </row>
    <row r="1550" spans="1:10" x14ac:dyDescent="0.3">
      <c r="A1550">
        <v>1549</v>
      </c>
      <c r="B1550">
        <f>IF('Boletins Nuppa Site'!A1550&lt;&gt;0,'Boletins Nuppa Site'!A1550,"NULL")</f>
        <v>76</v>
      </c>
      <c r="C1550">
        <v>39</v>
      </c>
      <c r="D1550" t="str">
        <f>IF('Boletins Nuppa Site'!G1550&lt;&gt;0,'Boletins Nuppa Site'!G1550,"NULL")</f>
        <v>NULL</v>
      </c>
      <c r="E1550" s="14" t="str">
        <f>IF('Boletins Nuppa Site'!H1550&lt;&gt;0,'Boletins Nuppa Site'!H1550,"NULL")</f>
        <v xml:space="preserve"> 70.00</v>
      </c>
      <c r="F1550" s="14" t="str">
        <f>IF('Boletins Nuppa Site'!I1550&lt;&gt;0,'Boletins Nuppa Site'!I1550,"NULL")</f>
        <v xml:space="preserve"> 70.00</v>
      </c>
      <c r="G1550" s="14" t="str">
        <f>IF('Boletins Nuppa Site'!J1550&lt;&gt;0,'Boletins Nuppa Site'!J1550,"NULL")</f>
        <v xml:space="preserve"> 70.00</v>
      </c>
      <c r="H1550" s="14" t="str">
        <f>IF('Boletins Nuppa Site'!K1550&lt;&gt;0,'Boletins Nuppa Site'!K1550,"NULL")</f>
        <v xml:space="preserve"> 70.00</v>
      </c>
      <c r="I1550" t="str">
        <f t="shared" si="48"/>
        <v>INSERT INTO COTACAO (cot_id, cot_blt_id, cot_pap_id, cot_prc_comum, cot_prc_min, cot_prc_max, cot_prc_med, cot_prc_mediana) VALUES (1549, 76, 39, NULL,  70.00,  70.00,  70.00,  70.00);</v>
      </c>
      <c r="J1550" t="str">
        <f t="shared" si="49"/>
        <v>UPDATE COTACAO SET cot_id = 1549, cot_blt_id = 76, cot_pap_id = 39, cot_prc_comum = NULL, cot_prc_min =  70.00, cot_prc_max =  70.00, cot_prc_med =  70.00, cot_prc_mediana =  70.00 WHERE cot_id = 1549;</v>
      </c>
    </row>
    <row r="1551" spans="1:10" x14ac:dyDescent="0.3">
      <c r="A1551">
        <v>1550</v>
      </c>
      <c r="B1551">
        <f>IF('Boletins Nuppa Site'!A1551&lt;&gt;0,'Boletins Nuppa Site'!A1551,"NULL")</f>
        <v>76</v>
      </c>
      <c r="C1551">
        <v>40</v>
      </c>
      <c r="D1551" t="str">
        <f>IF('Boletins Nuppa Site'!G1551&lt;&gt;0,'Boletins Nuppa Site'!G1551,"NULL")</f>
        <v>NULL</v>
      </c>
      <c r="E1551" s="14" t="str">
        <f>IF('Boletins Nuppa Site'!H1551&lt;&gt;0,'Boletins Nuppa Site'!H1551,"NULL")</f>
        <v>NULL</v>
      </c>
      <c r="F1551" s="14" t="str">
        <f>IF('Boletins Nuppa Site'!I1551&lt;&gt;0,'Boletins Nuppa Site'!I1551,"NULL")</f>
        <v>NULL</v>
      </c>
      <c r="G1551" s="14" t="str">
        <f>IF('Boletins Nuppa Site'!J1551&lt;&gt;0,'Boletins Nuppa Site'!J1551,"NULL")</f>
        <v>NULL</v>
      </c>
      <c r="H1551" s="14" t="str">
        <f>IF('Boletins Nuppa Site'!K1551&lt;&gt;0,'Boletins Nuppa Site'!K1551,"NULL")</f>
        <v>NULL</v>
      </c>
      <c r="I1551" t="str">
        <f t="shared" si="48"/>
        <v>INSERT INTO COTACAO (cot_id, cot_blt_id, cot_pap_id, cot_prc_comum, cot_prc_min, cot_prc_max, cot_prc_med, cot_prc_mediana) VALUES (1550, 76, 40, NULL, NULL, NULL, NULL, NULL);</v>
      </c>
      <c r="J1551" t="str">
        <f t="shared" si="49"/>
        <v>UPDATE COTACAO SET cot_id = 1550, cot_blt_id = 76, cot_pap_id = 40, cot_prc_comum = NULL, cot_prc_min = NULL, cot_prc_max = NULL, cot_prc_med = NULL, cot_prc_mediana = NULL WHERE cot_id = 1550;</v>
      </c>
    </row>
    <row r="1552" spans="1:10" x14ac:dyDescent="0.3">
      <c r="A1552">
        <v>1551</v>
      </c>
      <c r="B1552">
        <f>IF('Boletins Nuppa Site'!A1552&lt;&gt;0,'Boletins Nuppa Site'!A1552,"NULL")</f>
        <v>77</v>
      </c>
      <c r="C1552">
        <v>1</v>
      </c>
      <c r="D1552" t="str">
        <f>IF('Boletins Nuppa Site'!G1552&lt;&gt;0,'Boletins Nuppa Site'!G1552,"NULL")</f>
        <v xml:space="preserve"> 48.00</v>
      </c>
      <c r="E1552" s="14" t="str">
        <f>IF('Boletins Nuppa Site'!H1552&lt;&gt;0,'Boletins Nuppa Site'!H1552,"NULL")</f>
        <v xml:space="preserve"> 48.00</v>
      </c>
      <c r="F1552" s="14" t="str">
        <f>IF('Boletins Nuppa Site'!I1552&lt;&gt;0,'Boletins Nuppa Site'!I1552,"NULL")</f>
        <v xml:space="preserve"> 60.00</v>
      </c>
      <c r="G1552" s="14" t="str">
        <f>IF('Boletins Nuppa Site'!J1552&lt;&gt;0,'Boletins Nuppa Site'!J1552,"NULL")</f>
        <v xml:space="preserve"> 54.00</v>
      </c>
      <c r="H1552" s="14" t="str">
        <f>IF('Boletins Nuppa Site'!K1552&lt;&gt;0,'Boletins Nuppa Site'!K1552,"NULL")</f>
        <v xml:space="preserve"> 54.00</v>
      </c>
      <c r="I1552" t="str">
        <f t="shared" si="48"/>
        <v>INSERT INTO COTACAO (cot_id, cot_blt_id, cot_pap_id, cot_prc_comum, cot_prc_min, cot_prc_max, cot_prc_med, cot_prc_mediana) VALUES (1551, 77, 1,  48.00,  48.00,  60.00,  54.00,  54.00);</v>
      </c>
      <c r="J1552" t="str">
        <f t="shared" si="49"/>
        <v>UPDATE COTACAO SET cot_id = 1551, cot_blt_id = 77, cot_pap_id = 1, cot_prc_comum =  48.00, cot_prc_min =  48.00, cot_prc_max =  60.00, cot_prc_med =  54.00, cot_prc_mediana =  54.00 WHERE cot_id = 1551;</v>
      </c>
    </row>
    <row r="1553" spans="1:10" x14ac:dyDescent="0.3">
      <c r="A1553">
        <v>1552</v>
      </c>
      <c r="B1553">
        <f>IF('Boletins Nuppa Site'!A1553&lt;&gt;0,'Boletins Nuppa Site'!A1553,"NULL")</f>
        <v>77</v>
      </c>
      <c r="C1553">
        <v>2</v>
      </c>
      <c r="D1553" t="str">
        <f>IF('Boletins Nuppa Site'!G1553&lt;&gt;0,'Boletins Nuppa Site'!G1553,"NULL")</f>
        <v xml:space="preserve"> 72.00</v>
      </c>
      <c r="E1553" s="14" t="str">
        <f>IF('Boletins Nuppa Site'!H1553&lt;&gt;0,'Boletins Nuppa Site'!H1553,"NULL")</f>
        <v xml:space="preserve"> 72.00</v>
      </c>
      <c r="F1553" s="14" t="str">
        <f>IF('Boletins Nuppa Site'!I1553&lt;&gt;0,'Boletins Nuppa Site'!I1553,"NULL")</f>
        <v xml:space="preserve"> 72.00</v>
      </c>
      <c r="G1553" s="14" t="str">
        <f>IF('Boletins Nuppa Site'!J1553&lt;&gt;0,'Boletins Nuppa Site'!J1553,"NULL")</f>
        <v xml:space="preserve"> 72.00</v>
      </c>
      <c r="H1553" s="14" t="str">
        <f>IF('Boletins Nuppa Site'!K1553&lt;&gt;0,'Boletins Nuppa Site'!K1553,"NULL")</f>
        <v xml:space="preserve"> 72.00</v>
      </c>
      <c r="I1553" t="str">
        <f t="shared" si="48"/>
        <v>INSERT INTO COTACAO (cot_id, cot_blt_id, cot_pap_id, cot_prc_comum, cot_prc_min, cot_prc_max, cot_prc_med, cot_prc_mediana) VALUES (1552, 77, 2,  72.00,  72.00,  72.00,  72.00,  72.00);</v>
      </c>
      <c r="J1553" t="str">
        <f t="shared" si="49"/>
        <v>UPDATE COTACAO SET cot_id = 1552, cot_blt_id = 77, cot_pap_id = 2, cot_prc_comum =  72.00, cot_prc_min =  72.00, cot_prc_max =  72.00, cot_prc_med =  72.00, cot_prc_mediana =  72.00 WHERE cot_id = 1552;</v>
      </c>
    </row>
    <row r="1554" spans="1:10" x14ac:dyDescent="0.3">
      <c r="A1554">
        <v>1553</v>
      </c>
      <c r="B1554">
        <f>IF('Boletins Nuppa Site'!A1554&lt;&gt;0,'Boletins Nuppa Site'!A1554,"NULL")</f>
        <v>77</v>
      </c>
      <c r="C1554">
        <v>3</v>
      </c>
      <c r="D1554" t="str">
        <f>IF('Boletins Nuppa Site'!G1554&lt;&gt;0,'Boletins Nuppa Site'!G1554,"NULL")</f>
        <v xml:space="preserve"> 42.00</v>
      </c>
      <c r="E1554" s="14" t="str">
        <f>IF('Boletins Nuppa Site'!H1554&lt;&gt;0,'Boletins Nuppa Site'!H1554,"NULL")</f>
        <v xml:space="preserve"> 42.00</v>
      </c>
      <c r="F1554" s="14" t="str">
        <f>IF('Boletins Nuppa Site'!I1554&lt;&gt;0,'Boletins Nuppa Site'!I1554,"NULL")</f>
        <v xml:space="preserve"> 48.00</v>
      </c>
      <c r="G1554" s="14" t="str">
        <f>IF('Boletins Nuppa Site'!J1554&lt;&gt;0,'Boletins Nuppa Site'!J1554,"NULL")</f>
        <v xml:space="preserve"> 45.00</v>
      </c>
      <c r="H1554" s="14" t="str">
        <f>IF('Boletins Nuppa Site'!K1554&lt;&gt;0,'Boletins Nuppa Site'!K1554,"NULL")</f>
        <v xml:space="preserve"> 45.00</v>
      </c>
      <c r="I1554" t="str">
        <f t="shared" si="48"/>
        <v>INSERT INTO COTACAO (cot_id, cot_blt_id, cot_pap_id, cot_prc_comum, cot_prc_min, cot_prc_max, cot_prc_med, cot_prc_mediana) VALUES (1553, 77, 3,  42.00,  42.00,  48.00,  45.00,  45.00);</v>
      </c>
      <c r="J1554" t="str">
        <f t="shared" si="49"/>
        <v>UPDATE COTACAO SET cot_id = 1553, cot_blt_id = 77, cot_pap_id = 3, cot_prc_comum =  42.00, cot_prc_min =  42.00, cot_prc_max =  48.00, cot_prc_med =  45.00, cot_prc_mediana =  45.00 WHERE cot_id = 1553;</v>
      </c>
    </row>
    <row r="1555" spans="1:10" x14ac:dyDescent="0.3">
      <c r="A1555">
        <v>1554</v>
      </c>
      <c r="B1555">
        <f>IF('Boletins Nuppa Site'!A1555&lt;&gt;0,'Boletins Nuppa Site'!A1555,"NULL")</f>
        <v>77</v>
      </c>
      <c r="C1555">
        <v>4</v>
      </c>
      <c r="D1555" t="str">
        <f>IF('Boletins Nuppa Site'!G1555&lt;&gt;0,'Boletins Nuppa Site'!G1555,"NULL")</f>
        <v xml:space="preserve"> 30.00</v>
      </c>
      <c r="E1555" s="14" t="str">
        <f>IF('Boletins Nuppa Site'!H1555&lt;&gt;0,'Boletins Nuppa Site'!H1555,"NULL")</f>
        <v xml:space="preserve"> 30.00</v>
      </c>
      <c r="F1555" s="14" t="str">
        <f>IF('Boletins Nuppa Site'!I1555&lt;&gt;0,'Boletins Nuppa Site'!I1555,"NULL")</f>
        <v xml:space="preserve"> 30.00</v>
      </c>
      <c r="G1555" s="14" t="str">
        <f>IF('Boletins Nuppa Site'!J1555&lt;&gt;0,'Boletins Nuppa Site'!J1555,"NULL")</f>
        <v xml:space="preserve"> 30.00</v>
      </c>
      <c r="H1555" s="14" t="str">
        <f>IF('Boletins Nuppa Site'!K1555&lt;&gt;0,'Boletins Nuppa Site'!K1555,"NULL")</f>
        <v xml:space="preserve"> 30.00</v>
      </c>
      <c r="I1555" t="str">
        <f t="shared" si="48"/>
        <v>INSERT INTO COTACAO (cot_id, cot_blt_id, cot_pap_id, cot_prc_comum, cot_prc_min, cot_prc_max, cot_prc_med, cot_prc_mediana) VALUES (1554, 77, 4,  30.00,  30.00,  30.00,  30.00,  30.00);</v>
      </c>
      <c r="J1555" t="str">
        <f t="shared" si="49"/>
        <v>UPDATE COTACAO SET cot_id = 1554, cot_blt_id = 77, cot_pap_id = 4, cot_prc_comum =  30.00, cot_prc_min =  30.00, cot_prc_max =  30.00, cot_prc_med =  30.00, cot_prc_mediana =  30.00 WHERE cot_id = 1554;</v>
      </c>
    </row>
    <row r="1556" spans="1:10" x14ac:dyDescent="0.3">
      <c r="A1556">
        <v>1555</v>
      </c>
      <c r="B1556">
        <f>IF('Boletins Nuppa Site'!A1556&lt;&gt;0,'Boletins Nuppa Site'!A1556,"NULL")</f>
        <v>77</v>
      </c>
      <c r="C1556">
        <v>5</v>
      </c>
      <c r="D1556" t="str">
        <f>IF('Boletins Nuppa Site'!G1556&lt;&gt;0,'Boletins Nuppa Site'!G1556,"NULL")</f>
        <v xml:space="preserve"> 30.00</v>
      </c>
      <c r="E1556" s="14" t="str">
        <f>IF('Boletins Nuppa Site'!H1556&lt;&gt;0,'Boletins Nuppa Site'!H1556,"NULL")</f>
        <v xml:space="preserve"> 30.00</v>
      </c>
      <c r="F1556" s="14" t="str">
        <f>IF('Boletins Nuppa Site'!I1556&lt;&gt;0,'Boletins Nuppa Site'!I1556,"NULL")</f>
        <v xml:space="preserve"> 30.00</v>
      </c>
      <c r="G1556" s="14" t="str">
        <f>IF('Boletins Nuppa Site'!J1556&lt;&gt;0,'Boletins Nuppa Site'!J1556,"NULL")</f>
        <v xml:space="preserve"> 30.00</v>
      </c>
      <c r="H1556" s="14" t="str">
        <f>IF('Boletins Nuppa Site'!K1556&lt;&gt;0,'Boletins Nuppa Site'!K1556,"NULL")</f>
        <v xml:space="preserve"> 30.00</v>
      </c>
      <c r="I1556" t="str">
        <f t="shared" si="48"/>
        <v>INSERT INTO COTACAO (cot_id, cot_blt_id, cot_pap_id, cot_prc_comum, cot_prc_min, cot_prc_max, cot_prc_med, cot_prc_mediana) VALUES (1555, 77, 5,  30.00,  30.00,  30.00,  30.00,  30.00);</v>
      </c>
      <c r="J1556" t="str">
        <f t="shared" si="49"/>
        <v>UPDATE COTACAO SET cot_id = 1555, cot_blt_id = 77, cot_pap_id = 5, cot_prc_comum =  30.00, cot_prc_min =  30.00, cot_prc_max =  30.00, cot_prc_med =  30.00, cot_prc_mediana =  30.00 WHERE cot_id = 1555;</v>
      </c>
    </row>
    <row r="1557" spans="1:10" x14ac:dyDescent="0.3">
      <c r="A1557">
        <v>1556</v>
      </c>
      <c r="B1557">
        <f>IF('Boletins Nuppa Site'!A1557&lt;&gt;0,'Boletins Nuppa Site'!A1557,"NULL")</f>
        <v>77</v>
      </c>
      <c r="C1557">
        <v>6</v>
      </c>
      <c r="D1557" t="str">
        <f>IF('Boletins Nuppa Site'!G1557&lt;&gt;0,'Boletins Nuppa Site'!G1557,"NULL")</f>
        <v xml:space="preserve"> 60.00</v>
      </c>
      <c r="E1557" s="14" t="str">
        <f>IF('Boletins Nuppa Site'!H1557&lt;&gt;0,'Boletins Nuppa Site'!H1557,"NULL")</f>
        <v xml:space="preserve"> 60.00</v>
      </c>
      <c r="F1557" s="14" t="str">
        <f>IF('Boletins Nuppa Site'!I1557&lt;&gt;0,'Boletins Nuppa Site'!I1557,"NULL")</f>
        <v xml:space="preserve"> 60.00</v>
      </c>
      <c r="G1557" s="14" t="str">
        <f>IF('Boletins Nuppa Site'!J1557&lt;&gt;0,'Boletins Nuppa Site'!J1557,"NULL")</f>
        <v xml:space="preserve"> 60.00</v>
      </c>
      <c r="H1557" s="14" t="str">
        <f>IF('Boletins Nuppa Site'!K1557&lt;&gt;0,'Boletins Nuppa Site'!K1557,"NULL")</f>
        <v xml:space="preserve"> 60.00</v>
      </c>
      <c r="I1557" t="str">
        <f t="shared" si="48"/>
        <v>INSERT INTO COTACAO (cot_id, cot_blt_id, cot_pap_id, cot_prc_comum, cot_prc_min, cot_prc_max, cot_prc_med, cot_prc_mediana) VALUES (1556, 77, 6,  60.00,  60.00,  60.00,  60.00,  60.00);</v>
      </c>
      <c r="J1557" t="str">
        <f t="shared" si="49"/>
        <v>UPDATE COTACAO SET cot_id = 1556, cot_blt_id = 77, cot_pap_id = 6, cot_prc_comum =  60.00, cot_prc_min =  60.00, cot_prc_max =  60.00, cot_prc_med =  60.00, cot_prc_mediana =  60.00 WHERE cot_id = 1556;</v>
      </c>
    </row>
    <row r="1558" spans="1:10" x14ac:dyDescent="0.3">
      <c r="A1558">
        <v>1557</v>
      </c>
      <c r="B1558">
        <f>IF('Boletins Nuppa Site'!A1558&lt;&gt;0,'Boletins Nuppa Site'!A1558,"NULL")</f>
        <v>77</v>
      </c>
      <c r="C1558">
        <v>7</v>
      </c>
      <c r="D1558" t="str">
        <f>IF('Boletins Nuppa Site'!G1558&lt;&gt;0,'Boletins Nuppa Site'!G1558,"NULL")</f>
        <v xml:space="preserve"> 66.00</v>
      </c>
      <c r="E1558" s="14" t="str">
        <f>IF('Boletins Nuppa Site'!H1558&lt;&gt;0,'Boletins Nuppa Site'!H1558,"NULL")</f>
        <v xml:space="preserve"> 66.00</v>
      </c>
      <c r="F1558" s="14" t="str">
        <f>IF('Boletins Nuppa Site'!I1558&lt;&gt;0,'Boletins Nuppa Site'!I1558,"NULL")</f>
        <v xml:space="preserve"> 84.00</v>
      </c>
      <c r="G1558" s="14" t="str">
        <f>IF('Boletins Nuppa Site'!J1558&lt;&gt;0,'Boletins Nuppa Site'!J1558,"NULL")</f>
        <v xml:space="preserve"> 75.00</v>
      </c>
      <c r="H1558" s="14" t="str">
        <f>IF('Boletins Nuppa Site'!K1558&lt;&gt;0,'Boletins Nuppa Site'!K1558,"NULL")</f>
        <v xml:space="preserve"> 75.00</v>
      </c>
      <c r="I1558" t="str">
        <f t="shared" si="48"/>
        <v>INSERT INTO COTACAO (cot_id, cot_blt_id, cot_pap_id, cot_prc_comum, cot_prc_min, cot_prc_max, cot_prc_med, cot_prc_mediana) VALUES (1557, 77, 7,  66.00,  66.00,  84.00,  75.00,  75.00);</v>
      </c>
      <c r="J1558" t="str">
        <f t="shared" si="49"/>
        <v>UPDATE COTACAO SET cot_id = 1557, cot_blt_id = 77, cot_pap_id = 7, cot_prc_comum =  66.00, cot_prc_min =  66.00, cot_prc_max =  84.00, cot_prc_med =  75.00, cot_prc_mediana =  75.00 WHERE cot_id = 1557;</v>
      </c>
    </row>
    <row r="1559" spans="1:10" x14ac:dyDescent="0.3">
      <c r="A1559">
        <v>1558</v>
      </c>
      <c r="B1559">
        <f>IF('Boletins Nuppa Site'!A1559&lt;&gt;0,'Boletins Nuppa Site'!A1559,"NULL")</f>
        <v>77</v>
      </c>
      <c r="C1559">
        <v>8</v>
      </c>
      <c r="D1559" t="str">
        <f>IF('Boletins Nuppa Site'!G1559&lt;&gt;0,'Boletins Nuppa Site'!G1559,"NULL")</f>
        <v xml:space="preserve"> 60.00</v>
      </c>
      <c r="E1559" s="14" t="str">
        <f>IF('Boletins Nuppa Site'!H1559&lt;&gt;0,'Boletins Nuppa Site'!H1559,"NULL")</f>
        <v xml:space="preserve"> 60.00</v>
      </c>
      <c r="F1559" s="14" t="str">
        <f>IF('Boletins Nuppa Site'!I1559&lt;&gt;0,'Boletins Nuppa Site'!I1559,"NULL")</f>
        <v xml:space="preserve"> 72.00</v>
      </c>
      <c r="G1559" s="14" t="str">
        <f>IF('Boletins Nuppa Site'!J1559&lt;&gt;0,'Boletins Nuppa Site'!J1559,"NULL")</f>
        <v xml:space="preserve"> 66.00</v>
      </c>
      <c r="H1559" s="14" t="str">
        <f>IF('Boletins Nuppa Site'!K1559&lt;&gt;0,'Boletins Nuppa Site'!K1559,"NULL")</f>
        <v xml:space="preserve"> 66.00</v>
      </c>
      <c r="I1559" t="str">
        <f t="shared" si="48"/>
        <v>INSERT INTO COTACAO (cot_id, cot_blt_id, cot_pap_id, cot_prc_comum, cot_prc_min, cot_prc_max, cot_prc_med, cot_prc_mediana) VALUES (1558, 77, 8,  60.00,  60.00,  72.00,  66.00,  66.00);</v>
      </c>
      <c r="J1559" t="str">
        <f t="shared" si="49"/>
        <v>UPDATE COTACAO SET cot_id = 1558, cot_blt_id = 77, cot_pap_id = 8, cot_prc_comum =  60.00, cot_prc_min =  60.00, cot_prc_max =  72.00, cot_prc_med =  66.00, cot_prc_mediana =  66.00 WHERE cot_id = 1558;</v>
      </c>
    </row>
    <row r="1560" spans="1:10" x14ac:dyDescent="0.3">
      <c r="A1560">
        <v>1559</v>
      </c>
      <c r="B1560">
        <f>IF('Boletins Nuppa Site'!A1560&lt;&gt;0,'Boletins Nuppa Site'!A1560,"NULL")</f>
        <v>77</v>
      </c>
      <c r="C1560">
        <v>9</v>
      </c>
      <c r="D1560" t="str">
        <f>IF('Boletins Nuppa Site'!G1560&lt;&gt;0,'Boletins Nuppa Site'!G1560,"NULL")</f>
        <v xml:space="preserve"> 24.00</v>
      </c>
      <c r="E1560" s="14" t="str">
        <f>IF('Boletins Nuppa Site'!H1560&lt;&gt;0,'Boletins Nuppa Site'!H1560,"NULL")</f>
        <v xml:space="preserve"> 24.00</v>
      </c>
      <c r="F1560" s="14" t="str">
        <f>IF('Boletins Nuppa Site'!I1560&lt;&gt;0,'Boletins Nuppa Site'!I1560,"NULL")</f>
        <v xml:space="preserve"> 24.00</v>
      </c>
      <c r="G1560" s="14" t="str">
        <f>IF('Boletins Nuppa Site'!J1560&lt;&gt;0,'Boletins Nuppa Site'!J1560,"NULL")</f>
        <v xml:space="preserve"> 24.00</v>
      </c>
      <c r="H1560" s="14" t="str">
        <f>IF('Boletins Nuppa Site'!K1560&lt;&gt;0,'Boletins Nuppa Site'!K1560,"NULL")</f>
        <v xml:space="preserve"> 24.00</v>
      </c>
      <c r="I1560" t="str">
        <f t="shared" si="48"/>
        <v>INSERT INTO COTACAO (cot_id, cot_blt_id, cot_pap_id, cot_prc_comum, cot_prc_min, cot_prc_max, cot_prc_med, cot_prc_mediana) VALUES (1559, 77, 9,  24.00,  24.00,  24.00,  24.00,  24.00);</v>
      </c>
      <c r="J1560" t="str">
        <f t="shared" si="49"/>
        <v>UPDATE COTACAO SET cot_id = 1559, cot_blt_id = 77, cot_pap_id = 9, cot_prc_comum =  24.00, cot_prc_min =  24.00, cot_prc_max =  24.00, cot_prc_med =  24.00, cot_prc_mediana =  24.00 WHERE cot_id = 1559;</v>
      </c>
    </row>
    <row r="1561" spans="1:10" x14ac:dyDescent="0.3">
      <c r="A1561">
        <v>1560</v>
      </c>
      <c r="B1561">
        <f>IF('Boletins Nuppa Site'!A1561&lt;&gt;0,'Boletins Nuppa Site'!A1561,"NULL")</f>
        <v>77</v>
      </c>
      <c r="C1561">
        <v>10</v>
      </c>
      <c r="D1561" t="str">
        <f>IF('Boletins Nuppa Site'!G1561&lt;&gt;0,'Boletins Nuppa Site'!G1561,"NULL")</f>
        <v xml:space="preserve"> 60.00</v>
      </c>
      <c r="E1561" s="14" t="str">
        <f>IF('Boletins Nuppa Site'!H1561&lt;&gt;0,'Boletins Nuppa Site'!H1561,"NULL")</f>
        <v xml:space="preserve"> 60.00</v>
      </c>
      <c r="F1561" s="14" t="str">
        <f>IF('Boletins Nuppa Site'!I1561&lt;&gt;0,'Boletins Nuppa Site'!I1561,"NULL")</f>
        <v xml:space="preserve"> 78.00</v>
      </c>
      <c r="G1561" s="14" t="str">
        <f>IF('Boletins Nuppa Site'!J1561&lt;&gt;0,'Boletins Nuppa Site'!J1561,"NULL")</f>
        <v xml:space="preserve"> 69.00</v>
      </c>
      <c r="H1561" s="14" t="str">
        <f>IF('Boletins Nuppa Site'!K1561&lt;&gt;0,'Boletins Nuppa Site'!K1561,"NULL")</f>
        <v xml:space="preserve"> 69.00</v>
      </c>
      <c r="I1561" t="str">
        <f t="shared" si="48"/>
        <v>INSERT INTO COTACAO (cot_id, cot_blt_id, cot_pap_id, cot_prc_comum, cot_prc_min, cot_prc_max, cot_prc_med, cot_prc_mediana) VALUES (1560, 77, 10,  60.00,  60.00,  78.00,  69.00,  69.00);</v>
      </c>
      <c r="J1561" t="str">
        <f t="shared" si="49"/>
        <v>UPDATE COTACAO SET cot_id = 1560, cot_blt_id = 77, cot_pap_id = 10, cot_prc_comum =  60.00, cot_prc_min =  60.00, cot_prc_max =  78.00, cot_prc_med =  69.00, cot_prc_mediana =  69.00 WHERE cot_id = 1560;</v>
      </c>
    </row>
    <row r="1562" spans="1:10" x14ac:dyDescent="0.3">
      <c r="A1562">
        <v>1561</v>
      </c>
      <c r="B1562">
        <f>IF('Boletins Nuppa Site'!A1562&lt;&gt;0,'Boletins Nuppa Site'!A1562,"NULL")</f>
        <v>77</v>
      </c>
      <c r="C1562">
        <v>11</v>
      </c>
      <c r="D1562" t="str">
        <f>IF('Boletins Nuppa Site'!G1562&lt;&gt;0,'Boletins Nuppa Site'!G1562,"NULL")</f>
        <v xml:space="preserve"> 30.00</v>
      </c>
      <c r="E1562" s="14" t="str">
        <f>IF('Boletins Nuppa Site'!H1562&lt;&gt;0,'Boletins Nuppa Site'!H1562,"NULL")</f>
        <v xml:space="preserve"> 30.00</v>
      </c>
      <c r="F1562" s="14" t="str">
        <f>IF('Boletins Nuppa Site'!I1562&lt;&gt;0,'Boletins Nuppa Site'!I1562,"NULL")</f>
        <v xml:space="preserve"> 30.00</v>
      </c>
      <c r="G1562" s="14" t="str">
        <f>IF('Boletins Nuppa Site'!J1562&lt;&gt;0,'Boletins Nuppa Site'!J1562,"NULL")</f>
        <v xml:space="preserve"> 30.00</v>
      </c>
      <c r="H1562" s="14" t="str">
        <f>IF('Boletins Nuppa Site'!K1562&lt;&gt;0,'Boletins Nuppa Site'!K1562,"NULL")</f>
        <v xml:space="preserve"> 30.00</v>
      </c>
      <c r="I1562" t="str">
        <f t="shared" si="48"/>
        <v>INSERT INTO COTACAO (cot_id, cot_blt_id, cot_pap_id, cot_prc_comum, cot_prc_min, cot_prc_max, cot_prc_med, cot_prc_mediana) VALUES (1561, 77, 11,  30.00,  30.00,  30.00,  30.00,  30.00);</v>
      </c>
      <c r="J1562" t="str">
        <f t="shared" si="49"/>
        <v>UPDATE COTACAO SET cot_id = 1561, cot_blt_id = 77, cot_pap_id = 11, cot_prc_comum =  30.00, cot_prc_min =  30.00, cot_prc_max =  30.00, cot_prc_med =  30.00, cot_prc_mediana =  30.00 WHERE cot_id = 1561;</v>
      </c>
    </row>
    <row r="1563" spans="1:10" x14ac:dyDescent="0.3">
      <c r="A1563">
        <v>1562</v>
      </c>
      <c r="B1563">
        <f>IF('Boletins Nuppa Site'!A1563&lt;&gt;0,'Boletins Nuppa Site'!A1563,"NULL")</f>
        <v>77</v>
      </c>
      <c r="C1563">
        <v>12</v>
      </c>
      <c r="D1563" t="str">
        <f>IF('Boletins Nuppa Site'!G1563&lt;&gt;0,'Boletins Nuppa Site'!G1563,"NULL")</f>
        <v xml:space="preserve"> 50.00</v>
      </c>
      <c r="E1563" s="14" t="str">
        <f>IF('Boletins Nuppa Site'!H1563&lt;&gt;0,'Boletins Nuppa Site'!H1563,"NULL")</f>
        <v xml:space="preserve"> 50.00</v>
      </c>
      <c r="F1563" s="14" t="str">
        <f>IF('Boletins Nuppa Site'!I1563&lt;&gt;0,'Boletins Nuppa Site'!I1563,"NULL")</f>
        <v xml:space="preserve"> 60.00</v>
      </c>
      <c r="G1563" s="14" t="str">
        <f>IF('Boletins Nuppa Site'!J1563&lt;&gt;0,'Boletins Nuppa Site'!J1563,"NULL")</f>
        <v xml:space="preserve"> 55.00</v>
      </c>
      <c r="H1563" s="14" t="str">
        <f>IF('Boletins Nuppa Site'!K1563&lt;&gt;0,'Boletins Nuppa Site'!K1563,"NULL")</f>
        <v xml:space="preserve"> 55.00</v>
      </c>
      <c r="I1563" t="str">
        <f t="shared" si="48"/>
        <v>INSERT INTO COTACAO (cot_id, cot_blt_id, cot_pap_id, cot_prc_comum, cot_prc_min, cot_prc_max, cot_prc_med, cot_prc_mediana) VALUES (1562, 77, 12,  50.00,  50.00,  60.00,  55.00,  55.00);</v>
      </c>
      <c r="J1563" t="str">
        <f t="shared" si="49"/>
        <v>UPDATE COTACAO SET cot_id = 1562, cot_blt_id = 77, cot_pap_id = 12, cot_prc_comum =  50.00, cot_prc_min =  50.00, cot_prc_max =  60.00, cot_prc_med =  55.00, cot_prc_mediana =  55.00 WHERE cot_id = 1562;</v>
      </c>
    </row>
    <row r="1564" spans="1:10" x14ac:dyDescent="0.3">
      <c r="A1564">
        <v>1563</v>
      </c>
      <c r="B1564">
        <f>IF('Boletins Nuppa Site'!A1564&lt;&gt;0,'Boletins Nuppa Site'!A1564,"NULL")</f>
        <v>77</v>
      </c>
      <c r="C1564">
        <v>13</v>
      </c>
      <c r="D1564" t="str">
        <f>IF('Boletins Nuppa Site'!G1564&lt;&gt;0,'Boletins Nuppa Site'!G1564,"NULL")</f>
        <v xml:space="preserve"> 60.00</v>
      </c>
      <c r="E1564" s="14" t="str">
        <f>IF('Boletins Nuppa Site'!H1564&lt;&gt;0,'Boletins Nuppa Site'!H1564,"NULL")</f>
        <v xml:space="preserve"> 60.00</v>
      </c>
      <c r="F1564" s="14" t="str">
        <f>IF('Boletins Nuppa Site'!I1564&lt;&gt;0,'Boletins Nuppa Site'!I1564,"NULL")</f>
        <v xml:space="preserve"> 72.00</v>
      </c>
      <c r="G1564" s="14" t="str">
        <f>IF('Boletins Nuppa Site'!J1564&lt;&gt;0,'Boletins Nuppa Site'!J1564,"NULL")</f>
        <v xml:space="preserve"> 66.00</v>
      </c>
      <c r="H1564" s="14" t="str">
        <f>IF('Boletins Nuppa Site'!K1564&lt;&gt;0,'Boletins Nuppa Site'!K1564,"NULL")</f>
        <v xml:space="preserve"> 66.00</v>
      </c>
      <c r="I1564" t="str">
        <f t="shared" si="48"/>
        <v>INSERT INTO COTACAO (cot_id, cot_blt_id, cot_pap_id, cot_prc_comum, cot_prc_min, cot_prc_max, cot_prc_med, cot_prc_mediana) VALUES (1563, 77, 13,  60.00,  60.00,  72.00,  66.00,  66.00);</v>
      </c>
      <c r="J1564" t="str">
        <f t="shared" si="49"/>
        <v>UPDATE COTACAO SET cot_id = 1563, cot_blt_id = 77, cot_pap_id = 13, cot_prc_comum =  60.00, cot_prc_min =  60.00, cot_prc_max =  72.00, cot_prc_med =  66.00, cot_prc_mediana =  66.00 WHERE cot_id = 1563;</v>
      </c>
    </row>
    <row r="1565" spans="1:10" x14ac:dyDescent="0.3">
      <c r="A1565">
        <v>1564</v>
      </c>
      <c r="B1565">
        <f>IF('Boletins Nuppa Site'!A1565&lt;&gt;0,'Boletins Nuppa Site'!A1565,"NULL")</f>
        <v>77</v>
      </c>
      <c r="C1565">
        <v>14</v>
      </c>
      <c r="D1565" t="str">
        <f>IF('Boletins Nuppa Site'!G1565&lt;&gt;0,'Boletins Nuppa Site'!G1565,"NULL")</f>
        <v xml:space="preserve"> 72.00</v>
      </c>
      <c r="E1565" s="14" t="str">
        <f>IF('Boletins Nuppa Site'!H1565&lt;&gt;0,'Boletins Nuppa Site'!H1565,"NULL")</f>
        <v xml:space="preserve"> 72.00</v>
      </c>
      <c r="F1565" s="14" t="str">
        <f>IF('Boletins Nuppa Site'!I1565&lt;&gt;0,'Boletins Nuppa Site'!I1565,"NULL")</f>
        <v xml:space="preserve"> 72.00</v>
      </c>
      <c r="G1565" s="14" t="str">
        <f>IF('Boletins Nuppa Site'!J1565&lt;&gt;0,'Boletins Nuppa Site'!J1565,"NULL")</f>
        <v xml:space="preserve"> 72.00</v>
      </c>
      <c r="H1565" s="14" t="str">
        <f>IF('Boletins Nuppa Site'!K1565&lt;&gt;0,'Boletins Nuppa Site'!K1565,"NULL")</f>
        <v xml:space="preserve"> 72.00</v>
      </c>
      <c r="I1565" t="str">
        <f t="shared" si="48"/>
        <v>INSERT INTO COTACAO (cot_id, cot_blt_id, cot_pap_id, cot_prc_comum, cot_prc_min, cot_prc_max, cot_prc_med, cot_prc_mediana) VALUES (1564, 77, 14,  72.00,  72.00,  72.00,  72.00,  72.00);</v>
      </c>
      <c r="J1565" t="str">
        <f t="shared" si="49"/>
        <v>UPDATE COTACAO SET cot_id = 1564, cot_blt_id = 77, cot_pap_id = 14, cot_prc_comum =  72.00, cot_prc_min =  72.00, cot_prc_max =  72.00, cot_prc_med =  72.00, cot_prc_mediana =  72.00 WHERE cot_id = 1564;</v>
      </c>
    </row>
    <row r="1566" spans="1:10" x14ac:dyDescent="0.3">
      <c r="A1566">
        <v>1565</v>
      </c>
      <c r="B1566">
        <f>IF('Boletins Nuppa Site'!A1566&lt;&gt;0,'Boletins Nuppa Site'!A1566,"NULL")</f>
        <v>77</v>
      </c>
      <c r="C1566">
        <v>15</v>
      </c>
      <c r="D1566" t="str">
        <f>IF('Boletins Nuppa Site'!G1566&lt;&gt;0,'Boletins Nuppa Site'!G1566,"NULL")</f>
        <v xml:space="preserve"> 25.00</v>
      </c>
      <c r="E1566" s="14" t="str">
        <f>IF('Boletins Nuppa Site'!H1566&lt;&gt;0,'Boletins Nuppa Site'!H1566,"NULL")</f>
        <v xml:space="preserve"> 25.00</v>
      </c>
      <c r="F1566" s="14" t="str">
        <f>IF('Boletins Nuppa Site'!I1566&lt;&gt;0,'Boletins Nuppa Site'!I1566,"NULL")</f>
        <v xml:space="preserve"> 30.00</v>
      </c>
      <c r="G1566" s="14" t="str">
        <f>IF('Boletins Nuppa Site'!J1566&lt;&gt;0,'Boletins Nuppa Site'!J1566,"NULL")</f>
        <v xml:space="preserve"> 27.50</v>
      </c>
      <c r="H1566" s="14" t="str">
        <f>IF('Boletins Nuppa Site'!K1566&lt;&gt;0,'Boletins Nuppa Site'!K1566,"NULL")</f>
        <v xml:space="preserve"> 27.50</v>
      </c>
      <c r="I1566" t="str">
        <f t="shared" si="48"/>
        <v>INSERT INTO COTACAO (cot_id, cot_blt_id, cot_pap_id, cot_prc_comum, cot_prc_min, cot_prc_max, cot_prc_med, cot_prc_mediana) VALUES (1565, 77, 15,  25.00,  25.00,  30.00,  27.50,  27.50);</v>
      </c>
      <c r="J1566" t="str">
        <f t="shared" si="49"/>
        <v>UPDATE COTACAO SET cot_id = 1565, cot_blt_id = 77, cot_pap_id = 15, cot_prc_comum =  25.00, cot_prc_min =  25.00, cot_prc_max =  30.00, cot_prc_med =  27.50, cot_prc_mediana =  27.50 WHERE cot_id = 1565;</v>
      </c>
    </row>
    <row r="1567" spans="1:10" x14ac:dyDescent="0.3">
      <c r="A1567">
        <v>1566</v>
      </c>
      <c r="B1567">
        <f>IF('Boletins Nuppa Site'!A1567&lt;&gt;0,'Boletins Nuppa Site'!A1567,"NULL")</f>
        <v>77</v>
      </c>
      <c r="C1567">
        <v>16</v>
      </c>
      <c r="D1567" t="str">
        <f>IF('Boletins Nuppa Site'!G1567&lt;&gt;0,'Boletins Nuppa Site'!G1567,"NULL")</f>
        <v xml:space="preserve"> 48.00</v>
      </c>
      <c r="E1567" s="14" t="str">
        <f>IF('Boletins Nuppa Site'!H1567&lt;&gt;0,'Boletins Nuppa Site'!H1567,"NULL")</f>
        <v xml:space="preserve"> 48.00</v>
      </c>
      <c r="F1567" s="14" t="str">
        <f>IF('Boletins Nuppa Site'!I1567&lt;&gt;0,'Boletins Nuppa Site'!I1567,"NULL")</f>
        <v xml:space="preserve"> 48.00</v>
      </c>
      <c r="G1567" s="14" t="str">
        <f>IF('Boletins Nuppa Site'!J1567&lt;&gt;0,'Boletins Nuppa Site'!J1567,"NULL")</f>
        <v xml:space="preserve"> 48.00</v>
      </c>
      <c r="H1567" s="14" t="str">
        <f>IF('Boletins Nuppa Site'!K1567&lt;&gt;0,'Boletins Nuppa Site'!K1567,"NULL")</f>
        <v xml:space="preserve"> 48.00</v>
      </c>
      <c r="I1567" t="str">
        <f t="shared" si="48"/>
        <v>INSERT INTO COTACAO (cot_id, cot_blt_id, cot_pap_id, cot_prc_comum, cot_prc_min, cot_prc_max, cot_prc_med, cot_prc_mediana) VALUES (1566, 77, 16,  48.00,  48.00,  48.00,  48.00,  48.00);</v>
      </c>
      <c r="J1567" t="str">
        <f t="shared" si="49"/>
        <v>UPDATE COTACAO SET cot_id = 1566, cot_blt_id = 77, cot_pap_id = 16, cot_prc_comum =  48.00, cot_prc_min =  48.00, cot_prc_max =  48.00, cot_prc_med =  48.00, cot_prc_mediana =  48.00 WHERE cot_id = 1566;</v>
      </c>
    </row>
    <row r="1568" spans="1:10" x14ac:dyDescent="0.3">
      <c r="A1568">
        <v>1567</v>
      </c>
      <c r="B1568">
        <f>IF('Boletins Nuppa Site'!A1568&lt;&gt;0,'Boletins Nuppa Site'!A1568,"NULL")</f>
        <v>77</v>
      </c>
      <c r="C1568">
        <v>17</v>
      </c>
      <c r="D1568" t="str">
        <f>IF('Boletins Nuppa Site'!G1568&lt;&gt;0,'Boletins Nuppa Site'!G1568,"NULL")</f>
        <v xml:space="preserve"> 5.00</v>
      </c>
      <c r="E1568" s="14" t="str">
        <f>IF('Boletins Nuppa Site'!H1568&lt;&gt;0,'Boletins Nuppa Site'!H1568,"NULL")</f>
        <v xml:space="preserve"> 5.00</v>
      </c>
      <c r="F1568" s="14" t="str">
        <f>IF('Boletins Nuppa Site'!I1568&lt;&gt;0,'Boletins Nuppa Site'!I1568,"NULL")</f>
        <v xml:space="preserve"> 5.00</v>
      </c>
      <c r="G1568" s="14" t="str">
        <f>IF('Boletins Nuppa Site'!J1568&lt;&gt;0,'Boletins Nuppa Site'!J1568,"NULL")</f>
        <v xml:space="preserve"> 5.00</v>
      </c>
      <c r="H1568" s="14" t="str">
        <f>IF('Boletins Nuppa Site'!K1568&lt;&gt;0,'Boletins Nuppa Site'!K1568,"NULL")</f>
        <v xml:space="preserve"> 5.00</v>
      </c>
      <c r="I1568" t="str">
        <f t="shared" si="48"/>
        <v>INSERT INTO COTACAO (cot_id, cot_blt_id, cot_pap_id, cot_prc_comum, cot_prc_min, cot_prc_max, cot_prc_med, cot_prc_mediana) VALUES (1567, 77, 17,  5.00,  5.00,  5.00,  5.00,  5.00);</v>
      </c>
      <c r="J1568" t="str">
        <f t="shared" si="49"/>
        <v>UPDATE COTACAO SET cot_id = 1567, cot_blt_id = 77, cot_pap_id = 17, cot_prc_comum =  5.00, cot_prc_min =  5.00, cot_prc_max =  5.00, cot_prc_med =  5.00, cot_prc_mediana =  5.00 WHERE cot_id = 1567;</v>
      </c>
    </row>
    <row r="1569" spans="1:10" x14ac:dyDescent="0.3">
      <c r="A1569">
        <v>1568</v>
      </c>
      <c r="B1569">
        <f>IF('Boletins Nuppa Site'!A1569&lt;&gt;0,'Boletins Nuppa Site'!A1569,"NULL")</f>
        <v>77</v>
      </c>
      <c r="C1569">
        <v>18</v>
      </c>
      <c r="D1569" t="str">
        <f>IF('Boletins Nuppa Site'!G1569&lt;&gt;0,'Boletins Nuppa Site'!G1569,"NULL")</f>
        <v xml:space="preserve"> 15.00</v>
      </c>
      <c r="E1569" s="14" t="str">
        <f>IF('Boletins Nuppa Site'!H1569&lt;&gt;0,'Boletins Nuppa Site'!H1569,"NULL")</f>
        <v xml:space="preserve"> 15.00</v>
      </c>
      <c r="F1569" s="14" t="str">
        <f>IF('Boletins Nuppa Site'!I1569&lt;&gt;0,'Boletins Nuppa Site'!I1569,"NULL")</f>
        <v xml:space="preserve"> 20.00</v>
      </c>
      <c r="G1569" s="14" t="str">
        <f>IF('Boletins Nuppa Site'!J1569&lt;&gt;0,'Boletins Nuppa Site'!J1569,"NULL")</f>
        <v xml:space="preserve"> 17.50</v>
      </c>
      <c r="H1569" s="14" t="str">
        <f>IF('Boletins Nuppa Site'!K1569&lt;&gt;0,'Boletins Nuppa Site'!K1569,"NULL")</f>
        <v xml:space="preserve"> 17.50</v>
      </c>
      <c r="I1569" t="str">
        <f t="shared" si="48"/>
        <v>INSERT INTO COTACAO (cot_id, cot_blt_id, cot_pap_id, cot_prc_comum, cot_prc_min, cot_prc_max, cot_prc_med, cot_prc_mediana) VALUES (1568, 77, 18,  15.00,  15.00,  20.00,  17.50,  17.50);</v>
      </c>
      <c r="J1569" t="str">
        <f t="shared" si="49"/>
        <v>UPDATE COTACAO SET cot_id = 1568, cot_blt_id = 77, cot_pap_id = 18, cot_prc_comum =  15.00, cot_prc_min =  15.00, cot_prc_max =  20.00, cot_prc_med =  17.50, cot_prc_mediana =  17.50 WHERE cot_id = 1568;</v>
      </c>
    </row>
    <row r="1570" spans="1:10" x14ac:dyDescent="0.3">
      <c r="A1570">
        <v>1569</v>
      </c>
      <c r="B1570">
        <f>IF('Boletins Nuppa Site'!A1570&lt;&gt;0,'Boletins Nuppa Site'!A1570,"NULL")</f>
        <v>77</v>
      </c>
      <c r="C1570">
        <v>19</v>
      </c>
      <c r="D1570" t="str">
        <f>IF('Boletins Nuppa Site'!G1570&lt;&gt;0,'Boletins Nuppa Site'!G1570,"NULL")</f>
        <v xml:space="preserve"> 30.00</v>
      </c>
      <c r="E1570" s="14" t="str">
        <f>IF('Boletins Nuppa Site'!H1570&lt;&gt;0,'Boletins Nuppa Site'!H1570,"NULL")</f>
        <v xml:space="preserve"> 30.00</v>
      </c>
      <c r="F1570" s="14" t="str">
        <f>IF('Boletins Nuppa Site'!I1570&lt;&gt;0,'Boletins Nuppa Site'!I1570,"NULL")</f>
        <v xml:space="preserve"> 30.00</v>
      </c>
      <c r="G1570" s="14" t="str">
        <f>IF('Boletins Nuppa Site'!J1570&lt;&gt;0,'Boletins Nuppa Site'!J1570,"NULL")</f>
        <v xml:space="preserve"> 30.00</v>
      </c>
      <c r="H1570" s="14" t="str">
        <f>IF('Boletins Nuppa Site'!K1570&lt;&gt;0,'Boletins Nuppa Site'!K1570,"NULL")</f>
        <v xml:space="preserve"> 30.00</v>
      </c>
      <c r="I1570" t="str">
        <f t="shared" si="48"/>
        <v>INSERT INTO COTACAO (cot_id, cot_blt_id, cot_pap_id, cot_prc_comum, cot_prc_min, cot_prc_max, cot_prc_med, cot_prc_mediana) VALUES (1569, 77, 19,  30.00,  30.00,  30.00,  30.00,  30.00);</v>
      </c>
      <c r="J1570" t="str">
        <f t="shared" si="49"/>
        <v>UPDATE COTACAO SET cot_id = 1569, cot_blt_id = 77, cot_pap_id = 19, cot_prc_comum =  30.00, cot_prc_min =  30.00, cot_prc_max =  30.00, cot_prc_med =  30.00, cot_prc_mediana =  30.00 WHERE cot_id = 1569;</v>
      </c>
    </row>
    <row r="1571" spans="1:10" x14ac:dyDescent="0.3">
      <c r="A1571">
        <v>1570</v>
      </c>
      <c r="B1571">
        <f>IF('Boletins Nuppa Site'!A1571&lt;&gt;0,'Boletins Nuppa Site'!A1571,"NULL")</f>
        <v>77</v>
      </c>
      <c r="C1571">
        <v>20</v>
      </c>
      <c r="D1571" t="str">
        <f>IF('Boletins Nuppa Site'!G1571&lt;&gt;0,'Boletins Nuppa Site'!G1571,"NULL")</f>
        <v xml:space="preserve"> 80.00</v>
      </c>
      <c r="E1571" s="14" t="str">
        <f>IF('Boletins Nuppa Site'!H1571&lt;&gt;0,'Boletins Nuppa Site'!H1571,"NULL")</f>
        <v xml:space="preserve"> 80.00</v>
      </c>
      <c r="F1571" s="14" t="str">
        <f>IF('Boletins Nuppa Site'!I1571&lt;&gt;0,'Boletins Nuppa Site'!I1571,"NULL")</f>
        <v xml:space="preserve"> 80.00</v>
      </c>
      <c r="G1571" s="14" t="str">
        <f>IF('Boletins Nuppa Site'!J1571&lt;&gt;0,'Boletins Nuppa Site'!J1571,"NULL")</f>
        <v xml:space="preserve"> 80.00</v>
      </c>
      <c r="H1571" s="14" t="str">
        <f>IF('Boletins Nuppa Site'!K1571&lt;&gt;0,'Boletins Nuppa Site'!K1571,"NULL")</f>
        <v xml:space="preserve"> 80.00</v>
      </c>
      <c r="I1571" t="str">
        <f t="shared" si="48"/>
        <v>INSERT INTO COTACAO (cot_id, cot_blt_id, cot_pap_id, cot_prc_comum, cot_prc_min, cot_prc_max, cot_prc_med, cot_prc_mediana) VALUES (1570, 77, 20,  80.00,  80.00,  80.00,  80.00,  80.00);</v>
      </c>
      <c r="J1571" t="str">
        <f t="shared" si="49"/>
        <v>UPDATE COTACAO SET cot_id = 1570, cot_blt_id = 77, cot_pap_id = 20, cot_prc_comum =  80.00, cot_prc_min =  80.00, cot_prc_max =  80.00, cot_prc_med =  80.00, cot_prc_mediana =  80.00 WHERE cot_id = 1570;</v>
      </c>
    </row>
    <row r="1572" spans="1:10" x14ac:dyDescent="0.3">
      <c r="A1572">
        <v>1571</v>
      </c>
      <c r="B1572">
        <f>IF('Boletins Nuppa Site'!A1572&lt;&gt;0,'Boletins Nuppa Site'!A1572,"NULL")</f>
        <v>77</v>
      </c>
      <c r="C1572">
        <v>21</v>
      </c>
      <c r="D1572" t="str">
        <f>IF('Boletins Nuppa Site'!G1572&lt;&gt;0,'Boletins Nuppa Site'!G1572,"NULL")</f>
        <v xml:space="preserve"> 30.00</v>
      </c>
      <c r="E1572" s="14" t="str">
        <f>IF('Boletins Nuppa Site'!H1572&lt;&gt;0,'Boletins Nuppa Site'!H1572,"NULL")</f>
        <v xml:space="preserve"> 30.00</v>
      </c>
      <c r="F1572" s="14" t="str">
        <f>IF('Boletins Nuppa Site'!I1572&lt;&gt;0,'Boletins Nuppa Site'!I1572,"NULL")</f>
        <v xml:space="preserve"> 50.00</v>
      </c>
      <c r="G1572" s="14" t="str">
        <f>IF('Boletins Nuppa Site'!J1572&lt;&gt;0,'Boletins Nuppa Site'!J1572,"NULL")</f>
        <v xml:space="preserve"> 40.00</v>
      </c>
      <c r="H1572" s="14" t="str">
        <f>IF('Boletins Nuppa Site'!K1572&lt;&gt;0,'Boletins Nuppa Site'!K1572,"NULL")</f>
        <v xml:space="preserve"> 40.00</v>
      </c>
      <c r="I1572" t="str">
        <f t="shared" si="48"/>
        <v>INSERT INTO COTACAO (cot_id, cot_blt_id, cot_pap_id, cot_prc_comum, cot_prc_min, cot_prc_max, cot_prc_med, cot_prc_mediana) VALUES (1571, 77, 21,  30.00,  30.00,  50.00,  40.00,  40.00);</v>
      </c>
      <c r="J1572" t="str">
        <f t="shared" si="49"/>
        <v>UPDATE COTACAO SET cot_id = 1571, cot_blt_id = 77, cot_pap_id = 21, cot_prc_comum =  30.00, cot_prc_min =  30.00, cot_prc_max =  50.00, cot_prc_med =  40.00, cot_prc_mediana =  40.00 WHERE cot_id = 1571;</v>
      </c>
    </row>
    <row r="1573" spans="1:10" x14ac:dyDescent="0.3">
      <c r="A1573">
        <v>1572</v>
      </c>
      <c r="B1573">
        <f>IF('Boletins Nuppa Site'!A1573&lt;&gt;0,'Boletins Nuppa Site'!A1573,"NULL")</f>
        <v>77</v>
      </c>
      <c r="C1573">
        <v>22</v>
      </c>
      <c r="D1573" t="str">
        <f>IF('Boletins Nuppa Site'!G1573&lt;&gt;0,'Boletins Nuppa Site'!G1573,"NULL")</f>
        <v xml:space="preserve"> 45.00</v>
      </c>
      <c r="E1573" s="14" t="str">
        <f>IF('Boletins Nuppa Site'!H1573&lt;&gt;0,'Boletins Nuppa Site'!H1573,"NULL")</f>
        <v xml:space="preserve"> 45.00</v>
      </c>
      <c r="F1573" s="14" t="str">
        <f>IF('Boletins Nuppa Site'!I1573&lt;&gt;0,'Boletins Nuppa Site'!I1573,"NULL")</f>
        <v xml:space="preserve"> 75.00</v>
      </c>
      <c r="G1573" s="14" t="str">
        <f>IF('Boletins Nuppa Site'!J1573&lt;&gt;0,'Boletins Nuppa Site'!J1573,"NULL")</f>
        <v xml:space="preserve"> 61.00</v>
      </c>
      <c r="H1573" s="14" t="str">
        <f>IF('Boletins Nuppa Site'!K1573&lt;&gt;0,'Boletins Nuppa Site'!K1573,"NULL")</f>
        <v xml:space="preserve"> 65.00</v>
      </c>
      <c r="I1573" t="str">
        <f t="shared" si="48"/>
        <v>INSERT INTO COTACAO (cot_id, cot_blt_id, cot_pap_id, cot_prc_comum, cot_prc_min, cot_prc_max, cot_prc_med, cot_prc_mediana) VALUES (1572, 77, 22,  45.00,  45.00,  75.00,  61.00,  65.00);</v>
      </c>
      <c r="J1573" t="str">
        <f t="shared" si="49"/>
        <v>UPDATE COTACAO SET cot_id = 1572, cot_blt_id = 77, cot_pap_id = 22, cot_prc_comum =  45.00, cot_prc_min =  45.00, cot_prc_max =  75.00, cot_prc_med =  61.00, cot_prc_mediana =  65.00 WHERE cot_id = 1572;</v>
      </c>
    </row>
    <row r="1574" spans="1:10" x14ac:dyDescent="0.3">
      <c r="A1574">
        <v>1573</v>
      </c>
      <c r="B1574">
        <f>IF('Boletins Nuppa Site'!A1574&lt;&gt;0,'Boletins Nuppa Site'!A1574,"NULL")</f>
        <v>77</v>
      </c>
      <c r="C1574">
        <v>23</v>
      </c>
      <c r="D1574" t="str">
        <f>IF('Boletins Nuppa Site'!G1574&lt;&gt;0,'Boletins Nuppa Site'!G1574,"NULL")</f>
        <v xml:space="preserve"> 45.00</v>
      </c>
      <c r="E1574" s="14" t="str">
        <f>IF('Boletins Nuppa Site'!H1574&lt;&gt;0,'Boletins Nuppa Site'!H1574,"NULL")</f>
        <v xml:space="preserve"> 45.00</v>
      </c>
      <c r="F1574" s="14" t="str">
        <f>IF('Boletins Nuppa Site'!I1574&lt;&gt;0,'Boletins Nuppa Site'!I1574,"NULL")</f>
        <v xml:space="preserve"> 60.00</v>
      </c>
      <c r="G1574" s="14" t="str">
        <f>IF('Boletins Nuppa Site'!J1574&lt;&gt;0,'Boletins Nuppa Site'!J1574,"NULL")</f>
        <v xml:space="preserve"> 53.00</v>
      </c>
      <c r="H1574" s="14" t="str">
        <f>IF('Boletins Nuppa Site'!K1574&lt;&gt;0,'Boletins Nuppa Site'!K1574,"NULL")</f>
        <v xml:space="preserve"> 50.00</v>
      </c>
      <c r="I1574" t="str">
        <f t="shared" si="48"/>
        <v>INSERT INTO COTACAO (cot_id, cot_blt_id, cot_pap_id, cot_prc_comum, cot_prc_min, cot_prc_max, cot_prc_med, cot_prc_mediana) VALUES (1573, 77, 23,  45.00,  45.00,  60.00,  53.00,  50.00);</v>
      </c>
      <c r="J1574" t="str">
        <f t="shared" si="49"/>
        <v>UPDATE COTACAO SET cot_id = 1573, cot_blt_id = 77, cot_pap_id = 23, cot_prc_comum =  45.00, cot_prc_min =  45.00, cot_prc_max =  60.00, cot_prc_med =  53.00, cot_prc_mediana =  50.00 WHERE cot_id = 1573;</v>
      </c>
    </row>
    <row r="1575" spans="1:10" x14ac:dyDescent="0.3">
      <c r="A1575">
        <v>1574</v>
      </c>
      <c r="B1575">
        <f>IF('Boletins Nuppa Site'!A1575&lt;&gt;0,'Boletins Nuppa Site'!A1575,"NULL")</f>
        <v>77</v>
      </c>
      <c r="C1575">
        <v>24</v>
      </c>
      <c r="D1575" t="str">
        <f>IF('Boletins Nuppa Site'!G1575&lt;&gt;0,'Boletins Nuppa Site'!G1575,"NULL")</f>
        <v xml:space="preserve"> 65.00</v>
      </c>
      <c r="E1575" s="14" t="str">
        <f>IF('Boletins Nuppa Site'!H1575&lt;&gt;0,'Boletins Nuppa Site'!H1575,"NULL")</f>
        <v xml:space="preserve"> 65.00</v>
      </c>
      <c r="F1575" s="14" t="str">
        <f>IF('Boletins Nuppa Site'!I1575&lt;&gt;0,'Boletins Nuppa Site'!I1575,"NULL")</f>
        <v xml:space="preserve"> 65.00</v>
      </c>
      <c r="G1575" s="14" t="str">
        <f>IF('Boletins Nuppa Site'!J1575&lt;&gt;0,'Boletins Nuppa Site'!J1575,"NULL")</f>
        <v xml:space="preserve"> 65.00</v>
      </c>
      <c r="H1575" s="14" t="str">
        <f>IF('Boletins Nuppa Site'!K1575&lt;&gt;0,'Boletins Nuppa Site'!K1575,"NULL")</f>
        <v xml:space="preserve"> 65.00</v>
      </c>
      <c r="I1575" t="str">
        <f t="shared" si="48"/>
        <v>INSERT INTO COTACAO (cot_id, cot_blt_id, cot_pap_id, cot_prc_comum, cot_prc_min, cot_prc_max, cot_prc_med, cot_prc_mediana) VALUES (1574, 77, 24,  65.00,  65.00,  65.00,  65.00,  65.00);</v>
      </c>
      <c r="J1575" t="str">
        <f t="shared" si="49"/>
        <v>UPDATE COTACAO SET cot_id = 1574, cot_blt_id = 77, cot_pap_id = 24, cot_prc_comum =  65.00, cot_prc_min =  65.00, cot_prc_max =  65.00, cot_prc_med =  65.00, cot_prc_mediana =  65.00 WHERE cot_id = 1574;</v>
      </c>
    </row>
    <row r="1576" spans="1:10" x14ac:dyDescent="0.3">
      <c r="A1576">
        <v>1575</v>
      </c>
      <c r="B1576">
        <f>IF('Boletins Nuppa Site'!A1576&lt;&gt;0,'Boletins Nuppa Site'!A1576,"NULL")</f>
        <v>77</v>
      </c>
      <c r="C1576">
        <v>25</v>
      </c>
      <c r="D1576" t="str">
        <f>IF('Boletins Nuppa Site'!G1576&lt;&gt;0,'Boletins Nuppa Site'!G1576,"NULL")</f>
        <v xml:space="preserve"> 50.00</v>
      </c>
      <c r="E1576" s="14" t="str">
        <f>IF('Boletins Nuppa Site'!H1576&lt;&gt;0,'Boletins Nuppa Site'!H1576,"NULL")</f>
        <v xml:space="preserve"> 50.00</v>
      </c>
      <c r="F1576" s="14" t="str">
        <f>IF('Boletins Nuppa Site'!I1576&lt;&gt;0,'Boletins Nuppa Site'!I1576,"NULL")</f>
        <v xml:space="preserve"> 70.00</v>
      </c>
      <c r="G1576" s="14" t="str">
        <f>IF('Boletins Nuppa Site'!J1576&lt;&gt;0,'Boletins Nuppa Site'!J1576,"NULL")</f>
        <v xml:space="preserve"> 58.00</v>
      </c>
      <c r="H1576" s="14" t="str">
        <f>IF('Boletins Nuppa Site'!K1576&lt;&gt;0,'Boletins Nuppa Site'!K1576,"NULL")</f>
        <v xml:space="preserve"> 60.00</v>
      </c>
      <c r="I1576" t="str">
        <f t="shared" si="48"/>
        <v>INSERT INTO COTACAO (cot_id, cot_blt_id, cot_pap_id, cot_prc_comum, cot_prc_min, cot_prc_max, cot_prc_med, cot_prc_mediana) VALUES (1575, 77, 25,  50.00,  50.00,  70.00,  58.00,  60.00);</v>
      </c>
      <c r="J1576" t="str">
        <f t="shared" si="49"/>
        <v>UPDATE COTACAO SET cot_id = 1575, cot_blt_id = 77, cot_pap_id = 25, cot_prc_comum =  50.00, cot_prc_min =  50.00, cot_prc_max =  70.00, cot_prc_med =  58.00, cot_prc_mediana =  60.00 WHERE cot_id = 1575;</v>
      </c>
    </row>
    <row r="1577" spans="1:10" x14ac:dyDescent="0.3">
      <c r="A1577">
        <v>1576</v>
      </c>
      <c r="B1577">
        <f>IF('Boletins Nuppa Site'!A1577&lt;&gt;0,'Boletins Nuppa Site'!A1577,"NULL")</f>
        <v>77</v>
      </c>
      <c r="C1577">
        <v>26</v>
      </c>
      <c r="D1577" t="str">
        <f>IF('Boletins Nuppa Site'!G1577&lt;&gt;0,'Boletins Nuppa Site'!G1577,"NULL")</f>
        <v xml:space="preserve"> 50.00</v>
      </c>
      <c r="E1577" s="14" t="str">
        <f>IF('Boletins Nuppa Site'!H1577&lt;&gt;0,'Boletins Nuppa Site'!H1577,"NULL")</f>
        <v xml:space="preserve"> 40.00</v>
      </c>
      <c r="F1577" s="14" t="str">
        <f>IF('Boletins Nuppa Site'!I1577&lt;&gt;0,'Boletins Nuppa Site'!I1577,"NULL")</f>
        <v xml:space="preserve"> 55.00</v>
      </c>
      <c r="G1577" s="14" t="str">
        <f>IF('Boletins Nuppa Site'!J1577&lt;&gt;0,'Boletins Nuppa Site'!J1577,"NULL")</f>
        <v xml:space="preserve"> 48.75</v>
      </c>
      <c r="H1577" s="14" t="str">
        <f>IF('Boletins Nuppa Site'!K1577&lt;&gt;0,'Boletins Nuppa Site'!K1577,"NULL")</f>
        <v xml:space="preserve"> 50.00</v>
      </c>
      <c r="I1577" t="str">
        <f t="shared" si="48"/>
        <v>INSERT INTO COTACAO (cot_id, cot_blt_id, cot_pap_id, cot_prc_comum, cot_prc_min, cot_prc_max, cot_prc_med, cot_prc_mediana) VALUES (1576, 77, 26,  50.00,  40.00,  55.00,  48.75,  50.00);</v>
      </c>
      <c r="J1577" t="str">
        <f t="shared" si="49"/>
        <v>UPDATE COTACAO SET cot_id = 1576, cot_blt_id = 77, cot_pap_id = 26, cot_prc_comum =  50.00, cot_prc_min =  40.00, cot_prc_max =  55.00, cot_prc_med =  48.75, cot_prc_mediana =  50.00 WHERE cot_id = 1576;</v>
      </c>
    </row>
    <row r="1578" spans="1:10" x14ac:dyDescent="0.3">
      <c r="A1578">
        <v>1577</v>
      </c>
      <c r="B1578">
        <f>IF('Boletins Nuppa Site'!A1578&lt;&gt;0,'Boletins Nuppa Site'!A1578,"NULL")</f>
        <v>77</v>
      </c>
      <c r="C1578">
        <v>27</v>
      </c>
      <c r="D1578" t="str">
        <f>IF('Boletins Nuppa Site'!G1578&lt;&gt;0,'Boletins Nuppa Site'!G1578,"NULL")</f>
        <v xml:space="preserve"> 35.00</v>
      </c>
      <c r="E1578" s="14" t="str">
        <f>IF('Boletins Nuppa Site'!H1578&lt;&gt;0,'Boletins Nuppa Site'!H1578,"NULL")</f>
        <v xml:space="preserve"> 35.00</v>
      </c>
      <c r="F1578" s="14" t="str">
        <f>IF('Boletins Nuppa Site'!I1578&lt;&gt;0,'Boletins Nuppa Site'!I1578,"NULL")</f>
        <v xml:space="preserve"> 65.00</v>
      </c>
      <c r="G1578" s="14" t="str">
        <f>IF('Boletins Nuppa Site'!J1578&lt;&gt;0,'Boletins Nuppa Site'!J1578,"NULL")</f>
        <v xml:space="preserve"> 50.00</v>
      </c>
      <c r="H1578" s="14" t="str">
        <f>IF('Boletins Nuppa Site'!K1578&lt;&gt;0,'Boletins Nuppa Site'!K1578,"NULL")</f>
        <v xml:space="preserve"> 50.00</v>
      </c>
      <c r="I1578" t="str">
        <f t="shared" si="48"/>
        <v>INSERT INTO COTACAO (cot_id, cot_blt_id, cot_pap_id, cot_prc_comum, cot_prc_min, cot_prc_max, cot_prc_med, cot_prc_mediana) VALUES (1577, 77, 27,  35.00,  35.00,  65.00,  50.00,  50.00);</v>
      </c>
      <c r="J1578" t="str">
        <f t="shared" si="49"/>
        <v>UPDATE COTACAO SET cot_id = 1577, cot_blt_id = 77, cot_pap_id = 27, cot_prc_comum =  35.00, cot_prc_min =  35.00, cot_prc_max =  65.00, cot_prc_med =  50.00, cot_prc_mediana =  50.00 WHERE cot_id = 1577;</v>
      </c>
    </row>
    <row r="1579" spans="1:10" x14ac:dyDescent="0.3">
      <c r="A1579">
        <v>1578</v>
      </c>
      <c r="B1579">
        <f>IF('Boletins Nuppa Site'!A1579&lt;&gt;0,'Boletins Nuppa Site'!A1579,"NULL")</f>
        <v>77</v>
      </c>
      <c r="C1579">
        <v>28</v>
      </c>
      <c r="D1579" t="str">
        <f>IF('Boletins Nuppa Site'!G1579&lt;&gt;0,'Boletins Nuppa Site'!G1579,"NULL")</f>
        <v xml:space="preserve"> 120.00</v>
      </c>
      <c r="E1579" s="14" t="str">
        <f>IF('Boletins Nuppa Site'!H1579&lt;&gt;0,'Boletins Nuppa Site'!H1579,"NULL")</f>
        <v xml:space="preserve"> 100.00</v>
      </c>
      <c r="F1579" s="14" t="str">
        <f>IF('Boletins Nuppa Site'!I1579&lt;&gt;0,'Boletins Nuppa Site'!I1579,"NULL")</f>
        <v xml:space="preserve"> 120.00</v>
      </c>
      <c r="G1579" s="14" t="str">
        <f>IF('Boletins Nuppa Site'!J1579&lt;&gt;0,'Boletins Nuppa Site'!J1579,"NULL")</f>
        <v xml:space="preserve"> 113.33</v>
      </c>
      <c r="H1579" s="14" t="str">
        <f>IF('Boletins Nuppa Site'!K1579&lt;&gt;0,'Boletins Nuppa Site'!K1579,"NULL")</f>
        <v xml:space="preserve"> 120.00</v>
      </c>
      <c r="I1579" t="str">
        <f t="shared" si="48"/>
        <v>INSERT INTO COTACAO (cot_id, cot_blt_id, cot_pap_id, cot_prc_comum, cot_prc_min, cot_prc_max, cot_prc_med, cot_prc_mediana) VALUES (1578, 77, 28,  120.00,  100.00,  120.00,  113.33,  120.00);</v>
      </c>
      <c r="J1579" t="str">
        <f t="shared" si="49"/>
        <v>UPDATE COTACAO SET cot_id = 1578, cot_blt_id = 77, cot_pap_id = 28, cot_prc_comum =  120.00, cot_prc_min =  100.00, cot_prc_max =  120.00, cot_prc_med =  113.33, cot_prc_mediana =  120.00 WHERE cot_id = 1578;</v>
      </c>
    </row>
    <row r="1580" spans="1:10" x14ac:dyDescent="0.3">
      <c r="A1580">
        <v>1579</v>
      </c>
      <c r="B1580">
        <f>IF('Boletins Nuppa Site'!A1580&lt;&gt;0,'Boletins Nuppa Site'!A1580,"NULL")</f>
        <v>77</v>
      </c>
      <c r="C1580">
        <v>29</v>
      </c>
      <c r="D1580" t="str">
        <f>IF('Boletins Nuppa Site'!G1580&lt;&gt;0,'Boletins Nuppa Site'!G1580,"NULL")</f>
        <v xml:space="preserve"> 50.00</v>
      </c>
      <c r="E1580" s="14" t="str">
        <f>IF('Boletins Nuppa Site'!H1580&lt;&gt;0,'Boletins Nuppa Site'!H1580,"NULL")</f>
        <v xml:space="preserve"> 50.00</v>
      </c>
      <c r="F1580" s="14" t="str">
        <f>IF('Boletins Nuppa Site'!I1580&lt;&gt;0,'Boletins Nuppa Site'!I1580,"NULL")</f>
        <v xml:space="preserve"> 50.00</v>
      </c>
      <c r="G1580" s="14" t="str">
        <f>IF('Boletins Nuppa Site'!J1580&lt;&gt;0,'Boletins Nuppa Site'!J1580,"NULL")</f>
        <v xml:space="preserve"> 50.00</v>
      </c>
      <c r="H1580" s="14" t="str">
        <f>IF('Boletins Nuppa Site'!K1580&lt;&gt;0,'Boletins Nuppa Site'!K1580,"NULL")</f>
        <v xml:space="preserve"> 50.00</v>
      </c>
      <c r="I1580" t="str">
        <f t="shared" si="48"/>
        <v>INSERT INTO COTACAO (cot_id, cot_blt_id, cot_pap_id, cot_prc_comum, cot_prc_min, cot_prc_max, cot_prc_med, cot_prc_mediana) VALUES (1579, 77, 29,  50.00,  50.00,  50.00,  50.00,  50.00);</v>
      </c>
      <c r="J1580" t="str">
        <f t="shared" si="49"/>
        <v>UPDATE COTACAO SET cot_id = 1579, cot_blt_id = 77, cot_pap_id = 29, cot_prc_comum =  50.00, cot_prc_min =  50.00, cot_prc_max =  50.00, cot_prc_med =  50.00, cot_prc_mediana =  50.00 WHERE cot_id = 1579;</v>
      </c>
    </row>
    <row r="1581" spans="1:10" x14ac:dyDescent="0.3">
      <c r="A1581">
        <v>1580</v>
      </c>
      <c r="B1581">
        <f>IF('Boletins Nuppa Site'!A1581&lt;&gt;0,'Boletins Nuppa Site'!A1581,"NULL")</f>
        <v>77</v>
      </c>
      <c r="C1581">
        <v>30</v>
      </c>
      <c r="D1581" t="str">
        <f>IF('Boletins Nuppa Site'!G1581&lt;&gt;0,'Boletins Nuppa Site'!G1581,"NULL")</f>
        <v xml:space="preserve"> 45.00</v>
      </c>
      <c r="E1581" s="14" t="str">
        <f>IF('Boletins Nuppa Site'!H1581&lt;&gt;0,'Boletins Nuppa Site'!H1581,"NULL")</f>
        <v xml:space="preserve"> 45.00</v>
      </c>
      <c r="F1581" s="14" t="str">
        <f>IF('Boletins Nuppa Site'!I1581&lt;&gt;0,'Boletins Nuppa Site'!I1581,"NULL")</f>
        <v xml:space="preserve"> 55.00</v>
      </c>
      <c r="G1581" s="14" t="str">
        <f>IF('Boletins Nuppa Site'!J1581&lt;&gt;0,'Boletins Nuppa Site'!J1581,"NULL")</f>
        <v xml:space="preserve"> 50.00</v>
      </c>
      <c r="H1581" s="14" t="str">
        <f>IF('Boletins Nuppa Site'!K1581&lt;&gt;0,'Boletins Nuppa Site'!K1581,"NULL")</f>
        <v xml:space="preserve"> 50.00</v>
      </c>
      <c r="I1581" t="str">
        <f t="shared" si="48"/>
        <v>INSERT INTO COTACAO (cot_id, cot_blt_id, cot_pap_id, cot_prc_comum, cot_prc_min, cot_prc_max, cot_prc_med, cot_prc_mediana) VALUES (1580, 77, 30,  45.00,  45.00,  55.00,  50.00,  50.00);</v>
      </c>
      <c r="J1581" t="str">
        <f t="shared" si="49"/>
        <v>UPDATE COTACAO SET cot_id = 1580, cot_blt_id = 77, cot_pap_id = 30, cot_prc_comum =  45.00, cot_prc_min =  45.00, cot_prc_max =  55.00, cot_prc_med =  50.00, cot_prc_mediana =  50.00 WHERE cot_id = 1580;</v>
      </c>
    </row>
    <row r="1582" spans="1:10" x14ac:dyDescent="0.3">
      <c r="A1582">
        <v>1581</v>
      </c>
      <c r="B1582">
        <f>IF('Boletins Nuppa Site'!A1582&lt;&gt;0,'Boletins Nuppa Site'!A1582,"NULL")</f>
        <v>77</v>
      </c>
      <c r="C1582">
        <v>31</v>
      </c>
      <c r="D1582" t="str">
        <f>IF('Boletins Nuppa Site'!G1582&lt;&gt;0,'Boletins Nuppa Site'!G1582,"NULL")</f>
        <v xml:space="preserve"> 70.00</v>
      </c>
      <c r="E1582" s="14" t="str">
        <f>IF('Boletins Nuppa Site'!H1582&lt;&gt;0,'Boletins Nuppa Site'!H1582,"NULL")</f>
        <v xml:space="preserve"> 65.00</v>
      </c>
      <c r="F1582" s="14" t="str">
        <f>IF('Boletins Nuppa Site'!I1582&lt;&gt;0,'Boletins Nuppa Site'!I1582,"NULL")</f>
        <v xml:space="preserve"> 90.00</v>
      </c>
      <c r="G1582" s="14" t="str">
        <f>IF('Boletins Nuppa Site'!J1582&lt;&gt;0,'Boletins Nuppa Site'!J1582,"NULL")</f>
        <v xml:space="preserve"> 75.00</v>
      </c>
      <c r="H1582" s="14" t="str">
        <f>IF('Boletins Nuppa Site'!K1582&lt;&gt;0,'Boletins Nuppa Site'!K1582,"NULL")</f>
        <v xml:space="preserve"> 70.00</v>
      </c>
      <c r="I1582" t="str">
        <f t="shared" si="48"/>
        <v>INSERT INTO COTACAO (cot_id, cot_blt_id, cot_pap_id, cot_prc_comum, cot_prc_min, cot_prc_max, cot_prc_med, cot_prc_mediana) VALUES (1581, 77, 31,  70.00,  65.00,  90.00,  75.00,  70.00);</v>
      </c>
      <c r="J1582" t="str">
        <f t="shared" si="49"/>
        <v>UPDATE COTACAO SET cot_id = 1581, cot_blt_id = 77, cot_pap_id = 31, cot_prc_comum =  70.00, cot_prc_min =  65.00, cot_prc_max =  90.00, cot_prc_med =  75.00, cot_prc_mediana =  70.00 WHERE cot_id = 1581;</v>
      </c>
    </row>
    <row r="1583" spans="1:10" x14ac:dyDescent="0.3">
      <c r="A1583">
        <v>1582</v>
      </c>
      <c r="B1583">
        <f>IF('Boletins Nuppa Site'!A1583&lt;&gt;0,'Boletins Nuppa Site'!A1583,"NULL")</f>
        <v>77</v>
      </c>
      <c r="C1583">
        <v>32</v>
      </c>
      <c r="D1583" t="str">
        <f>IF('Boletins Nuppa Site'!G1583&lt;&gt;0,'Boletins Nuppa Site'!G1583,"NULL")</f>
        <v xml:space="preserve"> 50.00</v>
      </c>
      <c r="E1583" s="14" t="str">
        <f>IF('Boletins Nuppa Site'!H1583&lt;&gt;0,'Boletins Nuppa Site'!H1583,"NULL")</f>
        <v xml:space="preserve"> 40.00</v>
      </c>
      <c r="F1583" s="14" t="str">
        <f>IF('Boletins Nuppa Site'!I1583&lt;&gt;0,'Boletins Nuppa Site'!I1583,"NULL")</f>
        <v xml:space="preserve"> 55.00</v>
      </c>
      <c r="G1583" s="14" t="str">
        <f>IF('Boletins Nuppa Site'!J1583&lt;&gt;0,'Boletins Nuppa Site'!J1583,"NULL")</f>
        <v xml:space="preserve"> 48.00</v>
      </c>
      <c r="H1583" s="14" t="str">
        <f>IF('Boletins Nuppa Site'!K1583&lt;&gt;0,'Boletins Nuppa Site'!K1583,"NULL")</f>
        <v xml:space="preserve"> 50.00</v>
      </c>
      <c r="I1583" t="str">
        <f t="shared" si="48"/>
        <v>INSERT INTO COTACAO (cot_id, cot_blt_id, cot_pap_id, cot_prc_comum, cot_prc_min, cot_prc_max, cot_prc_med, cot_prc_mediana) VALUES (1582, 77, 32,  50.00,  40.00,  55.00,  48.00,  50.00);</v>
      </c>
      <c r="J1583" t="str">
        <f t="shared" si="49"/>
        <v>UPDATE COTACAO SET cot_id = 1582, cot_blt_id = 77, cot_pap_id = 32, cot_prc_comum =  50.00, cot_prc_min =  40.00, cot_prc_max =  55.00, cot_prc_med =  48.00, cot_prc_mediana =  50.00 WHERE cot_id = 1582;</v>
      </c>
    </row>
    <row r="1584" spans="1:10" x14ac:dyDescent="0.3">
      <c r="A1584">
        <v>1583</v>
      </c>
      <c r="B1584">
        <f>IF('Boletins Nuppa Site'!A1584&lt;&gt;0,'Boletins Nuppa Site'!A1584,"NULL")</f>
        <v>77</v>
      </c>
      <c r="C1584">
        <v>33</v>
      </c>
      <c r="D1584" t="str">
        <f>IF('Boletins Nuppa Site'!G1584&lt;&gt;0,'Boletins Nuppa Site'!G1584,"NULL")</f>
        <v xml:space="preserve"> 180.00</v>
      </c>
      <c r="E1584" s="14" t="str">
        <f>IF('Boletins Nuppa Site'!H1584&lt;&gt;0,'Boletins Nuppa Site'!H1584,"NULL")</f>
        <v xml:space="preserve"> 160.00</v>
      </c>
      <c r="F1584" s="14" t="str">
        <f>IF('Boletins Nuppa Site'!I1584&lt;&gt;0,'Boletins Nuppa Site'!I1584,"NULL")</f>
        <v xml:space="preserve"> 200.00</v>
      </c>
      <c r="G1584" s="14" t="str">
        <f>IF('Boletins Nuppa Site'!J1584&lt;&gt;0,'Boletins Nuppa Site'!J1584,"NULL")</f>
        <v xml:space="preserve"> 178.00</v>
      </c>
      <c r="H1584" s="14" t="str">
        <f>IF('Boletins Nuppa Site'!K1584&lt;&gt;0,'Boletins Nuppa Site'!K1584,"NULL")</f>
        <v xml:space="preserve"> 180.00</v>
      </c>
      <c r="I1584" t="str">
        <f t="shared" si="48"/>
        <v>INSERT INTO COTACAO (cot_id, cot_blt_id, cot_pap_id, cot_prc_comum, cot_prc_min, cot_prc_max, cot_prc_med, cot_prc_mediana) VALUES (1583, 77, 33,  180.00,  160.00,  200.00,  178.00,  180.00);</v>
      </c>
      <c r="J1584" t="str">
        <f t="shared" si="49"/>
        <v>UPDATE COTACAO SET cot_id = 1583, cot_blt_id = 77, cot_pap_id = 33, cot_prc_comum =  180.00, cot_prc_min =  160.00, cot_prc_max =  200.00, cot_prc_med =  178.00, cot_prc_mediana =  180.00 WHERE cot_id = 1583;</v>
      </c>
    </row>
    <row r="1585" spans="1:10" x14ac:dyDescent="0.3">
      <c r="A1585">
        <v>1584</v>
      </c>
      <c r="B1585">
        <f>IF('Boletins Nuppa Site'!A1585&lt;&gt;0,'Boletins Nuppa Site'!A1585,"NULL")</f>
        <v>77</v>
      </c>
      <c r="C1585">
        <v>34</v>
      </c>
      <c r="D1585" t="str">
        <f>IF('Boletins Nuppa Site'!G1585&lt;&gt;0,'Boletins Nuppa Site'!G1585,"NULL")</f>
        <v xml:space="preserve"> 65.00</v>
      </c>
      <c r="E1585" s="14" t="str">
        <f>IF('Boletins Nuppa Site'!H1585&lt;&gt;0,'Boletins Nuppa Site'!H1585,"NULL")</f>
        <v xml:space="preserve"> 60.00</v>
      </c>
      <c r="F1585" s="14" t="str">
        <f>IF('Boletins Nuppa Site'!I1585&lt;&gt;0,'Boletins Nuppa Site'!I1585,"NULL")</f>
        <v xml:space="preserve"> 70.00</v>
      </c>
      <c r="G1585" s="14" t="str">
        <f>IF('Boletins Nuppa Site'!J1585&lt;&gt;0,'Boletins Nuppa Site'!J1585,"NULL")</f>
        <v xml:space="preserve"> 65.00</v>
      </c>
      <c r="H1585" s="14" t="str">
        <f>IF('Boletins Nuppa Site'!K1585&lt;&gt;0,'Boletins Nuppa Site'!K1585,"NULL")</f>
        <v xml:space="preserve"> 65.00</v>
      </c>
      <c r="I1585" t="str">
        <f t="shared" si="48"/>
        <v>INSERT INTO COTACAO (cot_id, cot_blt_id, cot_pap_id, cot_prc_comum, cot_prc_min, cot_prc_max, cot_prc_med, cot_prc_mediana) VALUES (1584, 77, 34,  65.00,  60.00,  70.00,  65.00,  65.00);</v>
      </c>
      <c r="J1585" t="str">
        <f t="shared" si="49"/>
        <v>UPDATE COTACAO SET cot_id = 1584, cot_blt_id = 77, cot_pap_id = 34, cot_prc_comum =  65.00, cot_prc_min =  60.00, cot_prc_max =  70.00, cot_prc_med =  65.00, cot_prc_mediana =  65.00 WHERE cot_id = 1584;</v>
      </c>
    </row>
    <row r="1586" spans="1:10" x14ac:dyDescent="0.3">
      <c r="A1586">
        <v>1585</v>
      </c>
      <c r="B1586">
        <f>IF('Boletins Nuppa Site'!A1586&lt;&gt;0,'Boletins Nuppa Site'!A1586,"NULL")</f>
        <v>77</v>
      </c>
      <c r="C1586">
        <v>35</v>
      </c>
      <c r="D1586" t="str">
        <f>IF('Boletins Nuppa Site'!G1586&lt;&gt;0,'Boletins Nuppa Site'!G1586,"NULL")</f>
        <v xml:space="preserve"> 100.00</v>
      </c>
      <c r="E1586" s="14" t="str">
        <f>IF('Boletins Nuppa Site'!H1586&lt;&gt;0,'Boletins Nuppa Site'!H1586,"NULL")</f>
        <v xml:space="preserve"> 50.00</v>
      </c>
      <c r="F1586" s="14" t="str">
        <f>IF('Boletins Nuppa Site'!I1586&lt;&gt;0,'Boletins Nuppa Site'!I1586,"NULL")</f>
        <v xml:space="preserve"> 100.00</v>
      </c>
      <c r="G1586" s="14" t="str">
        <f>IF('Boletins Nuppa Site'!J1586&lt;&gt;0,'Boletins Nuppa Site'!J1586,"NULL")</f>
        <v xml:space="preserve"> 83.33</v>
      </c>
      <c r="H1586" s="14" t="str">
        <f>IF('Boletins Nuppa Site'!K1586&lt;&gt;0,'Boletins Nuppa Site'!K1586,"NULL")</f>
        <v xml:space="preserve"> 100.00</v>
      </c>
      <c r="I1586" t="str">
        <f t="shared" si="48"/>
        <v>INSERT INTO COTACAO (cot_id, cot_blt_id, cot_pap_id, cot_prc_comum, cot_prc_min, cot_prc_max, cot_prc_med, cot_prc_mediana) VALUES (1585, 77, 35,  100.00,  50.00,  100.00,  83.33,  100.00);</v>
      </c>
      <c r="J1586" t="str">
        <f t="shared" si="49"/>
        <v>UPDATE COTACAO SET cot_id = 1585, cot_blt_id = 77, cot_pap_id = 35, cot_prc_comum =  100.00, cot_prc_min =  50.00, cot_prc_max =  100.00, cot_prc_med =  83.33, cot_prc_mediana =  100.00 WHERE cot_id = 1585;</v>
      </c>
    </row>
    <row r="1587" spans="1:10" x14ac:dyDescent="0.3">
      <c r="A1587">
        <v>1586</v>
      </c>
      <c r="B1587">
        <f>IF('Boletins Nuppa Site'!A1587&lt;&gt;0,'Boletins Nuppa Site'!A1587,"NULL")</f>
        <v>77</v>
      </c>
      <c r="C1587">
        <v>36</v>
      </c>
      <c r="D1587" t="str">
        <f>IF('Boletins Nuppa Site'!G1587&lt;&gt;0,'Boletins Nuppa Site'!G1587,"NULL")</f>
        <v>NULL</v>
      </c>
      <c r="E1587" s="14" t="str">
        <f>IF('Boletins Nuppa Site'!H1587&lt;&gt;0,'Boletins Nuppa Site'!H1587,"NULL")</f>
        <v>NULL</v>
      </c>
      <c r="F1587" s="14" t="str">
        <f>IF('Boletins Nuppa Site'!I1587&lt;&gt;0,'Boletins Nuppa Site'!I1587,"NULL")</f>
        <v>NULL</v>
      </c>
      <c r="G1587" s="14" t="str">
        <f>IF('Boletins Nuppa Site'!J1587&lt;&gt;0,'Boletins Nuppa Site'!J1587,"NULL")</f>
        <v>NULL</v>
      </c>
      <c r="H1587" s="14" t="str">
        <f>IF('Boletins Nuppa Site'!K1587&lt;&gt;0,'Boletins Nuppa Site'!K1587,"NULL")</f>
        <v>NULL</v>
      </c>
      <c r="I1587" t="str">
        <f t="shared" si="48"/>
        <v>INSERT INTO COTACAO (cot_id, cot_blt_id, cot_pap_id, cot_prc_comum, cot_prc_min, cot_prc_max, cot_prc_med, cot_prc_mediana) VALUES (1586, 77, 36, NULL, NULL, NULL, NULL, NULL);</v>
      </c>
      <c r="J1587" t="str">
        <f t="shared" si="49"/>
        <v>UPDATE COTACAO SET cot_id = 1586, cot_blt_id = 77, cot_pap_id = 36, cot_prc_comum = NULL, cot_prc_min = NULL, cot_prc_max = NULL, cot_prc_med = NULL, cot_prc_mediana = NULL WHERE cot_id = 1586;</v>
      </c>
    </row>
    <row r="1588" spans="1:10" x14ac:dyDescent="0.3">
      <c r="A1588">
        <v>1587</v>
      </c>
      <c r="B1588">
        <f>IF('Boletins Nuppa Site'!A1588&lt;&gt;0,'Boletins Nuppa Site'!A1588,"NULL")</f>
        <v>77</v>
      </c>
      <c r="C1588">
        <v>37</v>
      </c>
      <c r="D1588" t="str">
        <f>IF('Boletins Nuppa Site'!G1588&lt;&gt;0,'Boletins Nuppa Site'!G1588,"NULL")</f>
        <v>NULL</v>
      </c>
      <c r="E1588" s="14" t="str">
        <f>IF('Boletins Nuppa Site'!H1588&lt;&gt;0,'Boletins Nuppa Site'!H1588,"NULL")</f>
        <v>NULL</v>
      </c>
      <c r="F1588" s="14" t="str">
        <f>IF('Boletins Nuppa Site'!I1588&lt;&gt;0,'Boletins Nuppa Site'!I1588,"NULL")</f>
        <v>NULL</v>
      </c>
      <c r="G1588" s="14" t="str">
        <f>IF('Boletins Nuppa Site'!J1588&lt;&gt;0,'Boletins Nuppa Site'!J1588,"NULL")</f>
        <v>NULL</v>
      </c>
      <c r="H1588" s="14" t="str">
        <f>IF('Boletins Nuppa Site'!K1588&lt;&gt;0,'Boletins Nuppa Site'!K1588,"NULL")</f>
        <v>NULL</v>
      </c>
      <c r="I1588" t="str">
        <f t="shared" si="48"/>
        <v>INSERT INTO COTACAO (cot_id, cot_blt_id, cot_pap_id, cot_prc_comum, cot_prc_min, cot_prc_max, cot_prc_med, cot_prc_mediana) VALUES (1587, 77, 37, NULL, NULL, NULL, NULL, NULL);</v>
      </c>
      <c r="J1588" t="str">
        <f t="shared" si="49"/>
        <v>UPDATE COTACAO SET cot_id = 1587, cot_blt_id = 77, cot_pap_id = 37, cot_prc_comum = NULL, cot_prc_min = NULL, cot_prc_max = NULL, cot_prc_med = NULL, cot_prc_mediana = NULL WHERE cot_id = 1587;</v>
      </c>
    </row>
    <row r="1589" spans="1:10" x14ac:dyDescent="0.3">
      <c r="A1589">
        <v>1588</v>
      </c>
      <c r="B1589">
        <f>IF('Boletins Nuppa Site'!A1589&lt;&gt;0,'Boletins Nuppa Site'!A1589,"NULL")</f>
        <v>77</v>
      </c>
      <c r="C1589">
        <v>38</v>
      </c>
      <c r="D1589" t="str">
        <f>IF('Boletins Nuppa Site'!G1589&lt;&gt;0,'Boletins Nuppa Site'!G1589,"NULL")</f>
        <v>NULL</v>
      </c>
      <c r="E1589" s="14" t="str">
        <f>IF('Boletins Nuppa Site'!H1589&lt;&gt;0,'Boletins Nuppa Site'!H1589,"NULL")</f>
        <v>NULL</v>
      </c>
      <c r="F1589" s="14" t="str">
        <f>IF('Boletins Nuppa Site'!I1589&lt;&gt;0,'Boletins Nuppa Site'!I1589,"NULL")</f>
        <v>NULL</v>
      </c>
      <c r="G1589" s="14" t="str">
        <f>IF('Boletins Nuppa Site'!J1589&lt;&gt;0,'Boletins Nuppa Site'!J1589,"NULL")</f>
        <v>NULL</v>
      </c>
      <c r="H1589" s="14" t="str">
        <f>IF('Boletins Nuppa Site'!K1589&lt;&gt;0,'Boletins Nuppa Site'!K1589,"NULL")</f>
        <v>NULL</v>
      </c>
      <c r="I1589" t="str">
        <f t="shared" si="48"/>
        <v>INSERT INTO COTACAO (cot_id, cot_blt_id, cot_pap_id, cot_prc_comum, cot_prc_min, cot_prc_max, cot_prc_med, cot_prc_mediana) VALUES (1588, 77, 38, NULL, NULL, NULL, NULL, NULL);</v>
      </c>
      <c r="J1589" t="str">
        <f t="shared" si="49"/>
        <v>UPDATE COTACAO SET cot_id = 1588, cot_blt_id = 77, cot_pap_id = 38, cot_prc_comum = NULL, cot_prc_min = NULL, cot_prc_max = NULL, cot_prc_med = NULL, cot_prc_mediana = NULL WHERE cot_id = 1588;</v>
      </c>
    </row>
    <row r="1590" spans="1:10" x14ac:dyDescent="0.3">
      <c r="A1590">
        <v>1589</v>
      </c>
      <c r="B1590">
        <f>IF('Boletins Nuppa Site'!A1590&lt;&gt;0,'Boletins Nuppa Site'!A1590,"NULL")</f>
        <v>77</v>
      </c>
      <c r="C1590">
        <v>39</v>
      </c>
      <c r="D1590" t="str">
        <f>IF('Boletins Nuppa Site'!G1590&lt;&gt;0,'Boletins Nuppa Site'!G1590,"NULL")</f>
        <v xml:space="preserve"> 70.00</v>
      </c>
      <c r="E1590" s="14" t="str">
        <f>IF('Boletins Nuppa Site'!H1590&lt;&gt;0,'Boletins Nuppa Site'!H1590,"NULL")</f>
        <v xml:space="preserve"> 70.00</v>
      </c>
      <c r="F1590" s="14" t="str">
        <f>IF('Boletins Nuppa Site'!I1590&lt;&gt;0,'Boletins Nuppa Site'!I1590,"NULL")</f>
        <v xml:space="preserve"> 70.00</v>
      </c>
      <c r="G1590" s="14" t="str">
        <f>IF('Boletins Nuppa Site'!J1590&lt;&gt;0,'Boletins Nuppa Site'!J1590,"NULL")</f>
        <v xml:space="preserve"> 70.00</v>
      </c>
      <c r="H1590" s="14" t="str">
        <f>IF('Boletins Nuppa Site'!K1590&lt;&gt;0,'Boletins Nuppa Site'!K1590,"NULL")</f>
        <v xml:space="preserve"> 70.00</v>
      </c>
      <c r="I1590" t="str">
        <f t="shared" si="48"/>
        <v>INSERT INTO COTACAO (cot_id, cot_blt_id, cot_pap_id, cot_prc_comum, cot_prc_min, cot_prc_max, cot_prc_med, cot_prc_mediana) VALUES (1589, 77, 39,  70.00,  70.00,  70.00,  70.00,  70.00);</v>
      </c>
      <c r="J1590" t="str">
        <f t="shared" si="49"/>
        <v>UPDATE COTACAO SET cot_id = 1589, cot_blt_id = 77, cot_pap_id = 39, cot_prc_comum =  70.00, cot_prc_min =  70.00, cot_prc_max =  70.00, cot_prc_med =  70.00, cot_prc_mediana =  70.00 WHERE cot_id = 1589;</v>
      </c>
    </row>
    <row r="1591" spans="1:10" x14ac:dyDescent="0.3">
      <c r="A1591">
        <v>1590</v>
      </c>
      <c r="B1591">
        <f>IF('Boletins Nuppa Site'!A1591&lt;&gt;0,'Boletins Nuppa Site'!A1591,"NULL")</f>
        <v>77</v>
      </c>
      <c r="C1591">
        <v>40</v>
      </c>
      <c r="D1591" t="str">
        <f>IF('Boletins Nuppa Site'!G1591&lt;&gt;0,'Boletins Nuppa Site'!G1591,"NULL")</f>
        <v>NULL</v>
      </c>
      <c r="E1591" s="14" t="str">
        <f>IF('Boletins Nuppa Site'!H1591&lt;&gt;0,'Boletins Nuppa Site'!H1591,"NULL")</f>
        <v>NULL</v>
      </c>
      <c r="F1591" s="14" t="str">
        <f>IF('Boletins Nuppa Site'!I1591&lt;&gt;0,'Boletins Nuppa Site'!I1591,"NULL")</f>
        <v>NULL</v>
      </c>
      <c r="G1591" s="14" t="str">
        <f>IF('Boletins Nuppa Site'!J1591&lt;&gt;0,'Boletins Nuppa Site'!J1591,"NULL")</f>
        <v>NULL</v>
      </c>
      <c r="H1591" s="14" t="str">
        <f>IF('Boletins Nuppa Site'!K1591&lt;&gt;0,'Boletins Nuppa Site'!K1591,"NULL")</f>
        <v>NULL</v>
      </c>
      <c r="I1591" t="str">
        <f t="shared" si="48"/>
        <v>INSERT INTO COTACAO (cot_id, cot_blt_id, cot_pap_id, cot_prc_comum, cot_prc_min, cot_prc_max, cot_prc_med, cot_prc_mediana) VALUES (1590, 77, 40, NULL, NULL, NULL, NULL, NULL);</v>
      </c>
      <c r="J1591" t="str">
        <f t="shared" si="49"/>
        <v>UPDATE COTACAO SET cot_id = 1590, cot_blt_id = 77, cot_pap_id = 40, cot_prc_comum = NULL, cot_prc_min = NULL, cot_prc_max = NULL, cot_prc_med = NULL, cot_prc_mediana = NULL WHERE cot_id = 1590;</v>
      </c>
    </row>
    <row r="1592" spans="1:10" x14ac:dyDescent="0.3">
      <c r="A1592">
        <v>1591</v>
      </c>
      <c r="B1592">
        <f>IF('Boletins Nuppa Site'!A1592&lt;&gt;0,'Boletins Nuppa Site'!A1592,"NULL")</f>
        <v>78</v>
      </c>
      <c r="C1592">
        <v>1</v>
      </c>
      <c r="D1592" t="str">
        <f>IF('Boletins Nuppa Site'!G1592&lt;&gt;0,'Boletins Nuppa Site'!G1592,"NULL")</f>
        <v xml:space="preserve"> 48.00</v>
      </c>
      <c r="E1592" s="14" t="str">
        <f>IF('Boletins Nuppa Site'!H1592&lt;&gt;0,'Boletins Nuppa Site'!H1592,"NULL")</f>
        <v xml:space="preserve"> 48.00</v>
      </c>
      <c r="F1592" s="14" t="str">
        <f>IF('Boletins Nuppa Site'!I1592&lt;&gt;0,'Boletins Nuppa Site'!I1592,"NULL")</f>
        <v xml:space="preserve"> 60.00</v>
      </c>
      <c r="G1592" s="14" t="str">
        <f>IF('Boletins Nuppa Site'!J1592&lt;&gt;0,'Boletins Nuppa Site'!J1592,"NULL")</f>
        <v xml:space="preserve"> 52.00</v>
      </c>
      <c r="H1592" s="14" t="str">
        <f>IF('Boletins Nuppa Site'!K1592&lt;&gt;0,'Boletins Nuppa Site'!K1592,"NULL")</f>
        <v xml:space="preserve"> 48.00</v>
      </c>
      <c r="I1592" t="str">
        <f t="shared" si="48"/>
        <v>INSERT INTO COTACAO (cot_id, cot_blt_id, cot_pap_id, cot_prc_comum, cot_prc_min, cot_prc_max, cot_prc_med, cot_prc_mediana) VALUES (1591, 78, 1,  48.00,  48.00,  60.00,  52.00,  48.00);</v>
      </c>
      <c r="J1592" t="str">
        <f t="shared" si="49"/>
        <v>UPDATE COTACAO SET cot_id = 1591, cot_blt_id = 78, cot_pap_id = 1, cot_prc_comum =  48.00, cot_prc_min =  48.00, cot_prc_max =  60.00, cot_prc_med =  52.00, cot_prc_mediana =  48.00 WHERE cot_id = 1591;</v>
      </c>
    </row>
    <row r="1593" spans="1:10" x14ac:dyDescent="0.3">
      <c r="A1593">
        <v>1592</v>
      </c>
      <c r="B1593">
        <f>IF('Boletins Nuppa Site'!A1593&lt;&gt;0,'Boletins Nuppa Site'!A1593,"NULL")</f>
        <v>78</v>
      </c>
      <c r="C1593">
        <v>2</v>
      </c>
      <c r="D1593" t="str">
        <f>IF('Boletins Nuppa Site'!G1593&lt;&gt;0,'Boletins Nuppa Site'!G1593,"NULL")</f>
        <v xml:space="preserve"> 60.00</v>
      </c>
      <c r="E1593" s="14" t="str">
        <f>IF('Boletins Nuppa Site'!H1593&lt;&gt;0,'Boletins Nuppa Site'!H1593,"NULL")</f>
        <v xml:space="preserve"> 60.00</v>
      </c>
      <c r="F1593" s="14" t="str">
        <f>IF('Boletins Nuppa Site'!I1593&lt;&gt;0,'Boletins Nuppa Site'!I1593,"NULL")</f>
        <v xml:space="preserve"> 84.00</v>
      </c>
      <c r="G1593" s="14" t="str">
        <f>IF('Boletins Nuppa Site'!J1593&lt;&gt;0,'Boletins Nuppa Site'!J1593,"NULL")</f>
        <v xml:space="preserve"> 68.00</v>
      </c>
      <c r="H1593" s="14" t="str">
        <f>IF('Boletins Nuppa Site'!K1593&lt;&gt;0,'Boletins Nuppa Site'!K1593,"NULL")</f>
        <v xml:space="preserve"> 60.00</v>
      </c>
      <c r="I1593" t="str">
        <f t="shared" si="48"/>
        <v>INSERT INTO COTACAO (cot_id, cot_blt_id, cot_pap_id, cot_prc_comum, cot_prc_min, cot_prc_max, cot_prc_med, cot_prc_mediana) VALUES (1592, 78, 2,  60.00,  60.00,  84.00,  68.00,  60.00);</v>
      </c>
      <c r="J1593" t="str">
        <f t="shared" si="49"/>
        <v>UPDATE COTACAO SET cot_id = 1592, cot_blt_id = 78, cot_pap_id = 2, cot_prc_comum =  60.00, cot_prc_min =  60.00, cot_prc_max =  84.00, cot_prc_med =  68.00, cot_prc_mediana =  60.00 WHERE cot_id = 1592;</v>
      </c>
    </row>
    <row r="1594" spans="1:10" x14ac:dyDescent="0.3">
      <c r="A1594">
        <v>1593</v>
      </c>
      <c r="B1594">
        <f>IF('Boletins Nuppa Site'!A1594&lt;&gt;0,'Boletins Nuppa Site'!A1594,"NULL")</f>
        <v>78</v>
      </c>
      <c r="C1594">
        <v>3</v>
      </c>
      <c r="D1594" t="str">
        <f>IF('Boletins Nuppa Site'!G1594&lt;&gt;0,'Boletins Nuppa Site'!G1594,"NULL")</f>
        <v xml:space="preserve"> 36.00</v>
      </c>
      <c r="E1594" s="14" t="str">
        <f>IF('Boletins Nuppa Site'!H1594&lt;&gt;0,'Boletins Nuppa Site'!H1594,"NULL")</f>
        <v xml:space="preserve"> 30.00</v>
      </c>
      <c r="F1594" s="14" t="str">
        <f>IF('Boletins Nuppa Site'!I1594&lt;&gt;0,'Boletins Nuppa Site'!I1594,"NULL")</f>
        <v xml:space="preserve"> 36.00</v>
      </c>
      <c r="G1594" s="14" t="str">
        <f>IF('Boletins Nuppa Site'!J1594&lt;&gt;0,'Boletins Nuppa Site'!J1594,"NULL")</f>
        <v xml:space="preserve"> 34.50</v>
      </c>
      <c r="H1594" s="14" t="str">
        <f>IF('Boletins Nuppa Site'!K1594&lt;&gt;0,'Boletins Nuppa Site'!K1594,"NULL")</f>
        <v xml:space="preserve"> 36.00</v>
      </c>
      <c r="I1594" t="str">
        <f t="shared" si="48"/>
        <v>INSERT INTO COTACAO (cot_id, cot_blt_id, cot_pap_id, cot_prc_comum, cot_prc_min, cot_prc_max, cot_prc_med, cot_prc_mediana) VALUES (1593, 78, 3,  36.00,  30.00,  36.00,  34.50,  36.00);</v>
      </c>
      <c r="J1594" t="str">
        <f t="shared" si="49"/>
        <v>UPDATE COTACAO SET cot_id = 1593, cot_blt_id = 78, cot_pap_id = 3, cot_prc_comum =  36.00, cot_prc_min =  30.00, cot_prc_max =  36.00, cot_prc_med =  34.50, cot_prc_mediana =  36.00 WHERE cot_id = 1593;</v>
      </c>
    </row>
    <row r="1595" spans="1:10" x14ac:dyDescent="0.3">
      <c r="A1595">
        <v>1594</v>
      </c>
      <c r="B1595">
        <f>IF('Boletins Nuppa Site'!A1595&lt;&gt;0,'Boletins Nuppa Site'!A1595,"NULL")</f>
        <v>78</v>
      </c>
      <c r="C1595">
        <v>4</v>
      </c>
      <c r="D1595" t="str">
        <f>IF('Boletins Nuppa Site'!G1595&lt;&gt;0,'Boletins Nuppa Site'!G1595,"NULL")</f>
        <v xml:space="preserve"> 30.00</v>
      </c>
      <c r="E1595" s="14" t="str">
        <f>IF('Boletins Nuppa Site'!H1595&lt;&gt;0,'Boletins Nuppa Site'!H1595,"NULL")</f>
        <v xml:space="preserve"> 24.00</v>
      </c>
      <c r="F1595" s="14" t="str">
        <f>IF('Boletins Nuppa Site'!I1595&lt;&gt;0,'Boletins Nuppa Site'!I1595,"NULL")</f>
        <v xml:space="preserve"> 30.00</v>
      </c>
      <c r="G1595" s="14" t="str">
        <f>IF('Boletins Nuppa Site'!J1595&lt;&gt;0,'Boletins Nuppa Site'!J1595,"NULL")</f>
        <v xml:space="preserve"> 27.25</v>
      </c>
      <c r="H1595" s="14" t="str">
        <f>IF('Boletins Nuppa Site'!K1595&lt;&gt;0,'Boletins Nuppa Site'!K1595,"NULL")</f>
        <v xml:space="preserve"> 27.50</v>
      </c>
      <c r="I1595" t="str">
        <f t="shared" si="48"/>
        <v>INSERT INTO COTACAO (cot_id, cot_blt_id, cot_pap_id, cot_prc_comum, cot_prc_min, cot_prc_max, cot_prc_med, cot_prc_mediana) VALUES (1594, 78, 4,  30.00,  24.00,  30.00,  27.25,  27.50);</v>
      </c>
      <c r="J1595" t="str">
        <f t="shared" si="49"/>
        <v>UPDATE COTACAO SET cot_id = 1594, cot_blt_id = 78, cot_pap_id = 4, cot_prc_comum =  30.00, cot_prc_min =  24.00, cot_prc_max =  30.00, cot_prc_med =  27.25, cot_prc_mediana =  27.50 WHERE cot_id = 1594;</v>
      </c>
    </row>
    <row r="1596" spans="1:10" x14ac:dyDescent="0.3">
      <c r="A1596">
        <v>1595</v>
      </c>
      <c r="B1596">
        <f>IF('Boletins Nuppa Site'!A1596&lt;&gt;0,'Boletins Nuppa Site'!A1596,"NULL")</f>
        <v>78</v>
      </c>
      <c r="C1596">
        <v>5</v>
      </c>
      <c r="D1596" t="str">
        <f>IF('Boletins Nuppa Site'!G1596&lt;&gt;0,'Boletins Nuppa Site'!G1596,"NULL")</f>
        <v xml:space="preserve"> 30.00</v>
      </c>
      <c r="E1596" s="14" t="str">
        <f>IF('Boletins Nuppa Site'!H1596&lt;&gt;0,'Boletins Nuppa Site'!H1596,"NULL")</f>
        <v xml:space="preserve"> 24.00</v>
      </c>
      <c r="F1596" s="14" t="str">
        <f>IF('Boletins Nuppa Site'!I1596&lt;&gt;0,'Boletins Nuppa Site'!I1596,"NULL")</f>
        <v xml:space="preserve"> 30.00</v>
      </c>
      <c r="G1596" s="14" t="str">
        <f>IF('Boletins Nuppa Site'!J1596&lt;&gt;0,'Boletins Nuppa Site'!J1596,"NULL")</f>
        <v xml:space="preserve"> 26.33</v>
      </c>
      <c r="H1596" s="14" t="str">
        <f>IF('Boletins Nuppa Site'!K1596&lt;&gt;0,'Boletins Nuppa Site'!K1596,"NULL")</f>
        <v xml:space="preserve"> 25.00</v>
      </c>
      <c r="I1596" t="str">
        <f t="shared" si="48"/>
        <v>INSERT INTO COTACAO (cot_id, cot_blt_id, cot_pap_id, cot_prc_comum, cot_prc_min, cot_prc_max, cot_prc_med, cot_prc_mediana) VALUES (1595, 78, 5,  30.00,  24.00,  30.00,  26.33,  25.00);</v>
      </c>
      <c r="J1596" t="str">
        <f t="shared" si="49"/>
        <v>UPDATE COTACAO SET cot_id = 1595, cot_blt_id = 78, cot_pap_id = 5, cot_prc_comum =  30.00, cot_prc_min =  24.00, cot_prc_max =  30.00, cot_prc_med =  26.33, cot_prc_mediana =  25.00 WHERE cot_id = 1595;</v>
      </c>
    </row>
    <row r="1597" spans="1:10" x14ac:dyDescent="0.3">
      <c r="A1597">
        <v>1596</v>
      </c>
      <c r="B1597">
        <f>IF('Boletins Nuppa Site'!A1597&lt;&gt;0,'Boletins Nuppa Site'!A1597,"NULL")</f>
        <v>78</v>
      </c>
      <c r="C1597">
        <v>6</v>
      </c>
      <c r="D1597" t="str">
        <f>IF('Boletins Nuppa Site'!G1597&lt;&gt;0,'Boletins Nuppa Site'!G1597,"NULL")</f>
        <v xml:space="preserve"> 60.00</v>
      </c>
      <c r="E1597" s="14" t="str">
        <f>IF('Boletins Nuppa Site'!H1597&lt;&gt;0,'Boletins Nuppa Site'!H1597,"NULL")</f>
        <v xml:space="preserve"> 48.00</v>
      </c>
      <c r="F1597" s="14" t="str">
        <f>IF('Boletins Nuppa Site'!I1597&lt;&gt;0,'Boletins Nuppa Site'!I1597,"NULL")</f>
        <v xml:space="preserve"> 60.00</v>
      </c>
      <c r="G1597" s="14" t="str">
        <f>IF('Boletins Nuppa Site'!J1597&lt;&gt;0,'Boletins Nuppa Site'!J1597,"NULL")</f>
        <v xml:space="preserve"> 56.00</v>
      </c>
      <c r="H1597" s="14" t="str">
        <f>IF('Boletins Nuppa Site'!K1597&lt;&gt;0,'Boletins Nuppa Site'!K1597,"NULL")</f>
        <v xml:space="preserve"> 60.00</v>
      </c>
      <c r="I1597" t="str">
        <f t="shared" si="48"/>
        <v>INSERT INTO COTACAO (cot_id, cot_blt_id, cot_pap_id, cot_prc_comum, cot_prc_min, cot_prc_max, cot_prc_med, cot_prc_mediana) VALUES (1596, 78, 6,  60.00,  48.00,  60.00,  56.00,  60.00);</v>
      </c>
      <c r="J1597" t="str">
        <f t="shared" si="49"/>
        <v>UPDATE COTACAO SET cot_id = 1596, cot_blt_id = 78, cot_pap_id = 6, cot_prc_comum =  60.00, cot_prc_min =  48.00, cot_prc_max =  60.00, cot_prc_med =  56.00, cot_prc_mediana =  60.00 WHERE cot_id = 1596;</v>
      </c>
    </row>
    <row r="1598" spans="1:10" x14ac:dyDescent="0.3">
      <c r="A1598">
        <v>1597</v>
      </c>
      <c r="B1598">
        <f>IF('Boletins Nuppa Site'!A1598&lt;&gt;0,'Boletins Nuppa Site'!A1598,"NULL")</f>
        <v>78</v>
      </c>
      <c r="C1598">
        <v>7</v>
      </c>
      <c r="D1598" t="str">
        <f>IF('Boletins Nuppa Site'!G1598&lt;&gt;0,'Boletins Nuppa Site'!G1598,"NULL")</f>
        <v xml:space="preserve"> 60.00</v>
      </c>
      <c r="E1598" s="14" t="str">
        <f>IF('Boletins Nuppa Site'!H1598&lt;&gt;0,'Boletins Nuppa Site'!H1598,"NULL")</f>
        <v xml:space="preserve"> 60.00</v>
      </c>
      <c r="F1598" s="14" t="str">
        <f>IF('Boletins Nuppa Site'!I1598&lt;&gt;0,'Boletins Nuppa Site'!I1598,"NULL")</f>
        <v xml:space="preserve"> 78.00</v>
      </c>
      <c r="G1598" s="14" t="str">
        <f>IF('Boletins Nuppa Site'!J1598&lt;&gt;0,'Boletins Nuppa Site'!J1598,"NULL")</f>
        <v xml:space="preserve"> 67.50</v>
      </c>
      <c r="H1598" s="14" t="str">
        <f>IF('Boletins Nuppa Site'!K1598&lt;&gt;0,'Boletins Nuppa Site'!K1598,"NULL")</f>
        <v xml:space="preserve"> 66.00</v>
      </c>
      <c r="I1598" t="str">
        <f t="shared" si="48"/>
        <v>INSERT INTO COTACAO (cot_id, cot_blt_id, cot_pap_id, cot_prc_comum, cot_prc_min, cot_prc_max, cot_prc_med, cot_prc_mediana) VALUES (1597, 78, 7,  60.00,  60.00,  78.00,  67.50,  66.00);</v>
      </c>
      <c r="J1598" t="str">
        <f t="shared" si="49"/>
        <v>UPDATE COTACAO SET cot_id = 1597, cot_blt_id = 78, cot_pap_id = 7, cot_prc_comum =  60.00, cot_prc_min =  60.00, cot_prc_max =  78.00, cot_prc_med =  67.50, cot_prc_mediana =  66.00 WHERE cot_id = 1597;</v>
      </c>
    </row>
    <row r="1599" spans="1:10" x14ac:dyDescent="0.3">
      <c r="A1599">
        <v>1598</v>
      </c>
      <c r="B1599">
        <f>IF('Boletins Nuppa Site'!A1599&lt;&gt;0,'Boletins Nuppa Site'!A1599,"NULL")</f>
        <v>78</v>
      </c>
      <c r="C1599">
        <v>8</v>
      </c>
      <c r="D1599" t="str">
        <f>IF('Boletins Nuppa Site'!G1599&lt;&gt;0,'Boletins Nuppa Site'!G1599,"NULL")</f>
        <v xml:space="preserve"> 72.00</v>
      </c>
      <c r="E1599" s="14" t="str">
        <f>IF('Boletins Nuppa Site'!H1599&lt;&gt;0,'Boletins Nuppa Site'!H1599,"NULL")</f>
        <v xml:space="preserve"> 60.00</v>
      </c>
      <c r="F1599" s="14" t="str">
        <f>IF('Boletins Nuppa Site'!I1599&lt;&gt;0,'Boletins Nuppa Site'!I1599,"NULL")</f>
        <v xml:space="preserve"> 72.00</v>
      </c>
      <c r="G1599" s="14" t="str">
        <f>IF('Boletins Nuppa Site'!J1599&lt;&gt;0,'Boletins Nuppa Site'!J1599,"NULL")</f>
        <v xml:space="preserve"> 69.00</v>
      </c>
      <c r="H1599" s="14" t="str">
        <f>IF('Boletins Nuppa Site'!K1599&lt;&gt;0,'Boletins Nuppa Site'!K1599,"NULL")</f>
        <v xml:space="preserve"> 72.00</v>
      </c>
      <c r="I1599" t="str">
        <f t="shared" si="48"/>
        <v>INSERT INTO COTACAO (cot_id, cot_blt_id, cot_pap_id, cot_prc_comum, cot_prc_min, cot_prc_max, cot_prc_med, cot_prc_mediana) VALUES (1598, 78, 8,  72.00,  60.00,  72.00,  69.00,  72.00);</v>
      </c>
      <c r="J1599" t="str">
        <f t="shared" si="49"/>
        <v>UPDATE COTACAO SET cot_id = 1598, cot_blt_id = 78, cot_pap_id = 8, cot_prc_comum =  72.00, cot_prc_min =  60.00, cot_prc_max =  72.00, cot_prc_med =  69.00, cot_prc_mediana =  72.00 WHERE cot_id = 1598;</v>
      </c>
    </row>
    <row r="1600" spans="1:10" x14ac:dyDescent="0.3">
      <c r="A1600">
        <v>1599</v>
      </c>
      <c r="B1600">
        <f>IF('Boletins Nuppa Site'!A1600&lt;&gt;0,'Boletins Nuppa Site'!A1600,"NULL")</f>
        <v>78</v>
      </c>
      <c r="C1600">
        <v>9</v>
      </c>
      <c r="D1600" t="str">
        <f>IF('Boletins Nuppa Site'!G1600&lt;&gt;0,'Boletins Nuppa Site'!G1600,"NULL")</f>
        <v xml:space="preserve"> 24.00</v>
      </c>
      <c r="E1600" s="14" t="str">
        <f>IF('Boletins Nuppa Site'!H1600&lt;&gt;0,'Boletins Nuppa Site'!H1600,"NULL")</f>
        <v xml:space="preserve"> 18.00</v>
      </c>
      <c r="F1600" s="14" t="str">
        <f>IF('Boletins Nuppa Site'!I1600&lt;&gt;0,'Boletins Nuppa Site'!I1600,"NULL")</f>
        <v xml:space="preserve"> 24.00</v>
      </c>
      <c r="G1600" s="14" t="str">
        <f>IF('Boletins Nuppa Site'!J1600&lt;&gt;0,'Boletins Nuppa Site'!J1600,"NULL")</f>
        <v xml:space="preserve"> 21.50</v>
      </c>
      <c r="H1600" s="14" t="str">
        <f>IF('Boletins Nuppa Site'!K1600&lt;&gt;0,'Boletins Nuppa Site'!K1600,"NULL")</f>
        <v xml:space="preserve"> 22.00</v>
      </c>
      <c r="I1600" t="str">
        <f t="shared" si="48"/>
        <v>INSERT INTO COTACAO (cot_id, cot_blt_id, cot_pap_id, cot_prc_comum, cot_prc_min, cot_prc_max, cot_prc_med, cot_prc_mediana) VALUES (1599, 78, 9,  24.00,  18.00,  24.00,  21.50,  22.00);</v>
      </c>
      <c r="J1600" t="str">
        <f t="shared" si="49"/>
        <v>UPDATE COTACAO SET cot_id = 1599, cot_blt_id = 78, cot_pap_id = 9, cot_prc_comum =  24.00, cot_prc_min =  18.00, cot_prc_max =  24.00, cot_prc_med =  21.50, cot_prc_mediana =  22.00 WHERE cot_id = 1599;</v>
      </c>
    </row>
    <row r="1601" spans="1:10" x14ac:dyDescent="0.3">
      <c r="A1601">
        <v>1600</v>
      </c>
      <c r="B1601">
        <f>IF('Boletins Nuppa Site'!A1601&lt;&gt;0,'Boletins Nuppa Site'!A1601,"NULL")</f>
        <v>78</v>
      </c>
      <c r="C1601">
        <v>10</v>
      </c>
      <c r="D1601" t="str">
        <f>IF('Boletins Nuppa Site'!G1601&lt;&gt;0,'Boletins Nuppa Site'!G1601,"NULL")</f>
        <v xml:space="preserve"> 60.00</v>
      </c>
      <c r="E1601" s="14" t="str">
        <f>IF('Boletins Nuppa Site'!H1601&lt;&gt;0,'Boletins Nuppa Site'!H1601,"NULL")</f>
        <v xml:space="preserve"> 60.00</v>
      </c>
      <c r="F1601" s="14" t="str">
        <f>IF('Boletins Nuppa Site'!I1601&lt;&gt;0,'Boletins Nuppa Site'!I1601,"NULL")</f>
        <v xml:space="preserve"> 60.00</v>
      </c>
      <c r="G1601" s="14" t="str">
        <f>IF('Boletins Nuppa Site'!J1601&lt;&gt;0,'Boletins Nuppa Site'!J1601,"NULL")</f>
        <v xml:space="preserve"> 60.00</v>
      </c>
      <c r="H1601" s="14" t="str">
        <f>IF('Boletins Nuppa Site'!K1601&lt;&gt;0,'Boletins Nuppa Site'!K1601,"NULL")</f>
        <v xml:space="preserve"> 60.00</v>
      </c>
      <c r="I1601" t="str">
        <f t="shared" si="48"/>
        <v>INSERT INTO COTACAO (cot_id, cot_blt_id, cot_pap_id, cot_prc_comum, cot_prc_min, cot_prc_max, cot_prc_med, cot_prc_mediana) VALUES (1600, 78, 10,  60.00,  60.00,  60.00,  60.00,  60.00);</v>
      </c>
      <c r="J1601" t="str">
        <f t="shared" si="49"/>
        <v>UPDATE COTACAO SET cot_id = 1600, cot_blt_id = 78, cot_pap_id = 10, cot_prc_comum =  60.00, cot_prc_min =  60.00, cot_prc_max =  60.00, cot_prc_med =  60.00, cot_prc_mediana =  60.00 WHERE cot_id = 1600;</v>
      </c>
    </row>
    <row r="1602" spans="1:10" x14ac:dyDescent="0.3">
      <c r="A1602">
        <v>1601</v>
      </c>
      <c r="B1602">
        <f>IF('Boletins Nuppa Site'!A1602&lt;&gt;0,'Boletins Nuppa Site'!A1602,"NULL")</f>
        <v>78</v>
      </c>
      <c r="C1602">
        <v>11</v>
      </c>
      <c r="D1602" t="str">
        <f>IF('Boletins Nuppa Site'!G1602&lt;&gt;0,'Boletins Nuppa Site'!G1602,"NULL")</f>
        <v xml:space="preserve"> 30.00</v>
      </c>
      <c r="E1602" s="14" t="str">
        <f>IF('Boletins Nuppa Site'!H1602&lt;&gt;0,'Boletins Nuppa Site'!H1602,"NULL")</f>
        <v xml:space="preserve"> 18.00</v>
      </c>
      <c r="F1602" s="14" t="str">
        <f>IF('Boletins Nuppa Site'!I1602&lt;&gt;0,'Boletins Nuppa Site'!I1602,"NULL")</f>
        <v xml:space="preserve"> 30.00</v>
      </c>
      <c r="G1602" s="14" t="str">
        <f>IF('Boletins Nuppa Site'!J1602&lt;&gt;0,'Boletins Nuppa Site'!J1602,"NULL")</f>
        <v xml:space="preserve"> 24.25</v>
      </c>
      <c r="H1602" s="14" t="str">
        <f>IF('Boletins Nuppa Site'!K1602&lt;&gt;0,'Boletins Nuppa Site'!K1602,"NULL")</f>
        <v xml:space="preserve"> 24.50</v>
      </c>
      <c r="I1602" t="str">
        <f t="shared" si="48"/>
        <v>INSERT INTO COTACAO (cot_id, cot_blt_id, cot_pap_id, cot_prc_comum, cot_prc_min, cot_prc_max, cot_prc_med, cot_prc_mediana) VALUES (1601, 78, 11,  30.00,  18.00,  30.00,  24.25,  24.50);</v>
      </c>
      <c r="J1602" t="str">
        <f t="shared" si="49"/>
        <v>UPDATE COTACAO SET cot_id = 1601, cot_blt_id = 78, cot_pap_id = 11, cot_prc_comum =  30.00, cot_prc_min =  18.00, cot_prc_max =  30.00, cot_prc_med =  24.25, cot_prc_mediana =  24.50 WHERE cot_id = 1601;</v>
      </c>
    </row>
    <row r="1603" spans="1:10" x14ac:dyDescent="0.3">
      <c r="A1603">
        <v>1602</v>
      </c>
      <c r="B1603">
        <f>IF('Boletins Nuppa Site'!A1603&lt;&gt;0,'Boletins Nuppa Site'!A1603,"NULL")</f>
        <v>78</v>
      </c>
      <c r="C1603">
        <v>12</v>
      </c>
      <c r="D1603" t="str">
        <f>IF('Boletins Nuppa Site'!G1603&lt;&gt;0,'Boletins Nuppa Site'!G1603,"NULL")</f>
        <v xml:space="preserve"> 60.00</v>
      </c>
      <c r="E1603" s="14" t="str">
        <f>IF('Boletins Nuppa Site'!H1603&lt;&gt;0,'Boletins Nuppa Site'!H1603,"NULL")</f>
        <v xml:space="preserve"> 48.00</v>
      </c>
      <c r="F1603" s="14" t="str">
        <f>IF('Boletins Nuppa Site'!I1603&lt;&gt;0,'Boletins Nuppa Site'!I1603,"NULL")</f>
        <v xml:space="preserve"> 60.00</v>
      </c>
      <c r="G1603" s="14" t="str">
        <f>IF('Boletins Nuppa Site'!J1603&lt;&gt;0,'Boletins Nuppa Site'!J1603,"NULL")</f>
        <v xml:space="preserve"> 56.00</v>
      </c>
      <c r="H1603" s="14" t="str">
        <f>IF('Boletins Nuppa Site'!K1603&lt;&gt;0,'Boletins Nuppa Site'!K1603,"NULL")</f>
        <v xml:space="preserve"> 60.00</v>
      </c>
      <c r="I1603" t="str">
        <f t="shared" ref="I1603:I1666" si="50">"INSERT INTO COTACAO (cot_id, cot_blt_id, cot_pap_id, cot_prc_comum, cot_prc_min, cot_prc_max, cot_prc_med, cot_prc_mediana) VALUES ("&amp;A1603&amp;", "&amp;B1603&amp;", "&amp;C1603&amp;", "&amp;D1603&amp;", "&amp;E1603&amp;", "&amp;F1603&amp;", "&amp;G1603&amp;", "&amp;H1603&amp;");"</f>
        <v>INSERT INTO COTACAO (cot_id, cot_blt_id, cot_pap_id, cot_prc_comum, cot_prc_min, cot_prc_max, cot_prc_med, cot_prc_mediana) VALUES (1602, 78, 12,  60.00,  48.00,  60.00,  56.00,  60.00);</v>
      </c>
      <c r="J1603" t="str">
        <f t="shared" ref="J1603:J1666" si="51">"UPDATE COTACAO SET cot_id = "&amp;A1603&amp;", cot_blt_id = "&amp;B1603&amp;", cot_pap_id = "&amp;C1603&amp;", cot_prc_comum = "&amp;D1603&amp;", cot_prc_min = "&amp;E1603&amp;", cot_prc_max = "&amp;F1603&amp;", cot_prc_med = "&amp;G1603&amp;", cot_prc_mediana = "&amp;H1603&amp;" WHERE cot_id = "&amp;A1603&amp;";"</f>
        <v>UPDATE COTACAO SET cot_id = 1602, cot_blt_id = 78, cot_pap_id = 12, cot_prc_comum =  60.00, cot_prc_min =  48.00, cot_prc_max =  60.00, cot_prc_med =  56.00, cot_prc_mediana =  60.00 WHERE cot_id = 1602;</v>
      </c>
    </row>
    <row r="1604" spans="1:10" x14ac:dyDescent="0.3">
      <c r="A1604">
        <v>1603</v>
      </c>
      <c r="B1604">
        <f>IF('Boletins Nuppa Site'!A1604&lt;&gt;0,'Boletins Nuppa Site'!A1604,"NULL")</f>
        <v>78</v>
      </c>
      <c r="C1604">
        <v>13</v>
      </c>
      <c r="D1604" t="str">
        <f>IF('Boletins Nuppa Site'!G1604&lt;&gt;0,'Boletins Nuppa Site'!G1604,"NULL")</f>
        <v xml:space="preserve"> 48.00</v>
      </c>
      <c r="E1604" s="14" t="str">
        <f>IF('Boletins Nuppa Site'!H1604&lt;&gt;0,'Boletins Nuppa Site'!H1604,"NULL")</f>
        <v xml:space="preserve"> 48.00</v>
      </c>
      <c r="F1604" s="14" t="str">
        <f>IF('Boletins Nuppa Site'!I1604&lt;&gt;0,'Boletins Nuppa Site'!I1604,"NULL")</f>
        <v xml:space="preserve"> 60.00</v>
      </c>
      <c r="G1604" s="14" t="str">
        <f>IF('Boletins Nuppa Site'!J1604&lt;&gt;0,'Boletins Nuppa Site'!J1604,"NULL")</f>
        <v xml:space="preserve"> 54.00</v>
      </c>
      <c r="H1604" s="14" t="str">
        <f>IF('Boletins Nuppa Site'!K1604&lt;&gt;0,'Boletins Nuppa Site'!K1604,"NULL")</f>
        <v xml:space="preserve"> 54.00</v>
      </c>
      <c r="I1604" t="str">
        <f t="shared" si="50"/>
        <v>INSERT INTO COTACAO (cot_id, cot_blt_id, cot_pap_id, cot_prc_comum, cot_prc_min, cot_prc_max, cot_prc_med, cot_prc_mediana) VALUES (1603, 78, 13,  48.00,  48.00,  60.00,  54.00,  54.00);</v>
      </c>
      <c r="J1604" t="str">
        <f t="shared" si="51"/>
        <v>UPDATE COTACAO SET cot_id = 1603, cot_blt_id = 78, cot_pap_id = 13, cot_prc_comum =  48.00, cot_prc_min =  48.00, cot_prc_max =  60.00, cot_prc_med =  54.00, cot_prc_mediana =  54.00 WHERE cot_id = 1603;</v>
      </c>
    </row>
    <row r="1605" spans="1:10" x14ac:dyDescent="0.3">
      <c r="A1605">
        <v>1604</v>
      </c>
      <c r="B1605">
        <f>IF('Boletins Nuppa Site'!A1605&lt;&gt;0,'Boletins Nuppa Site'!A1605,"NULL")</f>
        <v>78</v>
      </c>
      <c r="C1605">
        <v>14</v>
      </c>
      <c r="D1605" t="str">
        <f>IF('Boletins Nuppa Site'!G1605&lt;&gt;0,'Boletins Nuppa Site'!G1605,"NULL")</f>
        <v xml:space="preserve"> 48.00</v>
      </c>
      <c r="E1605" s="14" t="str">
        <f>IF('Boletins Nuppa Site'!H1605&lt;&gt;0,'Boletins Nuppa Site'!H1605,"NULL")</f>
        <v xml:space="preserve"> 36.00</v>
      </c>
      <c r="F1605" s="14" t="str">
        <f>IF('Boletins Nuppa Site'!I1605&lt;&gt;0,'Boletins Nuppa Site'!I1605,"NULL")</f>
        <v xml:space="preserve"> 48.00</v>
      </c>
      <c r="G1605" s="14" t="str">
        <f>IF('Boletins Nuppa Site'!J1605&lt;&gt;0,'Boletins Nuppa Site'!J1605,"NULL")</f>
        <v xml:space="preserve"> 44.00</v>
      </c>
      <c r="H1605" s="14" t="str">
        <f>IF('Boletins Nuppa Site'!K1605&lt;&gt;0,'Boletins Nuppa Site'!K1605,"NULL")</f>
        <v xml:space="preserve"> 48.00</v>
      </c>
      <c r="I1605" t="str">
        <f t="shared" si="50"/>
        <v>INSERT INTO COTACAO (cot_id, cot_blt_id, cot_pap_id, cot_prc_comum, cot_prc_min, cot_prc_max, cot_prc_med, cot_prc_mediana) VALUES (1604, 78, 14,  48.00,  36.00,  48.00,  44.00,  48.00);</v>
      </c>
      <c r="J1605" t="str">
        <f t="shared" si="51"/>
        <v>UPDATE COTACAO SET cot_id = 1604, cot_blt_id = 78, cot_pap_id = 14, cot_prc_comum =  48.00, cot_prc_min =  36.00, cot_prc_max =  48.00, cot_prc_med =  44.00, cot_prc_mediana =  48.00 WHERE cot_id = 1604;</v>
      </c>
    </row>
    <row r="1606" spans="1:10" x14ac:dyDescent="0.3">
      <c r="A1606">
        <v>1605</v>
      </c>
      <c r="B1606">
        <f>IF('Boletins Nuppa Site'!A1606&lt;&gt;0,'Boletins Nuppa Site'!A1606,"NULL")</f>
        <v>78</v>
      </c>
      <c r="C1606">
        <v>15</v>
      </c>
      <c r="D1606" t="str">
        <f>IF('Boletins Nuppa Site'!G1606&lt;&gt;0,'Boletins Nuppa Site'!G1606,"NULL")</f>
        <v xml:space="preserve"> 30.00</v>
      </c>
      <c r="E1606" s="14" t="str">
        <f>IF('Boletins Nuppa Site'!H1606&lt;&gt;0,'Boletins Nuppa Site'!H1606,"NULL")</f>
        <v xml:space="preserve"> 24.00</v>
      </c>
      <c r="F1606" s="14" t="str">
        <f>IF('Boletins Nuppa Site'!I1606&lt;&gt;0,'Boletins Nuppa Site'!I1606,"NULL")</f>
        <v xml:space="preserve"> 30.00</v>
      </c>
      <c r="G1606" s="14" t="str">
        <f>IF('Boletins Nuppa Site'!J1606&lt;&gt;0,'Boletins Nuppa Site'!J1606,"NULL")</f>
        <v xml:space="preserve"> 28.50</v>
      </c>
      <c r="H1606" s="14" t="str">
        <f>IF('Boletins Nuppa Site'!K1606&lt;&gt;0,'Boletins Nuppa Site'!K1606,"NULL")</f>
        <v xml:space="preserve"> 30.00</v>
      </c>
      <c r="I1606" t="str">
        <f t="shared" si="50"/>
        <v>INSERT INTO COTACAO (cot_id, cot_blt_id, cot_pap_id, cot_prc_comum, cot_prc_min, cot_prc_max, cot_prc_med, cot_prc_mediana) VALUES (1605, 78, 15,  30.00,  24.00,  30.00,  28.50,  30.00);</v>
      </c>
      <c r="J1606" t="str">
        <f t="shared" si="51"/>
        <v>UPDATE COTACAO SET cot_id = 1605, cot_blt_id = 78, cot_pap_id = 15, cot_prc_comum =  30.00, cot_prc_min =  24.00, cot_prc_max =  30.00, cot_prc_med =  28.50, cot_prc_mediana =  30.00 WHERE cot_id = 1605;</v>
      </c>
    </row>
    <row r="1607" spans="1:10" x14ac:dyDescent="0.3">
      <c r="A1607">
        <v>1606</v>
      </c>
      <c r="B1607">
        <f>IF('Boletins Nuppa Site'!A1607&lt;&gt;0,'Boletins Nuppa Site'!A1607,"NULL")</f>
        <v>78</v>
      </c>
      <c r="C1607">
        <v>16</v>
      </c>
      <c r="D1607" t="str">
        <f>IF('Boletins Nuppa Site'!G1607&lt;&gt;0,'Boletins Nuppa Site'!G1607,"NULL")</f>
        <v xml:space="preserve"> 48.00</v>
      </c>
      <c r="E1607" s="14" t="str">
        <f>IF('Boletins Nuppa Site'!H1607&lt;&gt;0,'Boletins Nuppa Site'!H1607,"NULL")</f>
        <v xml:space="preserve"> 42.00</v>
      </c>
      <c r="F1607" s="14" t="str">
        <f>IF('Boletins Nuppa Site'!I1607&lt;&gt;0,'Boletins Nuppa Site'!I1607,"NULL")</f>
        <v xml:space="preserve"> 60.00</v>
      </c>
      <c r="G1607" s="14" t="str">
        <f>IF('Boletins Nuppa Site'!J1607&lt;&gt;0,'Boletins Nuppa Site'!J1607,"NULL")</f>
        <v xml:space="preserve"> 49.50</v>
      </c>
      <c r="H1607" s="14" t="str">
        <f>IF('Boletins Nuppa Site'!K1607&lt;&gt;0,'Boletins Nuppa Site'!K1607,"NULL")</f>
        <v xml:space="preserve"> 48.00</v>
      </c>
      <c r="I1607" t="str">
        <f t="shared" si="50"/>
        <v>INSERT INTO COTACAO (cot_id, cot_blt_id, cot_pap_id, cot_prc_comum, cot_prc_min, cot_prc_max, cot_prc_med, cot_prc_mediana) VALUES (1606, 78, 16,  48.00,  42.00,  60.00,  49.50,  48.00);</v>
      </c>
      <c r="J1607" t="str">
        <f t="shared" si="51"/>
        <v>UPDATE COTACAO SET cot_id = 1606, cot_blt_id = 78, cot_pap_id = 16, cot_prc_comum =  48.00, cot_prc_min =  42.00, cot_prc_max =  60.00, cot_prc_med =  49.50, cot_prc_mediana =  48.00 WHERE cot_id = 1606;</v>
      </c>
    </row>
    <row r="1608" spans="1:10" x14ac:dyDescent="0.3">
      <c r="A1608">
        <v>1607</v>
      </c>
      <c r="B1608">
        <f>IF('Boletins Nuppa Site'!A1608&lt;&gt;0,'Boletins Nuppa Site'!A1608,"NULL")</f>
        <v>78</v>
      </c>
      <c r="C1608">
        <v>17</v>
      </c>
      <c r="D1608" t="str">
        <f>IF('Boletins Nuppa Site'!G1608&lt;&gt;0,'Boletins Nuppa Site'!G1608,"NULL")</f>
        <v xml:space="preserve"> 5.00</v>
      </c>
      <c r="E1608" s="14" t="str">
        <f>IF('Boletins Nuppa Site'!H1608&lt;&gt;0,'Boletins Nuppa Site'!H1608,"NULL")</f>
        <v xml:space="preserve"> 5.00</v>
      </c>
      <c r="F1608" s="14" t="str">
        <f>IF('Boletins Nuppa Site'!I1608&lt;&gt;0,'Boletins Nuppa Site'!I1608,"NULL")</f>
        <v xml:space="preserve"> 5.00</v>
      </c>
      <c r="G1608" s="14" t="str">
        <f>IF('Boletins Nuppa Site'!J1608&lt;&gt;0,'Boletins Nuppa Site'!J1608,"NULL")</f>
        <v xml:space="preserve"> 5.00</v>
      </c>
      <c r="H1608" s="14" t="str">
        <f>IF('Boletins Nuppa Site'!K1608&lt;&gt;0,'Boletins Nuppa Site'!K1608,"NULL")</f>
        <v xml:space="preserve"> 5.00</v>
      </c>
      <c r="I1608" t="str">
        <f t="shared" si="50"/>
        <v>INSERT INTO COTACAO (cot_id, cot_blt_id, cot_pap_id, cot_prc_comum, cot_prc_min, cot_prc_max, cot_prc_med, cot_prc_mediana) VALUES (1607, 78, 17,  5.00,  5.00,  5.00,  5.00,  5.00);</v>
      </c>
      <c r="J1608" t="str">
        <f t="shared" si="51"/>
        <v>UPDATE COTACAO SET cot_id = 1607, cot_blt_id = 78, cot_pap_id = 17, cot_prc_comum =  5.00, cot_prc_min =  5.00, cot_prc_max =  5.00, cot_prc_med =  5.00, cot_prc_mediana =  5.00 WHERE cot_id = 1607;</v>
      </c>
    </row>
    <row r="1609" spans="1:10" x14ac:dyDescent="0.3">
      <c r="A1609">
        <v>1608</v>
      </c>
      <c r="B1609">
        <f>IF('Boletins Nuppa Site'!A1609&lt;&gt;0,'Boletins Nuppa Site'!A1609,"NULL")</f>
        <v>78</v>
      </c>
      <c r="C1609">
        <v>18</v>
      </c>
      <c r="D1609" t="str">
        <f>IF('Boletins Nuppa Site'!G1609&lt;&gt;0,'Boletins Nuppa Site'!G1609,"NULL")</f>
        <v xml:space="preserve"> 15.00</v>
      </c>
      <c r="E1609" s="14" t="str">
        <f>IF('Boletins Nuppa Site'!H1609&lt;&gt;0,'Boletins Nuppa Site'!H1609,"NULL")</f>
        <v xml:space="preserve"> 15.00</v>
      </c>
      <c r="F1609" s="14" t="str">
        <f>IF('Boletins Nuppa Site'!I1609&lt;&gt;0,'Boletins Nuppa Site'!I1609,"NULL")</f>
        <v xml:space="preserve"> 20.00</v>
      </c>
      <c r="G1609" s="14" t="str">
        <f>IF('Boletins Nuppa Site'!J1609&lt;&gt;0,'Boletins Nuppa Site'!J1609,"NULL")</f>
        <v xml:space="preserve"> 17.50</v>
      </c>
      <c r="H1609" s="14" t="str">
        <f>IF('Boletins Nuppa Site'!K1609&lt;&gt;0,'Boletins Nuppa Site'!K1609,"NULL")</f>
        <v xml:space="preserve"> 17.50</v>
      </c>
      <c r="I1609" t="str">
        <f t="shared" si="50"/>
        <v>INSERT INTO COTACAO (cot_id, cot_blt_id, cot_pap_id, cot_prc_comum, cot_prc_min, cot_prc_max, cot_prc_med, cot_prc_mediana) VALUES (1608, 78, 18,  15.00,  15.00,  20.00,  17.50,  17.50);</v>
      </c>
      <c r="J1609" t="str">
        <f t="shared" si="51"/>
        <v>UPDATE COTACAO SET cot_id = 1608, cot_blt_id = 78, cot_pap_id = 18, cot_prc_comum =  15.00, cot_prc_min =  15.00, cot_prc_max =  20.00, cot_prc_med =  17.50, cot_prc_mediana =  17.50 WHERE cot_id = 1608;</v>
      </c>
    </row>
    <row r="1610" spans="1:10" x14ac:dyDescent="0.3">
      <c r="A1610">
        <v>1609</v>
      </c>
      <c r="B1610">
        <f>IF('Boletins Nuppa Site'!A1610&lt;&gt;0,'Boletins Nuppa Site'!A1610,"NULL")</f>
        <v>78</v>
      </c>
      <c r="C1610">
        <v>19</v>
      </c>
      <c r="D1610" t="str">
        <f>IF('Boletins Nuppa Site'!G1610&lt;&gt;0,'Boletins Nuppa Site'!G1610,"NULL")</f>
        <v xml:space="preserve"> 48.00</v>
      </c>
      <c r="E1610" s="14" t="str">
        <f>IF('Boletins Nuppa Site'!H1610&lt;&gt;0,'Boletins Nuppa Site'!H1610,"NULL")</f>
        <v xml:space="preserve"> 42.00</v>
      </c>
      <c r="F1610" s="14" t="str">
        <f>IF('Boletins Nuppa Site'!I1610&lt;&gt;0,'Boletins Nuppa Site'!I1610,"NULL")</f>
        <v xml:space="preserve"> 60.00</v>
      </c>
      <c r="G1610" s="14" t="str">
        <f>IF('Boletins Nuppa Site'!J1610&lt;&gt;0,'Boletins Nuppa Site'!J1610,"NULL")</f>
        <v xml:space="preserve"> 49.50</v>
      </c>
      <c r="H1610" s="14" t="str">
        <f>IF('Boletins Nuppa Site'!K1610&lt;&gt;0,'Boletins Nuppa Site'!K1610,"NULL")</f>
        <v xml:space="preserve"> 48.00</v>
      </c>
      <c r="I1610" t="str">
        <f t="shared" si="50"/>
        <v>INSERT INTO COTACAO (cot_id, cot_blt_id, cot_pap_id, cot_prc_comum, cot_prc_min, cot_prc_max, cot_prc_med, cot_prc_mediana) VALUES (1609, 78, 19,  48.00,  42.00,  60.00,  49.50,  48.00);</v>
      </c>
      <c r="J1610" t="str">
        <f t="shared" si="51"/>
        <v>UPDATE COTACAO SET cot_id = 1609, cot_blt_id = 78, cot_pap_id = 19, cot_prc_comum =  48.00, cot_prc_min =  42.00, cot_prc_max =  60.00, cot_prc_med =  49.50, cot_prc_mediana =  48.00 WHERE cot_id = 1609;</v>
      </c>
    </row>
    <row r="1611" spans="1:10" x14ac:dyDescent="0.3">
      <c r="A1611">
        <v>1610</v>
      </c>
      <c r="B1611">
        <f>IF('Boletins Nuppa Site'!A1611&lt;&gt;0,'Boletins Nuppa Site'!A1611,"NULL")</f>
        <v>78</v>
      </c>
      <c r="C1611">
        <v>20</v>
      </c>
      <c r="D1611" t="str">
        <f>IF('Boletins Nuppa Site'!G1611&lt;&gt;0,'Boletins Nuppa Site'!G1611,"NULL")</f>
        <v xml:space="preserve"> 75.00</v>
      </c>
      <c r="E1611" s="14" t="str">
        <f>IF('Boletins Nuppa Site'!H1611&lt;&gt;0,'Boletins Nuppa Site'!H1611,"NULL")</f>
        <v xml:space="preserve"> 75.00</v>
      </c>
      <c r="F1611" s="14" t="str">
        <f>IF('Boletins Nuppa Site'!I1611&lt;&gt;0,'Boletins Nuppa Site'!I1611,"NULL")</f>
        <v xml:space="preserve"> 80.00</v>
      </c>
      <c r="G1611" s="14" t="str">
        <f>IF('Boletins Nuppa Site'!J1611&lt;&gt;0,'Boletins Nuppa Site'!J1611,"NULL")</f>
        <v xml:space="preserve"> 77.50</v>
      </c>
      <c r="H1611" s="14" t="str">
        <f>IF('Boletins Nuppa Site'!K1611&lt;&gt;0,'Boletins Nuppa Site'!K1611,"NULL")</f>
        <v xml:space="preserve"> 77.50</v>
      </c>
      <c r="I1611" t="str">
        <f t="shared" si="50"/>
        <v>INSERT INTO COTACAO (cot_id, cot_blt_id, cot_pap_id, cot_prc_comum, cot_prc_min, cot_prc_max, cot_prc_med, cot_prc_mediana) VALUES (1610, 78, 20,  75.00,  75.00,  80.00,  77.50,  77.50);</v>
      </c>
      <c r="J1611" t="str">
        <f t="shared" si="51"/>
        <v>UPDATE COTACAO SET cot_id = 1610, cot_blt_id = 78, cot_pap_id = 20, cot_prc_comum =  75.00, cot_prc_min =  75.00, cot_prc_max =  80.00, cot_prc_med =  77.50, cot_prc_mediana =  77.50 WHERE cot_id = 1610;</v>
      </c>
    </row>
    <row r="1612" spans="1:10" x14ac:dyDescent="0.3">
      <c r="A1612">
        <v>1611</v>
      </c>
      <c r="B1612">
        <f>IF('Boletins Nuppa Site'!A1612&lt;&gt;0,'Boletins Nuppa Site'!A1612,"NULL")</f>
        <v>78</v>
      </c>
      <c r="C1612">
        <v>21</v>
      </c>
      <c r="D1612" t="str">
        <f>IF('Boletins Nuppa Site'!G1612&lt;&gt;0,'Boletins Nuppa Site'!G1612,"NULL")</f>
        <v xml:space="preserve"> 65.00</v>
      </c>
      <c r="E1612" s="14" t="str">
        <f>IF('Boletins Nuppa Site'!H1612&lt;&gt;0,'Boletins Nuppa Site'!H1612,"NULL")</f>
        <v xml:space="preserve"> 50.00</v>
      </c>
      <c r="F1612" s="14" t="str">
        <f>IF('Boletins Nuppa Site'!I1612&lt;&gt;0,'Boletins Nuppa Site'!I1612,"NULL")</f>
        <v xml:space="preserve"> 65.00</v>
      </c>
      <c r="G1612" s="14" t="str">
        <f>IF('Boletins Nuppa Site'!J1612&lt;&gt;0,'Boletins Nuppa Site'!J1612,"NULL")</f>
        <v xml:space="preserve"> 60.00</v>
      </c>
      <c r="H1612" s="14" t="str">
        <f>IF('Boletins Nuppa Site'!K1612&lt;&gt;0,'Boletins Nuppa Site'!K1612,"NULL")</f>
        <v xml:space="preserve"> 62.50</v>
      </c>
      <c r="I1612" t="str">
        <f t="shared" si="50"/>
        <v>INSERT INTO COTACAO (cot_id, cot_blt_id, cot_pap_id, cot_prc_comum, cot_prc_min, cot_prc_max, cot_prc_med, cot_prc_mediana) VALUES (1611, 78, 21,  65.00,  50.00,  65.00,  60.00,  62.50);</v>
      </c>
      <c r="J1612" t="str">
        <f t="shared" si="51"/>
        <v>UPDATE COTACAO SET cot_id = 1611, cot_blt_id = 78, cot_pap_id = 21, cot_prc_comum =  65.00, cot_prc_min =  50.00, cot_prc_max =  65.00, cot_prc_med =  60.00, cot_prc_mediana =  62.50 WHERE cot_id = 1611;</v>
      </c>
    </row>
    <row r="1613" spans="1:10" x14ac:dyDescent="0.3">
      <c r="A1613">
        <v>1612</v>
      </c>
      <c r="B1613">
        <f>IF('Boletins Nuppa Site'!A1613&lt;&gt;0,'Boletins Nuppa Site'!A1613,"NULL")</f>
        <v>78</v>
      </c>
      <c r="C1613">
        <v>22</v>
      </c>
      <c r="D1613" t="str">
        <f>IF('Boletins Nuppa Site'!G1613&lt;&gt;0,'Boletins Nuppa Site'!G1613,"NULL")</f>
        <v xml:space="preserve"> 70.00</v>
      </c>
      <c r="E1613" s="14" t="str">
        <f>IF('Boletins Nuppa Site'!H1613&lt;&gt;0,'Boletins Nuppa Site'!H1613,"NULL")</f>
        <v xml:space="preserve"> 45.00</v>
      </c>
      <c r="F1613" s="14" t="str">
        <f>IF('Boletins Nuppa Site'!I1613&lt;&gt;0,'Boletins Nuppa Site'!I1613,"NULL")</f>
        <v xml:space="preserve"> 70.00</v>
      </c>
      <c r="G1613" s="14" t="str">
        <f>IF('Boletins Nuppa Site'!J1613&lt;&gt;0,'Boletins Nuppa Site'!J1613,"NULL")</f>
        <v xml:space="preserve"> 57.50</v>
      </c>
      <c r="H1613" s="14" t="str">
        <f>IF('Boletins Nuppa Site'!K1613&lt;&gt;0,'Boletins Nuppa Site'!K1613,"NULL")</f>
        <v xml:space="preserve"> 57.50</v>
      </c>
      <c r="I1613" t="str">
        <f t="shared" si="50"/>
        <v>INSERT INTO COTACAO (cot_id, cot_blt_id, cot_pap_id, cot_prc_comum, cot_prc_min, cot_prc_max, cot_prc_med, cot_prc_mediana) VALUES (1612, 78, 22,  70.00,  45.00,  70.00,  57.50,  57.50);</v>
      </c>
      <c r="J1613" t="str">
        <f t="shared" si="51"/>
        <v>UPDATE COTACAO SET cot_id = 1612, cot_blt_id = 78, cot_pap_id = 22, cot_prc_comum =  70.00, cot_prc_min =  45.00, cot_prc_max =  70.00, cot_prc_med =  57.50, cot_prc_mediana =  57.50 WHERE cot_id = 1612;</v>
      </c>
    </row>
    <row r="1614" spans="1:10" x14ac:dyDescent="0.3">
      <c r="A1614">
        <v>1613</v>
      </c>
      <c r="B1614">
        <f>IF('Boletins Nuppa Site'!A1614&lt;&gt;0,'Boletins Nuppa Site'!A1614,"NULL")</f>
        <v>78</v>
      </c>
      <c r="C1614">
        <v>23</v>
      </c>
      <c r="D1614" t="str">
        <f>IF('Boletins Nuppa Site'!G1614&lt;&gt;0,'Boletins Nuppa Site'!G1614,"NULL")</f>
        <v xml:space="preserve"> 50.00</v>
      </c>
      <c r="E1614" s="14" t="str">
        <f>IF('Boletins Nuppa Site'!H1614&lt;&gt;0,'Boletins Nuppa Site'!H1614,"NULL")</f>
        <v xml:space="preserve"> 45.00</v>
      </c>
      <c r="F1614" s="14" t="str">
        <f>IF('Boletins Nuppa Site'!I1614&lt;&gt;0,'Boletins Nuppa Site'!I1614,"NULL")</f>
        <v xml:space="preserve"> 55.00</v>
      </c>
      <c r="G1614" s="14" t="str">
        <f>IF('Boletins Nuppa Site'!J1614&lt;&gt;0,'Boletins Nuppa Site'!J1614,"NULL")</f>
        <v xml:space="preserve"> 50.00</v>
      </c>
      <c r="H1614" s="14" t="str">
        <f>IF('Boletins Nuppa Site'!K1614&lt;&gt;0,'Boletins Nuppa Site'!K1614,"NULL")</f>
        <v xml:space="preserve"> 50.00</v>
      </c>
      <c r="I1614" t="str">
        <f t="shared" si="50"/>
        <v>INSERT INTO COTACAO (cot_id, cot_blt_id, cot_pap_id, cot_prc_comum, cot_prc_min, cot_prc_max, cot_prc_med, cot_prc_mediana) VALUES (1613, 78, 23,  50.00,  45.00,  55.00,  50.00,  50.00);</v>
      </c>
      <c r="J1614" t="str">
        <f t="shared" si="51"/>
        <v>UPDATE COTACAO SET cot_id = 1613, cot_blt_id = 78, cot_pap_id = 23, cot_prc_comum =  50.00, cot_prc_min =  45.00, cot_prc_max =  55.00, cot_prc_med =  50.00, cot_prc_mediana =  50.00 WHERE cot_id = 1613;</v>
      </c>
    </row>
    <row r="1615" spans="1:10" x14ac:dyDescent="0.3">
      <c r="A1615">
        <v>1614</v>
      </c>
      <c r="B1615">
        <f>IF('Boletins Nuppa Site'!A1615&lt;&gt;0,'Boletins Nuppa Site'!A1615,"NULL")</f>
        <v>78</v>
      </c>
      <c r="C1615">
        <v>24</v>
      </c>
      <c r="D1615" t="str">
        <f>IF('Boletins Nuppa Site'!G1615&lt;&gt;0,'Boletins Nuppa Site'!G1615,"NULL")</f>
        <v xml:space="preserve"> 90.00</v>
      </c>
      <c r="E1615" s="14" t="str">
        <f>IF('Boletins Nuppa Site'!H1615&lt;&gt;0,'Boletins Nuppa Site'!H1615,"NULL")</f>
        <v xml:space="preserve"> 90.00</v>
      </c>
      <c r="F1615" s="14" t="str">
        <f>IF('Boletins Nuppa Site'!I1615&lt;&gt;0,'Boletins Nuppa Site'!I1615,"NULL")</f>
        <v xml:space="preserve"> 90.00</v>
      </c>
      <c r="G1615" s="14" t="str">
        <f>IF('Boletins Nuppa Site'!J1615&lt;&gt;0,'Boletins Nuppa Site'!J1615,"NULL")</f>
        <v xml:space="preserve"> 90.00</v>
      </c>
      <c r="H1615" s="14" t="str">
        <f>IF('Boletins Nuppa Site'!K1615&lt;&gt;0,'Boletins Nuppa Site'!K1615,"NULL")</f>
        <v xml:space="preserve"> 90.00</v>
      </c>
      <c r="I1615" t="str">
        <f t="shared" si="50"/>
        <v>INSERT INTO COTACAO (cot_id, cot_blt_id, cot_pap_id, cot_prc_comum, cot_prc_min, cot_prc_max, cot_prc_med, cot_prc_mediana) VALUES (1614, 78, 24,  90.00,  90.00,  90.00,  90.00,  90.00);</v>
      </c>
      <c r="J1615" t="str">
        <f t="shared" si="51"/>
        <v>UPDATE COTACAO SET cot_id = 1614, cot_blt_id = 78, cot_pap_id = 24, cot_prc_comum =  90.00, cot_prc_min =  90.00, cot_prc_max =  90.00, cot_prc_med =  90.00, cot_prc_mediana =  90.00 WHERE cot_id = 1614;</v>
      </c>
    </row>
    <row r="1616" spans="1:10" x14ac:dyDescent="0.3">
      <c r="A1616">
        <v>1615</v>
      </c>
      <c r="B1616">
        <f>IF('Boletins Nuppa Site'!A1616&lt;&gt;0,'Boletins Nuppa Site'!A1616,"NULL")</f>
        <v>78</v>
      </c>
      <c r="C1616">
        <v>25</v>
      </c>
      <c r="D1616" t="str">
        <f>IF('Boletins Nuppa Site'!G1616&lt;&gt;0,'Boletins Nuppa Site'!G1616,"NULL")</f>
        <v xml:space="preserve"> 50.00</v>
      </c>
      <c r="E1616" s="14" t="str">
        <f>IF('Boletins Nuppa Site'!H1616&lt;&gt;0,'Boletins Nuppa Site'!H1616,"NULL")</f>
        <v xml:space="preserve"> 50.00</v>
      </c>
      <c r="F1616" s="14" t="str">
        <f>IF('Boletins Nuppa Site'!I1616&lt;&gt;0,'Boletins Nuppa Site'!I1616,"NULL")</f>
        <v xml:space="preserve"> 60.00</v>
      </c>
      <c r="G1616" s="14" t="str">
        <f>IF('Boletins Nuppa Site'!J1616&lt;&gt;0,'Boletins Nuppa Site'!J1616,"NULL")</f>
        <v xml:space="preserve"> 55.00</v>
      </c>
      <c r="H1616" s="14" t="str">
        <f>IF('Boletins Nuppa Site'!K1616&lt;&gt;0,'Boletins Nuppa Site'!K1616,"NULL")</f>
        <v xml:space="preserve"> 55.00</v>
      </c>
      <c r="I1616" t="str">
        <f t="shared" si="50"/>
        <v>INSERT INTO COTACAO (cot_id, cot_blt_id, cot_pap_id, cot_prc_comum, cot_prc_min, cot_prc_max, cot_prc_med, cot_prc_mediana) VALUES (1615, 78, 25,  50.00,  50.00,  60.00,  55.00,  55.00);</v>
      </c>
      <c r="J1616" t="str">
        <f t="shared" si="51"/>
        <v>UPDATE COTACAO SET cot_id = 1615, cot_blt_id = 78, cot_pap_id = 25, cot_prc_comum =  50.00, cot_prc_min =  50.00, cot_prc_max =  60.00, cot_prc_med =  55.00, cot_prc_mediana =  55.00 WHERE cot_id = 1615;</v>
      </c>
    </row>
    <row r="1617" spans="1:10" x14ac:dyDescent="0.3">
      <c r="A1617">
        <v>1616</v>
      </c>
      <c r="B1617">
        <f>IF('Boletins Nuppa Site'!A1617&lt;&gt;0,'Boletins Nuppa Site'!A1617,"NULL")</f>
        <v>78</v>
      </c>
      <c r="C1617">
        <v>26</v>
      </c>
      <c r="D1617" t="str">
        <f>IF('Boletins Nuppa Site'!G1617&lt;&gt;0,'Boletins Nuppa Site'!G1617,"NULL")</f>
        <v xml:space="preserve"> 45.00</v>
      </c>
      <c r="E1617" s="14" t="str">
        <f>IF('Boletins Nuppa Site'!H1617&lt;&gt;0,'Boletins Nuppa Site'!H1617,"NULL")</f>
        <v xml:space="preserve"> 45.00</v>
      </c>
      <c r="F1617" s="14" t="str">
        <f>IF('Boletins Nuppa Site'!I1617&lt;&gt;0,'Boletins Nuppa Site'!I1617,"NULL")</f>
        <v xml:space="preserve"> 65.00</v>
      </c>
      <c r="G1617" s="14" t="str">
        <f>IF('Boletins Nuppa Site'!J1617&lt;&gt;0,'Boletins Nuppa Site'!J1617,"NULL")</f>
        <v xml:space="preserve"> 56.25</v>
      </c>
      <c r="H1617" s="14" t="str">
        <f>IF('Boletins Nuppa Site'!K1617&lt;&gt;0,'Boletins Nuppa Site'!K1617,"NULL")</f>
        <v xml:space="preserve"> 57.50</v>
      </c>
      <c r="I1617" t="str">
        <f t="shared" si="50"/>
        <v>INSERT INTO COTACAO (cot_id, cot_blt_id, cot_pap_id, cot_prc_comum, cot_prc_min, cot_prc_max, cot_prc_med, cot_prc_mediana) VALUES (1616, 78, 26,  45.00,  45.00,  65.00,  56.25,  57.50);</v>
      </c>
      <c r="J1617" t="str">
        <f t="shared" si="51"/>
        <v>UPDATE COTACAO SET cot_id = 1616, cot_blt_id = 78, cot_pap_id = 26, cot_prc_comum =  45.00, cot_prc_min =  45.00, cot_prc_max =  65.00, cot_prc_med =  56.25, cot_prc_mediana =  57.50 WHERE cot_id = 1616;</v>
      </c>
    </row>
    <row r="1618" spans="1:10" x14ac:dyDescent="0.3">
      <c r="A1618">
        <v>1617</v>
      </c>
      <c r="B1618">
        <f>IF('Boletins Nuppa Site'!A1618&lt;&gt;0,'Boletins Nuppa Site'!A1618,"NULL")</f>
        <v>78</v>
      </c>
      <c r="C1618">
        <v>27</v>
      </c>
      <c r="D1618" t="str">
        <f>IF('Boletins Nuppa Site'!G1618&lt;&gt;0,'Boletins Nuppa Site'!G1618,"NULL")</f>
        <v xml:space="preserve"> 40.00</v>
      </c>
      <c r="E1618" s="14" t="str">
        <f>IF('Boletins Nuppa Site'!H1618&lt;&gt;0,'Boletins Nuppa Site'!H1618,"NULL")</f>
        <v xml:space="preserve"> 40.00</v>
      </c>
      <c r="F1618" s="14" t="str">
        <f>IF('Boletins Nuppa Site'!I1618&lt;&gt;0,'Boletins Nuppa Site'!I1618,"NULL")</f>
        <v xml:space="preserve"> 60.00</v>
      </c>
      <c r="G1618" s="14" t="str">
        <f>IF('Boletins Nuppa Site'!J1618&lt;&gt;0,'Boletins Nuppa Site'!J1618,"NULL")</f>
        <v xml:space="preserve"> 46.25</v>
      </c>
      <c r="H1618" s="14" t="str">
        <f>IF('Boletins Nuppa Site'!K1618&lt;&gt;0,'Boletins Nuppa Site'!K1618,"NULL")</f>
        <v xml:space="preserve"> 42.50</v>
      </c>
      <c r="I1618" t="str">
        <f t="shared" si="50"/>
        <v>INSERT INTO COTACAO (cot_id, cot_blt_id, cot_pap_id, cot_prc_comum, cot_prc_min, cot_prc_max, cot_prc_med, cot_prc_mediana) VALUES (1617, 78, 27,  40.00,  40.00,  60.00,  46.25,  42.50);</v>
      </c>
      <c r="J1618" t="str">
        <f t="shared" si="51"/>
        <v>UPDATE COTACAO SET cot_id = 1617, cot_blt_id = 78, cot_pap_id = 27, cot_prc_comum =  40.00, cot_prc_min =  40.00, cot_prc_max =  60.00, cot_prc_med =  46.25, cot_prc_mediana =  42.50 WHERE cot_id = 1617;</v>
      </c>
    </row>
    <row r="1619" spans="1:10" x14ac:dyDescent="0.3">
      <c r="A1619">
        <v>1618</v>
      </c>
      <c r="B1619">
        <f>IF('Boletins Nuppa Site'!A1619&lt;&gt;0,'Boletins Nuppa Site'!A1619,"NULL")</f>
        <v>78</v>
      </c>
      <c r="C1619">
        <v>28</v>
      </c>
      <c r="D1619" t="str">
        <f>IF('Boletins Nuppa Site'!G1619&lt;&gt;0,'Boletins Nuppa Site'!G1619,"NULL")</f>
        <v xml:space="preserve"> 100.00</v>
      </c>
      <c r="E1619" s="14" t="str">
        <f>IF('Boletins Nuppa Site'!H1619&lt;&gt;0,'Boletins Nuppa Site'!H1619,"NULL")</f>
        <v xml:space="preserve"> 100.00</v>
      </c>
      <c r="F1619" s="14" t="str">
        <f>IF('Boletins Nuppa Site'!I1619&lt;&gt;0,'Boletins Nuppa Site'!I1619,"NULL")</f>
        <v xml:space="preserve"> 120.00</v>
      </c>
      <c r="G1619" s="14" t="str">
        <f>IF('Boletins Nuppa Site'!J1619&lt;&gt;0,'Boletins Nuppa Site'!J1619,"NULL")</f>
        <v xml:space="preserve"> 110.00</v>
      </c>
      <c r="H1619" s="14" t="str">
        <f>IF('Boletins Nuppa Site'!K1619&lt;&gt;0,'Boletins Nuppa Site'!K1619,"NULL")</f>
        <v xml:space="preserve"> 110.00</v>
      </c>
      <c r="I1619" t="str">
        <f t="shared" si="50"/>
        <v>INSERT INTO COTACAO (cot_id, cot_blt_id, cot_pap_id, cot_prc_comum, cot_prc_min, cot_prc_max, cot_prc_med, cot_prc_mediana) VALUES (1618, 78, 28,  100.00,  100.00,  120.00,  110.00,  110.00);</v>
      </c>
      <c r="J1619" t="str">
        <f t="shared" si="51"/>
        <v>UPDATE COTACAO SET cot_id = 1618, cot_blt_id = 78, cot_pap_id = 28, cot_prc_comum =  100.00, cot_prc_min =  100.00, cot_prc_max =  120.00, cot_prc_med =  110.00, cot_prc_mediana =  110.00 WHERE cot_id = 1618;</v>
      </c>
    </row>
    <row r="1620" spans="1:10" x14ac:dyDescent="0.3">
      <c r="A1620">
        <v>1619</v>
      </c>
      <c r="B1620">
        <f>IF('Boletins Nuppa Site'!A1620&lt;&gt;0,'Boletins Nuppa Site'!A1620,"NULL")</f>
        <v>78</v>
      </c>
      <c r="C1620">
        <v>29</v>
      </c>
      <c r="D1620" t="str">
        <f>IF('Boletins Nuppa Site'!G1620&lt;&gt;0,'Boletins Nuppa Site'!G1620,"NULL")</f>
        <v xml:space="preserve"> 65.00</v>
      </c>
      <c r="E1620" s="14" t="str">
        <f>IF('Boletins Nuppa Site'!H1620&lt;&gt;0,'Boletins Nuppa Site'!H1620,"NULL")</f>
        <v xml:space="preserve"> 65.00</v>
      </c>
      <c r="F1620" s="14" t="str">
        <f>IF('Boletins Nuppa Site'!I1620&lt;&gt;0,'Boletins Nuppa Site'!I1620,"NULL")</f>
        <v xml:space="preserve"> 65.00</v>
      </c>
      <c r="G1620" s="14" t="str">
        <f>IF('Boletins Nuppa Site'!J1620&lt;&gt;0,'Boletins Nuppa Site'!J1620,"NULL")</f>
        <v xml:space="preserve"> 65.00</v>
      </c>
      <c r="H1620" s="14" t="str">
        <f>IF('Boletins Nuppa Site'!K1620&lt;&gt;0,'Boletins Nuppa Site'!K1620,"NULL")</f>
        <v xml:space="preserve"> 65.00</v>
      </c>
      <c r="I1620" t="str">
        <f t="shared" si="50"/>
        <v>INSERT INTO COTACAO (cot_id, cot_blt_id, cot_pap_id, cot_prc_comum, cot_prc_min, cot_prc_max, cot_prc_med, cot_prc_mediana) VALUES (1619, 78, 29,  65.00,  65.00,  65.00,  65.00,  65.00);</v>
      </c>
      <c r="J1620" t="str">
        <f t="shared" si="51"/>
        <v>UPDATE COTACAO SET cot_id = 1619, cot_blt_id = 78, cot_pap_id = 29, cot_prc_comum =  65.00, cot_prc_min =  65.00, cot_prc_max =  65.00, cot_prc_med =  65.00, cot_prc_mediana =  65.00 WHERE cot_id = 1619;</v>
      </c>
    </row>
    <row r="1621" spans="1:10" x14ac:dyDescent="0.3">
      <c r="A1621">
        <v>1620</v>
      </c>
      <c r="B1621">
        <f>IF('Boletins Nuppa Site'!A1621&lt;&gt;0,'Boletins Nuppa Site'!A1621,"NULL")</f>
        <v>78</v>
      </c>
      <c r="C1621">
        <v>30</v>
      </c>
      <c r="D1621" t="str">
        <f>IF('Boletins Nuppa Site'!G1621&lt;&gt;0,'Boletins Nuppa Site'!G1621,"NULL")</f>
        <v xml:space="preserve"> 45.00</v>
      </c>
      <c r="E1621" s="14" t="str">
        <f>IF('Boletins Nuppa Site'!H1621&lt;&gt;0,'Boletins Nuppa Site'!H1621,"NULL")</f>
        <v xml:space="preserve"> 45.00</v>
      </c>
      <c r="F1621" s="14" t="str">
        <f>IF('Boletins Nuppa Site'!I1621&lt;&gt;0,'Boletins Nuppa Site'!I1621,"NULL")</f>
        <v xml:space="preserve"> 70.00</v>
      </c>
      <c r="G1621" s="14" t="str">
        <f>IF('Boletins Nuppa Site'!J1621&lt;&gt;0,'Boletins Nuppa Site'!J1621,"NULL")</f>
        <v xml:space="preserve"> 53.33</v>
      </c>
      <c r="H1621" s="14" t="str">
        <f>IF('Boletins Nuppa Site'!K1621&lt;&gt;0,'Boletins Nuppa Site'!K1621,"NULL")</f>
        <v xml:space="preserve"> 45.00</v>
      </c>
      <c r="I1621" t="str">
        <f t="shared" si="50"/>
        <v>INSERT INTO COTACAO (cot_id, cot_blt_id, cot_pap_id, cot_prc_comum, cot_prc_min, cot_prc_max, cot_prc_med, cot_prc_mediana) VALUES (1620, 78, 30,  45.00,  45.00,  70.00,  53.33,  45.00);</v>
      </c>
      <c r="J1621" t="str">
        <f t="shared" si="51"/>
        <v>UPDATE COTACAO SET cot_id = 1620, cot_blt_id = 78, cot_pap_id = 30, cot_prc_comum =  45.00, cot_prc_min =  45.00, cot_prc_max =  70.00, cot_prc_med =  53.33, cot_prc_mediana =  45.00 WHERE cot_id = 1620;</v>
      </c>
    </row>
    <row r="1622" spans="1:10" x14ac:dyDescent="0.3">
      <c r="A1622">
        <v>1621</v>
      </c>
      <c r="B1622">
        <f>IF('Boletins Nuppa Site'!A1622&lt;&gt;0,'Boletins Nuppa Site'!A1622,"NULL")</f>
        <v>78</v>
      </c>
      <c r="C1622">
        <v>31</v>
      </c>
      <c r="D1622" t="str">
        <f>IF('Boletins Nuppa Site'!G1622&lt;&gt;0,'Boletins Nuppa Site'!G1622,"NULL")</f>
        <v xml:space="preserve"> 60.00</v>
      </c>
      <c r="E1622" s="14" t="str">
        <f>IF('Boletins Nuppa Site'!H1622&lt;&gt;0,'Boletins Nuppa Site'!H1622,"NULL")</f>
        <v xml:space="preserve"> 50.00</v>
      </c>
      <c r="F1622" s="14" t="str">
        <f>IF('Boletins Nuppa Site'!I1622&lt;&gt;0,'Boletins Nuppa Site'!I1622,"NULL")</f>
        <v xml:space="preserve"> 60.00</v>
      </c>
      <c r="G1622" s="14" t="str">
        <f>IF('Boletins Nuppa Site'!J1622&lt;&gt;0,'Boletins Nuppa Site'!J1622,"NULL")</f>
        <v xml:space="preserve"> 57.50</v>
      </c>
      <c r="H1622" s="14" t="str">
        <f>IF('Boletins Nuppa Site'!K1622&lt;&gt;0,'Boletins Nuppa Site'!K1622,"NULL")</f>
        <v xml:space="preserve"> 60.00</v>
      </c>
      <c r="I1622" t="str">
        <f t="shared" si="50"/>
        <v>INSERT INTO COTACAO (cot_id, cot_blt_id, cot_pap_id, cot_prc_comum, cot_prc_min, cot_prc_max, cot_prc_med, cot_prc_mediana) VALUES (1621, 78, 31,  60.00,  50.00,  60.00,  57.50,  60.00);</v>
      </c>
      <c r="J1622" t="str">
        <f t="shared" si="51"/>
        <v>UPDATE COTACAO SET cot_id = 1621, cot_blt_id = 78, cot_pap_id = 31, cot_prc_comum =  60.00, cot_prc_min =  50.00, cot_prc_max =  60.00, cot_prc_med =  57.50, cot_prc_mediana =  60.00 WHERE cot_id = 1621;</v>
      </c>
    </row>
    <row r="1623" spans="1:10" x14ac:dyDescent="0.3">
      <c r="A1623">
        <v>1622</v>
      </c>
      <c r="B1623">
        <f>IF('Boletins Nuppa Site'!A1623&lt;&gt;0,'Boletins Nuppa Site'!A1623,"NULL")</f>
        <v>78</v>
      </c>
      <c r="C1623">
        <v>32</v>
      </c>
      <c r="D1623" t="str">
        <f>IF('Boletins Nuppa Site'!G1623&lt;&gt;0,'Boletins Nuppa Site'!G1623,"NULL")</f>
        <v xml:space="preserve"> 50.00</v>
      </c>
      <c r="E1623" s="14" t="str">
        <f>IF('Boletins Nuppa Site'!H1623&lt;&gt;0,'Boletins Nuppa Site'!H1623,"NULL")</f>
        <v xml:space="preserve"> 45.00</v>
      </c>
      <c r="F1623" s="14" t="str">
        <f>IF('Boletins Nuppa Site'!I1623&lt;&gt;0,'Boletins Nuppa Site'!I1623,"NULL")</f>
        <v xml:space="preserve"> 50.00</v>
      </c>
      <c r="G1623" s="14" t="str">
        <f>IF('Boletins Nuppa Site'!J1623&lt;&gt;0,'Boletins Nuppa Site'!J1623,"NULL")</f>
        <v xml:space="preserve"> 48.75</v>
      </c>
      <c r="H1623" s="14" t="str">
        <f>IF('Boletins Nuppa Site'!K1623&lt;&gt;0,'Boletins Nuppa Site'!K1623,"NULL")</f>
        <v xml:space="preserve"> 50.00</v>
      </c>
      <c r="I1623" t="str">
        <f t="shared" si="50"/>
        <v>INSERT INTO COTACAO (cot_id, cot_blt_id, cot_pap_id, cot_prc_comum, cot_prc_min, cot_prc_max, cot_prc_med, cot_prc_mediana) VALUES (1622, 78, 32,  50.00,  45.00,  50.00,  48.75,  50.00);</v>
      </c>
      <c r="J1623" t="str">
        <f t="shared" si="51"/>
        <v>UPDATE COTACAO SET cot_id = 1622, cot_blt_id = 78, cot_pap_id = 32, cot_prc_comum =  50.00, cot_prc_min =  45.00, cot_prc_max =  50.00, cot_prc_med =  48.75, cot_prc_mediana =  50.00 WHERE cot_id = 1622;</v>
      </c>
    </row>
    <row r="1624" spans="1:10" x14ac:dyDescent="0.3">
      <c r="A1624">
        <v>1623</v>
      </c>
      <c r="B1624">
        <f>IF('Boletins Nuppa Site'!A1624&lt;&gt;0,'Boletins Nuppa Site'!A1624,"NULL")</f>
        <v>78</v>
      </c>
      <c r="C1624">
        <v>33</v>
      </c>
      <c r="D1624" t="str">
        <f>IF('Boletins Nuppa Site'!G1624&lt;&gt;0,'Boletins Nuppa Site'!G1624,"NULL")</f>
        <v xml:space="preserve"> 180.00</v>
      </c>
      <c r="E1624" s="14" t="str">
        <f>IF('Boletins Nuppa Site'!H1624&lt;&gt;0,'Boletins Nuppa Site'!H1624,"NULL")</f>
        <v xml:space="preserve"> 180.00</v>
      </c>
      <c r="F1624" s="14" t="str">
        <f>IF('Boletins Nuppa Site'!I1624&lt;&gt;0,'Boletins Nuppa Site'!I1624,"NULL")</f>
        <v xml:space="preserve"> 180.00</v>
      </c>
      <c r="G1624" s="14" t="str">
        <f>IF('Boletins Nuppa Site'!J1624&lt;&gt;0,'Boletins Nuppa Site'!J1624,"NULL")</f>
        <v xml:space="preserve"> 180.00</v>
      </c>
      <c r="H1624" s="14" t="str">
        <f>IF('Boletins Nuppa Site'!K1624&lt;&gt;0,'Boletins Nuppa Site'!K1624,"NULL")</f>
        <v xml:space="preserve"> 180.00</v>
      </c>
      <c r="I1624" t="str">
        <f t="shared" si="50"/>
        <v>INSERT INTO COTACAO (cot_id, cot_blt_id, cot_pap_id, cot_prc_comum, cot_prc_min, cot_prc_max, cot_prc_med, cot_prc_mediana) VALUES (1623, 78, 33,  180.00,  180.00,  180.00,  180.00,  180.00);</v>
      </c>
      <c r="J1624" t="str">
        <f t="shared" si="51"/>
        <v>UPDATE COTACAO SET cot_id = 1623, cot_blt_id = 78, cot_pap_id = 33, cot_prc_comum =  180.00, cot_prc_min =  180.00, cot_prc_max =  180.00, cot_prc_med =  180.00, cot_prc_mediana =  180.00 WHERE cot_id = 1623;</v>
      </c>
    </row>
    <row r="1625" spans="1:10" x14ac:dyDescent="0.3">
      <c r="A1625">
        <v>1624</v>
      </c>
      <c r="B1625">
        <f>IF('Boletins Nuppa Site'!A1625&lt;&gt;0,'Boletins Nuppa Site'!A1625,"NULL")</f>
        <v>78</v>
      </c>
      <c r="C1625">
        <v>34</v>
      </c>
      <c r="D1625" t="str">
        <f>IF('Boletins Nuppa Site'!G1625&lt;&gt;0,'Boletins Nuppa Site'!G1625,"NULL")</f>
        <v xml:space="preserve"> 65.00</v>
      </c>
      <c r="E1625" s="14" t="str">
        <f>IF('Boletins Nuppa Site'!H1625&lt;&gt;0,'Boletins Nuppa Site'!H1625,"NULL")</f>
        <v xml:space="preserve"> 65.00</v>
      </c>
      <c r="F1625" s="14" t="str">
        <f>IF('Boletins Nuppa Site'!I1625&lt;&gt;0,'Boletins Nuppa Site'!I1625,"NULL")</f>
        <v xml:space="preserve"> 80.00</v>
      </c>
      <c r="G1625" s="14" t="str">
        <f>IF('Boletins Nuppa Site'!J1625&lt;&gt;0,'Boletins Nuppa Site'!J1625,"NULL")</f>
        <v xml:space="preserve"> 70.00</v>
      </c>
      <c r="H1625" s="14" t="str">
        <f>IF('Boletins Nuppa Site'!K1625&lt;&gt;0,'Boletins Nuppa Site'!K1625,"NULL")</f>
        <v xml:space="preserve"> 67.50</v>
      </c>
      <c r="I1625" t="str">
        <f t="shared" si="50"/>
        <v>INSERT INTO COTACAO (cot_id, cot_blt_id, cot_pap_id, cot_prc_comum, cot_prc_min, cot_prc_max, cot_prc_med, cot_prc_mediana) VALUES (1624, 78, 34,  65.00,  65.00,  80.00,  70.00,  67.50);</v>
      </c>
      <c r="J1625" t="str">
        <f t="shared" si="51"/>
        <v>UPDATE COTACAO SET cot_id = 1624, cot_blt_id = 78, cot_pap_id = 34, cot_prc_comum =  65.00, cot_prc_min =  65.00, cot_prc_max =  80.00, cot_prc_med =  70.00, cot_prc_mediana =  67.50 WHERE cot_id = 1624;</v>
      </c>
    </row>
    <row r="1626" spans="1:10" x14ac:dyDescent="0.3">
      <c r="A1626">
        <v>1625</v>
      </c>
      <c r="B1626">
        <f>IF('Boletins Nuppa Site'!A1626&lt;&gt;0,'Boletins Nuppa Site'!A1626,"NULL")</f>
        <v>78</v>
      </c>
      <c r="C1626">
        <v>35</v>
      </c>
      <c r="D1626" t="str">
        <f>IF('Boletins Nuppa Site'!G1626&lt;&gt;0,'Boletins Nuppa Site'!G1626,"NULL")</f>
        <v xml:space="preserve"> 50.00</v>
      </c>
      <c r="E1626" s="14" t="str">
        <f>IF('Boletins Nuppa Site'!H1626&lt;&gt;0,'Boletins Nuppa Site'!H1626,"NULL")</f>
        <v xml:space="preserve"> 50.00</v>
      </c>
      <c r="F1626" s="14" t="str">
        <f>IF('Boletins Nuppa Site'!I1626&lt;&gt;0,'Boletins Nuppa Site'!I1626,"NULL")</f>
        <v xml:space="preserve"> 80.00</v>
      </c>
      <c r="G1626" s="14" t="str">
        <f>IF('Boletins Nuppa Site'!J1626&lt;&gt;0,'Boletins Nuppa Site'!J1626,"NULL")</f>
        <v xml:space="preserve"> 60.00</v>
      </c>
      <c r="H1626" s="14" t="str">
        <f>IF('Boletins Nuppa Site'!K1626&lt;&gt;0,'Boletins Nuppa Site'!K1626,"NULL")</f>
        <v xml:space="preserve"> 55.00</v>
      </c>
      <c r="I1626" t="str">
        <f t="shared" si="50"/>
        <v>INSERT INTO COTACAO (cot_id, cot_blt_id, cot_pap_id, cot_prc_comum, cot_prc_min, cot_prc_max, cot_prc_med, cot_prc_mediana) VALUES (1625, 78, 35,  50.00,  50.00,  80.00,  60.00,  55.00);</v>
      </c>
      <c r="J1626" t="str">
        <f t="shared" si="51"/>
        <v>UPDATE COTACAO SET cot_id = 1625, cot_blt_id = 78, cot_pap_id = 35, cot_prc_comum =  50.00, cot_prc_min =  50.00, cot_prc_max =  80.00, cot_prc_med =  60.00, cot_prc_mediana =  55.00 WHERE cot_id = 1625;</v>
      </c>
    </row>
    <row r="1627" spans="1:10" x14ac:dyDescent="0.3">
      <c r="A1627">
        <v>1626</v>
      </c>
      <c r="B1627">
        <f>IF('Boletins Nuppa Site'!A1627&lt;&gt;0,'Boletins Nuppa Site'!A1627,"NULL")</f>
        <v>78</v>
      </c>
      <c r="C1627">
        <v>36</v>
      </c>
      <c r="D1627" t="str">
        <f>IF('Boletins Nuppa Site'!G1627&lt;&gt;0,'Boletins Nuppa Site'!G1627,"NULL")</f>
        <v>NULL</v>
      </c>
      <c r="E1627" s="14" t="str">
        <f>IF('Boletins Nuppa Site'!H1627&lt;&gt;0,'Boletins Nuppa Site'!H1627,"NULL")</f>
        <v>NULL</v>
      </c>
      <c r="F1627" s="14" t="str">
        <f>IF('Boletins Nuppa Site'!I1627&lt;&gt;0,'Boletins Nuppa Site'!I1627,"NULL")</f>
        <v>NULL</v>
      </c>
      <c r="G1627" s="14" t="str">
        <f>IF('Boletins Nuppa Site'!J1627&lt;&gt;0,'Boletins Nuppa Site'!J1627,"NULL")</f>
        <v>NULL</v>
      </c>
      <c r="H1627" s="14" t="str">
        <f>IF('Boletins Nuppa Site'!K1627&lt;&gt;0,'Boletins Nuppa Site'!K1627,"NULL")</f>
        <v>NULL</v>
      </c>
      <c r="I1627" t="str">
        <f t="shared" si="50"/>
        <v>INSERT INTO COTACAO (cot_id, cot_blt_id, cot_pap_id, cot_prc_comum, cot_prc_min, cot_prc_max, cot_prc_med, cot_prc_mediana) VALUES (1626, 78, 36, NULL, NULL, NULL, NULL, NULL);</v>
      </c>
      <c r="J1627" t="str">
        <f t="shared" si="51"/>
        <v>UPDATE COTACAO SET cot_id = 1626, cot_blt_id = 78, cot_pap_id = 36, cot_prc_comum = NULL, cot_prc_min = NULL, cot_prc_max = NULL, cot_prc_med = NULL, cot_prc_mediana = NULL WHERE cot_id = 1626;</v>
      </c>
    </row>
    <row r="1628" spans="1:10" x14ac:dyDescent="0.3">
      <c r="A1628">
        <v>1627</v>
      </c>
      <c r="B1628">
        <f>IF('Boletins Nuppa Site'!A1628&lt;&gt;0,'Boletins Nuppa Site'!A1628,"NULL")</f>
        <v>78</v>
      </c>
      <c r="C1628">
        <v>37</v>
      </c>
      <c r="D1628" t="str">
        <f>IF('Boletins Nuppa Site'!G1628&lt;&gt;0,'Boletins Nuppa Site'!G1628,"NULL")</f>
        <v>NULL</v>
      </c>
      <c r="E1628" s="14" t="str">
        <f>IF('Boletins Nuppa Site'!H1628&lt;&gt;0,'Boletins Nuppa Site'!H1628,"NULL")</f>
        <v>NULL</v>
      </c>
      <c r="F1628" s="14" t="str">
        <f>IF('Boletins Nuppa Site'!I1628&lt;&gt;0,'Boletins Nuppa Site'!I1628,"NULL")</f>
        <v>NULL</v>
      </c>
      <c r="G1628" s="14" t="str">
        <f>IF('Boletins Nuppa Site'!J1628&lt;&gt;0,'Boletins Nuppa Site'!J1628,"NULL")</f>
        <v>NULL</v>
      </c>
      <c r="H1628" s="14" t="str">
        <f>IF('Boletins Nuppa Site'!K1628&lt;&gt;0,'Boletins Nuppa Site'!K1628,"NULL")</f>
        <v>NULL</v>
      </c>
      <c r="I1628" t="str">
        <f t="shared" si="50"/>
        <v>INSERT INTO COTACAO (cot_id, cot_blt_id, cot_pap_id, cot_prc_comum, cot_prc_min, cot_prc_max, cot_prc_med, cot_prc_mediana) VALUES (1627, 78, 37, NULL, NULL, NULL, NULL, NULL);</v>
      </c>
      <c r="J1628" t="str">
        <f t="shared" si="51"/>
        <v>UPDATE COTACAO SET cot_id = 1627, cot_blt_id = 78, cot_pap_id = 37, cot_prc_comum = NULL, cot_prc_min = NULL, cot_prc_max = NULL, cot_prc_med = NULL, cot_prc_mediana = NULL WHERE cot_id = 1627;</v>
      </c>
    </row>
    <row r="1629" spans="1:10" x14ac:dyDescent="0.3">
      <c r="A1629">
        <v>1628</v>
      </c>
      <c r="B1629">
        <f>IF('Boletins Nuppa Site'!A1629&lt;&gt;0,'Boletins Nuppa Site'!A1629,"NULL")</f>
        <v>78</v>
      </c>
      <c r="C1629">
        <v>38</v>
      </c>
      <c r="D1629" t="str">
        <f>IF('Boletins Nuppa Site'!G1629&lt;&gt;0,'Boletins Nuppa Site'!G1629,"NULL")</f>
        <v>NULL</v>
      </c>
      <c r="E1629" s="14" t="str">
        <f>IF('Boletins Nuppa Site'!H1629&lt;&gt;0,'Boletins Nuppa Site'!H1629,"NULL")</f>
        <v>NULL</v>
      </c>
      <c r="F1629" s="14" t="str">
        <f>IF('Boletins Nuppa Site'!I1629&lt;&gt;0,'Boletins Nuppa Site'!I1629,"NULL")</f>
        <v>NULL</v>
      </c>
      <c r="G1629" s="14" t="str">
        <f>IF('Boletins Nuppa Site'!J1629&lt;&gt;0,'Boletins Nuppa Site'!J1629,"NULL")</f>
        <v>NULL</v>
      </c>
      <c r="H1629" s="14" t="str">
        <f>IF('Boletins Nuppa Site'!K1629&lt;&gt;0,'Boletins Nuppa Site'!K1629,"NULL")</f>
        <v>NULL</v>
      </c>
      <c r="I1629" t="str">
        <f t="shared" si="50"/>
        <v>INSERT INTO COTACAO (cot_id, cot_blt_id, cot_pap_id, cot_prc_comum, cot_prc_min, cot_prc_max, cot_prc_med, cot_prc_mediana) VALUES (1628, 78, 38, NULL, NULL, NULL, NULL, NULL);</v>
      </c>
      <c r="J1629" t="str">
        <f t="shared" si="51"/>
        <v>UPDATE COTACAO SET cot_id = 1628, cot_blt_id = 78, cot_pap_id = 38, cot_prc_comum = NULL, cot_prc_min = NULL, cot_prc_max = NULL, cot_prc_med = NULL, cot_prc_mediana = NULL WHERE cot_id = 1628;</v>
      </c>
    </row>
    <row r="1630" spans="1:10" x14ac:dyDescent="0.3">
      <c r="A1630">
        <v>1629</v>
      </c>
      <c r="B1630">
        <f>IF('Boletins Nuppa Site'!A1630&lt;&gt;0,'Boletins Nuppa Site'!A1630,"NULL")</f>
        <v>78</v>
      </c>
      <c r="C1630">
        <v>39</v>
      </c>
      <c r="D1630" t="str">
        <f>IF('Boletins Nuppa Site'!G1630&lt;&gt;0,'Boletins Nuppa Site'!G1630,"NULL")</f>
        <v xml:space="preserve"> 60.00</v>
      </c>
      <c r="E1630" s="14" t="str">
        <f>IF('Boletins Nuppa Site'!H1630&lt;&gt;0,'Boletins Nuppa Site'!H1630,"NULL")</f>
        <v xml:space="preserve"> 60.00</v>
      </c>
      <c r="F1630" s="14" t="str">
        <f>IF('Boletins Nuppa Site'!I1630&lt;&gt;0,'Boletins Nuppa Site'!I1630,"NULL")</f>
        <v xml:space="preserve"> 60.00</v>
      </c>
      <c r="G1630" s="14" t="str">
        <f>IF('Boletins Nuppa Site'!J1630&lt;&gt;0,'Boletins Nuppa Site'!J1630,"NULL")</f>
        <v xml:space="preserve"> 60.00</v>
      </c>
      <c r="H1630" s="14" t="str">
        <f>IF('Boletins Nuppa Site'!K1630&lt;&gt;0,'Boletins Nuppa Site'!K1630,"NULL")</f>
        <v xml:space="preserve"> 60.00</v>
      </c>
      <c r="I1630" t="str">
        <f t="shared" si="50"/>
        <v>INSERT INTO COTACAO (cot_id, cot_blt_id, cot_pap_id, cot_prc_comum, cot_prc_min, cot_prc_max, cot_prc_med, cot_prc_mediana) VALUES (1629, 78, 39,  60.00,  60.00,  60.00,  60.00,  60.00);</v>
      </c>
      <c r="J1630" t="str">
        <f t="shared" si="51"/>
        <v>UPDATE COTACAO SET cot_id = 1629, cot_blt_id = 78, cot_pap_id = 39, cot_prc_comum =  60.00, cot_prc_min =  60.00, cot_prc_max =  60.00, cot_prc_med =  60.00, cot_prc_mediana =  60.00 WHERE cot_id = 1629;</v>
      </c>
    </row>
    <row r="1631" spans="1:10" x14ac:dyDescent="0.3">
      <c r="A1631">
        <v>1630</v>
      </c>
      <c r="B1631">
        <f>IF('Boletins Nuppa Site'!A1631&lt;&gt;0,'Boletins Nuppa Site'!A1631,"NULL")</f>
        <v>78</v>
      </c>
      <c r="C1631">
        <v>40</v>
      </c>
      <c r="D1631" t="str">
        <f>IF('Boletins Nuppa Site'!G1631&lt;&gt;0,'Boletins Nuppa Site'!G1631,"NULL")</f>
        <v>NULL</v>
      </c>
      <c r="E1631" s="14" t="str">
        <f>IF('Boletins Nuppa Site'!H1631&lt;&gt;0,'Boletins Nuppa Site'!H1631,"NULL")</f>
        <v>NULL</v>
      </c>
      <c r="F1631" s="14" t="str">
        <f>IF('Boletins Nuppa Site'!I1631&lt;&gt;0,'Boletins Nuppa Site'!I1631,"NULL")</f>
        <v>NULL</v>
      </c>
      <c r="G1631" s="14" t="str">
        <f>IF('Boletins Nuppa Site'!J1631&lt;&gt;0,'Boletins Nuppa Site'!J1631,"NULL")</f>
        <v>NULL</v>
      </c>
      <c r="H1631" s="14" t="str">
        <f>IF('Boletins Nuppa Site'!K1631&lt;&gt;0,'Boletins Nuppa Site'!K1631,"NULL")</f>
        <v>NULL</v>
      </c>
      <c r="I1631" t="str">
        <f t="shared" si="50"/>
        <v>INSERT INTO COTACAO (cot_id, cot_blt_id, cot_pap_id, cot_prc_comum, cot_prc_min, cot_prc_max, cot_prc_med, cot_prc_mediana) VALUES (1630, 78, 40, NULL, NULL, NULL, NULL, NULL);</v>
      </c>
      <c r="J1631" t="str">
        <f t="shared" si="51"/>
        <v>UPDATE COTACAO SET cot_id = 1630, cot_blt_id = 78, cot_pap_id = 40, cot_prc_comum = NULL, cot_prc_min = NULL, cot_prc_max = NULL, cot_prc_med = NULL, cot_prc_mediana = NULL WHERE cot_id = 1630;</v>
      </c>
    </row>
    <row r="1632" spans="1:10" x14ac:dyDescent="0.3">
      <c r="A1632">
        <v>1631</v>
      </c>
      <c r="B1632">
        <f>IF('Boletins Nuppa Site'!A1632&lt;&gt;0,'Boletins Nuppa Site'!A1632,"NULL")</f>
        <v>79</v>
      </c>
      <c r="C1632">
        <v>1</v>
      </c>
      <c r="D1632">
        <f>IF('Boletins Nuppa Site'!G1632&lt;&gt;0,'Boletins Nuppa Site'!G1632,"NULL")</f>
        <v>60</v>
      </c>
      <c r="E1632" s="14">
        <f>IF('Boletins Nuppa Site'!H1632&lt;&gt;0,'Boletins Nuppa Site'!H1632,"NULL")</f>
        <v>48</v>
      </c>
      <c r="F1632" s="14">
        <f>IF('Boletins Nuppa Site'!I1632&lt;&gt;0,'Boletins Nuppa Site'!I1632,"NULL")</f>
        <v>60</v>
      </c>
      <c r="G1632" s="14">
        <f>IF('Boletins Nuppa Site'!J1632&lt;&gt;0,'Boletins Nuppa Site'!J1632,"NULL")</f>
        <v>56</v>
      </c>
      <c r="H1632" s="14">
        <f>IF('Boletins Nuppa Site'!K1632&lt;&gt;0,'Boletins Nuppa Site'!K1632,"NULL")</f>
        <v>60</v>
      </c>
      <c r="I1632" t="str">
        <f t="shared" si="50"/>
        <v>INSERT INTO COTACAO (cot_id, cot_blt_id, cot_pap_id, cot_prc_comum, cot_prc_min, cot_prc_max, cot_prc_med, cot_prc_mediana) VALUES (1631, 79, 1, 60, 48, 60, 56, 60);</v>
      </c>
      <c r="J1632" t="str">
        <f t="shared" si="51"/>
        <v>UPDATE COTACAO SET cot_id = 1631, cot_blt_id = 79, cot_pap_id = 1, cot_prc_comum = 60, cot_prc_min = 48, cot_prc_max = 60, cot_prc_med = 56, cot_prc_mediana = 60 WHERE cot_id = 1631;</v>
      </c>
    </row>
    <row r="1633" spans="1:10" x14ac:dyDescent="0.3">
      <c r="A1633">
        <v>1632</v>
      </c>
      <c r="B1633">
        <f>IF('Boletins Nuppa Site'!A1633&lt;&gt;0,'Boletins Nuppa Site'!A1633,"NULL")</f>
        <v>79</v>
      </c>
      <c r="C1633">
        <v>2</v>
      </c>
      <c r="D1633" t="str">
        <f>IF('Boletins Nuppa Site'!G1633&lt;&gt;0,'Boletins Nuppa Site'!G1633,"NULL")</f>
        <v>NULL</v>
      </c>
      <c r="E1633" s="14">
        <f>IF('Boletins Nuppa Site'!H1633&lt;&gt;0,'Boletins Nuppa Site'!H1633,"NULL")</f>
        <v>84</v>
      </c>
      <c r="F1633" s="14">
        <f>IF('Boletins Nuppa Site'!I1633&lt;&gt;0,'Boletins Nuppa Site'!I1633,"NULL")</f>
        <v>90</v>
      </c>
      <c r="G1633" s="14">
        <f>IF('Boletins Nuppa Site'!J1633&lt;&gt;0,'Boletins Nuppa Site'!J1633,"NULL")</f>
        <v>87</v>
      </c>
      <c r="H1633" s="14">
        <f>IF('Boletins Nuppa Site'!K1633&lt;&gt;0,'Boletins Nuppa Site'!K1633,"NULL")</f>
        <v>87</v>
      </c>
      <c r="I1633" t="str">
        <f t="shared" si="50"/>
        <v>INSERT INTO COTACAO (cot_id, cot_blt_id, cot_pap_id, cot_prc_comum, cot_prc_min, cot_prc_max, cot_prc_med, cot_prc_mediana) VALUES (1632, 79, 2, NULL, 84, 90, 87, 87);</v>
      </c>
      <c r="J1633" t="str">
        <f t="shared" si="51"/>
        <v>UPDATE COTACAO SET cot_id = 1632, cot_blt_id = 79, cot_pap_id = 2, cot_prc_comum = NULL, cot_prc_min = 84, cot_prc_max = 90, cot_prc_med = 87, cot_prc_mediana = 87 WHERE cot_id = 1632;</v>
      </c>
    </row>
    <row r="1634" spans="1:10" x14ac:dyDescent="0.3">
      <c r="A1634">
        <v>1633</v>
      </c>
      <c r="B1634">
        <f>IF('Boletins Nuppa Site'!A1634&lt;&gt;0,'Boletins Nuppa Site'!A1634,"NULL")</f>
        <v>79</v>
      </c>
      <c r="C1634">
        <v>3</v>
      </c>
      <c r="D1634" t="str">
        <f>IF('Boletins Nuppa Site'!G1634&lt;&gt;0,'Boletins Nuppa Site'!G1634,"NULL")</f>
        <v>NULL</v>
      </c>
      <c r="E1634" s="14">
        <f>IF('Boletins Nuppa Site'!H1634&lt;&gt;0,'Boletins Nuppa Site'!H1634,"NULL")</f>
        <v>45</v>
      </c>
      <c r="F1634" s="14">
        <f>IF('Boletins Nuppa Site'!I1634&lt;&gt;0,'Boletins Nuppa Site'!I1634,"NULL")</f>
        <v>60</v>
      </c>
      <c r="G1634" s="14">
        <f>IF('Boletins Nuppa Site'!J1634&lt;&gt;0,'Boletins Nuppa Site'!J1634,"NULL")</f>
        <v>51</v>
      </c>
      <c r="H1634" s="14">
        <f>IF('Boletins Nuppa Site'!K1634&lt;&gt;0,'Boletins Nuppa Site'!K1634,"NULL")</f>
        <v>48</v>
      </c>
      <c r="I1634" t="str">
        <f t="shared" si="50"/>
        <v>INSERT INTO COTACAO (cot_id, cot_blt_id, cot_pap_id, cot_prc_comum, cot_prc_min, cot_prc_max, cot_prc_med, cot_prc_mediana) VALUES (1633, 79, 3, NULL, 45, 60, 51, 48);</v>
      </c>
      <c r="J1634" t="str">
        <f t="shared" si="51"/>
        <v>UPDATE COTACAO SET cot_id = 1633, cot_blt_id = 79, cot_pap_id = 3, cot_prc_comum = NULL, cot_prc_min = 45, cot_prc_max = 60, cot_prc_med = 51, cot_prc_mediana = 48 WHERE cot_id = 1633;</v>
      </c>
    </row>
    <row r="1635" spans="1:10" x14ac:dyDescent="0.3">
      <c r="A1635">
        <v>1634</v>
      </c>
      <c r="B1635">
        <f>IF('Boletins Nuppa Site'!A1635&lt;&gt;0,'Boletins Nuppa Site'!A1635,"NULL")</f>
        <v>79</v>
      </c>
      <c r="C1635">
        <v>4</v>
      </c>
      <c r="D1635" t="str">
        <f>IF('Boletins Nuppa Site'!G1635&lt;&gt;0,'Boletins Nuppa Site'!G1635,"NULL")</f>
        <v>NULL</v>
      </c>
      <c r="E1635" s="14">
        <f>IF('Boletins Nuppa Site'!H1635&lt;&gt;0,'Boletins Nuppa Site'!H1635,"NULL")</f>
        <v>30</v>
      </c>
      <c r="F1635" s="14">
        <f>IF('Boletins Nuppa Site'!I1635&lt;&gt;0,'Boletins Nuppa Site'!I1635,"NULL")</f>
        <v>36</v>
      </c>
      <c r="G1635" s="14">
        <f>IF('Boletins Nuppa Site'!J1635&lt;&gt;0,'Boletins Nuppa Site'!J1635,"NULL")</f>
        <v>33666667</v>
      </c>
      <c r="H1635" s="14">
        <f>IF('Boletins Nuppa Site'!K1635&lt;&gt;0,'Boletins Nuppa Site'!K1635,"NULL")</f>
        <v>35</v>
      </c>
      <c r="I1635" t="str">
        <f t="shared" si="50"/>
        <v>INSERT INTO COTACAO (cot_id, cot_blt_id, cot_pap_id, cot_prc_comum, cot_prc_min, cot_prc_max, cot_prc_med, cot_prc_mediana) VALUES (1634, 79, 4, NULL, 30, 36, 33666667, 35);</v>
      </c>
      <c r="J1635" t="str">
        <f t="shared" si="51"/>
        <v>UPDATE COTACAO SET cot_id = 1634, cot_blt_id = 79, cot_pap_id = 4, cot_prc_comum = NULL, cot_prc_min = 30, cot_prc_max = 36, cot_prc_med = 33666667, cot_prc_mediana = 35 WHERE cot_id = 1634;</v>
      </c>
    </row>
    <row r="1636" spans="1:10" x14ac:dyDescent="0.3">
      <c r="A1636">
        <v>1635</v>
      </c>
      <c r="B1636">
        <f>IF('Boletins Nuppa Site'!A1636&lt;&gt;0,'Boletins Nuppa Site'!A1636,"NULL")</f>
        <v>79</v>
      </c>
      <c r="C1636">
        <v>5</v>
      </c>
      <c r="D1636" t="str">
        <f>IF('Boletins Nuppa Site'!G1636&lt;&gt;0,'Boletins Nuppa Site'!G1636,"NULL")</f>
        <v>NULL</v>
      </c>
      <c r="E1636" s="14">
        <f>IF('Boletins Nuppa Site'!H1636&lt;&gt;0,'Boletins Nuppa Site'!H1636,"NULL")</f>
        <v>35</v>
      </c>
      <c r="F1636" s="14">
        <f>IF('Boletins Nuppa Site'!I1636&lt;&gt;0,'Boletins Nuppa Site'!I1636,"NULL")</f>
        <v>36</v>
      </c>
      <c r="G1636" s="14" t="str">
        <f>IF('Boletins Nuppa Site'!J1636&lt;&gt;0,'Boletins Nuppa Site'!J1636,"NULL")</f>
        <v>35.5</v>
      </c>
      <c r="H1636" s="14" t="str">
        <f>IF('Boletins Nuppa Site'!K1636&lt;&gt;0,'Boletins Nuppa Site'!K1636,"NULL")</f>
        <v>35.5</v>
      </c>
      <c r="I1636" t="str">
        <f t="shared" si="50"/>
        <v>INSERT INTO COTACAO (cot_id, cot_blt_id, cot_pap_id, cot_prc_comum, cot_prc_min, cot_prc_max, cot_prc_med, cot_prc_mediana) VALUES (1635, 79, 5, NULL, 35, 36, 35.5, 35.5);</v>
      </c>
      <c r="J1636" t="str">
        <f t="shared" si="51"/>
        <v>UPDATE COTACAO SET cot_id = 1635, cot_blt_id = 79, cot_pap_id = 5, cot_prc_comum = NULL, cot_prc_min = 35, cot_prc_max = 36, cot_prc_med = 35.5, cot_prc_mediana = 35.5 WHERE cot_id = 1635;</v>
      </c>
    </row>
    <row r="1637" spans="1:10" x14ac:dyDescent="0.3">
      <c r="A1637">
        <v>1636</v>
      </c>
      <c r="B1637">
        <f>IF('Boletins Nuppa Site'!A1637&lt;&gt;0,'Boletins Nuppa Site'!A1637,"NULL")</f>
        <v>79</v>
      </c>
      <c r="C1637">
        <v>6</v>
      </c>
      <c r="D1637" t="str">
        <f>IF('Boletins Nuppa Site'!G1637&lt;&gt;0,'Boletins Nuppa Site'!G1637,"NULL")</f>
        <v>NULL</v>
      </c>
      <c r="E1637" s="14">
        <f>IF('Boletins Nuppa Site'!H1637&lt;&gt;0,'Boletins Nuppa Site'!H1637,"NULL")</f>
        <v>66</v>
      </c>
      <c r="F1637" s="14">
        <f>IF('Boletins Nuppa Site'!I1637&lt;&gt;0,'Boletins Nuppa Site'!I1637,"NULL")</f>
        <v>72</v>
      </c>
      <c r="G1637" s="14">
        <f>IF('Boletins Nuppa Site'!J1637&lt;&gt;0,'Boletins Nuppa Site'!J1637,"NULL")</f>
        <v>69</v>
      </c>
      <c r="H1637" s="14">
        <f>IF('Boletins Nuppa Site'!K1637&lt;&gt;0,'Boletins Nuppa Site'!K1637,"NULL")</f>
        <v>69</v>
      </c>
      <c r="I1637" t="str">
        <f t="shared" si="50"/>
        <v>INSERT INTO COTACAO (cot_id, cot_blt_id, cot_pap_id, cot_prc_comum, cot_prc_min, cot_prc_max, cot_prc_med, cot_prc_mediana) VALUES (1636, 79, 6, NULL, 66, 72, 69, 69);</v>
      </c>
      <c r="J1637" t="str">
        <f t="shared" si="51"/>
        <v>UPDATE COTACAO SET cot_id = 1636, cot_blt_id = 79, cot_pap_id = 6, cot_prc_comum = NULL, cot_prc_min = 66, cot_prc_max = 72, cot_prc_med = 69, cot_prc_mediana = 69 WHERE cot_id = 1636;</v>
      </c>
    </row>
    <row r="1638" spans="1:10" x14ac:dyDescent="0.3">
      <c r="A1638">
        <v>1637</v>
      </c>
      <c r="B1638">
        <f>IF('Boletins Nuppa Site'!A1638&lt;&gt;0,'Boletins Nuppa Site'!A1638,"NULL")</f>
        <v>79</v>
      </c>
      <c r="C1638">
        <v>7</v>
      </c>
      <c r="D1638">
        <f>IF('Boletins Nuppa Site'!G1638&lt;&gt;0,'Boletins Nuppa Site'!G1638,"NULL")</f>
        <v>60</v>
      </c>
      <c r="E1638" s="14">
        <f>IF('Boletins Nuppa Site'!H1638&lt;&gt;0,'Boletins Nuppa Site'!H1638,"NULL")</f>
        <v>60</v>
      </c>
      <c r="F1638" s="14">
        <f>IF('Boletins Nuppa Site'!I1638&lt;&gt;0,'Boletins Nuppa Site'!I1638,"NULL")</f>
        <v>78</v>
      </c>
      <c r="G1638" s="14">
        <f>IF('Boletins Nuppa Site'!J1638&lt;&gt;0,'Boletins Nuppa Site'!J1638,"NULL")</f>
        <v>66</v>
      </c>
      <c r="H1638" s="14">
        <f>IF('Boletins Nuppa Site'!K1638&lt;&gt;0,'Boletins Nuppa Site'!K1638,"NULL")</f>
        <v>60</v>
      </c>
      <c r="I1638" t="str">
        <f t="shared" si="50"/>
        <v>INSERT INTO COTACAO (cot_id, cot_blt_id, cot_pap_id, cot_prc_comum, cot_prc_min, cot_prc_max, cot_prc_med, cot_prc_mediana) VALUES (1637, 79, 7, 60, 60, 78, 66, 60);</v>
      </c>
      <c r="J1638" t="str">
        <f t="shared" si="51"/>
        <v>UPDATE COTACAO SET cot_id = 1637, cot_blt_id = 79, cot_pap_id = 7, cot_prc_comum = 60, cot_prc_min = 60, cot_prc_max = 78, cot_prc_med = 66, cot_prc_mediana = 60 WHERE cot_id = 1637;</v>
      </c>
    </row>
    <row r="1639" spans="1:10" x14ac:dyDescent="0.3">
      <c r="A1639">
        <v>1638</v>
      </c>
      <c r="B1639">
        <f>IF('Boletins Nuppa Site'!A1639&lt;&gt;0,'Boletins Nuppa Site'!A1639,"NULL")</f>
        <v>79</v>
      </c>
      <c r="C1639">
        <v>8</v>
      </c>
      <c r="D1639">
        <f>IF('Boletins Nuppa Site'!G1639&lt;&gt;0,'Boletins Nuppa Site'!G1639,"NULL")</f>
        <v>72</v>
      </c>
      <c r="E1639" s="14">
        <f>IF('Boletins Nuppa Site'!H1639&lt;&gt;0,'Boletins Nuppa Site'!H1639,"NULL")</f>
        <v>72</v>
      </c>
      <c r="F1639" s="14">
        <f>IF('Boletins Nuppa Site'!I1639&lt;&gt;0,'Boletins Nuppa Site'!I1639,"NULL")</f>
        <v>84</v>
      </c>
      <c r="G1639" s="14">
        <f>IF('Boletins Nuppa Site'!J1639&lt;&gt;0,'Boletins Nuppa Site'!J1639,"NULL")</f>
        <v>76</v>
      </c>
      <c r="H1639" s="14">
        <f>IF('Boletins Nuppa Site'!K1639&lt;&gt;0,'Boletins Nuppa Site'!K1639,"NULL")</f>
        <v>72</v>
      </c>
      <c r="I1639" t="str">
        <f t="shared" si="50"/>
        <v>INSERT INTO COTACAO (cot_id, cot_blt_id, cot_pap_id, cot_prc_comum, cot_prc_min, cot_prc_max, cot_prc_med, cot_prc_mediana) VALUES (1638, 79, 8, 72, 72, 84, 76, 72);</v>
      </c>
      <c r="J1639" t="str">
        <f t="shared" si="51"/>
        <v>UPDATE COTACAO SET cot_id = 1638, cot_blt_id = 79, cot_pap_id = 8, cot_prc_comum = 72, cot_prc_min = 72, cot_prc_max = 84, cot_prc_med = 76, cot_prc_mediana = 72 WHERE cot_id = 1638;</v>
      </c>
    </row>
    <row r="1640" spans="1:10" x14ac:dyDescent="0.3">
      <c r="A1640">
        <v>1639</v>
      </c>
      <c r="B1640">
        <f>IF('Boletins Nuppa Site'!A1640&lt;&gt;0,'Boletins Nuppa Site'!A1640,"NULL")</f>
        <v>79</v>
      </c>
      <c r="C1640">
        <v>9</v>
      </c>
      <c r="D1640">
        <f>IF('Boletins Nuppa Site'!G1640&lt;&gt;0,'Boletins Nuppa Site'!G1640,"NULL")</f>
        <v>24</v>
      </c>
      <c r="E1640" s="14">
        <f>IF('Boletins Nuppa Site'!H1640&lt;&gt;0,'Boletins Nuppa Site'!H1640,"NULL")</f>
        <v>18</v>
      </c>
      <c r="F1640" s="14">
        <f>IF('Boletins Nuppa Site'!I1640&lt;&gt;0,'Boletins Nuppa Site'!I1640,"NULL")</f>
        <v>24</v>
      </c>
      <c r="G1640" s="14">
        <f>IF('Boletins Nuppa Site'!J1640&lt;&gt;0,'Boletins Nuppa Site'!J1640,"NULL")</f>
        <v>22</v>
      </c>
      <c r="H1640" s="14">
        <f>IF('Boletins Nuppa Site'!K1640&lt;&gt;0,'Boletins Nuppa Site'!K1640,"NULL")</f>
        <v>24</v>
      </c>
      <c r="I1640" t="str">
        <f t="shared" si="50"/>
        <v>INSERT INTO COTACAO (cot_id, cot_blt_id, cot_pap_id, cot_prc_comum, cot_prc_min, cot_prc_max, cot_prc_med, cot_prc_mediana) VALUES (1639, 79, 9, 24, 18, 24, 22, 24);</v>
      </c>
      <c r="J1640" t="str">
        <f t="shared" si="51"/>
        <v>UPDATE COTACAO SET cot_id = 1639, cot_blt_id = 79, cot_pap_id = 9, cot_prc_comum = 24, cot_prc_min = 18, cot_prc_max = 24, cot_prc_med = 22, cot_prc_mediana = 24 WHERE cot_id = 1639;</v>
      </c>
    </row>
    <row r="1641" spans="1:10" x14ac:dyDescent="0.3">
      <c r="A1641">
        <v>1640</v>
      </c>
      <c r="B1641">
        <f>IF('Boletins Nuppa Site'!A1641&lt;&gt;0,'Boletins Nuppa Site'!A1641,"NULL")</f>
        <v>79</v>
      </c>
      <c r="C1641">
        <v>10</v>
      </c>
      <c r="D1641" t="str">
        <f>IF('Boletins Nuppa Site'!G1641&lt;&gt;0,'Boletins Nuppa Site'!G1641,"NULL")</f>
        <v>NULL</v>
      </c>
      <c r="E1641" s="14">
        <f>IF('Boletins Nuppa Site'!H1641&lt;&gt;0,'Boletins Nuppa Site'!H1641,"NULL")</f>
        <v>72</v>
      </c>
      <c r="F1641" s="14">
        <f>IF('Boletins Nuppa Site'!I1641&lt;&gt;0,'Boletins Nuppa Site'!I1641,"NULL")</f>
        <v>84</v>
      </c>
      <c r="G1641" s="14">
        <f>IF('Boletins Nuppa Site'!J1641&lt;&gt;0,'Boletins Nuppa Site'!J1641,"NULL")</f>
        <v>78</v>
      </c>
      <c r="H1641" s="14">
        <f>IF('Boletins Nuppa Site'!K1641&lt;&gt;0,'Boletins Nuppa Site'!K1641,"NULL")</f>
        <v>78</v>
      </c>
      <c r="I1641" t="str">
        <f t="shared" si="50"/>
        <v>INSERT INTO COTACAO (cot_id, cot_blt_id, cot_pap_id, cot_prc_comum, cot_prc_min, cot_prc_max, cot_prc_med, cot_prc_mediana) VALUES (1640, 79, 10, NULL, 72, 84, 78, 78);</v>
      </c>
      <c r="J1641" t="str">
        <f t="shared" si="51"/>
        <v>UPDATE COTACAO SET cot_id = 1640, cot_blt_id = 79, cot_pap_id = 10, cot_prc_comum = NULL, cot_prc_min = 72, cot_prc_max = 84, cot_prc_med = 78, cot_prc_mediana = 78 WHERE cot_id = 1640;</v>
      </c>
    </row>
    <row r="1642" spans="1:10" x14ac:dyDescent="0.3">
      <c r="A1642">
        <v>1641</v>
      </c>
      <c r="B1642">
        <f>IF('Boletins Nuppa Site'!A1642&lt;&gt;0,'Boletins Nuppa Site'!A1642,"NULL")</f>
        <v>79</v>
      </c>
      <c r="C1642">
        <v>11</v>
      </c>
      <c r="D1642" t="str">
        <f>IF('Boletins Nuppa Site'!G1642&lt;&gt;0,'Boletins Nuppa Site'!G1642,"NULL")</f>
        <v>NULL</v>
      </c>
      <c r="E1642" s="14">
        <f>IF('Boletins Nuppa Site'!H1642&lt;&gt;0,'Boletins Nuppa Site'!H1642,"NULL")</f>
        <v>24</v>
      </c>
      <c r="F1642" s="14">
        <f>IF('Boletins Nuppa Site'!I1642&lt;&gt;0,'Boletins Nuppa Site'!I1642,"NULL")</f>
        <v>36</v>
      </c>
      <c r="G1642" s="14">
        <f>IF('Boletins Nuppa Site'!J1642&lt;&gt;0,'Boletins Nuppa Site'!J1642,"NULL")</f>
        <v>31666667</v>
      </c>
      <c r="H1642" s="14">
        <f>IF('Boletins Nuppa Site'!K1642&lt;&gt;0,'Boletins Nuppa Site'!K1642,"NULL")</f>
        <v>35</v>
      </c>
      <c r="I1642" t="str">
        <f t="shared" si="50"/>
        <v>INSERT INTO COTACAO (cot_id, cot_blt_id, cot_pap_id, cot_prc_comum, cot_prc_min, cot_prc_max, cot_prc_med, cot_prc_mediana) VALUES (1641, 79, 11, NULL, 24, 36, 31666667, 35);</v>
      </c>
      <c r="J1642" t="str">
        <f t="shared" si="51"/>
        <v>UPDATE COTACAO SET cot_id = 1641, cot_blt_id = 79, cot_pap_id = 11, cot_prc_comum = NULL, cot_prc_min = 24, cot_prc_max = 36, cot_prc_med = 31666667, cot_prc_mediana = 35 WHERE cot_id = 1641;</v>
      </c>
    </row>
    <row r="1643" spans="1:10" x14ac:dyDescent="0.3">
      <c r="A1643">
        <v>1642</v>
      </c>
      <c r="B1643">
        <f>IF('Boletins Nuppa Site'!A1643&lt;&gt;0,'Boletins Nuppa Site'!A1643,"NULL")</f>
        <v>79</v>
      </c>
      <c r="C1643">
        <v>12</v>
      </c>
      <c r="D1643" t="str">
        <f>IF('Boletins Nuppa Site'!G1643&lt;&gt;0,'Boletins Nuppa Site'!G1643,"NULL")</f>
        <v>NULL</v>
      </c>
      <c r="E1643" s="14">
        <f>IF('Boletins Nuppa Site'!H1643&lt;&gt;0,'Boletins Nuppa Site'!H1643,"NULL")</f>
        <v>72</v>
      </c>
      <c r="F1643" s="14">
        <f>IF('Boletins Nuppa Site'!I1643&lt;&gt;0,'Boletins Nuppa Site'!I1643,"NULL")</f>
        <v>84</v>
      </c>
      <c r="G1643" s="14">
        <f>IF('Boletins Nuppa Site'!J1643&lt;&gt;0,'Boletins Nuppa Site'!J1643,"NULL")</f>
        <v>78</v>
      </c>
      <c r="H1643" s="14">
        <f>IF('Boletins Nuppa Site'!K1643&lt;&gt;0,'Boletins Nuppa Site'!K1643,"NULL")</f>
        <v>78</v>
      </c>
      <c r="I1643" t="str">
        <f t="shared" si="50"/>
        <v>INSERT INTO COTACAO (cot_id, cot_blt_id, cot_pap_id, cot_prc_comum, cot_prc_min, cot_prc_max, cot_prc_med, cot_prc_mediana) VALUES (1642, 79, 12, NULL, 72, 84, 78, 78);</v>
      </c>
      <c r="J1643" t="str">
        <f t="shared" si="51"/>
        <v>UPDATE COTACAO SET cot_id = 1642, cot_blt_id = 79, cot_pap_id = 12, cot_prc_comum = NULL, cot_prc_min = 72, cot_prc_max = 84, cot_prc_med = 78, cot_prc_mediana = 78 WHERE cot_id = 1642;</v>
      </c>
    </row>
    <row r="1644" spans="1:10" x14ac:dyDescent="0.3">
      <c r="A1644">
        <v>1643</v>
      </c>
      <c r="B1644">
        <f>IF('Boletins Nuppa Site'!A1644&lt;&gt;0,'Boletins Nuppa Site'!A1644,"NULL")</f>
        <v>79</v>
      </c>
      <c r="C1644">
        <v>13</v>
      </c>
      <c r="D1644" t="str">
        <f>IF('Boletins Nuppa Site'!G1644&lt;&gt;0,'Boletins Nuppa Site'!G1644,"NULL")</f>
        <v>NULL</v>
      </c>
      <c r="E1644" s="14">
        <f>IF('Boletins Nuppa Site'!H1644&lt;&gt;0,'Boletins Nuppa Site'!H1644,"NULL")</f>
        <v>60</v>
      </c>
      <c r="F1644" s="14">
        <f>IF('Boletins Nuppa Site'!I1644&lt;&gt;0,'Boletins Nuppa Site'!I1644,"NULL")</f>
        <v>78</v>
      </c>
      <c r="G1644" s="14">
        <f>IF('Boletins Nuppa Site'!J1644&lt;&gt;0,'Boletins Nuppa Site'!J1644,"NULL")</f>
        <v>70</v>
      </c>
      <c r="H1644" s="14">
        <f>IF('Boletins Nuppa Site'!K1644&lt;&gt;0,'Boletins Nuppa Site'!K1644,"NULL")</f>
        <v>72</v>
      </c>
      <c r="I1644" t="str">
        <f t="shared" si="50"/>
        <v>INSERT INTO COTACAO (cot_id, cot_blt_id, cot_pap_id, cot_prc_comum, cot_prc_min, cot_prc_max, cot_prc_med, cot_prc_mediana) VALUES (1643, 79, 13, NULL, 60, 78, 70, 72);</v>
      </c>
      <c r="J1644" t="str">
        <f t="shared" si="51"/>
        <v>UPDATE COTACAO SET cot_id = 1643, cot_blt_id = 79, cot_pap_id = 13, cot_prc_comum = NULL, cot_prc_min = 60, cot_prc_max = 78, cot_prc_med = 70, cot_prc_mediana = 72 WHERE cot_id = 1643;</v>
      </c>
    </row>
    <row r="1645" spans="1:10" x14ac:dyDescent="0.3">
      <c r="A1645">
        <v>1644</v>
      </c>
      <c r="B1645">
        <f>IF('Boletins Nuppa Site'!A1645&lt;&gt;0,'Boletins Nuppa Site'!A1645,"NULL")</f>
        <v>79</v>
      </c>
      <c r="C1645">
        <v>14</v>
      </c>
      <c r="D1645" t="str">
        <f>IF('Boletins Nuppa Site'!G1645&lt;&gt;0,'Boletins Nuppa Site'!G1645,"NULL")</f>
        <v>NULL</v>
      </c>
      <c r="E1645" s="14">
        <f>IF('Boletins Nuppa Site'!H1645&lt;&gt;0,'Boletins Nuppa Site'!H1645,"NULL")</f>
        <v>40</v>
      </c>
      <c r="F1645" s="14">
        <f>IF('Boletins Nuppa Site'!I1645&lt;&gt;0,'Boletins Nuppa Site'!I1645,"NULL")</f>
        <v>72</v>
      </c>
      <c r="G1645" s="14">
        <f>IF('Boletins Nuppa Site'!J1645&lt;&gt;0,'Boletins Nuppa Site'!J1645,"NULL")</f>
        <v>56</v>
      </c>
      <c r="H1645" s="14">
        <f>IF('Boletins Nuppa Site'!K1645&lt;&gt;0,'Boletins Nuppa Site'!K1645,"NULL")</f>
        <v>56</v>
      </c>
      <c r="I1645" t="str">
        <f t="shared" si="50"/>
        <v>INSERT INTO COTACAO (cot_id, cot_blt_id, cot_pap_id, cot_prc_comum, cot_prc_min, cot_prc_max, cot_prc_med, cot_prc_mediana) VALUES (1644, 79, 14, NULL, 40, 72, 56, 56);</v>
      </c>
      <c r="J1645" t="str">
        <f t="shared" si="51"/>
        <v>UPDATE COTACAO SET cot_id = 1644, cot_blt_id = 79, cot_pap_id = 14, cot_prc_comum = NULL, cot_prc_min = 40, cot_prc_max = 72, cot_prc_med = 56, cot_prc_mediana = 56 WHERE cot_id = 1644;</v>
      </c>
    </row>
    <row r="1646" spans="1:10" x14ac:dyDescent="0.3">
      <c r="A1646">
        <v>1645</v>
      </c>
      <c r="B1646">
        <f>IF('Boletins Nuppa Site'!A1646&lt;&gt;0,'Boletins Nuppa Site'!A1646,"NULL")</f>
        <v>79</v>
      </c>
      <c r="C1646">
        <v>15</v>
      </c>
      <c r="D1646">
        <f>IF('Boletins Nuppa Site'!G1646&lt;&gt;0,'Boletins Nuppa Site'!G1646,"NULL")</f>
        <v>30</v>
      </c>
      <c r="E1646" s="14">
        <f>IF('Boletins Nuppa Site'!H1646&lt;&gt;0,'Boletins Nuppa Site'!H1646,"NULL")</f>
        <v>30</v>
      </c>
      <c r="F1646" s="14">
        <f>IF('Boletins Nuppa Site'!I1646&lt;&gt;0,'Boletins Nuppa Site'!I1646,"NULL")</f>
        <v>35</v>
      </c>
      <c r="G1646" s="14">
        <f>IF('Boletins Nuppa Site'!J1646&lt;&gt;0,'Boletins Nuppa Site'!J1646,"NULL")</f>
        <v>31666667</v>
      </c>
      <c r="H1646" s="14">
        <f>IF('Boletins Nuppa Site'!K1646&lt;&gt;0,'Boletins Nuppa Site'!K1646,"NULL")</f>
        <v>30</v>
      </c>
      <c r="I1646" t="str">
        <f t="shared" si="50"/>
        <v>INSERT INTO COTACAO (cot_id, cot_blt_id, cot_pap_id, cot_prc_comum, cot_prc_min, cot_prc_max, cot_prc_med, cot_prc_mediana) VALUES (1645, 79, 15, 30, 30, 35, 31666667, 30);</v>
      </c>
      <c r="J1646" t="str">
        <f t="shared" si="51"/>
        <v>UPDATE COTACAO SET cot_id = 1645, cot_blt_id = 79, cot_pap_id = 15, cot_prc_comum = 30, cot_prc_min = 30, cot_prc_max = 35, cot_prc_med = 31666667, cot_prc_mediana = 30 WHERE cot_id = 1645;</v>
      </c>
    </row>
    <row r="1647" spans="1:10" x14ac:dyDescent="0.3">
      <c r="A1647">
        <v>1646</v>
      </c>
      <c r="B1647">
        <f>IF('Boletins Nuppa Site'!A1647&lt;&gt;0,'Boletins Nuppa Site'!A1647,"NULL")</f>
        <v>79</v>
      </c>
      <c r="C1647">
        <v>16</v>
      </c>
      <c r="D1647">
        <f>IF('Boletins Nuppa Site'!G1647&lt;&gt;0,'Boletins Nuppa Site'!G1647,"NULL")</f>
        <v>54</v>
      </c>
      <c r="E1647" s="14">
        <f>IF('Boletins Nuppa Site'!H1647&lt;&gt;0,'Boletins Nuppa Site'!H1647,"NULL")</f>
        <v>54</v>
      </c>
      <c r="F1647" s="14">
        <f>IF('Boletins Nuppa Site'!I1647&lt;&gt;0,'Boletins Nuppa Site'!I1647,"NULL")</f>
        <v>60</v>
      </c>
      <c r="G1647" s="14">
        <f>IF('Boletins Nuppa Site'!J1647&lt;&gt;0,'Boletins Nuppa Site'!J1647,"NULL")</f>
        <v>56</v>
      </c>
      <c r="H1647" s="14">
        <f>IF('Boletins Nuppa Site'!K1647&lt;&gt;0,'Boletins Nuppa Site'!K1647,"NULL")</f>
        <v>54</v>
      </c>
      <c r="I1647" t="str">
        <f t="shared" si="50"/>
        <v>INSERT INTO COTACAO (cot_id, cot_blt_id, cot_pap_id, cot_prc_comum, cot_prc_min, cot_prc_max, cot_prc_med, cot_prc_mediana) VALUES (1646, 79, 16, 54, 54, 60, 56, 54);</v>
      </c>
      <c r="J1647" t="str">
        <f t="shared" si="51"/>
        <v>UPDATE COTACAO SET cot_id = 1646, cot_blt_id = 79, cot_pap_id = 16, cot_prc_comum = 54, cot_prc_min = 54, cot_prc_max = 60, cot_prc_med = 56, cot_prc_mediana = 54 WHERE cot_id = 1646;</v>
      </c>
    </row>
    <row r="1648" spans="1:10" x14ac:dyDescent="0.3">
      <c r="A1648">
        <v>1647</v>
      </c>
      <c r="B1648">
        <f>IF('Boletins Nuppa Site'!A1648&lt;&gt;0,'Boletins Nuppa Site'!A1648,"NULL")</f>
        <v>79</v>
      </c>
      <c r="C1648">
        <v>17</v>
      </c>
      <c r="D1648">
        <f>IF('Boletins Nuppa Site'!G1648&lt;&gt;0,'Boletins Nuppa Site'!G1648,"NULL")</f>
        <v>5</v>
      </c>
      <c r="E1648" s="14">
        <f>IF('Boletins Nuppa Site'!H1648&lt;&gt;0,'Boletins Nuppa Site'!H1648,"NULL")</f>
        <v>5</v>
      </c>
      <c r="F1648" s="14">
        <f>IF('Boletins Nuppa Site'!I1648&lt;&gt;0,'Boletins Nuppa Site'!I1648,"NULL")</f>
        <v>5</v>
      </c>
      <c r="G1648" s="14">
        <f>IF('Boletins Nuppa Site'!J1648&lt;&gt;0,'Boletins Nuppa Site'!J1648,"NULL")</f>
        <v>5</v>
      </c>
      <c r="H1648" s="14">
        <f>IF('Boletins Nuppa Site'!K1648&lt;&gt;0,'Boletins Nuppa Site'!K1648,"NULL")</f>
        <v>5</v>
      </c>
      <c r="I1648" t="str">
        <f t="shared" si="50"/>
        <v>INSERT INTO COTACAO (cot_id, cot_blt_id, cot_pap_id, cot_prc_comum, cot_prc_min, cot_prc_max, cot_prc_med, cot_prc_mediana) VALUES (1647, 79, 17, 5, 5, 5, 5, 5);</v>
      </c>
      <c r="J1648" t="str">
        <f t="shared" si="51"/>
        <v>UPDATE COTACAO SET cot_id = 1647, cot_blt_id = 79, cot_pap_id = 17, cot_prc_comum = 5, cot_prc_min = 5, cot_prc_max = 5, cot_prc_med = 5, cot_prc_mediana = 5 WHERE cot_id = 1647;</v>
      </c>
    </row>
    <row r="1649" spans="1:10" x14ac:dyDescent="0.3">
      <c r="A1649">
        <v>1648</v>
      </c>
      <c r="B1649">
        <f>IF('Boletins Nuppa Site'!A1649&lt;&gt;0,'Boletins Nuppa Site'!A1649,"NULL")</f>
        <v>79</v>
      </c>
      <c r="C1649">
        <v>18</v>
      </c>
      <c r="D1649">
        <f>IF('Boletins Nuppa Site'!G1649&lt;&gt;0,'Boletins Nuppa Site'!G1649,"NULL")</f>
        <v>20</v>
      </c>
      <c r="E1649" s="14">
        <f>IF('Boletins Nuppa Site'!H1649&lt;&gt;0,'Boletins Nuppa Site'!H1649,"NULL")</f>
        <v>20</v>
      </c>
      <c r="F1649" s="14">
        <f>IF('Boletins Nuppa Site'!I1649&lt;&gt;0,'Boletins Nuppa Site'!I1649,"NULL")</f>
        <v>20</v>
      </c>
      <c r="G1649" s="14">
        <f>IF('Boletins Nuppa Site'!J1649&lt;&gt;0,'Boletins Nuppa Site'!J1649,"NULL")</f>
        <v>20</v>
      </c>
      <c r="H1649" s="14">
        <f>IF('Boletins Nuppa Site'!K1649&lt;&gt;0,'Boletins Nuppa Site'!K1649,"NULL")</f>
        <v>20</v>
      </c>
      <c r="I1649" t="str">
        <f t="shared" si="50"/>
        <v>INSERT INTO COTACAO (cot_id, cot_blt_id, cot_pap_id, cot_prc_comum, cot_prc_min, cot_prc_max, cot_prc_med, cot_prc_mediana) VALUES (1648, 79, 18, 20, 20, 20, 20, 20);</v>
      </c>
      <c r="J1649" t="str">
        <f t="shared" si="51"/>
        <v>UPDATE COTACAO SET cot_id = 1648, cot_blt_id = 79, cot_pap_id = 18, cot_prc_comum = 20, cot_prc_min = 20, cot_prc_max = 20, cot_prc_med = 20, cot_prc_mediana = 20 WHERE cot_id = 1648;</v>
      </c>
    </row>
    <row r="1650" spans="1:10" x14ac:dyDescent="0.3">
      <c r="A1650">
        <v>1649</v>
      </c>
      <c r="B1650">
        <f>IF('Boletins Nuppa Site'!A1650&lt;&gt;0,'Boletins Nuppa Site'!A1650,"NULL")</f>
        <v>79</v>
      </c>
      <c r="C1650">
        <v>19</v>
      </c>
      <c r="D1650">
        <f>IF('Boletins Nuppa Site'!G1650&lt;&gt;0,'Boletins Nuppa Site'!G1650,"NULL")</f>
        <v>30</v>
      </c>
      <c r="E1650" s="14">
        <f>IF('Boletins Nuppa Site'!H1650&lt;&gt;0,'Boletins Nuppa Site'!H1650,"NULL")</f>
        <v>25</v>
      </c>
      <c r="F1650" s="14">
        <f>IF('Boletins Nuppa Site'!I1650&lt;&gt;0,'Boletins Nuppa Site'!I1650,"NULL")</f>
        <v>30</v>
      </c>
      <c r="G1650" s="14">
        <f>IF('Boletins Nuppa Site'!J1650&lt;&gt;0,'Boletins Nuppa Site'!J1650,"NULL")</f>
        <v>28333333</v>
      </c>
      <c r="H1650" s="14">
        <f>IF('Boletins Nuppa Site'!K1650&lt;&gt;0,'Boletins Nuppa Site'!K1650,"NULL")</f>
        <v>30</v>
      </c>
      <c r="I1650" t="str">
        <f t="shared" si="50"/>
        <v>INSERT INTO COTACAO (cot_id, cot_blt_id, cot_pap_id, cot_prc_comum, cot_prc_min, cot_prc_max, cot_prc_med, cot_prc_mediana) VALUES (1649, 79, 19, 30, 25, 30, 28333333, 30);</v>
      </c>
      <c r="J1650" t="str">
        <f t="shared" si="51"/>
        <v>UPDATE COTACAO SET cot_id = 1649, cot_blt_id = 79, cot_pap_id = 19, cot_prc_comum = 30, cot_prc_min = 25, cot_prc_max = 30, cot_prc_med = 28333333, cot_prc_mediana = 30 WHERE cot_id = 1649;</v>
      </c>
    </row>
    <row r="1651" spans="1:10" x14ac:dyDescent="0.3">
      <c r="A1651">
        <v>1650</v>
      </c>
      <c r="B1651">
        <f>IF('Boletins Nuppa Site'!A1651&lt;&gt;0,'Boletins Nuppa Site'!A1651,"NULL")</f>
        <v>79</v>
      </c>
      <c r="C1651">
        <v>20</v>
      </c>
      <c r="D1651">
        <f>IF('Boletins Nuppa Site'!G1651&lt;&gt;0,'Boletins Nuppa Site'!G1651,"NULL")</f>
        <v>80</v>
      </c>
      <c r="E1651" s="14">
        <f>IF('Boletins Nuppa Site'!H1651&lt;&gt;0,'Boletins Nuppa Site'!H1651,"NULL")</f>
        <v>75</v>
      </c>
      <c r="F1651" s="14">
        <f>IF('Boletins Nuppa Site'!I1651&lt;&gt;0,'Boletins Nuppa Site'!I1651,"NULL")</f>
        <v>80</v>
      </c>
      <c r="G1651" s="14">
        <f>IF('Boletins Nuppa Site'!J1651&lt;&gt;0,'Boletins Nuppa Site'!J1651,"NULL")</f>
        <v>78333333</v>
      </c>
      <c r="H1651" s="14">
        <f>IF('Boletins Nuppa Site'!K1651&lt;&gt;0,'Boletins Nuppa Site'!K1651,"NULL")</f>
        <v>80</v>
      </c>
      <c r="I1651" t="str">
        <f t="shared" si="50"/>
        <v>INSERT INTO COTACAO (cot_id, cot_blt_id, cot_pap_id, cot_prc_comum, cot_prc_min, cot_prc_max, cot_prc_med, cot_prc_mediana) VALUES (1650, 79, 20, 80, 75, 80, 78333333, 80);</v>
      </c>
      <c r="J1651" t="str">
        <f t="shared" si="51"/>
        <v>UPDATE COTACAO SET cot_id = 1650, cot_blt_id = 79, cot_pap_id = 20, cot_prc_comum = 80, cot_prc_min = 75, cot_prc_max = 80, cot_prc_med = 78333333, cot_prc_mediana = 80 WHERE cot_id = 1650;</v>
      </c>
    </row>
    <row r="1652" spans="1:10" x14ac:dyDescent="0.3">
      <c r="A1652">
        <v>1651</v>
      </c>
      <c r="B1652">
        <f>IF('Boletins Nuppa Site'!A1652&lt;&gt;0,'Boletins Nuppa Site'!A1652,"NULL")</f>
        <v>79</v>
      </c>
      <c r="C1652">
        <v>21</v>
      </c>
      <c r="D1652" t="str">
        <f>IF('Boletins Nuppa Site'!G1652&lt;&gt;0,'Boletins Nuppa Site'!G1652,"NULL")</f>
        <v>NULL</v>
      </c>
      <c r="E1652" s="14">
        <f>IF('Boletins Nuppa Site'!H1652&lt;&gt;0,'Boletins Nuppa Site'!H1652,"NULL")</f>
        <v>40</v>
      </c>
      <c r="F1652" s="14">
        <f>IF('Boletins Nuppa Site'!I1652&lt;&gt;0,'Boletins Nuppa Site'!I1652,"NULL")</f>
        <v>80</v>
      </c>
      <c r="G1652" s="14">
        <f>IF('Boletins Nuppa Site'!J1652&lt;&gt;0,'Boletins Nuppa Site'!J1652,"NULL")</f>
        <v>58333333</v>
      </c>
      <c r="H1652" s="14" t="str">
        <f>IF('Boletins Nuppa Site'!K1652&lt;&gt;0,'Boletins Nuppa Site'!K1652,"NULL")</f>
        <v>57.5</v>
      </c>
      <c r="I1652" t="str">
        <f t="shared" si="50"/>
        <v>INSERT INTO COTACAO (cot_id, cot_blt_id, cot_pap_id, cot_prc_comum, cot_prc_min, cot_prc_max, cot_prc_med, cot_prc_mediana) VALUES (1651, 79, 21, NULL, 40, 80, 58333333, 57.5);</v>
      </c>
      <c r="J1652" t="str">
        <f t="shared" si="51"/>
        <v>UPDATE COTACAO SET cot_id = 1651, cot_blt_id = 79, cot_pap_id = 21, cot_prc_comum = NULL, cot_prc_min = 40, cot_prc_max = 80, cot_prc_med = 58333333, cot_prc_mediana = 57.5 WHERE cot_id = 1651;</v>
      </c>
    </row>
    <row r="1653" spans="1:10" x14ac:dyDescent="0.3">
      <c r="A1653">
        <v>1652</v>
      </c>
      <c r="B1653">
        <f>IF('Boletins Nuppa Site'!A1653&lt;&gt;0,'Boletins Nuppa Site'!A1653,"NULL")</f>
        <v>79</v>
      </c>
      <c r="C1653">
        <v>22</v>
      </c>
      <c r="D1653">
        <f>IF('Boletins Nuppa Site'!G1653&lt;&gt;0,'Boletins Nuppa Site'!G1653,"NULL")</f>
        <v>65</v>
      </c>
      <c r="E1653" s="14">
        <f>IF('Boletins Nuppa Site'!H1653&lt;&gt;0,'Boletins Nuppa Site'!H1653,"NULL")</f>
        <v>45</v>
      </c>
      <c r="F1653" s="14">
        <f>IF('Boletins Nuppa Site'!I1653&lt;&gt;0,'Boletins Nuppa Site'!I1653,"NULL")</f>
        <v>70</v>
      </c>
      <c r="G1653" s="14">
        <f>IF('Boletins Nuppa Site'!J1653&lt;&gt;0,'Boletins Nuppa Site'!J1653,"NULL")</f>
        <v>60</v>
      </c>
      <c r="H1653" s="14">
        <f>IF('Boletins Nuppa Site'!K1653&lt;&gt;0,'Boletins Nuppa Site'!K1653,"NULL")</f>
        <v>65</v>
      </c>
      <c r="I1653" t="str">
        <f t="shared" si="50"/>
        <v>INSERT INTO COTACAO (cot_id, cot_blt_id, cot_pap_id, cot_prc_comum, cot_prc_min, cot_prc_max, cot_prc_med, cot_prc_mediana) VALUES (1652, 79, 22, 65, 45, 70, 60, 65);</v>
      </c>
      <c r="J1653" t="str">
        <f t="shared" si="51"/>
        <v>UPDATE COTACAO SET cot_id = 1652, cot_blt_id = 79, cot_pap_id = 22, cot_prc_comum = 65, cot_prc_min = 45, cot_prc_max = 70, cot_prc_med = 60, cot_prc_mediana = 65 WHERE cot_id = 1652;</v>
      </c>
    </row>
    <row r="1654" spans="1:10" x14ac:dyDescent="0.3">
      <c r="A1654">
        <v>1653</v>
      </c>
      <c r="B1654">
        <f>IF('Boletins Nuppa Site'!A1654&lt;&gt;0,'Boletins Nuppa Site'!A1654,"NULL")</f>
        <v>79</v>
      </c>
      <c r="C1654">
        <v>23</v>
      </c>
      <c r="D1654">
        <f>IF('Boletins Nuppa Site'!G1654&lt;&gt;0,'Boletins Nuppa Site'!G1654,"NULL")</f>
        <v>55</v>
      </c>
      <c r="E1654" s="14">
        <f>IF('Boletins Nuppa Site'!H1654&lt;&gt;0,'Boletins Nuppa Site'!H1654,"NULL")</f>
        <v>50</v>
      </c>
      <c r="F1654" s="14">
        <f>IF('Boletins Nuppa Site'!I1654&lt;&gt;0,'Boletins Nuppa Site'!I1654,"NULL")</f>
        <v>60</v>
      </c>
      <c r="G1654" s="14">
        <f>IF('Boletins Nuppa Site'!J1654&lt;&gt;0,'Boletins Nuppa Site'!J1654,"NULL")</f>
        <v>54166667</v>
      </c>
      <c r="H1654" s="14">
        <f>IF('Boletins Nuppa Site'!K1654&lt;&gt;0,'Boletins Nuppa Site'!K1654,"NULL")</f>
        <v>55</v>
      </c>
      <c r="I1654" t="str">
        <f t="shared" si="50"/>
        <v>INSERT INTO COTACAO (cot_id, cot_blt_id, cot_pap_id, cot_prc_comum, cot_prc_min, cot_prc_max, cot_prc_med, cot_prc_mediana) VALUES (1653, 79, 23, 55, 50, 60, 54166667, 55);</v>
      </c>
      <c r="J1654" t="str">
        <f t="shared" si="51"/>
        <v>UPDATE COTACAO SET cot_id = 1653, cot_blt_id = 79, cot_pap_id = 23, cot_prc_comum = 55, cot_prc_min = 50, cot_prc_max = 60, cot_prc_med = 54166667, cot_prc_mediana = 55 WHERE cot_id = 1653;</v>
      </c>
    </row>
    <row r="1655" spans="1:10" x14ac:dyDescent="0.3">
      <c r="A1655">
        <v>1654</v>
      </c>
      <c r="B1655">
        <f>IF('Boletins Nuppa Site'!A1655&lt;&gt;0,'Boletins Nuppa Site'!A1655,"NULL")</f>
        <v>79</v>
      </c>
      <c r="C1655">
        <v>24</v>
      </c>
      <c r="D1655" t="str">
        <f>IF('Boletins Nuppa Site'!G1655&lt;&gt;0,'Boletins Nuppa Site'!G1655,"NULL")</f>
        <v>NULL</v>
      </c>
      <c r="E1655" s="14">
        <f>IF('Boletins Nuppa Site'!H1655&lt;&gt;0,'Boletins Nuppa Site'!H1655,"NULL")</f>
        <v>90</v>
      </c>
      <c r="F1655" s="14">
        <f>IF('Boletins Nuppa Site'!I1655&lt;&gt;0,'Boletins Nuppa Site'!I1655,"NULL")</f>
        <v>120</v>
      </c>
      <c r="G1655" s="14">
        <f>IF('Boletins Nuppa Site'!J1655&lt;&gt;0,'Boletins Nuppa Site'!J1655,"NULL")</f>
        <v>105</v>
      </c>
      <c r="H1655" s="14">
        <f>IF('Boletins Nuppa Site'!K1655&lt;&gt;0,'Boletins Nuppa Site'!K1655,"NULL")</f>
        <v>105</v>
      </c>
      <c r="I1655" t="str">
        <f t="shared" si="50"/>
        <v>INSERT INTO COTACAO (cot_id, cot_blt_id, cot_pap_id, cot_prc_comum, cot_prc_min, cot_prc_max, cot_prc_med, cot_prc_mediana) VALUES (1654, 79, 24, NULL, 90, 120, 105, 105);</v>
      </c>
      <c r="J1655" t="str">
        <f t="shared" si="51"/>
        <v>UPDATE COTACAO SET cot_id = 1654, cot_blt_id = 79, cot_pap_id = 24, cot_prc_comum = NULL, cot_prc_min = 90, cot_prc_max = 120, cot_prc_med = 105, cot_prc_mediana = 105 WHERE cot_id = 1654;</v>
      </c>
    </row>
    <row r="1656" spans="1:10" x14ac:dyDescent="0.3">
      <c r="A1656">
        <v>1655</v>
      </c>
      <c r="B1656">
        <f>IF('Boletins Nuppa Site'!A1656&lt;&gt;0,'Boletins Nuppa Site'!A1656,"NULL")</f>
        <v>79</v>
      </c>
      <c r="C1656">
        <v>25</v>
      </c>
      <c r="D1656">
        <f>IF('Boletins Nuppa Site'!G1656&lt;&gt;0,'Boletins Nuppa Site'!G1656,"NULL")</f>
        <v>60</v>
      </c>
      <c r="E1656" s="14">
        <f>IF('Boletins Nuppa Site'!H1656&lt;&gt;0,'Boletins Nuppa Site'!H1656,"NULL")</f>
        <v>50</v>
      </c>
      <c r="F1656" s="14">
        <f>IF('Boletins Nuppa Site'!I1656&lt;&gt;0,'Boletins Nuppa Site'!I1656,"NULL")</f>
        <v>65</v>
      </c>
      <c r="G1656" s="14">
        <f>IF('Boletins Nuppa Site'!J1656&lt;&gt;0,'Boletins Nuppa Site'!J1656,"NULL")</f>
        <v>58333333</v>
      </c>
      <c r="H1656" s="14">
        <f>IF('Boletins Nuppa Site'!K1656&lt;&gt;0,'Boletins Nuppa Site'!K1656,"NULL")</f>
        <v>60</v>
      </c>
      <c r="I1656" t="str">
        <f t="shared" si="50"/>
        <v>INSERT INTO COTACAO (cot_id, cot_blt_id, cot_pap_id, cot_prc_comum, cot_prc_min, cot_prc_max, cot_prc_med, cot_prc_mediana) VALUES (1655, 79, 25, 60, 50, 65, 58333333, 60);</v>
      </c>
      <c r="J1656" t="str">
        <f t="shared" si="51"/>
        <v>UPDATE COTACAO SET cot_id = 1655, cot_blt_id = 79, cot_pap_id = 25, cot_prc_comum = 60, cot_prc_min = 50, cot_prc_max = 65, cot_prc_med = 58333333, cot_prc_mediana = 60 WHERE cot_id = 1655;</v>
      </c>
    </row>
    <row r="1657" spans="1:10" x14ac:dyDescent="0.3">
      <c r="A1657">
        <v>1656</v>
      </c>
      <c r="B1657">
        <f>IF('Boletins Nuppa Site'!A1657&lt;&gt;0,'Boletins Nuppa Site'!A1657,"NULL")</f>
        <v>79</v>
      </c>
      <c r="C1657">
        <v>26</v>
      </c>
      <c r="D1657">
        <f>IF('Boletins Nuppa Site'!G1657&lt;&gt;0,'Boletins Nuppa Site'!G1657,"NULL")</f>
        <v>50</v>
      </c>
      <c r="E1657" s="14">
        <f>IF('Boletins Nuppa Site'!H1657&lt;&gt;0,'Boletins Nuppa Site'!H1657,"NULL")</f>
        <v>50</v>
      </c>
      <c r="F1657" s="14">
        <f>IF('Boletins Nuppa Site'!I1657&lt;&gt;0,'Boletins Nuppa Site'!I1657,"NULL")</f>
        <v>65</v>
      </c>
      <c r="G1657" s="14">
        <f>IF('Boletins Nuppa Site'!J1657&lt;&gt;0,'Boletins Nuppa Site'!J1657,"NULL")</f>
        <v>56666667</v>
      </c>
      <c r="H1657" s="14" t="str">
        <f>IF('Boletins Nuppa Site'!K1657&lt;&gt;0,'Boletins Nuppa Site'!K1657,"NULL")</f>
        <v>57.5</v>
      </c>
      <c r="I1657" t="str">
        <f t="shared" si="50"/>
        <v>INSERT INTO COTACAO (cot_id, cot_blt_id, cot_pap_id, cot_prc_comum, cot_prc_min, cot_prc_max, cot_prc_med, cot_prc_mediana) VALUES (1656, 79, 26, 50, 50, 65, 56666667, 57.5);</v>
      </c>
      <c r="J1657" t="str">
        <f t="shared" si="51"/>
        <v>UPDATE COTACAO SET cot_id = 1656, cot_blt_id = 79, cot_pap_id = 26, cot_prc_comum = 50, cot_prc_min = 50, cot_prc_max = 65, cot_prc_med = 56666667, cot_prc_mediana = 57.5 WHERE cot_id = 1656;</v>
      </c>
    </row>
    <row r="1658" spans="1:10" x14ac:dyDescent="0.3">
      <c r="A1658">
        <v>1657</v>
      </c>
      <c r="B1658">
        <f>IF('Boletins Nuppa Site'!A1658&lt;&gt;0,'Boletins Nuppa Site'!A1658,"NULL")</f>
        <v>79</v>
      </c>
      <c r="C1658">
        <v>27</v>
      </c>
      <c r="D1658">
        <f>IF('Boletins Nuppa Site'!G1658&lt;&gt;0,'Boletins Nuppa Site'!G1658,"NULL")</f>
        <v>40</v>
      </c>
      <c r="E1658" s="14">
        <f>IF('Boletins Nuppa Site'!H1658&lt;&gt;0,'Boletins Nuppa Site'!H1658,"NULL")</f>
        <v>35</v>
      </c>
      <c r="F1658" s="14">
        <f>IF('Boletins Nuppa Site'!I1658&lt;&gt;0,'Boletins Nuppa Site'!I1658,"NULL")</f>
        <v>50</v>
      </c>
      <c r="G1658" s="14">
        <f>IF('Boletins Nuppa Site'!J1658&lt;&gt;0,'Boletins Nuppa Site'!J1658,"NULL")</f>
        <v>41666667</v>
      </c>
      <c r="H1658" s="14">
        <f>IF('Boletins Nuppa Site'!K1658&lt;&gt;0,'Boletins Nuppa Site'!K1658,"NULL")</f>
        <v>40</v>
      </c>
      <c r="I1658" t="str">
        <f t="shared" si="50"/>
        <v>INSERT INTO COTACAO (cot_id, cot_blt_id, cot_pap_id, cot_prc_comum, cot_prc_min, cot_prc_max, cot_prc_med, cot_prc_mediana) VALUES (1657, 79, 27, 40, 35, 50, 41666667, 40);</v>
      </c>
      <c r="J1658" t="str">
        <f t="shared" si="51"/>
        <v>UPDATE COTACAO SET cot_id = 1657, cot_blt_id = 79, cot_pap_id = 27, cot_prc_comum = 40, cot_prc_min = 35, cot_prc_max = 50, cot_prc_med = 41666667, cot_prc_mediana = 40 WHERE cot_id = 1657;</v>
      </c>
    </row>
    <row r="1659" spans="1:10" x14ac:dyDescent="0.3">
      <c r="A1659">
        <v>1658</v>
      </c>
      <c r="B1659">
        <f>IF('Boletins Nuppa Site'!A1659&lt;&gt;0,'Boletins Nuppa Site'!A1659,"NULL")</f>
        <v>79</v>
      </c>
      <c r="C1659">
        <v>28</v>
      </c>
      <c r="D1659">
        <f>IF('Boletins Nuppa Site'!G1659&lt;&gt;0,'Boletins Nuppa Site'!G1659,"NULL")</f>
        <v>110</v>
      </c>
      <c r="E1659" s="14">
        <f>IF('Boletins Nuppa Site'!H1659&lt;&gt;0,'Boletins Nuppa Site'!H1659,"NULL")</f>
        <v>110</v>
      </c>
      <c r="F1659" s="14">
        <f>IF('Boletins Nuppa Site'!I1659&lt;&gt;0,'Boletins Nuppa Site'!I1659,"NULL")</f>
        <v>130</v>
      </c>
      <c r="G1659" s="14">
        <f>IF('Boletins Nuppa Site'!J1659&lt;&gt;0,'Boletins Nuppa Site'!J1659,"NULL")</f>
        <v>118</v>
      </c>
      <c r="H1659" s="14">
        <f>IF('Boletins Nuppa Site'!K1659&lt;&gt;0,'Boletins Nuppa Site'!K1659,"NULL")</f>
        <v>120</v>
      </c>
      <c r="I1659" t="str">
        <f t="shared" si="50"/>
        <v>INSERT INTO COTACAO (cot_id, cot_blt_id, cot_pap_id, cot_prc_comum, cot_prc_min, cot_prc_max, cot_prc_med, cot_prc_mediana) VALUES (1658, 79, 28, 110, 110, 130, 118, 120);</v>
      </c>
      <c r="J1659" t="str">
        <f t="shared" si="51"/>
        <v>UPDATE COTACAO SET cot_id = 1658, cot_blt_id = 79, cot_pap_id = 28, cot_prc_comum = 110, cot_prc_min = 110, cot_prc_max = 130, cot_prc_med = 118, cot_prc_mediana = 120 WHERE cot_id = 1658;</v>
      </c>
    </row>
    <row r="1660" spans="1:10" x14ac:dyDescent="0.3">
      <c r="A1660">
        <v>1659</v>
      </c>
      <c r="B1660">
        <f>IF('Boletins Nuppa Site'!A1660&lt;&gt;0,'Boletins Nuppa Site'!A1660,"NULL")</f>
        <v>79</v>
      </c>
      <c r="C1660">
        <v>29</v>
      </c>
      <c r="D1660" t="str">
        <f>IF('Boletins Nuppa Site'!G1660&lt;&gt;0,'Boletins Nuppa Site'!G1660,"NULL")</f>
        <v>NULL</v>
      </c>
      <c r="E1660" s="14">
        <f>IF('Boletins Nuppa Site'!H1660&lt;&gt;0,'Boletins Nuppa Site'!H1660,"NULL")</f>
        <v>70</v>
      </c>
      <c r="F1660" s="14">
        <f>IF('Boletins Nuppa Site'!I1660&lt;&gt;0,'Boletins Nuppa Site'!I1660,"NULL")</f>
        <v>70</v>
      </c>
      <c r="G1660" s="14">
        <f>IF('Boletins Nuppa Site'!J1660&lt;&gt;0,'Boletins Nuppa Site'!J1660,"NULL")</f>
        <v>70</v>
      </c>
      <c r="H1660" s="14">
        <f>IF('Boletins Nuppa Site'!K1660&lt;&gt;0,'Boletins Nuppa Site'!K1660,"NULL")</f>
        <v>70</v>
      </c>
      <c r="I1660" t="str">
        <f t="shared" si="50"/>
        <v>INSERT INTO COTACAO (cot_id, cot_blt_id, cot_pap_id, cot_prc_comum, cot_prc_min, cot_prc_max, cot_prc_med, cot_prc_mediana) VALUES (1659, 79, 29, NULL, 70, 70, 70, 70);</v>
      </c>
      <c r="J1660" t="str">
        <f t="shared" si="51"/>
        <v>UPDATE COTACAO SET cot_id = 1659, cot_blt_id = 79, cot_pap_id = 29, cot_prc_comum = NULL, cot_prc_min = 70, cot_prc_max = 70, cot_prc_med = 70, cot_prc_mediana = 70 WHERE cot_id = 1659;</v>
      </c>
    </row>
    <row r="1661" spans="1:10" x14ac:dyDescent="0.3">
      <c r="A1661">
        <v>1660</v>
      </c>
      <c r="B1661">
        <f>IF('Boletins Nuppa Site'!A1661&lt;&gt;0,'Boletins Nuppa Site'!A1661,"NULL")</f>
        <v>79</v>
      </c>
      <c r="C1661">
        <v>30</v>
      </c>
      <c r="D1661">
        <f>IF('Boletins Nuppa Site'!G1661&lt;&gt;0,'Boletins Nuppa Site'!G1661,"NULL")</f>
        <v>50</v>
      </c>
      <c r="E1661" s="14">
        <f>IF('Boletins Nuppa Site'!H1661&lt;&gt;0,'Boletins Nuppa Site'!H1661,"NULL")</f>
        <v>40</v>
      </c>
      <c r="F1661" s="14">
        <f>IF('Boletins Nuppa Site'!I1661&lt;&gt;0,'Boletins Nuppa Site'!I1661,"NULL")</f>
        <v>50</v>
      </c>
      <c r="G1661" s="14" t="str">
        <f>IF('Boletins Nuppa Site'!J1661&lt;&gt;0,'Boletins Nuppa Site'!J1661,"NULL")</f>
        <v>47.5</v>
      </c>
      <c r="H1661" s="14">
        <f>IF('Boletins Nuppa Site'!K1661&lt;&gt;0,'Boletins Nuppa Site'!K1661,"NULL")</f>
        <v>50</v>
      </c>
      <c r="I1661" t="str">
        <f t="shared" si="50"/>
        <v>INSERT INTO COTACAO (cot_id, cot_blt_id, cot_pap_id, cot_prc_comum, cot_prc_min, cot_prc_max, cot_prc_med, cot_prc_mediana) VALUES (1660, 79, 30, 50, 40, 50, 47.5, 50);</v>
      </c>
      <c r="J1661" t="str">
        <f t="shared" si="51"/>
        <v>UPDATE COTACAO SET cot_id = 1660, cot_blt_id = 79, cot_pap_id = 30, cot_prc_comum = 50, cot_prc_min = 40, cot_prc_max = 50, cot_prc_med = 47.5, cot_prc_mediana = 50 WHERE cot_id = 1660;</v>
      </c>
    </row>
    <row r="1662" spans="1:10" x14ac:dyDescent="0.3">
      <c r="A1662">
        <v>1661</v>
      </c>
      <c r="B1662">
        <f>IF('Boletins Nuppa Site'!A1662&lt;&gt;0,'Boletins Nuppa Site'!A1662,"NULL")</f>
        <v>79</v>
      </c>
      <c r="C1662">
        <v>31</v>
      </c>
      <c r="D1662">
        <f>IF('Boletins Nuppa Site'!G1662&lt;&gt;0,'Boletins Nuppa Site'!G1662,"NULL")</f>
        <v>60</v>
      </c>
      <c r="E1662" s="14">
        <f>IF('Boletins Nuppa Site'!H1662&lt;&gt;0,'Boletins Nuppa Site'!H1662,"NULL")</f>
        <v>45</v>
      </c>
      <c r="F1662" s="14">
        <f>IF('Boletins Nuppa Site'!I1662&lt;&gt;0,'Boletins Nuppa Site'!I1662,"NULL")</f>
        <v>70</v>
      </c>
      <c r="G1662" s="14">
        <f>IF('Boletins Nuppa Site'!J1662&lt;&gt;0,'Boletins Nuppa Site'!J1662,"NULL")</f>
        <v>58333333</v>
      </c>
      <c r="H1662" s="14">
        <f>IF('Boletins Nuppa Site'!K1662&lt;&gt;0,'Boletins Nuppa Site'!K1662,"NULL")</f>
        <v>60</v>
      </c>
      <c r="I1662" t="str">
        <f t="shared" si="50"/>
        <v>INSERT INTO COTACAO (cot_id, cot_blt_id, cot_pap_id, cot_prc_comum, cot_prc_min, cot_prc_max, cot_prc_med, cot_prc_mediana) VALUES (1661, 79, 31, 60, 45, 70, 58333333, 60);</v>
      </c>
      <c r="J1662" t="str">
        <f t="shared" si="51"/>
        <v>UPDATE COTACAO SET cot_id = 1661, cot_blt_id = 79, cot_pap_id = 31, cot_prc_comum = 60, cot_prc_min = 45, cot_prc_max = 70, cot_prc_med = 58333333, cot_prc_mediana = 60 WHERE cot_id = 1661;</v>
      </c>
    </row>
    <row r="1663" spans="1:10" x14ac:dyDescent="0.3">
      <c r="A1663">
        <v>1662</v>
      </c>
      <c r="B1663">
        <f>IF('Boletins Nuppa Site'!A1663&lt;&gt;0,'Boletins Nuppa Site'!A1663,"NULL")</f>
        <v>79</v>
      </c>
      <c r="C1663">
        <v>32</v>
      </c>
      <c r="D1663">
        <f>IF('Boletins Nuppa Site'!G1663&lt;&gt;0,'Boletins Nuppa Site'!G1663,"NULL")</f>
        <v>55</v>
      </c>
      <c r="E1663" s="14">
        <f>IF('Boletins Nuppa Site'!H1663&lt;&gt;0,'Boletins Nuppa Site'!H1663,"NULL")</f>
        <v>40</v>
      </c>
      <c r="F1663" s="14">
        <f>IF('Boletins Nuppa Site'!I1663&lt;&gt;0,'Boletins Nuppa Site'!I1663,"NULL")</f>
        <v>55</v>
      </c>
      <c r="G1663" s="14">
        <f>IF('Boletins Nuppa Site'!J1663&lt;&gt;0,'Boletins Nuppa Site'!J1663,"NULL")</f>
        <v>49166667</v>
      </c>
      <c r="H1663" s="14">
        <f>IF('Boletins Nuppa Site'!K1663&lt;&gt;0,'Boletins Nuppa Site'!K1663,"NULL")</f>
        <v>50</v>
      </c>
      <c r="I1663" t="str">
        <f t="shared" si="50"/>
        <v>INSERT INTO COTACAO (cot_id, cot_blt_id, cot_pap_id, cot_prc_comum, cot_prc_min, cot_prc_max, cot_prc_med, cot_prc_mediana) VALUES (1662, 79, 32, 55, 40, 55, 49166667, 50);</v>
      </c>
      <c r="J1663" t="str">
        <f t="shared" si="51"/>
        <v>UPDATE COTACAO SET cot_id = 1662, cot_blt_id = 79, cot_pap_id = 32, cot_prc_comum = 55, cot_prc_min = 40, cot_prc_max = 55, cot_prc_med = 49166667, cot_prc_mediana = 50 WHERE cot_id = 1662;</v>
      </c>
    </row>
    <row r="1664" spans="1:10" x14ac:dyDescent="0.3">
      <c r="A1664">
        <v>1663</v>
      </c>
      <c r="B1664">
        <f>IF('Boletins Nuppa Site'!A1664&lt;&gt;0,'Boletins Nuppa Site'!A1664,"NULL")</f>
        <v>79</v>
      </c>
      <c r="C1664">
        <v>33</v>
      </c>
      <c r="D1664">
        <f>IF('Boletins Nuppa Site'!G1664&lt;&gt;0,'Boletins Nuppa Site'!G1664,"NULL")</f>
        <v>170</v>
      </c>
      <c r="E1664" s="14">
        <f>IF('Boletins Nuppa Site'!H1664&lt;&gt;0,'Boletins Nuppa Site'!H1664,"NULL")</f>
        <v>140</v>
      </c>
      <c r="F1664" s="14">
        <f>IF('Boletins Nuppa Site'!I1664&lt;&gt;0,'Boletins Nuppa Site'!I1664,"NULL")</f>
        <v>180</v>
      </c>
      <c r="G1664" s="14">
        <f>IF('Boletins Nuppa Site'!J1664&lt;&gt;0,'Boletins Nuppa Site'!J1664,"NULL")</f>
        <v>16333333</v>
      </c>
      <c r="H1664" s="14">
        <f>IF('Boletins Nuppa Site'!K1664&lt;&gt;0,'Boletins Nuppa Site'!K1664,"NULL")</f>
        <v>165</v>
      </c>
      <c r="I1664" t="str">
        <f t="shared" si="50"/>
        <v>INSERT INTO COTACAO (cot_id, cot_blt_id, cot_pap_id, cot_prc_comum, cot_prc_min, cot_prc_max, cot_prc_med, cot_prc_mediana) VALUES (1663, 79, 33, 170, 140, 180, 16333333, 165);</v>
      </c>
      <c r="J1664" t="str">
        <f t="shared" si="51"/>
        <v>UPDATE COTACAO SET cot_id = 1663, cot_blt_id = 79, cot_pap_id = 33, cot_prc_comum = 170, cot_prc_min = 140, cot_prc_max = 180, cot_prc_med = 16333333, cot_prc_mediana = 165 WHERE cot_id = 1663;</v>
      </c>
    </row>
    <row r="1665" spans="1:10" x14ac:dyDescent="0.3">
      <c r="A1665">
        <v>1664</v>
      </c>
      <c r="B1665">
        <f>IF('Boletins Nuppa Site'!A1665&lt;&gt;0,'Boletins Nuppa Site'!A1665,"NULL")</f>
        <v>79</v>
      </c>
      <c r="C1665">
        <v>34</v>
      </c>
      <c r="D1665">
        <f>IF('Boletins Nuppa Site'!G1665&lt;&gt;0,'Boletins Nuppa Site'!G1665,"NULL")</f>
        <v>60</v>
      </c>
      <c r="E1665" s="14">
        <f>IF('Boletins Nuppa Site'!H1665&lt;&gt;0,'Boletins Nuppa Site'!H1665,"NULL")</f>
        <v>50</v>
      </c>
      <c r="F1665" s="14">
        <f>IF('Boletins Nuppa Site'!I1665&lt;&gt;0,'Boletins Nuppa Site'!I1665,"NULL")</f>
        <v>90</v>
      </c>
      <c r="G1665" s="14">
        <f>IF('Boletins Nuppa Site'!J1665&lt;&gt;0,'Boletins Nuppa Site'!J1665,"NULL")</f>
        <v>65833333</v>
      </c>
      <c r="H1665" s="14" t="str">
        <f>IF('Boletins Nuppa Site'!K1665&lt;&gt;0,'Boletins Nuppa Site'!K1665,"NULL")</f>
        <v>62.5</v>
      </c>
      <c r="I1665" t="str">
        <f t="shared" si="50"/>
        <v>INSERT INTO COTACAO (cot_id, cot_blt_id, cot_pap_id, cot_prc_comum, cot_prc_min, cot_prc_max, cot_prc_med, cot_prc_mediana) VALUES (1664, 79, 34, 60, 50, 90, 65833333, 62.5);</v>
      </c>
      <c r="J1665" t="str">
        <f t="shared" si="51"/>
        <v>UPDATE COTACAO SET cot_id = 1664, cot_blt_id = 79, cot_pap_id = 34, cot_prc_comum = 60, cot_prc_min = 50, cot_prc_max = 90, cot_prc_med = 65833333, cot_prc_mediana = 62.5 WHERE cot_id = 1664;</v>
      </c>
    </row>
    <row r="1666" spans="1:10" x14ac:dyDescent="0.3">
      <c r="A1666">
        <v>1665</v>
      </c>
      <c r="B1666">
        <f>IF('Boletins Nuppa Site'!A1666&lt;&gt;0,'Boletins Nuppa Site'!A1666,"NULL")</f>
        <v>79</v>
      </c>
      <c r="C1666">
        <v>35</v>
      </c>
      <c r="D1666">
        <f>IF('Boletins Nuppa Site'!G1666&lt;&gt;0,'Boletins Nuppa Site'!G1666,"NULL")</f>
        <v>50</v>
      </c>
      <c r="E1666" s="14">
        <f>IF('Boletins Nuppa Site'!H1666&lt;&gt;0,'Boletins Nuppa Site'!H1666,"NULL")</f>
        <v>50</v>
      </c>
      <c r="F1666" s="14">
        <f>IF('Boletins Nuppa Site'!I1666&lt;&gt;0,'Boletins Nuppa Site'!I1666,"NULL")</f>
        <v>80</v>
      </c>
      <c r="G1666" s="14">
        <f>IF('Boletins Nuppa Site'!J1666&lt;&gt;0,'Boletins Nuppa Site'!J1666,"NULL")</f>
        <v>58</v>
      </c>
      <c r="H1666" s="14">
        <f>IF('Boletins Nuppa Site'!K1666&lt;&gt;0,'Boletins Nuppa Site'!K1666,"NULL")</f>
        <v>50</v>
      </c>
      <c r="I1666" t="str">
        <f t="shared" si="50"/>
        <v>INSERT INTO COTACAO (cot_id, cot_blt_id, cot_pap_id, cot_prc_comum, cot_prc_min, cot_prc_max, cot_prc_med, cot_prc_mediana) VALUES (1665, 79, 35, 50, 50, 80, 58, 50);</v>
      </c>
      <c r="J1666" t="str">
        <f t="shared" si="51"/>
        <v>UPDATE COTACAO SET cot_id = 1665, cot_blt_id = 79, cot_pap_id = 35, cot_prc_comum = 50, cot_prc_min = 50, cot_prc_max = 80, cot_prc_med = 58, cot_prc_mediana = 50 WHERE cot_id = 1665;</v>
      </c>
    </row>
    <row r="1667" spans="1:10" x14ac:dyDescent="0.3">
      <c r="A1667">
        <v>1666</v>
      </c>
      <c r="B1667">
        <f>IF('Boletins Nuppa Site'!A1667&lt;&gt;0,'Boletins Nuppa Site'!A1667,"NULL")</f>
        <v>79</v>
      </c>
      <c r="C1667">
        <v>36</v>
      </c>
      <c r="D1667" t="str">
        <f>IF('Boletins Nuppa Site'!G1667&lt;&gt;0,'Boletins Nuppa Site'!G1667,"NULL")</f>
        <v>NULL</v>
      </c>
      <c r="E1667" s="14" t="str">
        <f>IF('Boletins Nuppa Site'!H1667&lt;&gt;0,'Boletins Nuppa Site'!H1667,"NULL")</f>
        <v xml:space="preserve">             </v>
      </c>
      <c r="F1667" s="14" t="str">
        <f>IF('Boletins Nuppa Site'!I1667&lt;&gt;0,'Boletins Nuppa Site'!I1667,"NULL")</f>
        <v xml:space="preserve">             </v>
      </c>
      <c r="G1667" s="14" t="str">
        <f>IF('Boletins Nuppa Site'!J1667&lt;&gt;0,'Boletins Nuppa Site'!J1667,"NULL")</f>
        <v>NULL</v>
      </c>
      <c r="H1667" s="14" t="str">
        <f>IF('Boletins Nuppa Site'!K1667&lt;&gt;0,'Boletins Nuppa Site'!K1667,"NULL")</f>
        <v>NULL</v>
      </c>
      <c r="I1667" t="str">
        <f t="shared" ref="I1667:I1730" si="52">"INSERT INTO COTACAO (cot_id, cot_blt_id, cot_pap_id, cot_prc_comum, cot_prc_min, cot_prc_max, cot_prc_med, cot_prc_mediana) VALUES ("&amp;A1667&amp;", "&amp;B1667&amp;", "&amp;C1667&amp;", "&amp;D1667&amp;", "&amp;E1667&amp;", "&amp;F1667&amp;", "&amp;G1667&amp;", "&amp;H1667&amp;");"</f>
        <v>INSERT INTO COTACAO (cot_id, cot_blt_id, cot_pap_id, cot_prc_comum, cot_prc_min, cot_prc_max, cot_prc_med, cot_prc_mediana) VALUES (1666, 79, 36, NULL,              ,              , NULL, NULL);</v>
      </c>
      <c r="J1667" t="str">
        <f t="shared" ref="J1667:J1730" si="53">"UPDATE COTACAO SET cot_id = "&amp;A1667&amp;", cot_blt_id = "&amp;B1667&amp;", cot_pap_id = "&amp;C1667&amp;", cot_prc_comum = "&amp;D1667&amp;", cot_prc_min = "&amp;E1667&amp;", cot_prc_max = "&amp;F1667&amp;", cot_prc_med = "&amp;G1667&amp;", cot_prc_mediana = "&amp;H1667&amp;" WHERE cot_id = "&amp;A1667&amp;";"</f>
        <v>UPDATE COTACAO SET cot_id = 1666, cot_blt_id = 79, cot_pap_id = 36, cot_prc_comum = NULL, cot_prc_min =              , cot_prc_max =              , cot_prc_med = NULL, cot_prc_mediana = NULL WHERE cot_id = 1666;</v>
      </c>
    </row>
    <row r="1668" spans="1:10" x14ac:dyDescent="0.3">
      <c r="A1668">
        <v>1667</v>
      </c>
      <c r="B1668">
        <f>IF('Boletins Nuppa Site'!A1668&lt;&gt;0,'Boletins Nuppa Site'!A1668,"NULL")</f>
        <v>79</v>
      </c>
      <c r="C1668">
        <v>37</v>
      </c>
      <c r="D1668" t="str">
        <f>IF('Boletins Nuppa Site'!G1668&lt;&gt;0,'Boletins Nuppa Site'!G1668,"NULL")</f>
        <v>NULL</v>
      </c>
      <c r="E1668" s="14" t="str">
        <f>IF('Boletins Nuppa Site'!H1668&lt;&gt;0,'Boletins Nuppa Site'!H1668,"NULL")</f>
        <v xml:space="preserve">             </v>
      </c>
      <c r="F1668" s="14" t="str">
        <f>IF('Boletins Nuppa Site'!I1668&lt;&gt;0,'Boletins Nuppa Site'!I1668,"NULL")</f>
        <v xml:space="preserve">             </v>
      </c>
      <c r="G1668" s="14" t="str">
        <f>IF('Boletins Nuppa Site'!J1668&lt;&gt;0,'Boletins Nuppa Site'!J1668,"NULL")</f>
        <v>NULL</v>
      </c>
      <c r="H1668" s="14" t="str">
        <f>IF('Boletins Nuppa Site'!K1668&lt;&gt;0,'Boletins Nuppa Site'!K1668,"NULL")</f>
        <v>NULL</v>
      </c>
      <c r="I1668" t="str">
        <f t="shared" si="52"/>
        <v>INSERT INTO COTACAO (cot_id, cot_blt_id, cot_pap_id, cot_prc_comum, cot_prc_min, cot_prc_max, cot_prc_med, cot_prc_mediana) VALUES (1667, 79, 37, NULL,              ,              , NULL, NULL);</v>
      </c>
      <c r="J1668" t="str">
        <f t="shared" si="53"/>
        <v>UPDATE COTACAO SET cot_id = 1667, cot_blt_id = 79, cot_pap_id = 37, cot_prc_comum = NULL, cot_prc_min =              , cot_prc_max =              , cot_prc_med = NULL, cot_prc_mediana = NULL WHERE cot_id = 1667;</v>
      </c>
    </row>
    <row r="1669" spans="1:10" x14ac:dyDescent="0.3">
      <c r="A1669">
        <v>1668</v>
      </c>
      <c r="B1669">
        <f>IF('Boletins Nuppa Site'!A1669&lt;&gt;0,'Boletins Nuppa Site'!A1669,"NULL")</f>
        <v>79</v>
      </c>
      <c r="C1669">
        <v>38</v>
      </c>
      <c r="D1669" t="str">
        <f>IF('Boletins Nuppa Site'!G1669&lt;&gt;0,'Boletins Nuppa Site'!G1669,"NULL")</f>
        <v>NULL</v>
      </c>
      <c r="E1669" s="14" t="str">
        <f>IF('Boletins Nuppa Site'!H1669&lt;&gt;0,'Boletins Nuppa Site'!H1669,"NULL")</f>
        <v xml:space="preserve">             </v>
      </c>
      <c r="F1669" s="14" t="str">
        <f>IF('Boletins Nuppa Site'!I1669&lt;&gt;0,'Boletins Nuppa Site'!I1669,"NULL")</f>
        <v xml:space="preserve">             </v>
      </c>
      <c r="G1669" s="14" t="str">
        <f>IF('Boletins Nuppa Site'!J1669&lt;&gt;0,'Boletins Nuppa Site'!J1669,"NULL")</f>
        <v>NULL</v>
      </c>
      <c r="H1669" s="14" t="str">
        <f>IF('Boletins Nuppa Site'!K1669&lt;&gt;0,'Boletins Nuppa Site'!K1669,"NULL")</f>
        <v>NULL</v>
      </c>
      <c r="I1669" t="str">
        <f t="shared" si="52"/>
        <v>INSERT INTO COTACAO (cot_id, cot_blt_id, cot_pap_id, cot_prc_comum, cot_prc_min, cot_prc_max, cot_prc_med, cot_prc_mediana) VALUES (1668, 79, 38, NULL,              ,              , NULL, NULL);</v>
      </c>
      <c r="J1669" t="str">
        <f t="shared" si="53"/>
        <v>UPDATE COTACAO SET cot_id = 1668, cot_blt_id = 79, cot_pap_id = 38, cot_prc_comum = NULL, cot_prc_min =              , cot_prc_max =              , cot_prc_med = NULL, cot_prc_mediana = NULL WHERE cot_id = 1668;</v>
      </c>
    </row>
    <row r="1670" spans="1:10" x14ac:dyDescent="0.3">
      <c r="A1670">
        <v>1669</v>
      </c>
      <c r="B1670">
        <f>IF('Boletins Nuppa Site'!A1670&lt;&gt;0,'Boletins Nuppa Site'!A1670,"NULL")</f>
        <v>79</v>
      </c>
      <c r="C1670">
        <v>39</v>
      </c>
      <c r="D1670" t="str">
        <f>IF('Boletins Nuppa Site'!G1670&lt;&gt;0,'Boletins Nuppa Site'!G1670,"NULL")</f>
        <v>NULL</v>
      </c>
      <c r="E1670" s="14">
        <f>IF('Boletins Nuppa Site'!H1670&lt;&gt;0,'Boletins Nuppa Site'!H1670,"NULL")</f>
        <v>70</v>
      </c>
      <c r="F1670" s="14">
        <f>IF('Boletins Nuppa Site'!I1670&lt;&gt;0,'Boletins Nuppa Site'!I1670,"NULL")</f>
        <v>70</v>
      </c>
      <c r="G1670" s="14">
        <f>IF('Boletins Nuppa Site'!J1670&lt;&gt;0,'Boletins Nuppa Site'!J1670,"NULL")</f>
        <v>70</v>
      </c>
      <c r="H1670" s="14">
        <f>IF('Boletins Nuppa Site'!K1670&lt;&gt;0,'Boletins Nuppa Site'!K1670,"NULL")</f>
        <v>70</v>
      </c>
      <c r="I1670" t="str">
        <f t="shared" si="52"/>
        <v>INSERT INTO COTACAO (cot_id, cot_blt_id, cot_pap_id, cot_prc_comum, cot_prc_min, cot_prc_max, cot_prc_med, cot_prc_mediana) VALUES (1669, 79, 39, NULL, 70, 70, 70, 70);</v>
      </c>
      <c r="J1670" t="str">
        <f t="shared" si="53"/>
        <v>UPDATE COTACAO SET cot_id = 1669, cot_blt_id = 79, cot_pap_id = 39, cot_prc_comum = NULL, cot_prc_min = 70, cot_prc_max = 70, cot_prc_med = 70, cot_prc_mediana = 70 WHERE cot_id = 1669;</v>
      </c>
    </row>
    <row r="1671" spans="1:10" x14ac:dyDescent="0.3">
      <c r="A1671">
        <v>1670</v>
      </c>
      <c r="B1671">
        <f>IF('Boletins Nuppa Site'!A1671&lt;&gt;0,'Boletins Nuppa Site'!A1671,"NULL")</f>
        <v>79</v>
      </c>
      <c r="C1671">
        <v>40</v>
      </c>
      <c r="D1671" t="str">
        <f>IF('Boletins Nuppa Site'!G1671&lt;&gt;0,'Boletins Nuppa Site'!G1671,"NULL")</f>
        <v>NULL</v>
      </c>
      <c r="E1671" s="14" t="str">
        <f>IF('Boletins Nuppa Site'!H1671&lt;&gt;0,'Boletins Nuppa Site'!H1671,"NULL")</f>
        <v xml:space="preserve">             </v>
      </c>
      <c r="F1671" s="14" t="str">
        <f>IF('Boletins Nuppa Site'!I1671&lt;&gt;0,'Boletins Nuppa Site'!I1671,"NULL")</f>
        <v xml:space="preserve">             </v>
      </c>
      <c r="G1671" s="14" t="str">
        <f>IF('Boletins Nuppa Site'!J1671&lt;&gt;0,'Boletins Nuppa Site'!J1671,"NULL")</f>
        <v>NULL</v>
      </c>
      <c r="H1671" s="14" t="str">
        <f>IF('Boletins Nuppa Site'!K1671&lt;&gt;0,'Boletins Nuppa Site'!K1671,"NULL")</f>
        <v>NULL</v>
      </c>
      <c r="I1671" t="str">
        <f t="shared" si="52"/>
        <v>INSERT INTO COTACAO (cot_id, cot_blt_id, cot_pap_id, cot_prc_comum, cot_prc_min, cot_prc_max, cot_prc_med, cot_prc_mediana) VALUES (1670, 79, 40, NULL,              ,              , NULL, NULL);</v>
      </c>
      <c r="J1671" t="str">
        <f t="shared" si="53"/>
        <v>UPDATE COTACAO SET cot_id = 1670, cot_blt_id = 79, cot_pap_id = 40, cot_prc_comum = NULL, cot_prc_min =              , cot_prc_max =              , cot_prc_med = NULL, cot_prc_mediana = NULL WHERE cot_id = 1670;</v>
      </c>
    </row>
    <row r="1672" spans="1:10" x14ac:dyDescent="0.3">
      <c r="A1672">
        <v>1671</v>
      </c>
      <c r="B1672">
        <f>IF('Boletins Nuppa Site'!A1672&lt;&gt;0,'Boletins Nuppa Site'!A1672,"NULL")</f>
        <v>80</v>
      </c>
      <c r="C1672">
        <v>1</v>
      </c>
      <c r="D1672" t="str">
        <f>IF('Boletins Nuppa Site'!G1672&lt;&gt;0,'Boletins Nuppa Site'!G1672,"NULL")</f>
        <v xml:space="preserve"> 72.00</v>
      </c>
      <c r="E1672" s="14" t="str">
        <f>IF('Boletins Nuppa Site'!H1672&lt;&gt;0,'Boletins Nuppa Site'!H1672,"NULL")</f>
        <v xml:space="preserve"> 72.00</v>
      </c>
      <c r="F1672" s="14" t="str">
        <f>IF('Boletins Nuppa Site'!I1672&lt;&gt;0,'Boletins Nuppa Site'!I1672,"NULL")</f>
        <v xml:space="preserve"> 72.00</v>
      </c>
      <c r="G1672" s="14" t="str">
        <f>IF('Boletins Nuppa Site'!J1672&lt;&gt;0,'Boletins Nuppa Site'!J1672,"NULL")</f>
        <v xml:space="preserve"> 72.00</v>
      </c>
      <c r="H1672" s="14" t="str">
        <f>IF('Boletins Nuppa Site'!K1672&lt;&gt;0,'Boletins Nuppa Site'!K1672,"NULL")</f>
        <v xml:space="preserve"> 72.00</v>
      </c>
      <c r="I1672" t="str">
        <f t="shared" si="52"/>
        <v>INSERT INTO COTACAO (cot_id, cot_blt_id, cot_pap_id, cot_prc_comum, cot_prc_min, cot_prc_max, cot_prc_med, cot_prc_mediana) VALUES (1671, 80, 1,  72.00,  72.00,  72.00,  72.00,  72.00);</v>
      </c>
      <c r="J1672" t="str">
        <f t="shared" si="53"/>
        <v>UPDATE COTACAO SET cot_id = 1671, cot_blt_id = 80, cot_pap_id = 1, cot_prc_comum =  72.00, cot_prc_min =  72.00, cot_prc_max =  72.00, cot_prc_med =  72.00, cot_prc_mediana =  72.00 WHERE cot_id = 1671;</v>
      </c>
    </row>
    <row r="1673" spans="1:10" x14ac:dyDescent="0.3">
      <c r="A1673">
        <v>1672</v>
      </c>
      <c r="B1673">
        <f>IF('Boletins Nuppa Site'!A1673&lt;&gt;0,'Boletins Nuppa Site'!A1673,"NULL")</f>
        <v>80</v>
      </c>
      <c r="C1673">
        <v>2</v>
      </c>
      <c r="D1673" t="str">
        <f>IF('Boletins Nuppa Site'!G1673&lt;&gt;0,'Boletins Nuppa Site'!G1673,"NULL")</f>
        <v xml:space="preserve"> 84.00</v>
      </c>
      <c r="E1673" s="14" t="str">
        <f>IF('Boletins Nuppa Site'!H1673&lt;&gt;0,'Boletins Nuppa Site'!H1673,"NULL")</f>
        <v xml:space="preserve"> 84.00</v>
      </c>
      <c r="F1673" s="14" t="str">
        <f>IF('Boletins Nuppa Site'!I1673&lt;&gt;0,'Boletins Nuppa Site'!I1673,"NULL")</f>
        <v xml:space="preserve"> 84.00</v>
      </c>
      <c r="G1673" s="14" t="str">
        <f>IF('Boletins Nuppa Site'!J1673&lt;&gt;0,'Boletins Nuppa Site'!J1673,"NULL")</f>
        <v xml:space="preserve"> 84.00</v>
      </c>
      <c r="H1673" s="14" t="str">
        <f>IF('Boletins Nuppa Site'!K1673&lt;&gt;0,'Boletins Nuppa Site'!K1673,"NULL")</f>
        <v xml:space="preserve"> 84.00</v>
      </c>
      <c r="I1673" t="str">
        <f t="shared" si="52"/>
        <v>INSERT INTO COTACAO (cot_id, cot_blt_id, cot_pap_id, cot_prc_comum, cot_prc_min, cot_prc_max, cot_prc_med, cot_prc_mediana) VALUES (1672, 80, 2,  84.00,  84.00,  84.00,  84.00,  84.00);</v>
      </c>
      <c r="J1673" t="str">
        <f t="shared" si="53"/>
        <v>UPDATE COTACAO SET cot_id = 1672, cot_blt_id = 80, cot_pap_id = 2, cot_prc_comum =  84.00, cot_prc_min =  84.00, cot_prc_max =  84.00, cot_prc_med =  84.00, cot_prc_mediana =  84.00 WHERE cot_id = 1672;</v>
      </c>
    </row>
    <row r="1674" spans="1:10" x14ac:dyDescent="0.3">
      <c r="A1674">
        <v>1673</v>
      </c>
      <c r="B1674">
        <f>IF('Boletins Nuppa Site'!A1674&lt;&gt;0,'Boletins Nuppa Site'!A1674,"NULL")</f>
        <v>80</v>
      </c>
      <c r="C1674">
        <v>3</v>
      </c>
      <c r="D1674" t="str">
        <f>IF('Boletins Nuppa Site'!G1674&lt;&gt;0,'Boletins Nuppa Site'!G1674,"NULL")</f>
        <v>NULL</v>
      </c>
      <c r="E1674" s="14" t="str">
        <f>IF('Boletins Nuppa Site'!H1674&lt;&gt;0,'Boletins Nuppa Site'!H1674,"NULL")</f>
        <v xml:space="preserve"> 48.00</v>
      </c>
      <c r="F1674" s="14" t="str">
        <f>IF('Boletins Nuppa Site'!I1674&lt;&gt;0,'Boletins Nuppa Site'!I1674,"NULL")</f>
        <v xml:space="preserve"> 60.00</v>
      </c>
      <c r="G1674" s="14" t="str">
        <f>IF('Boletins Nuppa Site'!J1674&lt;&gt;0,'Boletins Nuppa Site'!J1674,"NULL")</f>
        <v xml:space="preserve"> 52.67</v>
      </c>
      <c r="H1674" s="14" t="str">
        <f>IF('Boletins Nuppa Site'!K1674&lt;&gt;0,'Boletins Nuppa Site'!K1674,"NULL")</f>
        <v xml:space="preserve"> 50.00</v>
      </c>
      <c r="I1674" t="str">
        <f t="shared" si="52"/>
        <v>INSERT INTO COTACAO (cot_id, cot_blt_id, cot_pap_id, cot_prc_comum, cot_prc_min, cot_prc_max, cot_prc_med, cot_prc_mediana) VALUES (1673, 80, 3, NULL,  48.00,  60.00,  52.67,  50.00);</v>
      </c>
      <c r="J1674" t="str">
        <f t="shared" si="53"/>
        <v>UPDATE COTACAO SET cot_id = 1673, cot_blt_id = 80, cot_pap_id = 3, cot_prc_comum = NULL, cot_prc_min =  48.00, cot_prc_max =  60.00, cot_prc_med =  52.67, cot_prc_mediana =  50.00 WHERE cot_id = 1673;</v>
      </c>
    </row>
    <row r="1675" spans="1:10" x14ac:dyDescent="0.3">
      <c r="A1675">
        <v>1674</v>
      </c>
      <c r="B1675">
        <f>IF('Boletins Nuppa Site'!A1675&lt;&gt;0,'Boletins Nuppa Site'!A1675,"NULL")</f>
        <v>80</v>
      </c>
      <c r="C1675">
        <v>4</v>
      </c>
      <c r="D1675" t="str">
        <f>IF('Boletins Nuppa Site'!G1675&lt;&gt;0,'Boletins Nuppa Site'!G1675,"NULL")</f>
        <v>NULL</v>
      </c>
      <c r="E1675" s="14" t="str">
        <f>IF('Boletins Nuppa Site'!H1675&lt;&gt;0,'Boletins Nuppa Site'!H1675,"NULL")</f>
        <v xml:space="preserve"> 30.00</v>
      </c>
      <c r="F1675" s="14" t="str">
        <f>IF('Boletins Nuppa Site'!I1675&lt;&gt;0,'Boletins Nuppa Site'!I1675,"NULL")</f>
        <v xml:space="preserve"> 60.00</v>
      </c>
      <c r="G1675" s="14" t="str">
        <f>IF('Boletins Nuppa Site'!J1675&lt;&gt;0,'Boletins Nuppa Site'!J1675,"NULL")</f>
        <v xml:space="preserve"> 42.00</v>
      </c>
      <c r="H1675" s="14" t="str">
        <f>IF('Boletins Nuppa Site'!K1675&lt;&gt;0,'Boletins Nuppa Site'!K1675,"NULL")</f>
        <v xml:space="preserve"> 36.00</v>
      </c>
      <c r="I1675" t="str">
        <f t="shared" si="52"/>
        <v>INSERT INTO COTACAO (cot_id, cot_blt_id, cot_pap_id, cot_prc_comum, cot_prc_min, cot_prc_max, cot_prc_med, cot_prc_mediana) VALUES (1674, 80, 4, NULL,  30.00,  60.00,  42.00,  36.00);</v>
      </c>
      <c r="J1675" t="str">
        <f t="shared" si="53"/>
        <v>UPDATE COTACAO SET cot_id = 1674, cot_blt_id = 80, cot_pap_id = 4, cot_prc_comum = NULL, cot_prc_min =  30.00, cot_prc_max =  60.00, cot_prc_med =  42.00, cot_prc_mediana =  36.00 WHERE cot_id = 1674;</v>
      </c>
    </row>
    <row r="1676" spans="1:10" x14ac:dyDescent="0.3">
      <c r="A1676">
        <v>1675</v>
      </c>
      <c r="B1676">
        <f>IF('Boletins Nuppa Site'!A1676&lt;&gt;0,'Boletins Nuppa Site'!A1676,"NULL")</f>
        <v>80</v>
      </c>
      <c r="C1676">
        <v>5</v>
      </c>
      <c r="D1676" t="str">
        <f>IF('Boletins Nuppa Site'!G1676&lt;&gt;0,'Boletins Nuppa Site'!G1676,"NULL")</f>
        <v>NULL</v>
      </c>
      <c r="E1676" s="14" t="str">
        <f>IF('Boletins Nuppa Site'!H1676&lt;&gt;0,'Boletins Nuppa Site'!H1676,"NULL")</f>
        <v xml:space="preserve"> 36.00</v>
      </c>
      <c r="F1676" s="14" t="str">
        <f>IF('Boletins Nuppa Site'!I1676&lt;&gt;0,'Boletins Nuppa Site'!I1676,"NULL")</f>
        <v xml:space="preserve"> 60.00</v>
      </c>
      <c r="G1676" s="14" t="str">
        <f>IF('Boletins Nuppa Site'!J1676&lt;&gt;0,'Boletins Nuppa Site'!J1676,"NULL")</f>
        <v xml:space="preserve"> 48.00</v>
      </c>
      <c r="H1676" s="14" t="str">
        <f>IF('Boletins Nuppa Site'!K1676&lt;&gt;0,'Boletins Nuppa Site'!K1676,"NULL")</f>
        <v xml:space="preserve"> 48.00</v>
      </c>
      <c r="I1676" t="str">
        <f t="shared" si="52"/>
        <v>INSERT INTO COTACAO (cot_id, cot_blt_id, cot_pap_id, cot_prc_comum, cot_prc_min, cot_prc_max, cot_prc_med, cot_prc_mediana) VALUES (1675, 80, 5, NULL,  36.00,  60.00,  48.00,  48.00);</v>
      </c>
      <c r="J1676" t="str">
        <f t="shared" si="53"/>
        <v>UPDATE COTACAO SET cot_id = 1675, cot_blt_id = 80, cot_pap_id = 5, cot_prc_comum = NULL, cot_prc_min =  36.00, cot_prc_max =  60.00, cot_prc_med =  48.00, cot_prc_mediana =  48.00 WHERE cot_id = 1675;</v>
      </c>
    </row>
    <row r="1677" spans="1:10" x14ac:dyDescent="0.3">
      <c r="A1677">
        <v>1676</v>
      </c>
      <c r="B1677">
        <f>IF('Boletins Nuppa Site'!A1677&lt;&gt;0,'Boletins Nuppa Site'!A1677,"NULL")</f>
        <v>80</v>
      </c>
      <c r="C1677">
        <v>6</v>
      </c>
      <c r="D1677" t="str">
        <f>IF('Boletins Nuppa Site'!G1677&lt;&gt;0,'Boletins Nuppa Site'!G1677,"NULL")</f>
        <v>NULL</v>
      </c>
      <c r="E1677" s="14" t="str">
        <f>IF('Boletins Nuppa Site'!H1677&lt;&gt;0,'Boletins Nuppa Site'!H1677,"NULL")</f>
        <v xml:space="preserve"> 66.00</v>
      </c>
      <c r="F1677" s="14" t="str">
        <f>IF('Boletins Nuppa Site'!I1677&lt;&gt;0,'Boletins Nuppa Site'!I1677,"NULL")</f>
        <v xml:space="preserve"> 72.00</v>
      </c>
      <c r="G1677" s="14" t="str">
        <f>IF('Boletins Nuppa Site'!J1677&lt;&gt;0,'Boletins Nuppa Site'!J1677,"NULL")</f>
        <v xml:space="preserve"> 69.00</v>
      </c>
      <c r="H1677" s="14" t="str">
        <f>IF('Boletins Nuppa Site'!K1677&lt;&gt;0,'Boletins Nuppa Site'!K1677,"NULL")</f>
        <v xml:space="preserve"> 69.00</v>
      </c>
      <c r="I1677" t="str">
        <f t="shared" si="52"/>
        <v>INSERT INTO COTACAO (cot_id, cot_blt_id, cot_pap_id, cot_prc_comum, cot_prc_min, cot_prc_max, cot_prc_med, cot_prc_mediana) VALUES (1676, 80, 6, NULL,  66.00,  72.00,  69.00,  69.00);</v>
      </c>
      <c r="J1677" t="str">
        <f t="shared" si="53"/>
        <v>UPDATE COTACAO SET cot_id = 1676, cot_blt_id = 80, cot_pap_id = 6, cot_prc_comum = NULL, cot_prc_min =  66.00, cot_prc_max =  72.00, cot_prc_med =  69.00, cot_prc_mediana =  69.00 WHERE cot_id = 1676;</v>
      </c>
    </row>
    <row r="1678" spans="1:10" x14ac:dyDescent="0.3">
      <c r="A1678">
        <v>1677</v>
      </c>
      <c r="B1678">
        <f>IF('Boletins Nuppa Site'!A1678&lt;&gt;0,'Boletins Nuppa Site'!A1678,"NULL")</f>
        <v>80</v>
      </c>
      <c r="C1678">
        <v>7</v>
      </c>
      <c r="D1678" t="str">
        <f>IF('Boletins Nuppa Site'!G1678&lt;&gt;0,'Boletins Nuppa Site'!G1678,"NULL")</f>
        <v xml:space="preserve"> 54.00</v>
      </c>
      <c r="E1678" s="14" t="str">
        <f>IF('Boletins Nuppa Site'!H1678&lt;&gt;0,'Boletins Nuppa Site'!H1678,"NULL")</f>
        <v xml:space="preserve"> 78.00</v>
      </c>
      <c r="F1678" s="14" t="str">
        <f>IF('Boletins Nuppa Site'!I1678&lt;&gt;0,'Boletins Nuppa Site'!I1678,"NULL")</f>
        <v xml:space="preserve"> 66.00</v>
      </c>
      <c r="G1678" s="14" t="str">
        <f>IF('Boletins Nuppa Site'!J1678&lt;&gt;0,'Boletins Nuppa Site'!J1678,"NULL")</f>
        <v xml:space="preserve"> 66.00</v>
      </c>
      <c r="H1678" s="14" t="str">
        <f>IF('Boletins Nuppa Site'!K1678&lt;&gt;0,'Boletins Nuppa Site'!K1678,"NULL")</f>
        <v>NULL</v>
      </c>
      <c r="I1678" t="str">
        <f t="shared" si="52"/>
        <v>INSERT INTO COTACAO (cot_id, cot_blt_id, cot_pap_id, cot_prc_comum, cot_prc_min, cot_prc_max, cot_prc_med, cot_prc_mediana) VALUES (1677, 80, 7,  54.00,  78.00,  66.00,  66.00, NULL);</v>
      </c>
      <c r="J1678" t="str">
        <f t="shared" si="53"/>
        <v>UPDATE COTACAO SET cot_id = 1677, cot_blt_id = 80, cot_pap_id = 7, cot_prc_comum =  54.00, cot_prc_min =  78.00, cot_prc_max =  66.00, cot_prc_med =  66.00, cot_prc_mediana = NULL WHERE cot_id = 1677;</v>
      </c>
    </row>
    <row r="1679" spans="1:10" x14ac:dyDescent="0.3">
      <c r="A1679">
        <v>1678</v>
      </c>
      <c r="B1679">
        <f>IF('Boletins Nuppa Site'!A1679&lt;&gt;0,'Boletins Nuppa Site'!A1679,"NULL")</f>
        <v>80</v>
      </c>
      <c r="C1679">
        <v>8</v>
      </c>
      <c r="D1679" t="str">
        <f>IF('Boletins Nuppa Site'!G1679&lt;&gt;0,'Boletins Nuppa Site'!G1679,"NULL")</f>
        <v xml:space="preserve"> 72.00</v>
      </c>
      <c r="E1679" s="14" t="str">
        <f>IF('Boletins Nuppa Site'!H1679&lt;&gt;0,'Boletins Nuppa Site'!H1679,"NULL")</f>
        <v xml:space="preserve"> 72.00</v>
      </c>
      <c r="F1679" s="14" t="str">
        <f>IF('Boletins Nuppa Site'!I1679&lt;&gt;0,'Boletins Nuppa Site'!I1679,"NULL")</f>
        <v xml:space="preserve"> 78.00</v>
      </c>
      <c r="G1679" s="14" t="str">
        <f>IF('Boletins Nuppa Site'!J1679&lt;&gt;0,'Boletins Nuppa Site'!J1679,"NULL")</f>
        <v xml:space="preserve"> 74.00</v>
      </c>
      <c r="H1679" s="14" t="str">
        <f>IF('Boletins Nuppa Site'!K1679&lt;&gt;0,'Boletins Nuppa Site'!K1679,"NULL")</f>
        <v xml:space="preserve"> 72.00</v>
      </c>
      <c r="I1679" t="str">
        <f t="shared" si="52"/>
        <v>INSERT INTO COTACAO (cot_id, cot_blt_id, cot_pap_id, cot_prc_comum, cot_prc_min, cot_prc_max, cot_prc_med, cot_prc_mediana) VALUES (1678, 80, 8,  72.00,  72.00,  78.00,  74.00,  72.00);</v>
      </c>
      <c r="J1679" t="str">
        <f t="shared" si="53"/>
        <v>UPDATE COTACAO SET cot_id = 1678, cot_blt_id = 80, cot_pap_id = 8, cot_prc_comum =  72.00, cot_prc_min =  72.00, cot_prc_max =  78.00, cot_prc_med =  74.00, cot_prc_mediana =  72.00 WHERE cot_id = 1678;</v>
      </c>
    </row>
    <row r="1680" spans="1:10" x14ac:dyDescent="0.3">
      <c r="A1680">
        <v>1679</v>
      </c>
      <c r="B1680">
        <f>IF('Boletins Nuppa Site'!A1680&lt;&gt;0,'Boletins Nuppa Site'!A1680,"NULL")</f>
        <v>80</v>
      </c>
      <c r="C1680">
        <v>9</v>
      </c>
      <c r="D1680" t="str">
        <f>IF('Boletins Nuppa Site'!G1680&lt;&gt;0,'Boletins Nuppa Site'!G1680,"NULL")</f>
        <v xml:space="preserve"> 24.00</v>
      </c>
      <c r="E1680" s="14" t="str">
        <f>IF('Boletins Nuppa Site'!H1680&lt;&gt;0,'Boletins Nuppa Site'!H1680,"NULL")</f>
        <v xml:space="preserve"> 18.00</v>
      </c>
      <c r="F1680" s="14" t="str">
        <f>IF('Boletins Nuppa Site'!I1680&lt;&gt;0,'Boletins Nuppa Site'!I1680,"NULL")</f>
        <v xml:space="preserve"> 24.00</v>
      </c>
      <c r="G1680" s="14" t="str">
        <f>IF('Boletins Nuppa Site'!J1680&lt;&gt;0,'Boletins Nuppa Site'!J1680,"NULL")</f>
        <v xml:space="preserve"> 22.00</v>
      </c>
      <c r="H1680" s="14" t="str">
        <f>IF('Boletins Nuppa Site'!K1680&lt;&gt;0,'Boletins Nuppa Site'!K1680,"NULL")</f>
        <v xml:space="preserve"> 24.00</v>
      </c>
      <c r="I1680" t="str">
        <f t="shared" si="52"/>
        <v>INSERT INTO COTACAO (cot_id, cot_blt_id, cot_pap_id, cot_prc_comum, cot_prc_min, cot_prc_max, cot_prc_med, cot_prc_mediana) VALUES (1679, 80, 9,  24.00,  18.00,  24.00,  22.00,  24.00);</v>
      </c>
      <c r="J1680" t="str">
        <f t="shared" si="53"/>
        <v>UPDATE COTACAO SET cot_id = 1679, cot_blt_id = 80, cot_pap_id = 9, cot_prc_comum =  24.00, cot_prc_min =  18.00, cot_prc_max =  24.00, cot_prc_med =  22.00, cot_prc_mediana =  24.00 WHERE cot_id = 1679;</v>
      </c>
    </row>
    <row r="1681" spans="1:10" x14ac:dyDescent="0.3">
      <c r="A1681">
        <v>1680</v>
      </c>
      <c r="B1681">
        <f>IF('Boletins Nuppa Site'!A1681&lt;&gt;0,'Boletins Nuppa Site'!A1681,"NULL")</f>
        <v>80</v>
      </c>
      <c r="C1681">
        <v>10</v>
      </c>
      <c r="D1681" t="str">
        <f>IF('Boletins Nuppa Site'!G1681&lt;&gt;0,'Boletins Nuppa Site'!G1681,"NULL")</f>
        <v>NULL</v>
      </c>
      <c r="E1681" s="14" t="str">
        <f>IF('Boletins Nuppa Site'!H1681&lt;&gt;0,'Boletins Nuppa Site'!H1681,"NULL")</f>
        <v xml:space="preserve"> 70.00</v>
      </c>
      <c r="F1681" s="14" t="str">
        <f>IF('Boletins Nuppa Site'!I1681&lt;&gt;0,'Boletins Nuppa Site'!I1681,"NULL")</f>
        <v xml:space="preserve"> 78.00</v>
      </c>
      <c r="G1681" s="14" t="str">
        <f>IF('Boletins Nuppa Site'!J1681&lt;&gt;0,'Boletins Nuppa Site'!J1681,"NULL")</f>
        <v xml:space="preserve"> 74.00</v>
      </c>
      <c r="H1681" s="14" t="str">
        <f>IF('Boletins Nuppa Site'!K1681&lt;&gt;0,'Boletins Nuppa Site'!K1681,"NULL")</f>
        <v xml:space="preserve"> 74.00</v>
      </c>
      <c r="I1681" t="str">
        <f t="shared" si="52"/>
        <v>INSERT INTO COTACAO (cot_id, cot_blt_id, cot_pap_id, cot_prc_comum, cot_prc_min, cot_prc_max, cot_prc_med, cot_prc_mediana) VALUES (1680, 80, 10, NULL,  70.00,  78.00,  74.00,  74.00);</v>
      </c>
      <c r="J1681" t="str">
        <f t="shared" si="53"/>
        <v>UPDATE COTACAO SET cot_id = 1680, cot_blt_id = 80, cot_pap_id = 10, cot_prc_comum = NULL, cot_prc_min =  70.00, cot_prc_max =  78.00, cot_prc_med =  74.00, cot_prc_mediana =  74.00 WHERE cot_id = 1680;</v>
      </c>
    </row>
    <row r="1682" spans="1:10" x14ac:dyDescent="0.3">
      <c r="A1682">
        <v>1681</v>
      </c>
      <c r="B1682">
        <f>IF('Boletins Nuppa Site'!A1682&lt;&gt;0,'Boletins Nuppa Site'!A1682,"NULL")</f>
        <v>80</v>
      </c>
      <c r="C1682">
        <v>11</v>
      </c>
      <c r="D1682" t="str">
        <f>IF('Boletins Nuppa Site'!G1682&lt;&gt;0,'Boletins Nuppa Site'!G1682,"NULL")</f>
        <v>NULL</v>
      </c>
      <c r="E1682" s="14" t="str">
        <f>IF('Boletins Nuppa Site'!H1682&lt;&gt;0,'Boletins Nuppa Site'!H1682,"NULL")</f>
        <v xml:space="preserve"> 24.00</v>
      </c>
      <c r="F1682" s="14" t="str">
        <f>IF('Boletins Nuppa Site'!I1682&lt;&gt;0,'Boletins Nuppa Site'!I1682,"NULL")</f>
        <v xml:space="preserve"> 60.00</v>
      </c>
      <c r="G1682" s="14" t="str">
        <f>IF('Boletins Nuppa Site'!J1682&lt;&gt;0,'Boletins Nuppa Site'!J1682,"NULL")</f>
        <v xml:space="preserve"> 40.00</v>
      </c>
      <c r="H1682" s="14" t="str">
        <f>IF('Boletins Nuppa Site'!K1682&lt;&gt;0,'Boletins Nuppa Site'!K1682,"NULL")</f>
        <v xml:space="preserve"> 36.00</v>
      </c>
      <c r="I1682" t="str">
        <f t="shared" si="52"/>
        <v>INSERT INTO COTACAO (cot_id, cot_blt_id, cot_pap_id, cot_prc_comum, cot_prc_min, cot_prc_max, cot_prc_med, cot_prc_mediana) VALUES (1681, 80, 11, NULL,  24.00,  60.00,  40.00,  36.00);</v>
      </c>
      <c r="J1682" t="str">
        <f t="shared" si="53"/>
        <v>UPDATE COTACAO SET cot_id = 1681, cot_blt_id = 80, cot_pap_id = 11, cot_prc_comum = NULL, cot_prc_min =  24.00, cot_prc_max =  60.00, cot_prc_med =  40.00, cot_prc_mediana =  36.00 WHERE cot_id = 1681;</v>
      </c>
    </row>
    <row r="1683" spans="1:10" x14ac:dyDescent="0.3">
      <c r="A1683">
        <v>1682</v>
      </c>
      <c r="B1683">
        <f>IF('Boletins Nuppa Site'!A1683&lt;&gt;0,'Boletins Nuppa Site'!A1683,"NULL")</f>
        <v>80</v>
      </c>
      <c r="C1683">
        <v>12</v>
      </c>
      <c r="D1683" t="str">
        <f>IF('Boletins Nuppa Site'!G1683&lt;&gt;0,'Boletins Nuppa Site'!G1683,"NULL")</f>
        <v>NULL</v>
      </c>
      <c r="E1683" s="14" t="str">
        <f>IF('Boletins Nuppa Site'!H1683&lt;&gt;0,'Boletins Nuppa Site'!H1683,"NULL")</f>
        <v xml:space="preserve"> 72.00</v>
      </c>
      <c r="F1683" s="14" t="str">
        <f>IF('Boletins Nuppa Site'!I1683&lt;&gt;0,'Boletins Nuppa Site'!I1683,"NULL")</f>
        <v xml:space="preserve"> 84.00</v>
      </c>
      <c r="G1683" s="14" t="str">
        <f>IF('Boletins Nuppa Site'!J1683&lt;&gt;0,'Boletins Nuppa Site'!J1683,"NULL")</f>
        <v xml:space="preserve"> 78.00</v>
      </c>
      <c r="H1683" s="14" t="str">
        <f>IF('Boletins Nuppa Site'!K1683&lt;&gt;0,'Boletins Nuppa Site'!K1683,"NULL")</f>
        <v xml:space="preserve"> 78.00</v>
      </c>
      <c r="I1683" t="str">
        <f t="shared" si="52"/>
        <v>INSERT INTO COTACAO (cot_id, cot_blt_id, cot_pap_id, cot_prc_comum, cot_prc_min, cot_prc_max, cot_prc_med, cot_prc_mediana) VALUES (1682, 80, 12, NULL,  72.00,  84.00,  78.00,  78.00);</v>
      </c>
      <c r="J1683" t="str">
        <f t="shared" si="53"/>
        <v>UPDATE COTACAO SET cot_id = 1682, cot_blt_id = 80, cot_pap_id = 12, cot_prc_comum = NULL, cot_prc_min =  72.00, cot_prc_max =  84.00, cot_prc_med =  78.00, cot_prc_mediana =  78.00 WHERE cot_id = 1682;</v>
      </c>
    </row>
    <row r="1684" spans="1:10" x14ac:dyDescent="0.3">
      <c r="A1684">
        <v>1683</v>
      </c>
      <c r="B1684">
        <f>IF('Boletins Nuppa Site'!A1684&lt;&gt;0,'Boletins Nuppa Site'!A1684,"NULL")</f>
        <v>80</v>
      </c>
      <c r="C1684">
        <v>13</v>
      </c>
      <c r="D1684" t="str">
        <f>IF('Boletins Nuppa Site'!G1684&lt;&gt;0,'Boletins Nuppa Site'!G1684,"NULL")</f>
        <v>NULL</v>
      </c>
      <c r="E1684" s="14" t="str">
        <f>IF('Boletins Nuppa Site'!H1684&lt;&gt;0,'Boletins Nuppa Site'!H1684,"NULL")</f>
        <v xml:space="preserve"> 60.00</v>
      </c>
      <c r="F1684" s="14" t="str">
        <f>IF('Boletins Nuppa Site'!I1684&lt;&gt;0,'Boletins Nuppa Site'!I1684,"NULL")</f>
        <v xml:space="preserve"> 78.00</v>
      </c>
      <c r="G1684" s="14" t="str">
        <f>IF('Boletins Nuppa Site'!J1684&lt;&gt;0,'Boletins Nuppa Site'!J1684,"NULL")</f>
        <v xml:space="preserve"> 70.00</v>
      </c>
      <c r="H1684" s="14" t="str">
        <f>IF('Boletins Nuppa Site'!K1684&lt;&gt;0,'Boletins Nuppa Site'!K1684,"NULL")</f>
        <v xml:space="preserve"> 72.00</v>
      </c>
      <c r="I1684" t="str">
        <f t="shared" si="52"/>
        <v>INSERT INTO COTACAO (cot_id, cot_blt_id, cot_pap_id, cot_prc_comum, cot_prc_min, cot_prc_max, cot_prc_med, cot_prc_mediana) VALUES (1683, 80, 13, NULL,  60.00,  78.00,  70.00,  72.00);</v>
      </c>
      <c r="J1684" t="str">
        <f t="shared" si="53"/>
        <v>UPDATE COTACAO SET cot_id = 1683, cot_blt_id = 80, cot_pap_id = 13, cot_prc_comum = NULL, cot_prc_min =  60.00, cot_prc_max =  78.00, cot_prc_med =  70.00, cot_prc_mediana =  72.00 WHERE cot_id = 1683;</v>
      </c>
    </row>
    <row r="1685" spans="1:10" x14ac:dyDescent="0.3">
      <c r="A1685">
        <v>1684</v>
      </c>
      <c r="B1685">
        <f>IF('Boletins Nuppa Site'!A1685&lt;&gt;0,'Boletins Nuppa Site'!A1685,"NULL")</f>
        <v>80</v>
      </c>
      <c r="C1685">
        <v>14</v>
      </c>
      <c r="D1685" t="str">
        <f>IF('Boletins Nuppa Site'!G1685&lt;&gt;0,'Boletins Nuppa Site'!G1685,"NULL")</f>
        <v>NULL</v>
      </c>
      <c r="E1685" s="14" t="str">
        <f>IF('Boletins Nuppa Site'!H1685&lt;&gt;0,'Boletins Nuppa Site'!H1685,"NULL")</f>
        <v xml:space="preserve"> 40.00</v>
      </c>
      <c r="F1685" s="14" t="str">
        <f>IF('Boletins Nuppa Site'!I1685&lt;&gt;0,'Boletins Nuppa Site'!I1685,"NULL")</f>
        <v xml:space="preserve"> 60.00</v>
      </c>
      <c r="G1685" s="14" t="str">
        <f>IF('Boletins Nuppa Site'!J1685&lt;&gt;0,'Boletins Nuppa Site'!J1685,"NULL")</f>
        <v xml:space="preserve"> 50.00</v>
      </c>
      <c r="H1685" s="14" t="str">
        <f>IF('Boletins Nuppa Site'!K1685&lt;&gt;0,'Boletins Nuppa Site'!K1685,"NULL")</f>
        <v xml:space="preserve"> 50.00</v>
      </c>
      <c r="I1685" t="str">
        <f t="shared" si="52"/>
        <v>INSERT INTO COTACAO (cot_id, cot_blt_id, cot_pap_id, cot_prc_comum, cot_prc_min, cot_prc_max, cot_prc_med, cot_prc_mediana) VALUES (1684, 80, 14, NULL,  40.00,  60.00,  50.00,  50.00);</v>
      </c>
      <c r="J1685" t="str">
        <f t="shared" si="53"/>
        <v>UPDATE COTACAO SET cot_id = 1684, cot_blt_id = 80, cot_pap_id = 14, cot_prc_comum = NULL, cot_prc_min =  40.00, cot_prc_max =  60.00, cot_prc_med =  50.00, cot_prc_mediana =  50.00 WHERE cot_id = 1684;</v>
      </c>
    </row>
    <row r="1686" spans="1:10" x14ac:dyDescent="0.3">
      <c r="A1686">
        <v>1685</v>
      </c>
      <c r="B1686">
        <f>IF('Boletins Nuppa Site'!A1686&lt;&gt;0,'Boletins Nuppa Site'!A1686,"NULL")</f>
        <v>80</v>
      </c>
      <c r="C1686">
        <v>15</v>
      </c>
      <c r="D1686" t="str">
        <f>IF('Boletins Nuppa Site'!G1686&lt;&gt;0,'Boletins Nuppa Site'!G1686,"NULL")</f>
        <v>NULL</v>
      </c>
      <c r="E1686" s="14" t="str">
        <f>IF('Boletins Nuppa Site'!H1686&lt;&gt;0,'Boletins Nuppa Site'!H1686,"NULL")</f>
        <v xml:space="preserve"> 24.00</v>
      </c>
      <c r="F1686" s="14" t="str">
        <f>IF('Boletins Nuppa Site'!I1686&lt;&gt;0,'Boletins Nuppa Site'!I1686,"NULL")</f>
        <v xml:space="preserve"> 36.00</v>
      </c>
      <c r="G1686" s="14" t="str">
        <f>IF('Boletins Nuppa Site'!J1686&lt;&gt;0,'Boletins Nuppa Site'!J1686,"NULL")</f>
        <v xml:space="preserve"> 30.00</v>
      </c>
      <c r="H1686" s="14" t="str">
        <f>IF('Boletins Nuppa Site'!K1686&lt;&gt;0,'Boletins Nuppa Site'!K1686,"NULL")</f>
        <v xml:space="preserve"> 30.00</v>
      </c>
      <c r="I1686" t="str">
        <f t="shared" si="52"/>
        <v>INSERT INTO COTACAO (cot_id, cot_blt_id, cot_pap_id, cot_prc_comum, cot_prc_min, cot_prc_max, cot_prc_med, cot_prc_mediana) VALUES (1685, 80, 15, NULL,  24.00,  36.00,  30.00,  30.00);</v>
      </c>
      <c r="J1686" t="str">
        <f t="shared" si="53"/>
        <v>UPDATE COTACAO SET cot_id = 1685, cot_blt_id = 80, cot_pap_id = 15, cot_prc_comum = NULL, cot_prc_min =  24.00, cot_prc_max =  36.00, cot_prc_med =  30.00, cot_prc_mediana =  30.00 WHERE cot_id = 1685;</v>
      </c>
    </row>
    <row r="1687" spans="1:10" x14ac:dyDescent="0.3">
      <c r="A1687">
        <v>1686</v>
      </c>
      <c r="B1687">
        <f>IF('Boletins Nuppa Site'!A1687&lt;&gt;0,'Boletins Nuppa Site'!A1687,"NULL")</f>
        <v>80</v>
      </c>
      <c r="C1687">
        <v>16</v>
      </c>
      <c r="D1687" t="str">
        <f>IF('Boletins Nuppa Site'!G1687&lt;&gt;0,'Boletins Nuppa Site'!G1687,"NULL")</f>
        <v>NULL</v>
      </c>
      <c r="E1687" s="14" t="str">
        <f>IF('Boletins Nuppa Site'!H1687&lt;&gt;0,'Boletins Nuppa Site'!H1687,"NULL")</f>
        <v xml:space="preserve"> 42.00</v>
      </c>
      <c r="F1687" s="14" t="str">
        <f>IF('Boletins Nuppa Site'!I1687&lt;&gt;0,'Boletins Nuppa Site'!I1687,"NULL")</f>
        <v xml:space="preserve"> 60.00</v>
      </c>
      <c r="G1687" s="14" t="str">
        <f>IF('Boletins Nuppa Site'!J1687&lt;&gt;0,'Boletins Nuppa Site'!J1687,"NULL")</f>
        <v xml:space="preserve"> 52.00</v>
      </c>
      <c r="H1687" s="14" t="str">
        <f>IF('Boletins Nuppa Site'!K1687&lt;&gt;0,'Boletins Nuppa Site'!K1687,"NULL")</f>
        <v xml:space="preserve"> 54.00</v>
      </c>
      <c r="I1687" t="str">
        <f t="shared" si="52"/>
        <v>INSERT INTO COTACAO (cot_id, cot_blt_id, cot_pap_id, cot_prc_comum, cot_prc_min, cot_prc_max, cot_prc_med, cot_prc_mediana) VALUES (1686, 80, 16, NULL,  42.00,  60.00,  52.00,  54.00);</v>
      </c>
      <c r="J1687" t="str">
        <f t="shared" si="53"/>
        <v>UPDATE COTACAO SET cot_id = 1686, cot_blt_id = 80, cot_pap_id = 16, cot_prc_comum = NULL, cot_prc_min =  42.00, cot_prc_max =  60.00, cot_prc_med =  52.00, cot_prc_mediana =  54.00 WHERE cot_id = 1686;</v>
      </c>
    </row>
    <row r="1688" spans="1:10" x14ac:dyDescent="0.3">
      <c r="A1688">
        <v>1687</v>
      </c>
      <c r="B1688">
        <f>IF('Boletins Nuppa Site'!A1688&lt;&gt;0,'Boletins Nuppa Site'!A1688,"NULL")</f>
        <v>80</v>
      </c>
      <c r="C1688">
        <v>17</v>
      </c>
      <c r="D1688" t="str">
        <f>IF('Boletins Nuppa Site'!G1688&lt;&gt;0,'Boletins Nuppa Site'!G1688,"NULL")</f>
        <v xml:space="preserve"> 5.00</v>
      </c>
      <c r="E1688" s="14" t="str">
        <f>IF('Boletins Nuppa Site'!H1688&lt;&gt;0,'Boletins Nuppa Site'!H1688,"NULL")</f>
        <v xml:space="preserve"> 5.00</v>
      </c>
      <c r="F1688" s="14" t="str">
        <f>IF('Boletins Nuppa Site'!I1688&lt;&gt;0,'Boletins Nuppa Site'!I1688,"NULL")</f>
        <v xml:space="preserve"> 5.00</v>
      </c>
      <c r="G1688" s="14" t="str">
        <f>IF('Boletins Nuppa Site'!J1688&lt;&gt;0,'Boletins Nuppa Site'!J1688,"NULL")</f>
        <v xml:space="preserve"> 5.00</v>
      </c>
      <c r="H1688" s="14" t="str">
        <f>IF('Boletins Nuppa Site'!K1688&lt;&gt;0,'Boletins Nuppa Site'!K1688,"NULL")</f>
        <v xml:space="preserve"> 5.00</v>
      </c>
      <c r="I1688" t="str">
        <f t="shared" si="52"/>
        <v>INSERT INTO COTACAO (cot_id, cot_blt_id, cot_pap_id, cot_prc_comum, cot_prc_min, cot_prc_max, cot_prc_med, cot_prc_mediana) VALUES (1687, 80, 17,  5.00,  5.00,  5.00,  5.00,  5.00);</v>
      </c>
      <c r="J1688" t="str">
        <f t="shared" si="53"/>
        <v>UPDATE COTACAO SET cot_id = 1687, cot_blt_id = 80, cot_pap_id = 17, cot_prc_comum =  5.00, cot_prc_min =  5.00, cot_prc_max =  5.00, cot_prc_med =  5.00, cot_prc_mediana =  5.00 WHERE cot_id = 1687;</v>
      </c>
    </row>
    <row r="1689" spans="1:10" x14ac:dyDescent="0.3">
      <c r="A1689">
        <v>1688</v>
      </c>
      <c r="B1689">
        <f>IF('Boletins Nuppa Site'!A1689&lt;&gt;0,'Boletins Nuppa Site'!A1689,"NULL")</f>
        <v>80</v>
      </c>
      <c r="C1689">
        <v>18</v>
      </c>
      <c r="D1689" t="str">
        <f>IF('Boletins Nuppa Site'!G1689&lt;&gt;0,'Boletins Nuppa Site'!G1689,"NULL")</f>
        <v xml:space="preserve"> 20.00</v>
      </c>
      <c r="E1689" s="14" t="str">
        <f>IF('Boletins Nuppa Site'!H1689&lt;&gt;0,'Boletins Nuppa Site'!H1689,"NULL")</f>
        <v xml:space="preserve"> 20.00</v>
      </c>
      <c r="F1689" s="14" t="str">
        <f>IF('Boletins Nuppa Site'!I1689&lt;&gt;0,'Boletins Nuppa Site'!I1689,"NULL")</f>
        <v xml:space="preserve"> 20.00</v>
      </c>
      <c r="G1689" s="14" t="str">
        <f>IF('Boletins Nuppa Site'!J1689&lt;&gt;0,'Boletins Nuppa Site'!J1689,"NULL")</f>
        <v xml:space="preserve"> 20.00</v>
      </c>
      <c r="H1689" s="14" t="str">
        <f>IF('Boletins Nuppa Site'!K1689&lt;&gt;0,'Boletins Nuppa Site'!K1689,"NULL")</f>
        <v xml:space="preserve"> 20.00</v>
      </c>
      <c r="I1689" t="str">
        <f t="shared" si="52"/>
        <v>INSERT INTO COTACAO (cot_id, cot_blt_id, cot_pap_id, cot_prc_comum, cot_prc_min, cot_prc_max, cot_prc_med, cot_prc_mediana) VALUES (1688, 80, 18,  20.00,  20.00,  20.00,  20.00,  20.00);</v>
      </c>
      <c r="J1689" t="str">
        <f t="shared" si="53"/>
        <v>UPDATE COTACAO SET cot_id = 1688, cot_blt_id = 80, cot_pap_id = 18, cot_prc_comum =  20.00, cot_prc_min =  20.00, cot_prc_max =  20.00, cot_prc_med =  20.00, cot_prc_mediana =  20.00 WHERE cot_id = 1688;</v>
      </c>
    </row>
    <row r="1690" spans="1:10" x14ac:dyDescent="0.3">
      <c r="A1690">
        <v>1689</v>
      </c>
      <c r="B1690">
        <f>IF('Boletins Nuppa Site'!A1690&lt;&gt;0,'Boletins Nuppa Site'!A1690,"NULL")</f>
        <v>80</v>
      </c>
      <c r="C1690">
        <v>19</v>
      </c>
      <c r="D1690" t="str">
        <f>IF('Boletins Nuppa Site'!G1690&lt;&gt;0,'Boletins Nuppa Site'!G1690,"NULL")</f>
        <v>NULL</v>
      </c>
      <c r="E1690" s="14" t="str">
        <f>IF('Boletins Nuppa Site'!H1690&lt;&gt;0,'Boletins Nuppa Site'!H1690,"NULL")</f>
        <v xml:space="preserve"> 25.00</v>
      </c>
      <c r="F1690" s="14" t="str">
        <f>IF('Boletins Nuppa Site'!I1690&lt;&gt;0,'Boletins Nuppa Site'!I1690,"NULL")</f>
        <v xml:space="preserve"> 35.00</v>
      </c>
      <c r="G1690" s="14" t="str">
        <f>IF('Boletins Nuppa Site'!J1690&lt;&gt;0,'Boletins Nuppa Site'!J1690,"NULL")</f>
        <v xml:space="preserve"> 30.00</v>
      </c>
      <c r="H1690" s="14" t="str">
        <f>IF('Boletins Nuppa Site'!K1690&lt;&gt;0,'Boletins Nuppa Site'!K1690,"NULL")</f>
        <v xml:space="preserve"> 30.00</v>
      </c>
      <c r="I1690" t="str">
        <f t="shared" si="52"/>
        <v>INSERT INTO COTACAO (cot_id, cot_blt_id, cot_pap_id, cot_prc_comum, cot_prc_min, cot_prc_max, cot_prc_med, cot_prc_mediana) VALUES (1689, 80, 19, NULL,  25.00,  35.00,  30.00,  30.00);</v>
      </c>
      <c r="J1690" t="str">
        <f t="shared" si="53"/>
        <v>UPDATE COTACAO SET cot_id = 1689, cot_blt_id = 80, cot_pap_id = 19, cot_prc_comum = NULL, cot_prc_min =  25.00, cot_prc_max =  35.00, cot_prc_med =  30.00, cot_prc_mediana =  30.00 WHERE cot_id = 1689;</v>
      </c>
    </row>
    <row r="1691" spans="1:10" x14ac:dyDescent="0.3">
      <c r="A1691">
        <v>1690</v>
      </c>
      <c r="B1691">
        <f>IF('Boletins Nuppa Site'!A1691&lt;&gt;0,'Boletins Nuppa Site'!A1691,"NULL")</f>
        <v>80</v>
      </c>
      <c r="C1691">
        <v>20</v>
      </c>
      <c r="D1691" t="str">
        <f>IF('Boletins Nuppa Site'!G1691&lt;&gt;0,'Boletins Nuppa Site'!G1691,"NULL")</f>
        <v xml:space="preserve"> 80.00</v>
      </c>
      <c r="E1691" s="14" t="str">
        <f>IF('Boletins Nuppa Site'!H1691&lt;&gt;0,'Boletins Nuppa Site'!H1691,"NULL")</f>
        <v xml:space="preserve"> 75.00</v>
      </c>
      <c r="F1691" s="14" t="str">
        <f>IF('Boletins Nuppa Site'!I1691&lt;&gt;0,'Boletins Nuppa Site'!I1691,"NULL")</f>
        <v xml:space="preserve"> 80.00</v>
      </c>
      <c r="G1691" s="14" t="str">
        <f>IF('Boletins Nuppa Site'!J1691&lt;&gt;0,'Boletins Nuppa Site'!J1691,"NULL")</f>
        <v xml:space="preserve"> 78.33</v>
      </c>
      <c r="H1691" s="14" t="str">
        <f>IF('Boletins Nuppa Site'!K1691&lt;&gt;0,'Boletins Nuppa Site'!K1691,"NULL")</f>
        <v xml:space="preserve"> 80.00</v>
      </c>
      <c r="I1691" t="str">
        <f t="shared" si="52"/>
        <v>INSERT INTO COTACAO (cot_id, cot_blt_id, cot_pap_id, cot_prc_comum, cot_prc_min, cot_prc_max, cot_prc_med, cot_prc_mediana) VALUES (1690, 80, 20,  80.00,  75.00,  80.00,  78.33,  80.00);</v>
      </c>
      <c r="J1691" t="str">
        <f t="shared" si="53"/>
        <v>UPDATE COTACAO SET cot_id = 1690, cot_blt_id = 80, cot_pap_id = 20, cot_prc_comum =  80.00, cot_prc_min =  75.00, cot_prc_max =  80.00, cot_prc_med =  78.33, cot_prc_mediana =  80.00 WHERE cot_id = 1690;</v>
      </c>
    </row>
    <row r="1692" spans="1:10" x14ac:dyDescent="0.3">
      <c r="A1692">
        <v>1691</v>
      </c>
      <c r="B1692">
        <f>IF('Boletins Nuppa Site'!A1692&lt;&gt;0,'Boletins Nuppa Site'!A1692,"NULL")</f>
        <v>80</v>
      </c>
      <c r="C1692">
        <v>21</v>
      </c>
      <c r="D1692" t="str">
        <f>IF('Boletins Nuppa Site'!G1692&lt;&gt;0,'Boletins Nuppa Site'!G1692,"NULL")</f>
        <v xml:space="preserve"> 50.00</v>
      </c>
      <c r="E1692" s="14" t="str">
        <f>IF('Boletins Nuppa Site'!H1692&lt;&gt;0,'Boletins Nuppa Site'!H1692,"NULL")</f>
        <v xml:space="preserve"> 35.00</v>
      </c>
      <c r="F1692" s="14" t="str">
        <f>IF('Boletins Nuppa Site'!I1692&lt;&gt;0,'Boletins Nuppa Site'!I1692,"NULL")</f>
        <v xml:space="preserve"> 50.00</v>
      </c>
      <c r="G1692" s="14" t="str">
        <f>IF('Boletins Nuppa Site'!J1692&lt;&gt;0,'Boletins Nuppa Site'!J1692,"NULL")</f>
        <v xml:space="preserve"> 45.00</v>
      </c>
      <c r="H1692" s="14" t="str">
        <f>IF('Boletins Nuppa Site'!K1692&lt;&gt;0,'Boletins Nuppa Site'!K1692,"NULL")</f>
        <v xml:space="preserve"> 50.00</v>
      </c>
      <c r="I1692" t="str">
        <f t="shared" si="52"/>
        <v>INSERT INTO COTACAO (cot_id, cot_blt_id, cot_pap_id, cot_prc_comum, cot_prc_min, cot_prc_max, cot_prc_med, cot_prc_mediana) VALUES (1691, 80, 21,  50.00,  35.00,  50.00,  45.00,  50.00);</v>
      </c>
      <c r="J1692" t="str">
        <f t="shared" si="53"/>
        <v>UPDATE COTACAO SET cot_id = 1691, cot_blt_id = 80, cot_pap_id = 21, cot_prc_comum =  50.00, cot_prc_min =  35.00, cot_prc_max =  50.00, cot_prc_med =  45.00, cot_prc_mediana =  50.00 WHERE cot_id = 1691;</v>
      </c>
    </row>
    <row r="1693" spans="1:10" x14ac:dyDescent="0.3">
      <c r="A1693">
        <v>1692</v>
      </c>
      <c r="B1693">
        <f>IF('Boletins Nuppa Site'!A1693&lt;&gt;0,'Boletins Nuppa Site'!A1693,"NULL")</f>
        <v>80</v>
      </c>
      <c r="C1693">
        <v>22</v>
      </c>
      <c r="D1693" t="str">
        <f>IF('Boletins Nuppa Site'!G1693&lt;&gt;0,'Boletins Nuppa Site'!G1693,"NULL")</f>
        <v xml:space="preserve"> 45.00</v>
      </c>
      <c r="E1693" s="14" t="str">
        <f>IF('Boletins Nuppa Site'!H1693&lt;&gt;0,'Boletins Nuppa Site'!H1693,"NULL")</f>
        <v xml:space="preserve"> 45.00</v>
      </c>
      <c r="F1693" s="14" t="str">
        <f>IF('Boletins Nuppa Site'!I1693&lt;&gt;0,'Boletins Nuppa Site'!I1693,"NULL")</f>
        <v xml:space="preserve"> 70.00</v>
      </c>
      <c r="G1693" s="14" t="str">
        <f>IF('Boletins Nuppa Site'!J1693&lt;&gt;0,'Boletins Nuppa Site'!J1693,"NULL")</f>
        <v xml:space="preserve"> 58.60</v>
      </c>
      <c r="H1693" s="14" t="str">
        <f>IF('Boletins Nuppa Site'!K1693&lt;&gt;0,'Boletins Nuppa Site'!K1693,"NULL")</f>
        <v xml:space="preserve"> 65.00</v>
      </c>
      <c r="I1693" t="str">
        <f t="shared" si="52"/>
        <v>INSERT INTO COTACAO (cot_id, cot_blt_id, cot_pap_id, cot_prc_comum, cot_prc_min, cot_prc_max, cot_prc_med, cot_prc_mediana) VALUES (1692, 80, 22,  45.00,  45.00,  70.00,  58.60,  65.00);</v>
      </c>
      <c r="J1693" t="str">
        <f t="shared" si="53"/>
        <v>UPDATE COTACAO SET cot_id = 1692, cot_blt_id = 80, cot_pap_id = 22, cot_prc_comum =  45.00, cot_prc_min =  45.00, cot_prc_max =  70.00, cot_prc_med =  58.60, cot_prc_mediana =  65.00 WHERE cot_id = 1692;</v>
      </c>
    </row>
    <row r="1694" spans="1:10" x14ac:dyDescent="0.3">
      <c r="A1694">
        <v>1693</v>
      </c>
      <c r="B1694">
        <f>IF('Boletins Nuppa Site'!A1694&lt;&gt;0,'Boletins Nuppa Site'!A1694,"NULL")</f>
        <v>80</v>
      </c>
      <c r="C1694">
        <v>23</v>
      </c>
      <c r="D1694" t="str">
        <f>IF('Boletins Nuppa Site'!G1694&lt;&gt;0,'Boletins Nuppa Site'!G1694,"NULL")</f>
        <v xml:space="preserve"> 50.00</v>
      </c>
      <c r="E1694" s="14" t="str">
        <f>IF('Boletins Nuppa Site'!H1694&lt;&gt;0,'Boletins Nuppa Site'!H1694,"NULL")</f>
        <v xml:space="preserve"> 50.00</v>
      </c>
      <c r="F1694" s="14" t="str">
        <f>IF('Boletins Nuppa Site'!I1694&lt;&gt;0,'Boletins Nuppa Site'!I1694,"NULL")</f>
        <v xml:space="preserve"> 55.00</v>
      </c>
      <c r="G1694" s="14" t="str">
        <f>IF('Boletins Nuppa Site'!J1694&lt;&gt;0,'Boletins Nuppa Site'!J1694,"NULL")</f>
        <v xml:space="preserve"> 52.00</v>
      </c>
      <c r="H1694" s="14" t="str">
        <f>IF('Boletins Nuppa Site'!K1694&lt;&gt;0,'Boletins Nuppa Site'!K1694,"NULL")</f>
        <v xml:space="preserve"> 50.00</v>
      </c>
      <c r="I1694" t="str">
        <f t="shared" si="52"/>
        <v>INSERT INTO COTACAO (cot_id, cot_blt_id, cot_pap_id, cot_prc_comum, cot_prc_min, cot_prc_max, cot_prc_med, cot_prc_mediana) VALUES (1693, 80, 23,  50.00,  50.00,  55.00,  52.00,  50.00);</v>
      </c>
      <c r="J1694" t="str">
        <f t="shared" si="53"/>
        <v>UPDATE COTACAO SET cot_id = 1693, cot_blt_id = 80, cot_pap_id = 23, cot_prc_comum =  50.00, cot_prc_min =  50.00, cot_prc_max =  55.00, cot_prc_med =  52.00, cot_prc_mediana =  50.00 WHERE cot_id = 1693;</v>
      </c>
    </row>
    <row r="1695" spans="1:10" x14ac:dyDescent="0.3">
      <c r="A1695">
        <v>1694</v>
      </c>
      <c r="B1695">
        <f>IF('Boletins Nuppa Site'!A1695&lt;&gt;0,'Boletins Nuppa Site'!A1695,"NULL")</f>
        <v>80</v>
      </c>
      <c r="C1695">
        <v>24</v>
      </c>
      <c r="D1695" t="str">
        <f>IF('Boletins Nuppa Site'!G1695&lt;&gt;0,'Boletins Nuppa Site'!G1695,"NULL")</f>
        <v>NULL</v>
      </c>
      <c r="E1695" s="14" t="str">
        <f>IF('Boletins Nuppa Site'!H1695&lt;&gt;0,'Boletins Nuppa Site'!H1695,"NULL")</f>
        <v xml:space="preserve"> 90.00</v>
      </c>
      <c r="F1695" s="14" t="str">
        <f>IF('Boletins Nuppa Site'!I1695&lt;&gt;0,'Boletins Nuppa Site'!I1695,"NULL")</f>
        <v xml:space="preserve"> 120.00</v>
      </c>
      <c r="G1695" s="14" t="str">
        <f>IF('Boletins Nuppa Site'!J1695&lt;&gt;0,'Boletins Nuppa Site'!J1695,"NULL")</f>
        <v xml:space="preserve"> 105.00</v>
      </c>
      <c r="H1695" s="14" t="str">
        <f>IF('Boletins Nuppa Site'!K1695&lt;&gt;0,'Boletins Nuppa Site'!K1695,"NULL")</f>
        <v xml:space="preserve"> 105.00</v>
      </c>
      <c r="I1695" t="str">
        <f t="shared" si="52"/>
        <v>INSERT INTO COTACAO (cot_id, cot_blt_id, cot_pap_id, cot_prc_comum, cot_prc_min, cot_prc_max, cot_prc_med, cot_prc_mediana) VALUES (1694, 80, 24, NULL,  90.00,  120.00,  105.00,  105.00);</v>
      </c>
      <c r="J1695" t="str">
        <f t="shared" si="53"/>
        <v>UPDATE COTACAO SET cot_id = 1694, cot_blt_id = 80, cot_pap_id = 24, cot_prc_comum = NULL, cot_prc_min =  90.00, cot_prc_max =  120.00, cot_prc_med =  105.00, cot_prc_mediana =  105.00 WHERE cot_id = 1694;</v>
      </c>
    </row>
    <row r="1696" spans="1:10" x14ac:dyDescent="0.3">
      <c r="A1696">
        <v>1695</v>
      </c>
      <c r="B1696">
        <f>IF('Boletins Nuppa Site'!A1696&lt;&gt;0,'Boletins Nuppa Site'!A1696,"NULL")</f>
        <v>80</v>
      </c>
      <c r="C1696">
        <v>25</v>
      </c>
      <c r="D1696" t="str">
        <f>IF('Boletins Nuppa Site'!G1696&lt;&gt;0,'Boletins Nuppa Site'!G1696,"NULL")</f>
        <v xml:space="preserve"> 60.00</v>
      </c>
      <c r="E1696" s="14" t="str">
        <f>IF('Boletins Nuppa Site'!H1696&lt;&gt;0,'Boletins Nuppa Site'!H1696,"NULL")</f>
        <v xml:space="preserve"> 50.00</v>
      </c>
      <c r="F1696" s="14" t="str">
        <f>IF('Boletins Nuppa Site'!I1696&lt;&gt;0,'Boletins Nuppa Site'!I1696,"NULL")</f>
        <v xml:space="preserve"> 70.00</v>
      </c>
      <c r="G1696" s="14" t="str">
        <f>IF('Boletins Nuppa Site'!J1696&lt;&gt;0,'Boletins Nuppa Site'!J1696,"NULL")</f>
        <v xml:space="preserve"> 59.00</v>
      </c>
      <c r="H1696" s="14" t="str">
        <f>IF('Boletins Nuppa Site'!K1696&lt;&gt;0,'Boletins Nuppa Site'!K1696,"NULL")</f>
        <v xml:space="preserve"> 60.00</v>
      </c>
      <c r="I1696" t="str">
        <f t="shared" si="52"/>
        <v>INSERT INTO COTACAO (cot_id, cot_blt_id, cot_pap_id, cot_prc_comum, cot_prc_min, cot_prc_max, cot_prc_med, cot_prc_mediana) VALUES (1695, 80, 25,  60.00,  50.00,  70.00,  59.00,  60.00);</v>
      </c>
      <c r="J1696" t="str">
        <f t="shared" si="53"/>
        <v>UPDATE COTACAO SET cot_id = 1695, cot_blt_id = 80, cot_pap_id = 25, cot_prc_comum =  60.00, cot_prc_min =  50.00, cot_prc_max =  70.00, cot_prc_med =  59.00, cot_prc_mediana =  60.00 WHERE cot_id = 1695;</v>
      </c>
    </row>
    <row r="1697" spans="1:10" x14ac:dyDescent="0.3">
      <c r="A1697">
        <v>1696</v>
      </c>
      <c r="B1697">
        <f>IF('Boletins Nuppa Site'!A1697&lt;&gt;0,'Boletins Nuppa Site'!A1697,"NULL")</f>
        <v>80</v>
      </c>
      <c r="C1697">
        <v>26</v>
      </c>
      <c r="D1697" t="str">
        <f>IF('Boletins Nuppa Site'!G1697&lt;&gt;0,'Boletins Nuppa Site'!G1697,"NULL")</f>
        <v xml:space="preserve"> 70.00</v>
      </c>
      <c r="E1697" s="14" t="str">
        <f>IF('Boletins Nuppa Site'!H1697&lt;&gt;0,'Boletins Nuppa Site'!H1697,"NULL")</f>
        <v xml:space="preserve"> 50.00</v>
      </c>
      <c r="F1697" s="14" t="str">
        <f>IF('Boletins Nuppa Site'!I1697&lt;&gt;0,'Boletins Nuppa Site'!I1697,"NULL")</f>
        <v xml:space="preserve"> 70.00</v>
      </c>
      <c r="G1697" s="14" t="str">
        <f>IF('Boletins Nuppa Site'!J1697&lt;&gt;0,'Boletins Nuppa Site'!J1697,"NULL")</f>
        <v xml:space="preserve"> 61.00</v>
      </c>
      <c r="H1697" s="14" t="str">
        <f>IF('Boletins Nuppa Site'!K1697&lt;&gt;0,'Boletins Nuppa Site'!K1697,"NULL")</f>
        <v xml:space="preserve"> 60.00</v>
      </c>
      <c r="I1697" t="str">
        <f t="shared" si="52"/>
        <v>INSERT INTO COTACAO (cot_id, cot_blt_id, cot_pap_id, cot_prc_comum, cot_prc_min, cot_prc_max, cot_prc_med, cot_prc_mediana) VALUES (1696, 80, 26,  70.00,  50.00,  70.00,  61.00,  60.00);</v>
      </c>
      <c r="J1697" t="str">
        <f t="shared" si="53"/>
        <v>UPDATE COTACAO SET cot_id = 1696, cot_blt_id = 80, cot_pap_id = 26, cot_prc_comum =  70.00, cot_prc_min =  50.00, cot_prc_max =  70.00, cot_prc_med =  61.00, cot_prc_mediana =  60.00 WHERE cot_id = 1696;</v>
      </c>
    </row>
    <row r="1698" spans="1:10" x14ac:dyDescent="0.3">
      <c r="A1698">
        <v>1697</v>
      </c>
      <c r="B1698">
        <f>IF('Boletins Nuppa Site'!A1698&lt;&gt;0,'Boletins Nuppa Site'!A1698,"NULL")</f>
        <v>80</v>
      </c>
      <c r="C1698">
        <v>27</v>
      </c>
      <c r="D1698" t="str">
        <f>IF('Boletins Nuppa Site'!G1698&lt;&gt;0,'Boletins Nuppa Site'!G1698,"NULL")</f>
        <v xml:space="preserve"> 50.00</v>
      </c>
      <c r="E1698" s="14" t="str">
        <f>IF('Boletins Nuppa Site'!H1698&lt;&gt;0,'Boletins Nuppa Site'!H1698,"NULL")</f>
        <v xml:space="preserve"> 35.00</v>
      </c>
      <c r="F1698" s="14" t="str">
        <f>IF('Boletins Nuppa Site'!I1698&lt;&gt;0,'Boletins Nuppa Site'!I1698,"NULL")</f>
        <v xml:space="preserve"> 50.00</v>
      </c>
      <c r="G1698" s="14" t="str">
        <f>IF('Boletins Nuppa Site'!J1698&lt;&gt;0,'Boletins Nuppa Site'!J1698,"NULL")</f>
        <v xml:space="preserve"> 44.00</v>
      </c>
      <c r="H1698" s="14" t="str">
        <f>IF('Boletins Nuppa Site'!K1698&lt;&gt;0,'Boletins Nuppa Site'!K1698,"NULL")</f>
        <v xml:space="preserve"> 45.00</v>
      </c>
      <c r="I1698" t="str">
        <f t="shared" si="52"/>
        <v>INSERT INTO COTACAO (cot_id, cot_blt_id, cot_pap_id, cot_prc_comum, cot_prc_min, cot_prc_max, cot_prc_med, cot_prc_mediana) VALUES (1697, 80, 27,  50.00,  35.00,  50.00,  44.00,  45.00);</v>
      </c>
      <c r="J1698" t="str">
        <f t="shared" si="53"/>
        <v>UPDATE COTACAO SET cot_id = 1697, cot_blt_id = 80, cot_pap_id = 27, cot_prc_comum =  50.00, cot_prc_min =  35.00, cot_prc_max =  50.00, cot_prc_med =  44.00, cot_prc_mediana =  45.00 WHERE cot_id = 1697;</v>
      </c>
    </row>
    <row r="1699" spans="1:10" x14ac:dyDescent="0.3">
      <c r="A1699">
        <v>1698</v>
      </c>
      <c r="B1699">
        <f>IF('Boletins Nuppa Site'!A1699&lt;&gt;0,'Boletins Nuppa Site'!A1699,"NULL")</f>
        <v>80</v>
      </c>
      <c r="C1699">
        <v>28</v>
      </c>
      <c r="D1699" t="str">
        <f>IF('Boletins Nuppa Site'!G1699&lt;&gt;0,'Boletins Nuppa Site'!G1699,"NULL")</f>
        <v xml:space="preserve"> 100.00</v>
      </c>
      <c r="E1699" s="14" t="str">
        <f>IF('Boletins Nuppa Site'!H1699&lt;&gt;0,'Boletins Nuppa Site'!H1699,"NULL")</f>
        <v xml:space="preserve"> 80.00</v>
      </c>
      <c r="F1699" s="14" t="str">
        <f>IF('Boletins Nuppa Site'!I1699&lt;&gt;0,'Boletins Nuppa Site'!I1699,"NULL")</f>
        <v xml:space="preserve"> 100.00</v>
      </c>
      <c r="G1699" s="14" t="str">
        <f>IF('Boletins Nuppa Site'!J1699&lt;&gt;0,'Boletins Nuppa Site'!J1699,"NULL")</f>
        <v xml:space="preserve"> 94.00</v>
      </c>
      <c r="H1699" s="14" t="str">
        <f>IF('Boletins Nuppa Site'!K1699&lt;&gt;0,'Boletins Nuppa Site'!K1699,"NULL")</f>
        <v xml:space="preserve"> 100.00</v>
      </c>
      <c r="I1699" t="str">
        <f t="shared" si="52"/>
        <v>INSERT INTO COTACAO (cot_id, cot_blt_id, cot_pap_id, cot_prc_comum, cot_prc_min, cot_prc_max, cot_prc_med, cot_prc_mediana) VALUES (1698, 80, 28,  100.00,  80.00,  100.00,  94.00,  100.00);</v>
      </c>
      <c r="J1699" t="str">
        <f t="shared" si="53"/>
        <v>UPDATE COTACAO SET cot_id = 1698, cot_blt_id = 80, cot_pap_id = 28, cot_prc_comum =  100.00, cot_prc_min =  80.00, cot_prc_max =  100.00, cot_prc_med =  94.00, cot_prc_mediana =  100.00 WHERE cot_id = 1698;</v>
      </c>
    </row>
    <row r="1700" spans="1:10" x14ac:dyDescent="0.3">
      <c r="A1700">
        <v>1699</v>
      </c>
      <c r="B1700">
        <f>IF('Boletins Nuppa Site'!A1700&lt;&gt;0,'Boletins Nuppa Site'!A1700,"NULL")</f>
        <v>80</v>
      </c>
      <c r="C1700">
        <v>29</v>
      </c>
      <c r="D1700" t="str">
        <f>IF('Boletins Nuppa Site'!G1700&lt;&gt;0,'Boletins Nuppa Site'!G1700,"NULL")</f>
        <v>NULL</v>
      </c>
      <c r="E1700" s="14" t="str">
        <f>IF('Boletins Nuppa Site'!H1700&lt;&gt;0,'Boletins Nuppa Site'!H1700,"NULL")</f>
        <v xml:space="preserve"> 50.00</v>
      </c>
      <c r="F1700" s="14" t="str">
        <f>IF('Boletins Nuppa Site'!I1700&lt;&gt;0,'Boletins Nuppa Site'!I1700,"NULL")</f>
        <v xml:space="preserve"> 70.00</v>
      </c>
      <c r="G1700" s="14" t="str">
        <f>IF('Boletins Nuppa Site'!J1700&lt;&gt;0,'Boletins Nuppa Site'!J1700,"NULL")</f>
        <v xml:space="preserve"> 60.00</v>
      </c>
      <c r="H1700" s="14" t="str">
        <f>IF('Boletins Nuppa Site'!K1700&lt;&gt;0,'Boletins Nuppa Site'!K1700,"NULL")</f>
        <v xml:space="preserve"> 60.00</v>
      </c>
      <c r="I1700" t="str">
        <f t="shared" si="52"/>
        <v>INSERT INTO COTACAO (cot_id, cot_blt_id, cot_pap_id, cot_prc_comum, cot_prc_min, cot_prc_max, cot_prc_med, cot_prc_mediana) VALUES (1699, 80, 29, NULL,  50.00,  70.00,  60.00,  60.00);</v>
      </c>
      <c r="J1700" t="str">
        <f t="shared" si="53"/>
        <v>UPDATE COTACAO SET cot_id = 1699, cot_blt_id = 80, cot_pap_id = 29, cot_prc_comum = NULL, cot_prc_min =  50.00, cot_prc_max =  70.00, cot_prc_med =  60.00, cot_prc_mediana =  60.00 WHERE cot_id = 1699;</v>
      </c>
    </row>
    <row r="1701" spans="1:10" x14ac:dyDescent="0.3">
      <c r="A1701">
        <v>1700</v>
      </c>
      <c r="B1701">
        <f>IF('Boletins Nuppa Site'!A1701&lt;&gt;0,'Boletins Nuppa Site'!A1701,"NULL")</f>
        <v>80</v>
      </c>
      <c r="C1701">
        <v>30</v>
      </c>
      <c r="D1701" t="str">
        <f>IF('Boletins Nuppa Site'!G1701&lt;&gt;0,'Boletins Nuppa Site'!G1701,"NULL")</f>
        <v xml:space="preserve"> 50.00</v>
      </c>
      <c r="E1701" s="14" t="str">
        <f>IF('Boletins Nuppa Site'!H1701&lt;&gt;0,'Boletins Nuppa Site'!H1701,"NULL")</f>
        <v xml:space="preserve"> 35.00</v>
      </c>
      <c r="F1701" s="14" t="str">
        <f>IF('Boletins Nuppa Site'!I1701&lt;&gt;0,'Boletins Nuppa Site'!I1701,"NULL")</f>
        <v xml:space="preserve"> 50.00</v>
      </c>
      <c r="G1701" s="14" t="str">
        <f>IF('Boletins Nuppa Site'!J1701&lt;&gt;0,'Boletins Nuppa Site'!J1701,"NULL")</f>
        <v xml:space="preserve"> 43.75</v>
      </c>
      <c r="H1701" s="14" t="str">
        <f>IF('Boletins Nuppa Site'!K1701&lt;&gt;0,'Boletins Nuppa Site'!K1701,"NULL")</f>
        <v xml:space="preserve"> 45.00</v>
      </c>
      <c r="I1701" t="str">
        <f t="shared" si="52"/>
        <v>INSERT INTO COTACAO (cot_id, cot_blt_id, cot_pap_id, cot_prc_comum, cot_prc_min, cot_prc_max, cot_prc_med, cot_prc_mediana) VALUES (1700, 80, 30,  50.00,  35.00,  50.00,  43.75,  45.00);</v>
      </c>
      <c r="J1701" t="str">
        <f t="shared" si="53"/>
        <v>UPDATE COTACAO SET cot_id = 1700, cot_blt_id = 80, cot_pap_id = 30, cot_prc_comum =  50.00, cot_prc_min =  35.00, cot_prc_max =  50.00, cot_prc_med =  43.75, cot_prc_mediana =  45.00 WHERE cot_id = 1700;</v>
      </c>
    </row>
    <row r="1702" spans="1:10" x14ac:dyDescent="0.3">
      <c r="A1702">
        <v>1701</v>
      </c>
      <c r="B1702">
        <f>IF('Boletins Nuppa Site'!A1702&lt;&gt;0,'Boletins Nuppa Site'!A1702,"NULL")</f>
        <v>80</v>
      </c>
      <c r="C1702">
        <v>31</v>
      </c>
      <c r="D1702" t="str">
        <f>IF('Boletins Nuppa Site'!G1702&lt;&gt;0,'Boletins Nuppa Site'!G1702,"NULL")</f>
        <v xml:space="preserve"> 50.00</v>
      </c>
      <c r="E1702" s="14" t="str">
        <f>IF('Boletins Nuppa Site'!H1702&lt;&gt;0,'Boletins Nuppa Site'!H1702,"NULL")</f>
        <v xml:space="preserve"> 40.00</v>
      </c>
      <c r="F1702" s="14" t="str">
        <f>IF('Boletins Nuppa Site'!I1702&lt;&gt;0,'Boletins Nuppa Site'!I1702,"NULL")</f>
        <v xml:space="preserve"> 70.00</v>
      </c>
      <c r="G1702" s="14" t="str">
        <f>IF('Boletins Nuppa Site'!J1702&lt;&gt;0,'Boletins Nuppa Site'!J1702,"NULL")</f>
        <v xml:space="preserve"> 54.00</v>
      </c>
      <c r="H1702" s="14" t="str">
        <f>IF('Boletins Nuppa Site'!K1702&lt;&gt;0,'Boletins Nuppa Site'!K1702,"NULL")</f>
        <v xml:space="preserve"> 50.00</v>
      </c>
      <c r="I1702" t="str">
        <f t="shared" si="52"/>
        <v>INSERT INTO COTACAO (cot_id, cot_blt_id, cot_pap_id, cot_prc_comum, cot_prc_min, cot_prc_max, cot_prc_med, cot_prc_mediana) VALUES (1701, 80, 31,  50.00,  40.00,  70.00,  54.00,  50.00);</v>
      </c>
      <c r="J1702" t="str">
        <f t="shared" si="53"/>
        <v>UPDATE COTACAO SET cot_id = 1701, cot_blt_id = 80, cot_pap_id = 31, cot_prc_comum =  50.00, cot_prc_min =  40.00, cot_prc_max =  70.00, cot_prc_med =  54.00, cot_prc_mediana =  50.00 WHERE cot_id = 1701;</v>
      </c>
    </row>
    <row r="1703" spans="1:10" x14ac:dyDescent="0.3">
      <c r="A1703">
        <v>1702</v>
      </c>
      <c r="B1703">
        <f>IF('Boletins Nuppa Site'!A1703&lt;&gt;0,'Boletins Nuppa Site'!A1703,"NULL")</f>
        <v>80</v>
      </c>
      <c r="C1703">
        <v>32</v>
      </c>
      <c r="D1703" t="str">
        <f>IF('Boletins Nuppa Site'!G1703&lt;&gt;0,'Boletins Nuppa Site'!G1703,"NULL")</f>
        <v xml:space="preserve"> 50.00</v>
      </c>
      <c r="E1703" s="14" t="str">
        <f>IF('Boletins Nuppa Site'!H1703&lt;&gt;0,'Boletins Nuppa Site'!H1703,"NULL")</f>
        <v xml:space="preserve"> 40.00</v>
      </c>
      <c r="F1703" s="14" t="str">
        <f>IF('Boletins Nuppa Site'!I1703&lt;&gt;0,'Boletins Nuppa Site'!I1703,"NULL")</f>
        <v xml:space="preserve"> 55.00</v>
      </c>
      <c r="G1703" s="14" t="str">
        <f>IF('Boletins Nuppa Site'!J1703&lt;&gt;0,'Boletins Nuppa Site'!J1703,"NULL")</f>
        <v xml:space="preserve"> 49.00</v>
      </c>
      <c r="H1703" s="14" t="str">
        <f>IF('Boletins Nuppa Site'!K1703&lt;&gt;0,'Boletins Nuppa Site'!K1703,"NULL")</f>
        <v xml:space="preserve"> 50.00</v>
      </c>
      <c r="I1703" t="str">
        <f t="shared" si="52"/>
        <v>INSERT INTO COTACAO (cot_id, cot_blt_id, cot_pap_id, cot_prc_comum, cot_prc_min, cot_prc_max, cot_prc_med, cot_prc_mediana) VALUES (1702, 80, 32,  50.00,  40.00,  55.00,  49.00,  50.00);</v>
      </c>
      <c r="J1703" t="str">
        <f t="shared" si="53"/>
        <v>UPDATE COTACAO SET cot_id = 1702, cot_blt_id = 80, cot_pap_id = 32, cot_prc_comum =  50.00, cot_prc_min =  40.00, cot_prc_max =  55.00, cot_prc_med =  49.00, cot_prc_mediana =  50.00 WHERE cot_id = 1702;</v>
      </c>
    </row>
    <row r="1704" spans="1:10" x14ac:dyDescent="0.3">
      <c r="A1704">
        <v>1703</v>
      </c>
      <c r="B1704">
        <f>IF('Boletins Nuppa Site'!A1704&lt;&gt;0,'Boletins Nuppa Site'!A1704,"NULL")</f>
        <v>80</v>
      </c>
      <c r="C1704">
        <v>33</v>
      </c>
      <c r="D1704" t="str">
        <f>IF('Boletins Nuppa Site'!G1704&lt;&gt;0,'Boletins Nuppa Site'!G1704,"NULL")</f>
        <v xml:space="preserve"> 130.00</v>
      </c>
      <c r="E1704" s="14" t="str">
        <f>IF('Boletins Nuppa Site'!H1704&lt;&gt;0,'Boletins Nuppa Site'!H1704,"NULL")</f>
        <v xml:space="preserve"> 120.00</v>
      </c>
      <c r="F1704" s="14" t="str">
        <f>IF('Boletins Nuppa Site'!I1704&lt;&gt;0,'Boletins Nuppa Site'!I1704,"NULL")</f>
        <v xml:space="preserve"> 180.00</v>
      </c>
      <c r="G1704" s="14" t="str">
        <f>IF('Boletins Nuppa Site'!J1704&lt;&gt;0,'Boletins Nuppa Site'!J1704,"NULL")</f>
        <v xml:space="preserve"> 142.00</v>
      </c>
      <c r="H1704" s="14" t="str">
        <f>IF('Boletins Nuppa Site'!K1704&lt;&gt;0,'Boletins Nuppa Site'!K1704,"NULL")</f>
        <v xml:space="preserve"> 130.00</v>
      </c>
      <c r="I1704" t="str">
        <f t="shared" si="52"/>
        <v>INSERT INTO COTACAO (cot_id, cot_blt_id, cot_pap_id, cot_prc_comum, cot_prc_min, cot_prc_max, cot_prc_med, cot_prc_mediana) VALUES (1703, 80, 33,  130.00,  120.00,  180.00,  142.00,  130.00);</v>
      </c>
      <c r="J1704" t="str">
        <f t="shared" si="53"/>
        <v>UPDATE COTACAO SET cot_id = 1703, cot_blt_id = 80, cot_pap_id = 33, cot_prc_comum =  130.00, cot_prc_min =  120.00, cot_prc_max =  180.00, cot_prc_med =  142.00, cot_prc_mediana =  130.00 WHERE cot_id = 1703;</v>
      </c>
    </row>
    <row r="1705" spans="1:10" x14ac:dyDescent="0.3">
      <c r="A1705">
        <v>1704</v>
      </c>
      <c r="B1705">
        <f>IF('Boletins Nuppa Site'!A1705&lt;&gt;0,'Boletins Nuppa Site'!A1705,"NULL")</f>
        <v>80</v>
      </c>
      <c r="C1705">
        <v>34</v>
      </c>
      <c r="D1705" t="str">
        <f>IF('Boletins Nuppa Site'!G1705&lt;&gt;0,'Boletins Nuppa Site'!G1705,"NULL")</f>
        <v xml:space="preserve"> 80.00</v>
      </c>
      <c r="E1705" s="14" t="str">
        <f>IF('Boletins Nuppa Site'!H1705&lt;&gt;0,'Boletins Nuppa Site'!H1705,"NULL")</f>
        <v xml:space="preserve"> 65.00</v>
      </c>
      <c r="F1705" s="14" t="str">
        <f>IF('Boletins Nuppa Site'!I1705&lt;&gt;0,'Boletins Nuppa Site'!I1705,"NULL")</f>
        <v xml:space="preserve"> 100.00</v>
      </c>
      <c r="G1705" s="14" t="str">
        <f>IF('Boletins Nuppa Site'!J1705&lt;&gt;0,'Boletins Nuppa Site'!J1705,"NULL")</f>
        <v xml:space="preserve"> 79.00</v>
      </c>
      <c r="H1705" s="14" t="str">
        <f>IF('Boletins Nuppa Site'!K1705&lt;&gt;0,'Boletins Nuppa Site'!K1705,"NULL")</f>
        <v xml:space="preserve"> 80.00</v>
      </c>
      <c r="I1705" t="str">
        <f t="shared" si="52"/>
        <v>INSERT INTO COTACAO (cot_id, cot_blt_id, cot_pap_id, cot_prc_comum, cot_prc_min, cot_prc_max, cot_prc_med, cot_prc_mediana) VALUES (1704, 80, 34,  80.00,  65.00,  100.00,  79.00,  80.00);</v>
      </c>
      <c r="J1705" t="str">
        <f t="shared" si="53"/>
        <v>UPDATE COTACAO SET cot_id = 1704, cot_blt_id = 80, cot_pap_id = 34, cot_prc_comum =  80.00, cot_prc_min =  65.00, cot_prc_max =  100.00, cot_prc_med =  79.00, cot_prc_mediana =  80.00 WHERE cot_id = 1704;</v>
      </c>
    </row>
    <row r="1706" spans="1:10" x14ac:dyDescent="0.3">
      <c r="A1706">
        <v>1705</v>
      </c>
      <c r="B1706">
        <f>IF('Boletins Nuppa Site'!A1706&lt;&gt;0,'Boletins Nuppa Site'!A1706,"NULL")</f>
        <v>80</v>
      </c>
      <c r="C1706">
        <v>35</v>
      </c>
      <c r="D1706" t="str">
        <f>IF('Boletins Nuppa Site'!G1706&lt;&gt;0,'Boletins Nuppa Site'!G1706,"NULL")</f>
        <v xml:space="preserve"> 50.00</v>
      </c>
      <c r="E1706" s="14" t="str">
        <f>IF('Boletins Nuppa Site'!H1706&lt;&gt;0,'Boletins Nuppa Site'!H1706,"NULL")</f>
        <v xml:space="preserve"> 50.00</v>
      </c>
      <c r="F1706" s="14" t="str">
        <f>IF('Boletins Nuppa Site'!I1706&lt;&gt;0,'Boletins Nuppa Site'!I1706,"NULL")</f>
        <v xml:space="preserve"> 70.00</v>
      </c>
      <c r="G1706" s="14" t="str">
        <f>IF('Boletins Nuppa Site'!J1706&lt;&gt;0,'Boletins Nuppa Site'!J1706,"NULL")</f>
        <v xml:space="preserve"> 57.50</v>
      </c>
      <c r="H1706" s="14" t="str">
        <f>IF('Boletins Nuppa Site'!K1706&lt;&gt;0,'Boletins Nuppa Site'!K1706,"NULL")</f>
        <v xml:space="preserve"> 55.00</v>
      </c>
      <c r="I1706" t="str">
        <f t="shared" si="52"/>
        <v>INSERT INTO COTACAO (cot_id, cot_blt_id, cot_pap_id, cot_prc_comum, cot_prc_min, cot_prc_max, cot_prc_med, cot_prc_mediana) VALUES (1705, 80, 35,  50.00,  50.00,  70.00,  57.50,  55.00);</v>
      </c>
      <c r="J1706" t="str">
        <f t="shared" si="53"/>
        <v>UPDATE COTACAO SET cot_id = 1705, cot_blt_id = 80, cot_pap_id = 35, cot_prc_comum =  50.00, cot_prc_min =  50.00, cot_prc_max =  70.00, cot_prc_med =  57.50, cot_prc_mediana =  55.00 WHERE cot_id = 1705;</v>
      </c>
    </row>
    <row r="1707" spans="1:10" x14ac:dyDescent="0.3">
      <c r="A1707">
        <v>1706</v>
      </c>
      <c r="B1707">
        <f>IF('Boletins Nuppa Site'!A1707&lt;&gt;0,'Boletins Nuppa Site'!A1707,"NULL")</f>
        <v>80</v>
      </c>
      <c r="C1707">
        <v>36</v>
      </c>
      <c r="D1707" t="str">
        <f>IF('Boletins Nuppa Site'!G1707&lt;&gt;0,'Boletins Nuppa Site'!G1707,"NULL")</f>
        <v>NULL</v>
      </c>
      <c r="E1707" s="14" t="str">
        <f>IF('Boletins Nuppa Site'!H1707&lt;&gt;0,'Boletins Nuppa Site'!H1707,"NULL")</f>
        <v>NULL</v>
      </c>
      <c r="F1707" s="14" t="str">
        <f>IF('Boletins Nuppa Site'!I1707&lt;&gt;0,'Boletins Nuppa Site'!I1707,"NULL")</f>
        <v>NULL</v>
      </c>
      <c r="G1707" s="14" t="str">
        <f>IF('Boletins Nuppa Site'!J1707&lt;&gt;0,'Boletins Nuppa Site'!J1707,"NULL")</f>
        <v>NULL</v>
      </c>
      <c r="H1707" s="14" t="str">
        <f>IF('Boletins Nuppa Site'!K1707&lt;&gt;0,'Boletins Nuppa Site'!K1707,"NULL")</f>
        <v>NULL</v>
      </c>
      <c r="I1707" t="str">
        <f t="shared" si="52"/>
        <v>INSERT INTO COTACAO (cot_id, cot_blt_id, cot_pap_id, cot_prc_comum, cot_prc_min, cot_prc_max, cot_prc_med, cot_prc_mediana) VALUES (1706, 80, 36, NULL, NULL, NULL, NULL, NULL);</v>
      </c>
      <c r="J1707" t="str">
        <f t="shared" si="53"/>
        <v>UPDATE COTACAO SET cot_id = 1706, cot_blt_id = 80, cot_pap_id = 36, cot_prc_comum = NULL, cot_prc_min = NULL, cot_prc_max = NULL, cot_prc_med = NULL, cot_prc_mediana = NULL WHERE cot_id = 1706;</v>
      </c>
    </row>
    <row r="1708" spans="1:10" x14ac:dyDescent="0.3">
      <c r="A1708">
        <v>1707</v>
      </c>
      <c r="B1708">
        <f>IF('Boletins Nuppa Site'!A1708&lt;&gt;0,'Boletins Nuppa Site'!A1708,"NULL")</f>
        <v>80</v>
      </c>
      <c r="C1708">
        <v>37</v>
      </c>
      <c r="D1708" t="str">
        <f>IF('Boletins Nuppa Site'!G1708&lt;&gt;0,'Boletins Nuppa Site'!G1708,"NULL")</f>
        <v>NULL</v>
      </c>
      <c r="E1708" s="14" t="str">
        <f>IF('Boletins Nuppa Site'!H1708&lt;&gt;0,'Boletins Nuppa Site'!H1708,"NULL")</f>
        <v>NULL</v>
      </c>
      <c r="F1708" s="14" t="str">
        <f>IF('Boletins Nuppa Site'!I1708&lt;&gt;0,'Boletins Nuppa Site'!I1708,"NULL")</f>
        <v>NULL</v>
      </c>
      <c r="G1708" s="14" t="str">
        <f>IF('Boletins Nuppa Site'!J1708&lt;&gt;0,'Boletins Nuppa Site'!J1708,"NULL")</f>
        <v>NULL</v>
      </c>
      <c r="H1708" s="14" t="str">
        <f>IF('Boletins Nuppa Site'!K1708&lt;&gt;0,'Boletins Nuppa Site'!K1708,"NULL")</f>
        <v>NULL</v>
      </c>
      <c r="I1708" t="str">
        <f t="shared" si="52"/>
        <v>INSERT INTO COTACAO (cot_id, cot_blt_id, cot_pap_id, cot_prc_comum, cot_prc_min, cot_prc_max, cot_prc_med, cot_prc_mediana) VALUES (1707, 80, 37, NULL, NULL, NULL, NULL, NULL);</v>
      </c>
      <c r="J1708" t="str">
        <f t="shared" si="53"/>
        <v>UPDATE COTACAO SET cot_id = 1707, cot_blt_id = 80, cot_pap_id = 37, cot_prc_comum = NULL, cot_prc_min = NULL, cot_prc_max = NULL, cot_prc_med = NULL, cot_prc_mediana = NULL WHERE cot_id = 1707;</v>
      </c>
    </row>
    <row r="1709" spans="1:10" x14ac:dyDescent="0.3">
      <c r="A1709">
        <v>1708</v>
      </c>
      <c r="B1709">
        <f>IF('Boletins Nuppa Site'!A1709&lt;&gt;0,'Boletins Nuppa Site'!A1709,"NULL")</f>
        <v>80</v>
      </c>
      <c r="C1709">
        <v>38</v>
      </c>
      <c r="D1709" t="str">
        <f>IF('Boletins Nuppa Site'!G1709&lt;&gt;0,'Boletins Nuppa Site'!G1709,"NULL")</f>
        <v>NULL</v>
      </c>
      <c r="E1709" s="14" t="str">
        <f>IF('Boletins Nuppa Site'!H1709&lt;&gt;0,'Boletins Nuppa Site'!H1709,"NULL")</f>
        <v>NULL</v>
      </c>
      <c r="F1709" s="14" t="str">
        <f>IF('Boletins Nuppa Site'!I1709&lt;&gt;0,'Boletins Nuppa Site'!I1709,"NULL")</f>
        <v>NULL</v>
      </c>
      <c r="G1709" s="14" t="str">
        <f>IF('Boletins Nuppa Site'!J1709&lt;&gt;0,'Boletins Nuppa Site'!J1709,"NULL")</f>
        <v>NULL</v>
      </c>
      <c r="H1709" s="14" t="str">
        <f>IF('Boletins Nuppa Site'!K1709&lt;&gt;0,'Boletins Nuppa Site'!K1709,"NULL")</f>
        <v>NULL</v>
      </c>
      <c r="I1709" t="str">
        <f t="shared" si="52"/>
        <v>INSERT INTO COTACAO (cot_id, cot_blt_id, cot_pap_id, cot_prc_comum, cot_prc_min, cot_prc_max, cot_prc_med, cot_prc_mediana) VALUES (1708, 80, 38, NULL, NULL, NULL, NULL, NULL);</v>
      </c>
      <c r="J1709" t="str">
        <f t="shared" si="53"/>
        <v>UPDATE COTACAO SET cot_id = 1708, cot_blt_id = 80, cot_pap_id = 38, cot_prc_comum = NULL, cot_prc_min = NULL, cot_prc_max = NULL, cot_prc_med = NULL, cot_prc_mediana = NULL WHERE cot_id = 1708;</v>
      </c>
    </row>
    <row r="1710" spans="1:10" x14ac:dyDescent="0.3">
      <c r="A1710">
        <v>1709</v>
      </c>
      <c r="B1710">
        <f>IF('Boletins Nuppa Site'!A1710&lt;&gt;0,'Boletins Nuppa Site'!A1710,"NULL")</f>
        <v>80</v>
      </c>
      <c r="C1710">
        <v>39</v>
      </c>
      <c r="D1710" t="str">
        <f>IF('Boletins Nuppa Site'!G1710&lt;&gt;0,'Boletins Nuppa Site'!G1710,"NULL")</f>
        <v>NULL</v>
      </c>
      <c r="E1710" s="14" t="str">
        <f>IF('Boletins Nuppa Site'!H1710&lt;&gt;0,'Boletins Nuppa Site'!H1710,"NULL")</f>
        <v xml:space="preserve"> 50.00</v>
      </c>
      <c r="F1710" s="14" t="str">
        <f>IF('Boletins Nuppa Site'!I1710&lt;&gt;0,'Boletins Nuppa Site'!I1710,"NULL")</f>
        <v xml:space="preserve"> 50.00</v>
      </c>
      <c r="G1710" s="14" t="str">
        <f>IF('Boletins Nuppa Site'!J1710&lt;&gt;0,'Boletins Nuppa Site'!J1710,"NULL")</f>
        <v xml:space="preserve"> 50.00</v>
      </c>
      <c r="H1710" s="14" t="str">
        <f>IF('Boletins Nuppa Site'!K1710&lt;&gt;0,'Boletins Nuppa Site'!K1710,"NULL")</f>
        <v xml:space="preserve"> 50.00</v>
      </c>
      <c r="I1710" t="str">
        <f t="shared" si="52"/>
        <v>INSERT INTO COTACAO (cot_id, cot_blt_id, cot_pap_id, cot_prc_comum, cot_prc_min, cot_prc_max, cot_prc_med, cot_prc_mediana) VALUES (1709, 80, 39, NULL,  50.00,  50.00,  50.00,  50.00);</v>
      </c>
      <c r="J1710" t="str">
        <f t="shared" si="53"/>
        <v>UPDATE COTACAO SET cot_id = 1709, cot_blt_id = 80, cot_pap_id = 39, cot_prc_comum = NULL, cot_prc_min =  50.00, cot_prc_max =  50.00, cot_prc_med =  50.00, cot_prc_mediana =  50.00 WHERE cot_id = 1709;</v>
      </c>
    </row>
    <row r="1711" spans="1:10" x14ac:dyDescent="0.3">
      <c r="A1711">
        <v>1710</v>
      </c>
      <c r="B1711">
        <f>IF('Boletins Nuppa Site'!A1711&lt;&gt;0,'Boletins Nuppa Site'!A1711,"NULL")</f>
        <v>80</v>
      </c>
      <c r="C1711">
        <v>40</v>
      </c>
      <c r="D1711" t="str">
        <f>IF('Boletins Nuppa Site'!G1711&lt;&gt;0,'Boletins Nuppa Site'!G1711,"NULL")</f>
        <v>NULL</v>
      </c>
      <c r="E1711" s="14" t="str">
        <f>IF('Boletins Nuppa Site'!H1711&lt;&gt;0,'Boletins Nuppa Site'!H1711,"NULL")</f>
        <v>NULL</v>
      </c>
      <c r="F1711" s="14" t="str">
        <f>IF('Boletins Nuppa Site'!I1711&lt;&gt;0,'Boletins Nuppa Site'!I1711,"NULL")</f>
        <v>NULL</v>
      </c>
      <c r="G1711" s="14" t="str">
        <f>IF('Boletins Nuppa Site'!J1711&lt;&gt;0,'Boletins Nuppa Site'!J1711,"NULL")</f>
        <v>NULL</v>
      </c>
      <c r="H1711" s="14" t="str">
        <f>IF('Boletins Nuppa Site'!K1711&lt;&gt;0,'Boletins Nuppa Site'!K1711,"NULL")</f>
        <v>NULL</v>
      </c>
      <c r="I1711" t="str">
        <f t="shared" si="52"/>
        <v>INSERT INTO COTACAO (cot_id, cot_blt_id, cot_pap_id, cot_prc_comum, cot_prc_min, cot_prc_max, cot_prc_med, cot_prc_mediana) VALUES (1710, 80, 40, NULL, NULL, NULL, NULL, NULL);</v>
      </c>
      <c r="J1711" t="str">
        <f t="shared" si="53"/>
        <v>UPDATE COTACAO SET cot_id = 1710, cot_blt_id = 80, cot_pap_id = 40, cot_prc_comum = NULL, cot_prc_min = NULL, cot_prc_max = NULL, cot_prc_med = NULL, cot_prc_mediana = NULL WHERE cot_id = 1710;</v>
      </c>
    </row>
    <row r="1712" spans="1:10" x14ac:dyDescent="0.3">
      <c r="A1712">
        <v>1711</v>
      </c>
      <c r="B1712">
        <f>IF('Boletins Nuppa Site'!A1712&lt;&gt;0,'Boletins Nuppa Site'!A1712,"NULL")</f>
        <v>81</v>
      </c>
      <c r="C1712">
        <v>1</v>
      </c>
      <c r="D1712" t="str">
        <f>IF('Boletins Nuppa Site'!G1712&lt;&gt;0,'Boletins Nuppa Site'!G1712,"NULL")</f>
        <v xml:space="preserve"> 36.00</v>
      </c>
      <c r="E1712" s="14" t="str">
        <f>IF('Boletins Nuppa Site'!H1712&lt;&gt;0,'Boletins Nuppa Site'!H1712,"NULL")</f>
        <v xml:space="preserve"> 36.00</v>
      </c>
      <c r="F1712" s="14" t="str">
        <f>IF('Boletins Nuppa Site'!I1712&lt;&gt;0,'Boletins Nuppa Site'!I1712,"NULL")</f>
        <v xml:space="preserve"> 48.00</v>
      </c>
      <c r="G1712" s="14" t="str">
        <f>IF('Boletins Nuppa Site'!J1712&lt;&gt;0,'Boletins Nuppa Site'!J1712,"NULL")</f>
        <v xml:space="preserve"> 39.00</v>
      </c>
      <c r="H1712" s="14" t="str">
        <f>IF('Boletins Nuppa Site'!K1712&lt;&gt;0,'Boletins Nuppa Site'!K1712,"NULL")</f>
        <v xml:space="preserve"> 36.00</v>
      </c>
      <c r="I1712" t="str">
        <f t="shared" si="52"/>
        <v>INSERT INTO COTACAO (cot_id, cot_blt_id, cot_pap_id, cot_prc_comum, cot_prc_min, cot_prc_max, cot_prc_med, cot_prc_mediana) VALUES (1711, 81, 1,  36.00,  36.00,  48.00,  39.00,  36.00);</v>
      </c>
      <c r="J1712" t="str">
        <f t="shared" si="53"/>
        <v>UPDATE COTACAO SET cot_id = 1711, cot_blt_id = 81, cot_pap_id = 1, cot_prc_comum =  36.00, cot_prc_min =  36.00, cot_prc_max =  48.00, cot_prc_med =  39.00, cot_prc_mediana =  36.00 WHERE cot_id = 1711;</v>
      </c>
    </row>
    <row r="1713" spans="1:10" x14ac:dyDescent="0.3">
      <c r="A1713">
        <v>1712</v>
      </c>
      <c r="B1713">
        <f>IF('Boletins Nuppa Site'!A1713&lt;&gt;0,'Boletins Nuppa Site'!A1713,"NULL")</f>
        <v>81</v>
      </c>
      <c r="C1713">
        <v>2</v>
      </c>
      <c r="D1713" t="str">
        <f>IF('Boletins Nuppa Site'!G1713&lt;&gt;0,'Boletins Nuppa Site'!G1713,"NULL")</f>
        <v xml:space="preserve"> 84.00</v>
      </c>
      <c r="E1713" s="14" t="str">
        <f>IF('Boletins Nuppa Site'!H1713&lt;&gt;0,'Boletins Nuppa Site'!H1713,"NULL")</f>
        <v xml:space="preserve"> 60.00</v>
      </c>
      <c r="F1713" s="14" t="str">
        <f>IF('Boletins Nuppa Site'!I1713&lt;&gt;0,'Boletins Nuppa Site'!I1713,"NULL")</f>
        <v xml:space="preserve"> 84.00</v>
      </c>
      <c r="G1713" s="14" t="str">
        <f>IF('Boletins Nuppa Site'!J1713&lt;&gt;0,'Boletins Nuppa Site'!J1713,"NULL")</f>
        <v xml:space="preserve"> 75.00</v>
      </c>
      <c r="H1713" s="14" t="str">
        <f>IF('Boletins Nuppa Site'!K1713&lt;&gt;0,'Boletins Nuppa Site'!K1713,"NULL")</f>
        <v xml:space="preserve"> 78.00</v>
      </c>
      <c r="I1713" t="str">
        <f t="shared" si="52"/>
        <v>INSERT INTO COTACAO (cot_id, cot_blt_id, cot_pap_id, cot_prc_comum, cot_prc_min, cot_prc_max, cot_prc_med, cot_prc_mediana) VALUES (1712, 81, 2,  84.00,  60.00,  84.00,  75.00,  78.00);</v>
      </c>
      <c r="J1713" t="str">
        <f t="shared" si="53"/>
        <v>UPDATE COTACAO SET cot_id = 1712, cot_blt_id = 81, cot_pap_id = 2, cot_prc_comum =  84.00, cot_prc_min =  60.00, cot_prc_max =  84.00, cot_prc_med =  75.00, cot_prc_mediana =  78.00 WHERE cot_id = 1712;</v>
      </c>
    </row>
    <row r="1714" spans="1:10" x14ac:dyDescent="0.3">
      <c r="A1714">
        <v>1713</v>
      </c>
      <c r="B1714">
        <f>IF('Boletins Nuppa Site'!A1714&lt;&gt;0,'Boletins Nuppa Site'!A1714,"NULL")</f>
        <v>81</v>
      </c>
      <c r="C1714">
        <v>3</v>
      </c>
      <c r="D1714" t="str">
        <f>IF('Boletins Nuppa Site'!G1714&lt;&gt;0,'Boletins Nuppa Site'!G1714,"NULL")</f>
        <v>NULL</v>
      </c>
      <c r="E1714" s="14" t="str">
        <f>IF('Boletins Nuppa Site'!H1714&lt;&gt;0,'Boletins Nuppa Site'!H1714,"NULL")</f>
        <v xml:space="preserve"> 30.00</v>
      </c>
      <c r="F1714" s="14" t="str">
        <f>IF('Boletins Nuppa Site'!I1714&lt;&gt;0,'Boletins Nuppa Site'!I1714,"NULL")</f>
        <v xml:space="preserve"> 60.00</v>
      </c>
      <c r="G1714" s="14" t="str">
        <f>IF('Boletins Nuppa Site'!J1714&lt;&gt;0,'Boletins Nuppa Site'!J1714,"NULL")</f>
        <v xml:space="preserve"> 45.00</v>
      </c>
      <c r="H1714" s="14" t="str">
        <f>IF('Boletins Nuppa Site'!K1714&lt;&gt;0,'Boletins Nuppa Site'!K1714,"NULL")</f>
        <v xml:space="preserve"> 45.00</v>
      </c>
      <c r="I1714" t="str">
        <f t="shared" si="52"/>
        <v>INSERT INTO COTACAO (cot_id, cot_blt_id, cot_pap_id, cot_prc_comum, cot_prc_min, cot_prc_max, cot_prc_med, cot_prc_mediana) VALUES (1713, 81, 3, NULL,  30.00,  60.00,  45.00,  45.00);</v>
      </c>
      <c r="J1714" t="str">
        <f t="shared" si="53"/>
        <v>UPDATE COTACAO SET cot_id = 1713, cot_blt_id = 81, cot_pap_id = 3, cot_prc_comum = NULL, cot_prc_min =  30.00, cot_prc_max =  60.00, cot_prc_med =  45.00, cot_prc_mediana =  45.00 WHERE cot_id = 1713;</v>
      </c>
    </row>
    <row r="1715" spans="1:10" x14ac:dyDescent="0.3">
      <c r="A1715">
        <v>1714</v>
      </c>
      <c r="B1715">
        <f>IF('Boletins Nuppa Site'!A1715&lt;&gt;0,'Boletins Nuppa Site'!A1715,"NULL")</f>
        <v>81</v>
      </c>
      <c r="C1715">
        <v>4</v>
      </c>
      <c r="D1715" t="str">
        <f>IF('Boletins Nuppa Site'!G1715&lt;&gt;0,'Boletins Nuppa Site'!G1715,"NULL")</f>
        <v xml:space="preserve"> 30.00</v>
      </c>
      <c r="E1715" s="14" t="str">
        <f>IF('Boletins Nuppa Site'!H1715&lt;&gt;0,'Boletins Nuppa Site'!H1715,"NULL")</f>
        <v xml:space="preserve"> 30.00</v>
      </c>
      <c r="F1715" s="14" t="str">
        <f>IF('Boletins Nuppa Site'!I1715&lt;&gt;0,'Boletins Nuppa Site'!I1715,"NULL")</f>
        <v xml:space="preserve"> 36.00</v>
      </c>
      <c r="G1715" s="14" t="str">
        <f>IF('Boletins Nuppa Site'!J1715&lt;&gt;0,'Boletins Nuppa Site'!J1715,"NULL")</f>
        <v xml:space="preserve"> 31.50</v>
      </c>
      <c r="H1715" s="14" t="str">
        <f>IF('Boletins Nuppa Site'!K1715&lt;&gt;0,'Boletins Nuppa Site'!K1715,"NULL")</f>
        <v xml:space="preserve"> 30.00</v>
      </c>
      <c r="I1715" t="str">
        <f t="shared" si="52"/>
        <v>INSERT INTO COTACAO (cot_id, cot_blt_id, cot_pap_id, cot_prc_comum, cot_prc_min, cot_prc_max, cot_prc_med, cot_prc_mediana) VALUES (1714, 81, 4,  30.00,  30.00,  36.00,  31.50,  30.00);</v>
      </c>
      <c r="J1715" t="str">
        <f t="shared" si="53"/>
        <v>UPDATE COTACAO SET cot_id = 1714, cot_blt_id = 81, cot_pap_id = 4, cot_prc_comum =  30.00, cot_prc_min =  30.00, cot_prc_max =  36.00, cot_prc_med =  31.50, cot_prc_mediana =  30.00 WHERE cot_id = 1714;</v>
      </c>
    </row>
    <row r="1716" spans="1:10" x14ac:dyDescent="0.3">
      <c r="A1716">
        <v>1715</v>
      </c>
      <c r="B1716">
        <f>IF('Boletins Nuppa Site'!A1716&lt;&gt;0,'Boletins Nuppa Site'!A1716,"NULL")</f>
        <v>81</v>
      </c>
      <c r="C1716">
        <v>5</v>
      </c>
      <c r="D1716" t="str">
        <f>IF('Boletins Nuppa Site'!G1716&lt;&gt;0,'Boletins Nuppa Site'!G1716,"NULL")</f>
        <v xml:space="preserve"> 30.00</v>
      </c>
      <c r="E1716" s="14" t="str">
        <f>IF('Boletins Nuppa Site'!H1716&lt;&gt;0,'Boletins Nuppa Site'!H1716,"NULL")</f>
        <v xml:space="preserve"> 30.00</v>
      </c>
      <c r="F1716" s="14" t="str">
        <f>IF('Boletins Nuppa Site'!I1716&lt;&gt;0,'Boletins Nuppa Site'!I1716,"NULL")</f>
        <v xml:space="preserve"> 36.00</v>
      </c>
      <c r="G1716" s="14" t="str">
        <f>IF('Boletins Nuppa Site'!J1716&lt;&gt;0,'Boletins Nuppa Site'!J1716,"NULL")</f>
        <v xml:space="preserve"> 31.50</v>
      </c>
      <c r="H1716" s="14" t="str">
        <f>IF('Boletins Nuppa Site'!K1716&lt;&gt;0,'Boletins Nuppa Site'!K1716,"NULL")</f>
        <v xml:space="preserve"> 30.00</v>
      </c>
      <c r="I1716" t="str">
        <f t="shared" si="52"/>
        <v>INSERT INTO COTACAO (cot_id, cot_blt_id, cot_pap_id, cot_prc_comum, cot_prc_min, cot_prc_max, cot_prc_med, cot_prc_mediana) VALUES (1715, 81, 5,  30.00,  30.00,  36.00,  31.50,  30.00);</v>
      </c>
      <c r="J1716" t="str">
        <f t="shared" si="53"/>
        <v>UPDATE COTACAO SET cot_id = 1715, cot_blt_id = 81, cot_pap_id = 5, cot_prc_comum =  30.00, cot_prc_min =  30.00, cot_prc_max =  36.00, cot_prc_med =  31.50, cot_prc_mediana =  30.00 WHERE cot_id = 1715;</v>
      </c>
    </row>
    <row r="1717" spans="1:10" x14ac:dyDescent="0.3">
      <c r="A1717">
        <v>1716</v>
      </c>
      <c r="B1717">
        <f>IF('Boletins Nuppa Site'!A1717&lt;&gt;0,'Boletins Nuppa Site'!A1717,"NULL")</f>
        <v>81</v>
      </c>
      <c r="C1717">
        <v>6</v>
      </c>
      <c r="D1717" t="str">
        <f>IF('Boletins Nuppa Site'!G1717&lt;&gt;0,'Boletins Nuppa Site'!G1717,"NULL")</f>
        <v xml:space="preserve"> 60.00</v>
      </c>
      <c r="E1717" s="14" t="str">
        <f>IF('Boletins Nuppa Site'!H1717&lt;&gt;0,'Boletins Nuppa Site'!H1717,"NULL")</f>
        <v xml:space="preserve"> 60.00</v>
      </c>
      <c r="F1717" s="14" t="str">
        <f>IF('Boletins Nuppa Site'!I1717&lt;&gt;0,'Boletins Nuppa Site'!I1717,"NULL")</f>
        <v xml:space="preserve"> 66.00</v>
      </c>
      <c r="G1717" s="14" t="str">
        <f>IF('Boletins Nuppa Site'!J1717&lt;&gt;0,'Boletins Nuppa Site'!J1717,"NULL")</f>
        <v xml:space="preserve"> 61.50</v>
      </c>
      <c r="H1717" s="14" t="str">
        <f>IF('Boletins Nuppa Site'!K1717&lt;&gt;0,'Boletins Nuppa Site'!K1717,"NULL")</f>
        <v xml:space="preserve"> 60.00</v>
      </c>
      <c r="I1717" t="str">
        <f t="shared" si="52"/>
        <v>INSERT INTO COTACAO (cot_id, cot_blt_id, cot_pap_id, cot_prc_comum, cot_prc_min, cot_prc_max, cot_prc_med, cot_prc_mediana) VALUES (1716, 81, 6,  60.00,  60.00,  66.00,  61.50,  60.00);</v>
      </c>
      <c r="J1717" t="str">
        <f t="shared" si="53"/>
        <v>UPDATE COTACAO SET cot_id = 1716, cot_blt_id = 81, cot_pap_id = 6, cot_prc_comum =  60.00, cot_prc_min =  60.00, cot_prc_max =  66.00, cot_prc_med =  61.50, cot_prc_mediana =  60.00 WHERE cot_id = 1716;</v>
      </c>
    </row>
    <row r="1718" spans="1:10" x14ac:dyDescent="0.3">
      <c r="A1718">
        <v>1717</v>
      </c>
      <c r="B1718">
        <f>IF('Boletins Nuppa Site'!A1718&lt;&gt;0,'Boletins Nuppa Site'!A1718,"NULL")</f>
        <v>81</v>
      </c>
      <c r="C1718">
        <v>7</v>
      </c>
      <c r="D1718" t="str">
        <f>IF('Boletins Nuppa Site'!G1718&lt;&gt;0,'Boletins Nuppa Site'!G1718,"NULL")</f>
        <v xml:space="preserve"> 84.00</v>
      </c>
      <c r="E1718" s="14" t="str">
        <f>IF('Boletins Nuppa Site'!H1718&lt;&gt;0,'Boletins Nuppa Site'!H1718,"NULL")</f>
        <v xml:space="preserve"> 48.00</v>
      </c>
      <c r="F1718" s="14" t="str">
        <f>IF('Boletins Nuppa Site'!I1718&lt;&gt;0,'Boletins Nuppa Site'!I1718,"NULL")</f>
        <v xml:space="preserve"> 72.00</v>
      </c>
      <c r="G1718" s="14" t="str">
        <f>IF('Boletins Nuppa Site'!J1718&lt;&gt;0,'Boletins Nuppa Site'!J1718,"NULL")</f>
        <v xml:space="preserve"> 58.50</v>
      </c>
      <c r="H1718" s="14" t="str">
        <f>IF('Boletins Nuppa Site'!K1718&lt;&gt;0,'Boletins Nuppa Site'!K1718,"NULL")</f>
        <v xml:space="preserve"> 57.00</v>
      </c>
      <c r="I1718" t="str">
        <f t="shared" si="52"/>
        <v>INSERT INTO COTACAO (cot_id, cot_blt_id, cot_pap_id, cot_prc_comum, cot_prc_min, cot_prc_max, cot_prc_med, cot_prc_mediana) VALUES (1717, 81, 7,  84.00,  48.00,  72.00,  58.50,  57.00);</v>
      </c>
      <c r="J1718" t="str">
        <f t="shared" si="53"/>
        <v>UPDATE COTACAO SET cot_id = 1717, cot_blt_id = 81, cot_pap_id = 7, cot_prc_comum =  84.00, cot_prc_min =  48.00, cot_prc_max =  72.00, cot_prc_med =  58.50, cot_prc_mediana =  57.00 WHERE cot_id = 1717;</v>
      </c>
    </row>
    <row r="1719" spans="1:10" x14ac:dyDescent="0.3">
      <c r="A1719">
        <v>1718</v>
      </c>
      <c r="B1719">
        <f>IF('Boletins Nuppa Site'!A1719&lt;&gt;0,'Boletins Nuppa Site'!A1719,"NULL")</f>
        <v>81</v>
      </c>
      <c r="C1719">
        <v>8</v>
      </c>
      <c r="D1719" t="str">
        <f>IF('Boletins Nuppa Site'!G1719&lt;&gt;0,'Boletins Nuppa Site'!G1719,"NULL")</f>
        <v>NULL</v>
      </c>
      <c r="E1719" s="14" t="str">
        <f>IF('Boletins Nuppa Site'!H1719&lt;&gt;0,'Boletins Nuppa Site'!H1719,"NULL")</f>
        <v xml:space="preserve"> 72.00</v>
      </c>
      <c r="F1719" s="14" t="str">
        <f>IF('Boletins Nuppa Site'!I1719&lt;&gt;0,'Boletins Nuppa Site'!I1719,"NULL")</f>
        <v xml:space="preserve"> 84.00</v>
      </c>
      <c r="G1719" s="14" t="str">
        <f>IF('Boletins Nuppa Site'!J1719&lt;&gt;0,'Boletins Nuppa Site'!J1719,"NULL")</f>
        <v xml:space="preserve"> 78.00</v>
      </c>
      <c r="H1719" s="14" t="str">
        <f>IF('Boletins Nuppa Site'!K1719&lt;&gt;0,'Boletins Nuppa Site'!K1719,"NULL")</f>
        <v xml:space="preserve"> 78.00</v>
      </c>
      <c r="I1719" t="str">
        <f t="shared" si="52"/>
        <v>INSERT INTO COTACAO (cot_id, cot_blt_id, cot_pap_id, cot_prc_comum, cot_prc_min, cot_prc_max, cot_prc_med, cot_prc_mediana) VALUES (1718, 81, 8, NULL,  72.00,  84.00,  78.00,  78.00);</v>
      </c>
      <c r="J1719" t="str">
        <f t="shared" si="53"/>
        <v>UPDATE COTACAO SET cot_id = 1718, cot_blt_id = 81, cot_pap_id = 8, cot_prc_comum = NULL, cot_prc_min =  72.00, cot_prc_max =  84.00, cot_prc_med =  78.00, cot_prc_mediana =  78.00 WHERE cot_id = 1718;</v>
      </c>
    </row>
    <row r="1720" spans="1:10" x14ac:dyDescent="0.3">
      <c r="A1720">
        <v>1719</v>
      </c>
      <c r="B1720">
        <f>IF('Boletins Nuppa Site'!A1720&lt;&gt;0,'Boletins Nuppa Site'!A1720,"NULL")</f>
        <v>81</v>
      </c>
      <c r="C1720">
        <v>9</v>
      </c>
      <c r="D1720" t="str">
        <f>IF('Boletins Nuppa Site'!G1720&lt;&gt;0,'Boletins Nuppa Site'!G1720,"NULL")</f>
        <v xml:space="preserve"> 24.00</v>
      </c>
      <c r="E1720" s="14" t="str">
        <f>IF('Boletins Nuppa Site'!H1720&lt;&gt;0,'Boletins Nuppa Site'!H1720,"NULL")</f>
        <v xml:space="preserve"> 20.00</v>
      </c>
      <c r="F1720" s="14" t="str">
        <f>IF('Boletins Nuppa Site'!I1720&lt;&gt;0,'Boletins Nuppa Site'!I1720,"NULL")</f>
        <v xml:space="preserve"> 24.00</v>
      </c>
      <c r="G1720" s="14" t="str">
        <f>IF('Boletins Nuppa Site'!J1720&lt;&gt;0,'Boletins Nuppa Site'!J1720,"NULL")</f>
        <v xml:space="preserve"> 23.00</v>
      </c>
      <c r="H1720" s="14" t="str">
        <f>IF('Boletins Nuppa Site'!K1720&lt;&gt;0,'Boletins Nuppa Site'!K1720,"NULL")</f>
        <v xml:space="preserve"> 24.00</v>
      </c>
      <c r="I1720" t="str">
        <f t="shared" si="52"/>
        <v>INSERT INTO COTACAO (cot_id, cot_blt_id, cot_pap_id, cot_prc_comum, cot_prc_min, cot_prc_max, cot_prc_med, cot_prc_mediana) VALUES (1719, 81, 9,  24.00,  20.00,  24.00,  23.00,  24.00);</v>
      </c>
      <c r="J1720" t="str">
        <f t="shared" si="53"/>
        <v>UPDATE COTACAO SET cot_id = 1719, cot_blt_id = 81, cot_pap_id = 9, cot_prc_comum =  24.00, cot_prc_min =  20.00, cot_prc_max =  24.00, cot_prc_med =  23.00, cot_prc_mediana =  24.00 WHERE cot_id = 1719;</v>
      </c>
    </row>
    <row r="1721" spans="1:10" x14ac:dyDescent="0.3">
      <c r="A1721">
        <v>1720</v>
      </c>
      <c r="B1721">
        <f>IF('Boletins Nuppa Site'!A1721&lt;&gt;0,'Boletins Nuppa Site'!A1721,"NULL")</f>
        <v>81</v>
      </c>
      <c r="C1721">
        <v>10</v>
      </c>
      <c r="D1721" t="str">
        <f>IF('Boletins Nuppa Site'!G1721&lt;&gt;0,'Boletins Nuppa Site'!G1721,"NULL")</f>
        <v xml:space="preserve"> 72.00</v>
      </c>
      <c r="E1721" s="14" t="str">
        <f>IF('Boletins Nuppa Site'!H1721&lt;&gt;0,'Boletins Nuppa Site'!H1721,"NULL")</f>
        <v xml:space="preserve"> 72.00</v>
      </c>
      <c r="F1721" s="14" t="str">
        <f>IF('Boletins Nuppa Site'!I1721&lt;&gt;0,'Boletins Nuppa Site'!I1721,"NULL")</f>
        <v xml:space="preserve"> 78.00</v>
      </c>
      <c r="G1721" s="14" t="str">
        <f>IF('Boletins Nuppa Site'!J1721&lt;&gt;0,'Boletins Nuppa Site'!J1721,"NULL")</f>
        <v xml:space="preserve"> 75.00</v>
      </c>
      <c r="H1721" s="14" t="str">
        <f>IF('Boletins Nuppa Site'!K1721&lt;&gt;0,'Boletins Nuppa Site'!K1721,"NULL")</f>
        <v xml:space="preserve"> 75.00</v>
      </c>
      <c r="I1721" t="str">
        <f t="shared" si="52"/>
        <v>INSERT INTO COTACAO (cot_id, cot_blt_id, cot_pap_id, cot_prc_comum, cot_prc_min, cot_prc_max, cot_prc_med, cot_prc_mediana) VALUES (1720, 81, 10,  72.00,  72.00,  78.00,  75.00,  75.00);</v>
      </c>
      <c r="J1721" t="str">
        <f t="shared" si="53"/>
        <v>UPDATE COTACAO SET cot_id = 1720, cot_blt_id = 81, cot_pap_id = 10, cot_prc_comum =  72.00, cot_prc_min =  72.00, cot_prc_max =  78.00, cot_prc_med =  75.00, cot_prc_mediana =  75.00 WHERE cot_id = 1720;</v>
      </c>
    </row>
    <row r="1722" spans="1:10" x14ac:dyDescent="0.3">
      <c r="A1722">
        <v>1721</v>
      </c>
      <c r="B1722">
        <f>IF('Boletins Nuppa Site'!A1722&lt;&gt;0,'Boletins Nuppa Site'!A1722,"NULL")</f>
        <v>81</v>
      </c>
      <c r="C1722">
        <v>11</v>
      </c>
      <c r="D1722" t="str">
        <f>IF('Boletins Nuppa Site'!G1722&lt;&gt;0,'Boletins Nuppa Site'!G1722,"NULL")</f>
        <v xml:space="preserve"> 30.00</v>
      </c>
      <c r="E1722" s="14" t="str">
        <f>IF('Boletins Nuppa Site'!H1722&lt;&gt;0,'Boletins Nuppa Site'!H1722,"NULL")</f>
        <v xml:space="preserve"> 30.00</v>
      </c>
      <c r="F1722" s="14" t="str">
        <f>IF('Boletins Nuppa Site'!I1722&lt;&gt;0,'Boletins Nuppa Site'!I1722,"NULL")</f>
        <v xml:space="preserve"> 36.00</v>
      </c>
      <c r="G1722" s="14" t="str">
        <f>IF('Boletins Nuppa Site'!J1722&lt;&gt;0,'Boletins Nuppa Site'!J1722,"NULL")</f>
        <v xml:space="preserve"> 31.50</v>
      </c>
      <c r="H1722" s="14" t="str">
        <f>IF('Boletins Nuppa Site'!K1722&lt;&gt;0,'Boletins Nuppa Site'!K1722,"NULL")</f>
        <v xml:space="preserve"> 30.00</v>
      </c>
      <c r="I1722" t="str">
        <f t="shared" si="52"/>
        <v>INSERT INTO COTACAO (cot_id, cot_blt_id, cot_pap_id, cot_prc_comum, cot_prc_min, cot_prc_max, cot_prc_med, cot_prc_mediana) VALUES (1721, 81, 11,  30.00,  30.00,  36.00,  31.50,  30.00);</v>
      </c>
      <c r="J1722" t="str">
        <f t="shared" si="53"/>
        <v>UPDATE COTACAO SET cot_id = 1721, cot_blt_id = 81, cot_pap_id = 11, cot_prc_comum =  30.00, cot_prc_min =  30.00, cot_prc_max =  36.00, cot_prc_med =  31.50, cot_prc_mediana =  30.00 WHERE cot_id = 1721;</v>
      </c>
    </row>
    <row r="1723" spans="1:10" x14ac:dyDescent="0.3">
      <c r="A1723">
        <v>1722</v>
      </c>
      <c r="B1723">
        <f>IF('Boletins Nuppa Site'!A1723&lt;&gt;0,'Boletins Nuppa Site'!A1723,"NULL")</f>
        <v>81</v>
      </c>
      <c r="C1723">
        <v>12</v>
      </c>
      <c r="D1723" t="str">
        <f>IF('Boletins Nuppa Site'!G1723&lt;&gt;0,'Boletins Nuppa Site'!G1723,"NULL")</f>
        <v xml:space="preserve"> 60.00</v>
      </c>
      <c r="E1723" s="14" t="str">
        <f>IF('Boletins Nuppa Site'!H1723&lt;&gt;0,'Boletins Nuppa Site'!H1723,"NULL")</f>
        <v xml:space="preserve"> 60.00</v>
      </c>
      <c r="F1723" s="14" t="str">
        <f>IF('Boletins Nuppa Site'!I1723&lt;&gt;0,'Boletins Nuppa Site'!I1723,"NULL")</f>
        <v xml:space="preserve"> 60.00</v>
      </c>
      <c r="G1723" s="14" t="str">
        <f>IF('Boletins Nuppa Site'!J1723&lt;&gt;0,'Boletins Nuppa Site'!J1723,"NULL")</f>
        <v xml:space="preserve"> 60.00</v>
      </c>
      <c r="H1723" s="14" t="str">
        <f>IF('Boletins Nuppa Site'!K1723&lt;&gt;0,'Boletins Nuppa Site'!K1723,"NULL")</f>
        <v xml:space="preserve"> 60.00</v>
      </c>
      <c r="I1723" t="str">
        <f t="shared" si="52"/>
        <v>INSERT INTO COTACAO (cot_id, cot_blt_id, cot_pap_id, cot_prc_comum, cot_prc_min, cot_prc_max, cot_prc_med, cot_prc_mediana) VALUES (1722, 81, 12,  60.00,  60.00,  60.00,  60.00,  60.00);</v>
      </c>
      <c r="J1723" t="str">
        <f t="shared" si="53"/>
        <v>UPDATE COTACAO SET cot_id = 1722, cot_blt_id = 81, cot_pap_id = 12, cot_prc_comum =  60.00, cot_prc_min =  60.00, cot_prc_max =  60.00, cot_prc_med =  60.00, cot_prc_mediana =  60.00 WHERE cot_id = 1722;</v>
      </c>
    </row>
    <row r="1724" spans="1:10" x14ac:dyDescent="0.3">
      <c r="A1724">
        <v>1723</v>
      </c>
      <c r="B1724">
        <f>IF('Boletins Nuppa Site'!A1724&lt;&gt;0,'Boletins Nuppa Site'!A1724,"NULL")</f>
        <v>81</v>
      </c>
      <c r="C1724">
        <v>13</v>
      </c>
      <c r="D1724" t="str">
        <f>IF('Boletins Nuppa Site'!G1724&lt;&gt;0,'Boletins Nuppa Site'!G1724,"NULL")</f>
        <v xml:space="preserve"> 60.00</v>
      </c>
      <c r="E1724" s="14" t="str">
        <f>IF('Boletins Nuppa Site'!H1724&lt;&gt;0,'Boletins Nuppa Site'!H1724,"NULL")</f>
        <v xml:space="preserve"> 48.00</v>
      </c>
      <c r="F1724" s="14" t="str">
        <f>IF('Boletins Nuppa Site'!I1724&lt;&gt;0,'Boletins Nuppa Site'!I1724,"NULL")</f>
        <v xml:space="preserve"> 60.00</v>
      </c>
      <c r="G1724" s="14" t="str">
        <f>IF('Boletins Nuppa Site'!J1724&lt;&gt;0,'Boletins Nuppa Site'!J1724,"NULL")</f>
        <v xml:space="preserve"> 57.00</v>
      </c>
      <c r="H1724" s="14" t="str">
        <f>IF('Boletins Nuppa Site'!K1724&lt;&gt;0,'Boletins Nuppa Site'!K1724,"NULL")</f>
        <v xml:space="preserve"> 60.00</v>
      </c>
      <c r="I1724" t="str">
        <f t="shared" si="52"/>
        <v>INSERT INTO COTACAO (cot_id, cot_blt_id, cot_pap_id, cot_prc_comum, cot_prc_min, cot_prc_max, cot_prc_med, cot_prc_mediana) VALUES (1723, 81, 13,  60.00,  48.00,  60.00,  57.00,  60.00);</v>
      </c>
      <c r="J1724" t="str">
        <f t="shared" si="53"/>
        <v>UPDATE COTACAO SET cot_id = 1723, cot_blt_id = 81, cot_pap_id = 13, cot_prc_comum =  60.00, cot_prc_min =  48.00, cot_prc_max =  60.00, cot_prc_med =  57.00, cot_prc_mediana =  60.00 WHERE cot_id = 1723;</v>
      </c>
    </row>
    <row r="1725" spans="1:10" x14ac:dyDescent="0.3">
      <c r="A1725">
        <v>1724</v>
      </c>
      <c r="B1725">
        <f>IF('Boletins Nuppa Site'!A1725&lt;&gt;0,'Boletins Nuppa Site'!A1725,"NULL")</f>
        <v>81</v>
      </c>
      <c r="C1725">
        <v>14</v>
      </c>
      <c r="D1725" t="str">
        <f>IF('Boletins Nuppa Site'!G1725&lt;&gt;0,'Boletins Nuppa Site'!G1725,"NULL")</f>
        <v xml:space="preserve"> 72.00</v>
      </c>
      <c r="E1725" s="14" t="str">
        <f>IF('Boletins Nuppa Site'!H1725&lt;&gt;0,'Boletins Nuppa Site'!H1725,"NULL")</f>
        <v xml:space="preserve"> 48.00</v>
      </c>
      <c r="F1725" s="14" t="str">
        <f>IF('Boletins Nuppa Site'!I1725&lt;&gt;0,'Boletins Nuppa Site'!I1725,"NULL")</f>
        <v xml:space="preserve"> 72.00</v>
      </c>
      <c r="G1725" s="14" t="str">
        <f>IF('Boletins Nuppa Site'!J1725&lt;&gt;0,'Boletins Nuppa Site'!J1725,"NULL")</f>
        <v xml:space="preserve"> 63.00</v>
      </c>
      <c r="H1725" s="14" t="str">
        <f>IF('Boletins Nuppa Site'!K1725&lt;&gt;0,'Boletins Nuppa Site'!K1725,"NULL")</f>
        <v xml:space="preserve"> 66.00</v>
      </c>
      <c r="I1725" t="str">
        <f t="shared" si="52"/>
        <v>INSERT INTO COTACAO (cot_id, cot_blt_id, cot_pap_id, cot_prc_comum, cot_prc_min, cot_prc_max, cot_prc_med, cot_prc_mediana) VALUES (1724, 81, 14,  72.00,  48.00,  72.00,  63.00,  66.00);</v>
      </c>
      <c r="J1725" t="str">
        <f t="shared" si="53"/>
        <v>UPDATE COTACAO SET cot_id = 1724, cot_blt_id = 81, cot_pap_id = 14, cot_prc_comum =  72.00, cot_prc_min =  48.00, cot_prc_max =  72.00, cot_prc_med =  63.00, cot_prc_mediana =  66.00 WHERE cot_id = 1724;</v>
      </c>
    </row>
    <row r="1726" spans="1:10" x14ac:dyDescent="0.3">
      <c r="A1726">
        <v>1725</v>
      </c>
      <c r="B1726">
        <f>IF('Boletins Nuppa Site'!A1726&lt;&gt;0,'Boletins Nuppa Site'!A1726,"NULL")</f>
        <v>81</v>
      </c>
      <c r="C1726">
        <v>15</v>
      </c>
      <c r="D1726" t="str">
        <f>IF('Boletins Nuppa Site'!G1726&lt;&gt;0,'Boletins Nuppa Site'!G1726,"NULL")</f>
        <v xml:space="preserve"> 30.00</v>
      </c>
      <c r="E1726" s="14" t="str">
        <f>IF('Boletins Nuppa Site'!H1726&lt;&gt;0,'Boletins Nuppa Site'!H1726,"NULL")</f>
        <v xml:space="preserve"> 30.00</v>
      </c>
      <c r="F1726" s="14" t="str">
        <f>IF('Boletins Nuppa Site'!I1726&lt;&gt;0,'Boletins Nuppa Site'!I1726,"NULL")</f>
        <v xml:space="preserve"> 36.00</v>
      </c>
      <c r="G1726" s="14" t="str">
        <f>IF('Boletins Nuppa Site'!J1726&lt;&gt;0,'Boletins Nuppa Site'!J1726,"NULL")</f>
        <v xml:space="preserve"> 33.00</v>
      </c>
      <c r="H1726" s="14" t="str">
        <f>IF('Boletins Nuppa Site'!K1726&lt;&gt;0,'Boletins Nuppa Site'!K1726,"NULL")</f>
        <v xml:space="preserve"> 33.00</v>
      </c>
      <c r="I1726" t="str">
        <f t="shared" si="52"/>
        <v>INSERT INTO COTACAO (cot_id, cot_blt_id, cot_pap_id, cot_prc_comum, cot_prc_min, cot_prc_max, cot_prc_med, cot_prc_mediana) VALUES (1725, 81, 15,  30.00,  30.00,  36.00,  33.00,  33.00);</v>
      </c>
      <c r="J1726" t="str">
        <f t="shared" si="53"/>
        <v>UPDATE COTACAO SET cot_id = 1725, cot_blt_id = 81, cot_pap_id = 15, cot_prc_comum =  30.00, cot_prc_min =  30.00, cot_prc_max =  36.00, cot_prc_med =  33.00, cot_prc_mediana =  33.00 WHERE cot_id = 1725;</v>
      </c>
    </row>
    <row r="1727" spans="1:10" x14ac:dyDescent="0.3">
      <c r="A1727">
        <v>1726</v>
      </c>
      <c r="B1727">
        <f>IF('Boletins Nuppa Site'!A1727&lt;&gt;0,'Boletins Nuppa Site'!A1727,"NULL")</f>
        <v>81</v>
      </c>
      <c r="C1727">
        <v>16</v>
      </c>
      <c r="D1727" t="str">
        <f>IF('Boletins Nuppa Site'!G1727&lt;&gt;0,'Boletins Nuppa Site'!G1727,"NULL")</f>
        <v xml:space="preserve"> 48.00</v>
      </c>
      <c r="E1727" s="14" t="str">
        <f>IF('Boletins Nuppa Site'!H1727&lt;&gt;0,'Boletins Nuppa Site'!H1727,"NULL")</f>
        <v xml:space="preserve"> 48.00</v>
      </c>
      <c r="F1727" s="14" t="str">
        <f>IF('Boletins Nuppa Site'!I1727&lt;&gt;0,'Boletins Nuppa Site'!I1727,"NULL")</f>
        <v xml:space="preserve"> 54.00</v>
      </c>
      <c r="G1727" s="14" t="str">
        <f>IF('Boletins Nuppa Site'!J1727&lt;&gt;0,'Boletins Nuppa Site'!J1727,"NULL")</f>
        <v xml:space="preserve"> 49.50</v>
      </c>
      <c r="H1727" s="14" t="str">
        <f>IF('Boletins Nuppa Site'!K1727&lt;&gt;0,'Boletins Nuppa Site'!K1727,"NULL")</f>
        <v xml:space="preserve"> 48.00</v>
      </c>
      <c r="I1727" t="str">
        <f t="shared" si="52"/>
        <v>INSERT INTO COTACAO (cot_id, cot_blt_id, cot_pap_id, cot_prc_comum, cot_prc_min, cot_prc_max, cot_prc_med, cot_prc_mediana) VALUES (1726, 81, 16,  48.00,  48.00,  54.00,  49.50,  48.00);</v>
      </c>
      <c r="J1727" t="str">
        <f t="shared" si="53"/>
        <v>UPDATE COTACAO SET cot_id = 1726, cot_blt_id = 81, cot_pap_id = 16, cot_prc_comum =  48.00, cot_prc_min =  48.00, cot_prc_max =  54.00, cot_prc_med =  49.50, cot_prc_mediana =  48.00 WHERE cot_id = 1726;</v>
      </c>
    </row>
    <row r="1728" spans="1:10" x14ac:dyDescent="0.3">
      <c r="A1728">
        <v>1727</v>
      </c>
      <c r="B1728">
        <f>IF('Boletins Nuppa Site'!A1728&lt;&gt;0,'Boletins Nuppa Site'!A1728,"NULL")</f>
        <v>81</v>
      </c>
      <c r="C1728">
        <v>17</v>
      </c>
      <c r="D1728" t="str">
        <f>IF('Boletins Nuppa Site'!G1728&lt;&gt;0,'Boletins Nuppa Site'!G1728,"NULL")</f>
        <v xml:space="preserve"> 5.00</v>
      </c>
      <c r="E1728" s="14" t="str">
        <f>IF('Boletins Nuppa Site'!H1728&lt;&gt;0,'Boletins Nuppa Site'!H1728,"NULL")</f>
        <v xml:space="preserve"> 4.00</v>
      </c>
      <c r="F1728" s="14" t="str">
        <f>IF('Boletins Nuppa Site'!I1728&lt;&gt;0,'Boletins Nuppa Site'!I1728,"NULL")</f>
        <v xml:space="preserve"> 5.00</v>
      </c>
      <c r="G1728" s="14" t="str">
        <f>IF('Boletins Nuppa Site'!J1728&lt;&gt;0,'Boletins Nuppa Site'!J1728,"NULL")</f>
        <v xml:space="preserve"> 4.75</v>
      </c>
      <c r="H1728" s="14" t="str">
        <f>IF('Boletins Nuppa Site'!K1728&lt;&gt;0,'Boletins Nuppa Site'!K1728,"NULL")</f>
        <v xml:space="preserve"> 5.00</v>
      </c>
      <c r="I1728" t="str">
        <f t="shared" si="52"/>
        <v>INSERT INTO COTACAO (cot_id, cot_blt_id, cot_pap_id, cot_prc_comum, cot_prc_min, cot_prc_max, cot_prc_med, cot_prc_mediana) VALUES (1727, 81, 17,  5.00,  4.00,  5.00,  4.75,  5.00);</v>
      </c>
      <c r="J1728" t="str">
        <f t="shared" si="53"/>
        <v>UPDATE COTACAO SET cot_id = 1727, cot_blt_id = 81, cot_pap_id = 17, cot_prc_comum =  5.00, cot_prc_min =  4.00, cot_prc_max =  5.00, cot_prc_med =  4.75, cot_prc_mediana =  5.00 WHERE cot_id = 1727;</v>
      </c>
    </row>
    <row r="1729" spans="1:10" x14ac:dyDescent="0.3">
      <c r="A1729">
        <v>1728</v>
      </c>
      <c r="B1729">
        <f>IF('Boletins Nuppa Site'!A1729&lt;&gt;0,'Boletins Nuppa Site'!A1729,"NULL")</f>
        <v>81</v>
      </c>
      <c r="C1729">
        <v>18</v>
      </c>
      <c r="D1729" t="str">
        <f>IF('Boletins Nuppa Site'!G1729&lt;&gt;0,'Boletins Nuppa Site'!G1729,"NULL")</f>
        <v xml:space="preserve"> 15.00</v>
      </c>
      <c r="E1729" s="14" t="str">
        <f>IF('Boletins Nuppa Site'!H1729&lt;&gt;0,'Boletins Nuppa Site'!H1729,"NULL")</f>
        <v xml:space="preserve"> 15.00</v>
      </c>
      <c r="F1729" s="14" t="str">
        <f>IF('Boletins Nuppa Site'!I1729&lt;&gt;0,'Boletins Nuppa Site'!I1729,"NULL")</f>
        <v xml:space="preserve"> 20.00</v>
      </c>
      <c r="G1729" s="14" t="str">
        <f>IF('Boletins Nuppa Site'!J1729&lt;&gt;0,'Boletins Nuppa Site'!J1729,"NULL")</f>
        <v xml:space="preserve"> 17.00</v>
      </c>
      <c r="H1729" s="14" t="str">
        <f>IF('Boletins Nuppa Site'!K1729&lt;&gt;0,'Boletins Nuppa Site'!K1729,"NULL")</f>
        <v xml:space="preserve"> 16.50</v>
      </c>
      <c r="I1729" t="str">
        <f t="shared" si="52"/>
        <v>INSERT INTO COTACAO (cot_id, cot_blt_id, cot_pap_id, cot_prc_comum, cot_prc_min, cot_prc_max, cot_prc_med, cot_prc_mediana) VALUES (1728, 81, 18,  15.00,  15.00,  20.00,  17.00,  16.50);</v>
      </c>
      <c r="J1729" t="str">
        <f t="shared" si="53"/>
        <v>UPDATE COTACAO SET cot_id = 1728, cot_blt_id = 81, cot_pap_id = 18, cot_prc_comum =  15.00, cot_prc_min =  15.00, cot_prc_max =  20.00, cot_prc_med =  17.00, cot_prc_mediana =  16.50 WHERE cot_id = 1728;</v>
      </c>
    </row>
    <row r="1730" spans="1:10" x14ac:dyDescent="0.3">
      <c r="A1730">
        <v>1729</v>
      </c>
      <c r="B1730">
        <f>IF('Boletins Nuppa Site'!A1730&lt;&gt;0,'Boletins Nuppa Site'!A1730,"NULL")</f>
        <v>81</v>
      </c>
      <c r="C1730">
        <v>19</v>
      </c>
      <c r="D1730" t="str">
        <f>IF('Boletins Nuppa Site'!G1730&lt;&gt;0,'Boletins Nuppa Site'!G1730,"NULL")</f>
        <v xml:space="preserve"> 20.00</v>
      </c>
      <c r="E1730" s="14" t="str">
        <f>IF('Boletins Nuppa Site'!H1730&lt;&gt;0,'Boletins Nuppa Site'!H1730,"NULL")</f>
        <v xml:space="preserve"> 20.00</v>
      </c>
      <c r="F1730" s="14" t="str">
        <f>IF('Boletins Nuppa Site'!I1730&lt;&gt;0,'Boletins Nuppa Site'!I1730,"NULL")</f>
        <v xml:space="preserve"> 30.00</v>
      </c>
      <c r="G1730" s="14" t="str">
        <f>IF('Boletins Nuppa Site'!J1730&lt;&gt;0,'Boletins Nuppa Site'!J1730,"NULL")</f>
        <v xml:space="preserve"> 25.00</v>
      </c>
      <c r="H1730" s="14" t="str">
        <f>IF('Boletins Nuppa Site'!K1730&lt;&gt;0,'Boletins Nuppa Site'!K1730,"NULL")</f>
        <v xml:space="preserve"> 25.00</v>
      </c>
      <c r="I1730" t="str">
        <f t="shared" si="52"/>
        <v>INSERT INTO COTACAO (cot_id, cot_blt_id, cot_pap_id, cot_prc_comum, cot_prc_min, cot_prc_max, cot_prc_med, cot_prc_mediana) VALUES (1729, 81, 19,  20.00,  20.00,  30.00,  25.00,  25.00);</v>
      </c>
      <c r="J1730" t="str">
        <f t="shared" si="53"/>
        <v>UPDATE COTACAO SET cot_id = 1729, cot_blt_id = 81, cot_pap_id = 19, cot_prc_comum =  20.00, cot_prc_min =  20.00, cot_prc_max =  30.00, cot_prc_med =  25.00, cot_prc_mediana =  25.00 WHERE cot_id = 1729;</v>
      </c>
    </row>
    <row r="1731" spans="1:10" x14ac:dyDescent="0.3">
      <c r="A1731">
        <v>1730</v>
      </c>
      <c r="B1731">
        <f>IF('Boletins Nuppa Site'!A1731&lt;&gt;0,'Boletins Nuppa Site'!A1731,"NULL")</f>
        <v>81</v>
      </c>
      <c r="C1731">
        <v>20</v>
      </c>
      <c r="D1731" t="str">
        <f>IF('Boletins Nuppa Site'!G1731&lt;&gt;0,'Boletins Nuppa Site'!G1731,"NULL")</f>
        <v>NULL</v>
      </c>
      <c r="E1731" s="14" t="str">
        <f>IF('Boletins Nuppa Site'!H1731&lt;&gt;0,'Boletins Nuppa Site'!H1731,"NULL")</f>
        <v xml:space="preserve"> 70.00</v>
      </c>
      <c r="F1731" s="14" t="str">
        <f>IF('Boletins Nuppa Site'!I1731&lt;&gt;0,'Boletins Nuppa Site'!I1731,"NULL")</f>
        <v xml:space="preserve"> 70.00</v>
      </c>
      <c r="G1731" s="14" t="str">
        <f>IF('Boletins Nuppa Site'!J1731&lt;&gt;0,'Boletins Nuppa Site'!J1731,"NULL")</f>
        <v xml:space="preserve"> 70.00</v>
      </c>
      <c r="H1731" s="14" t="str">
        <f>IF('Boletins Nuppa Site'!K1731&lt;&gt;0,'Boletins Nuppa Site'!K1731,"NULL")</f>
        <v xml:space="preserve"> 70.00</v>
      </c>
      <c r="I1731" t="str">
        <f t="shared" ref="I1731:I1794" si="54">"INSERT INTO COTACAO (cot_id, cot_blt_id, cot_pap_id, cot_prc_comum, cot_prc_min, cot_prc_max, cot_prc_med, cot_prc_mediana) VALUES ("&amp;A1731&amp;", "&amp;B1731&amp;", "&amp;C1731&amp;", "&amp;D1731&amp;", "&amp;E1731&amp;", "&amp;F1731&amp;", "&amp;G1731&amp;", "&amp;H1731&amp;");"</f>
        <v>INSERT INTO COTACAO (cot_id, cot_blt_id, cot_pap_id, cot_prc_comum, cot_prc_min, cot_prc_max, cot_prc_med, cot_prc_mediana) VALUES (1730, 81, 20, NULL,  70.00,  70.00,  70.00,  70.00);</v>
      </c>
      <c r="J1731" t="str">
        <f t="shared" ref="J1731:J1794" si="55">"UPDATE COTACAO SET cot_id = "&amp;A1731&amp;", cot_blt_id = "&amp;B1731&amp;", cot_pap_id = "&amp;C1731&amp;", cot_prc_comum = "&amp;D1731&amp;", cot_prc_min = "&amp;E1731&amp;", cot_prc_max = "&amp;F1731&amp;", cot_prc_med = "&amp;G1731&amp;", cot_prc_mediana = "&amp;H1731&amp;" WHERE cot_id = "&amp;A1731&amp;";"</f>
        <v>UPDATE COTACAO SET cot_id = 1730, cot_blt_id = 81, cot_pap_id = 20, cot_prc_comum = NULL, cot_prc_min =  70.00, cot_prc_max =  70.00, cot_prc_med =  70.00, cot_prc_mediana =  70.00 WHERE cot_id = 1730;</v>
      </c>
    </row>
    <row r="1732" spans="1:10" x14ac:dyDescent="0.3">
      <c r="A1732">
        <v>1731</v>
      </c>
      <c r="B1732">
        <f>IF('Boletins Nuppa Site'!A1732&lt;&gt;0,'Boletins Nuppa Site'!A1732,"NULL")</f>
        <v>81</v>
      </c>
      <c r="C1732">
        <v>21</v>
      </c>
      <c r="D1732" t="str">
        <f>IF('Boletins Nuppa Site'!G1732&lt;&gt;0,'Boletins Nuppa Site'!G1732,"NULL")</f>
        <v xml:space="preserve"> 40.00</v>
      </c>
      <c r="E1732" s="14" t="str">
        <f>IF('Boletins Nuppa Site'!H1732&lt;&gt;0,'Boletins Nuppa Site'!H1732,"NULL")</f>
        <v xml:space="preserve"> 30.00</v>
      </c>
      <c r="F1732" s="14" t="str">
        <f>IF('Boletins Nuppa Site'!I1732&lt;&gt;0,'Boletins Nuppa Site'!I1732,"NULL")</f>
        <v xml:space="preserve"> 60.00</v>
      </c>
      <c r="G1732" s="14" t="str">
        <f>IF('Boletins Nuppa Site'!J1732&lt;&gt;0,'Boletins Nuppa Site'!J1732,"NULL")</f>
        <v xml:space="preserve"> 44.17</v>
      </c>
      <c r="H1732" s="14" t="str">
        <f>IF('Boletins Nuppa Site'!K1732&lt;&gt;0,'Boletins Nuppa Site'!K1732,"NULL")</f>
        <v xml:space="preserve"> 42.50</v>
      </c>
      <c r="I1732" t="str">
        <f t="shared" si="54"/>
        <v>INSERT INTO COTACAO (cot_id, cot_blt_id, cot_pap_id, cot_prc_comum, cot_prc_min, cot_prc_max, cot_prc_med, cot_prc_mediana) VALUES (1731, 81, 21,  40.00,  30.00,  60.00,  44.17,  42.50);</v>
      </c>
      <c r="J1732" t="str">
        <f t="shared" si="55"/>
        <v>UPDATE COTACAO SET cot_id = 1731, cot_blt_id = 81, cot_pap_id = 21, cot_prc_comum =  40.00, cot_prc_min =  30.00, cot_prc_max =  60.00, cot_prc_med =  44.17, cot_prc_mediana =  42.50 WHERE cot_id = 1731;</v>
      </c>
    </row>
    <row r="1733" spans="1:10" x14ac:dyDescent="0.3">
      <c r="A1733">
        <v>1732</v>
      </c>
      <c r="B1733">
        <f>IF('Boletins Nuppa Site'!A1733&lt;&gt;0,'Boletins Nuppa Site'!A1733,"NULL")</f>
        <v>81</v>
      </c>
      <c r="C1733">
        <v>22</v>
      </c>
      <c r="D1733" t="str">
        <f>IF('Boletins Nuppa Site'!G1733&lt;&gt;0,'Boletins Nuppa Site'!G1733,"NULL")</f>
        <v xml:space="preserve"> 70.00</v>
      </c>
      <c r="E1733" s="14" t="str">
        <f>IF('Boletins Nuppa Site'!H1733&lt;&gt;0,'Boletins Nuppa Site'!H1733,"NULL")</f>
        <v xml:space="preserve"> 30.00</v>
      </c>
      <c r="F1733" s="14" t="str">
        <f>IF('Boletins Nuppa Site'!I1733&lt;&gt;0,'Boletins Nuppa Site'!I1733,"NULL")</f>
        <v xml:space="preserve"> 70.00</v>
      </c>
      <c r="G1733" s="14" t="str">
        <f>IF('Boletins Nuppa Site'!J1733&lt;&gt;0,'Boletins Nuppa Site'!J1733,"NULL")</f>
        <v xml:space="preserve"> 53.33</v>
      </c>
      <c r="H1733" s="14" t="str">
        <f>IF('Boletins Nuppa Site'!K1733&lt;&gt;0,'Boletins Nuppa Site'!K1733,"NULL")</f>
        <v xml:space="preserve"> 55.00</v>
      </c>
      <c r="I1733" t="str">
        <f t="shared" si="54"/>
        <v>INSERT INTO COTACAO (cot_id, cot_blt_id, cot_pap_id, cot_prc_comum, cot_prc_min, cot_prc_max, cot_prc_med, cot_prc_mediana) VALUES (1732, 81, 22,  70.00,  30.00,  70.00,  53.33,  55.00);</v>
      </c>
      <c r="J1733" t="str">
        <f t="shared" si="55"/>
        <v>UPDATE COTACAO SET cot_id = 1732, cot_blt_id = 81, cot_pap_id = 22, cot_prc_comum =  70.00, cot_prc_min =  30.00, cot_prc_max =  70.00, cot_prc_med =  53.33, cot_prc_mediana =  55.00 WHERE cot_id = 1732;</v>
      </c>
    </row>
    <row r="1734" spans="1:10" x14ac:dyDescent="0.3">
      <c r="A1734">
        <v>1733</v>
      </c>
      <c r="B1734">
        <f>IF('Boletins Nuppa Site'!A1734&lt;&gt;0,'Boletins Nuppa Site'!A1734,"NULL")</f>
        <v>81</v>
      </c>
      <c r="C1734">
        <v>23</v>
      </c>
      <c r="D1734" t="str">
        <f>IF('Boletins Nuppa Site'!G1734&lt;&gt;0,'Boletins Nuppa Site'!G1734,"NULL")</f>
        <v xml:space="preserve"> 40.00</v>
      </c>
      <c r="E1734" s="14" t="str">
        <f>IF('Boletins Nuppa Site'!H1734&lt;&gt;0,'Boletins Nuppa Site'!H1734,"NULL")</f>
        <v xml:space="preserve"> 40.00</v>
      </c>
      <c r="F1734" s="14" t="str">
        <f>IF('Boletins Nuppa Site'!I1734&lt;&gt;0,'Boletins Nuppa Site'!I1734,"NULL")</f>
        <v xml:space="preserve"> 60.00</v>
      </c>
      <c r="G1734" s="14" t="str">
        <f>IF('Boletins Nuppa Site'!J1734&lt;&gt;0,'Boletins Nuppa Site'!J1734,"NULL")</f>
        <v xml:space="preserve"> 45.71</v>
      </c>
      <c r="H1734" s="14" t="str">
        <f>IF('Boletins Nuppa Site'!K1734&lt;&gt;0,'Boletins Nuppa Site'!K1734,"NULL")</f>
        <v xml:space="preserve"> 45.00</v>
      </c>
      <c r="I1734" t="str">
        <f t="shared" si="54"/>
        <v>INSERT INTO COTACAO (cot_id, cot_blt_id, cot_pap_id, cot_prc_comum, cot_prc_min, cot_prc_max, cot_prc_med, cot_prc_mediana) VALUES (1733, 81, 23,  40.00,  40.00,  60.00,  45.71,  45.00);</v>
      </c>
      <c r="J1734" t="str">
        <f t="shared" si="55"/>
        <v>UPDATE COTACAO SET cot_id = 1733, cot_blt_id = 81, cot_pap_id = 23, cot_prc_comum =  40.00, cot_prc_min =  40.00, cot_prc_max =  60.00, cot_prc_med =  45.71, cot_prc_mediana =  45.00 WHERE cot_id = 1733;</v>
      </c>
    </row>
    <row r="1735" spans="1:10" x14ac:dyDescent="0.3">
      <c r="A1735">
        <v>1734</v>
      </c>
      <c r="B1735">
        <f>IF('Boletins Nuppa Site'!A1735&lt;&gt;0,'Boletins Nuppa Site'!A1735,"NULL")</f>
        <v>81</v>
      </c>
      <c r="C1735">
        <v>24</v>
      </c>
      <c r="D1735" t="str">
        <f>IF('Boletins Nuppa Site'!G1735&lt;&gt;0,'Boletins Nuppa Site'!G1735,"NULL")</f>
        <v>NULL</v>
      </c>
      <c r="E1735" s="14" t="str">
        <f>IF('Boletins Nuppa Site'!H1735&lt;&gt;0,'Boletins Nuppa Site'!H1735,"NULL")</f>
        <v xml:space="preserve"> 80.00</v>
      </c>
      <c r="F1735" s="14" t="str">
        <f>IF('Boletins Nuppa Site'!I1735&lt;&gt;0,'Boletins Nuppa Site'!I1735,"NULL")</f>
        <v xml:space="preserve"> 80.00</v>
      </c>
      <c r="G1735" s="14" t="str">
        <f>IF('Boletins Nuppa Site'!J1735&lt;&gt;0,'Boletins Nuppa Site'!J1735,"NULL")</f>
        <v xml:space="preserve"> 80.00</v>
      </c>
      <c r="H1735" s="14" t="str">
        <f>IF('Boletins Nuppa Site'!K1735&lt;&gt;0,'Boletins Nuppa Site'!K1735,"NULL")</f>
        <v xml:space="preserve"> 80.00</v>
      </c>
      <c r="I1735" t="str">
        <f t="shared" si="54"/>
        <v>INSERT INTO COTACAO (cot_id, cot_blt_id, cot_pap_id, cot_prc_comum, cot_prc_min, cot_prc_max, cot_prc_med, cot_prc_mediana) VALUES (1734, 81, 24, NULL,  80.00,  80.00,  80.00,  80.00);</v>
      </c>
      <c r="J1735" t="str">
        <f t="shared" si="55"/>
        <v>UPDATE COTACAO SET cot_id = 1734, cot_blt_id = 81, cot_pap_id = 24, cot_prc_comum = NULL, cot_prc_min =  80.00, cot_prc_max =  80.00, cot_prc_med =  80.00, cot_prc_mediana =  80.00 WHERE cot_id = 1734;</v>
      </c>
    </row>
    <row r="1736" spans="1:10" x14ac:dyDescent="0.3">
      <c r="A1736">
        <v>1735</v>
      </c>
      <c r="B1736">
        <f>IF('Boletins Nuppa Site'!A1736&lt;&gt;0,'Boletins Nuppa Site'!A1736,"NULL")</f>
        <v>81</v>
      </c>
      <c r="C1736">
        <v>25</v>
      </c>
      <c r="D1736" t="str">
        <f>IF('Boletins Nuppa Site'!G1736&lt;&gt;0,'Boletins Nuppa Site'!G1736,"NULL")</f>
        <v xml:space="preserve"> 60.00</v>
      </c>
      <c r="E1736" s="14" t="str">
        <f>IF('Boletins Nuppa Site'!H1736&lt;&gt;0,'Boletins Nuppa Site'!H1736,"NULL")</f>
        <v xml:space="preserve"> 55.00</v>
      </c>
      <c r="F1736" s="14" t="str">
        <f>IF('Boletins Nuppa Site'!I1736&lt;&gt;0,'Boletins Nuppa Site'!I1736,"NULL")</f>
        <v xml:space="preserve"> 60.00</v>
      </c>
      <c r="G1736" s="14" t="str">
        <f>IF('Boletins Nuppa Site'!J1736&lt;&gt;0,'Boletins Nuppa Site'!J1736,"NULL")</f>
        <v xml:space="preserve"> 58.75</v>
      </c>
      <c r="H1736" s="14" t="str">
        <f>IF('Boletins Nuppa Site'!K1736&lt;&gt;0,'Boletins Nuppa Site'!K1736,"NULL")</f>
        <v xml:space="preserve"> 60.00</v>
      </c>
      <c r="I1736" t="str">
        <f t="shared" si="54"/>
        <v>INSERT INTO COTACAO (cot_id, cot_blt_id, cot_pap_id, cot_prc_comum, cot_prc_min, cot_prc_max, cot_prc_med, cot_prc_mediana) VALUES (1735, 81, 25,  60.00,  55.00,  60.00,  58.75,  60.00);</v>
      </c>
      <c r="J1736" t="str">
        <f t="shared" si="55"/>
        <v>UPDATE COTACAO SET cot_id = 1735, cot_blt_id = 81, cot_pap_id = 25, cot_prc_comum =  60.00, cot_prc_min =  55.00, cot_prc_max =  60.00, cot_prc_med =  58.75, cot_prc_mediana =  60.00 WHERE cot_id = 1735;</v>
      </c>
    </row>
    <row r="1737" spans="1:10" x14ac:dyDescent="0.3">
      <c r="A1737">
        <v>1736</v>
      </c>
      <c r="B1737">
        <f>IF('Boletins Nuppa Site'!A1737&lt;&gt;0,'Boletins Nuppa Site'!A1737,"NULL")</f>
        <v>81</v>
      </c>
      <c r="C1737">
        <v>26</v>
      </c>
      <c r="D1737" t="str">
        <f>IF('Boletins Nuppa Site'!G1737&lt;&gt;0,'Boletins Nuppa Site'!G1737,"NULL")</f>
        <v xml:space="preserve"> 60.00</v>
      </c>
      <c r="E1737" s="14" t="str">
        <f>IF('Boletins Nuppa Site'!H1737&lt;&gt;0,'Boletins Nuppa Site'!H1737,"NULL")</f>
        <v xml:space="preserve"> 40.00</v>
      </c>
      <c r="F1737" s="14" t="str">
        <f>IF('Boletins Nuppa Site'!I1737&lt;&gt;0,'Boletins Nuppa Site'!I1737,"NULL")</f>
        <v xml:space="preserve"> 70.00</v>
      </c>
      <c r="G1737" s="14" t="str">
        <f>IF('Boletins Nuppa Site'!J1737&lt;&gt;0,'Boletins Nuppa Site'!J1737,"NULL")</f>
        <v xml:space="preserve"> 53.33</v>
      </c>
      <c r="H1737" s="14" t="str">
        <f>IF('Boletins Nuppa Site'!K1737&lt;&gt;0,'Boletins Nuppa Site'!K1737,"NULL")</f>
        <v xml:space="preserve"> 55.00</v>
      </c>
      <c r="I1737" t="str">
        <f t="shared" si="54"/>
        <v>INSERT INTO COTACAO (cot_id, cot_blt_id, cot_pap_id, cot_prc_comum, cot_prc_min, cot_prc_max, cot_prc_med, cot_prc_mediana) VALUES (1736, 81, 26,  60.00,  40.00,  70.00,  53.33,  55.00);</v>
      </c>
      <c r="J1737" t="str">
        <f t="shared" si="55"/>
        <v>UPDATE COTACAO SET cot_id = 1736, cot_blt_id = 81, cot_pap_id = 26, cot_prc_comum =  60.00, cot_prc_min =  40.00, cot_prc_max =  70.00, cot_prc_med =  53.33, cot_prc_mediana =  55.00 WHERE cot_id = 1736;</v>
      </c>
    </row>
    <row r="1738" spans="1:10" x14ac:dyDescent="0.3">
      <c r="A1738">
        <v>1737</v>
      </c>
      <c r="B1738">
        <f>IF('Boletins Nuppa Site'!A1738&lt;&gt;0,'Boletins Nuppa Site'!A1738,"NULL")</f>
        <v>81</v>
      </c>
      <c r="C1738">
        <v>27</v>
      </c>
      <c r="D1738" t="str">
        <f>IF('Boletins Nuppa Site'!G1738&lt;&gt;0,'Boletins Nuppa Site'!G1738,"NULL")</f>
        <v xml:space="preserve"> 40.00</v>
      </c>
      <c r="E1738" s="14" t="str">
        <f>IF('Boletins Nuppa Site'!H1738&lt;&gt;0,'Boletins Nuppa Site'!H1738,"NULL")</f>
        <v xml:space="preserve"> 20.00</v>
      </c>
      <c r="F1738" s="14" t="str">
        <f>IF('Boletins Nuppa Site'!I1738&lt;&gt;0,'Boletins Nuppa Site'!I1738,"NULL")</f>
        <v xml:space="preserve"> 40.00</v>
      </c>
      <c r="G1738" s="14" t="str">
        <f>IF('Boletins Nuppa Site'!J1738&lt;&gt;0,'Boletins Nuppa Site'!J1738,"NULL")</f>
        <v xml:space="preserve"> 33.33</v>
      </c>
      <c r="H1738" s="14" t="str">
        <f>IF('Boletins Nuppa Site'!K1738&lt;&gt;0,'Boletins Nuppa Site'!K1738,"NULL")</f>
        <v xml:space="preserve"> 35.00</v>
      </c>
      <c r="I1738" t="str">
        <f t="shared" si="54"/>
        <v>INSERT INTO COTACAO (cot_id, cot_blt_id, cot_pap_id, cot_prc_comum, cot_prc_min, cot_prc_max, cot_prc_med, cot_prc_mediana) VALUES (1737, 81, 27,  40.00,  20.00,  40.00,  33.33,  35.00);</v>
      </c>
      <c r="J1738" t="str">
        <f t="shared" si="55"/>
        <v>UPDATE COTACAO SET cot_id = 1737, cot_blt_id = 81, cot_pap_id = 27, cot_prc_comum =  40.00, cot_prc_min =  20.00, cot_prc_max =  40.00, cot_prc_med =  33.33, cot_prc_mediana =  35.00 WHERE cot_id = 1737;</v>
      </c>
    </row>
    <row r="1739" spans="1:10" x14ac:dyDescent="0.3">
      <c r="A1739">
        <v>1738</v>
      </c>
      <c r="B1739">
        <f>IF('Boletins Nuppa Site'!A1739&lt;&gt;0,'Boletins Nuppa Site'!A1739,"NULL")</f>
        <v>81</v>
      </c>
      <c r="C1739">
        <v>28</v>
      </c>
      <c r="D1739" t="str">
        <f>IF('Boletins Nuppa Site'!G1739&lt;&gt;0,'Boletins Nuppa Site'!G1739,"NULL")</f>
        <v xml:space="preserve"> 90.00</v>
      </c>
      <c r="E1739" s="14" t="str">
        <f>IF('Boletins Nuppa Site'!H1739&lt;&gt;0,'Boletins Nuppa Site'!H1739,"NULL")</f>
        <v xml:space="preserve"> 80.00</v>
      </c>
      <c r="F1739" s="14" t="str">
        <f>IF('Boletins Nuppa Site'!I1739&lt;&gt;0,'Boletins Nuppa Site'!I1739,"NULL")</f>
        <v xml:space="preserve"> 100.00</v>
      </c>
      <c r="G1739" s="14" t="str">
        <f>IF('Boletins Nuppa Site'!J1739&lt;&gt;0,'Boletins Nuppa Site'!J1739,"NULL")</f>
        <v xml:space="preserve"> 92.00</v>
      </c>
      <c r="H1739" s="14" t="str">
        <f>IF('Boletins Nuppa Site'!K1739&lt;&gt;0,'Boletins Nuppa Site'!K1739,"NULL")</f>
        <v xml:space="preserve"> 90.00</v>
      </c>
      <c r="I1739" t="str">
        <f t="shared" si="54"/>
        <v>INSERT INTO COTACAO (cot_id, cot_blt_id, cot_pap_id, cot_prc_comum, cot_prc_min, cot_prc_max, cot_prc_med, cot_prc_mediana) VALUES (1738, 81, 28,  90.00,  80.00,  100.00,  92.00,  90.00);</v>
      </c>
      <c r="J1739" t="str">
        <f t="shared" si="55"/>
        <v>UPDATE COTACAO SET cot_id = 1738, cot_blt_id = 81, cot_pap_id = 28, cot_prc_comum =  90.00, cot_prc_min =  80.00, cot_prc_max =  100.00, cot_prc_med =  92.00, cot_prc_mediana =  90.00 WHERE cot_id = 1738;</v>
      </c>
    </row>
    <row r="1740" spans="1:10" x14ac:dyDescent="0.3">
      <c r="A1740">
        <v>1739</v>
      </c>
      <c r="B1740">
        <f>IF('Boletins Nuppa Site'!A1740&lt;&gt;0,'Boletins Nuppa Site'!A1740,"NULL")</f>
        <v>81</v>
      </c>
      <c r="C1740">
        <v>29</v>
      </c>
      <c r="D1740" t="str">
        <f>IF('Boletins Nuppa Site'!G1740&lt;&gt;0,'Boletins Nuppa Site'!G1740,"NULL")</f>
        <v>NULL</v>
      </c>
      <c r="E1740" s="14" t="str">
        <f>IF('Boletins Nuppa Site'!H1740&lt;&gt;0,'Boletins Nuppa Site'!H1740,"NULL")</f>
        <v xml:space="preserve"> 50.00</v>
      </c>
      <c r="F1740" s="14" t="str">
        <f>IF('Boletins Nuppa Site'!I1740&lt;&gt;0,'Boletins Nuppa Site'!I1740,"NULL")</f>
        <v xml:space="preserve"> 65.00</v>
      </c>
      <c r="G1740" s="14" t="str">
        <f>IF('Boletins Nuppa Site'!J1740&lt;&gt;0,'Boletins Nuppa Site'!J1740,"NULL")</f>
        <v xml:space="preserve"> 57.50</v>
      </c>
      <c r="H1740" s="14" t="str">
        <f>IF('Boletins Nuppa Site'!K1740&lt;&gt;0,'Boletins Nuppa Site'!K1740,"NULL")</f>
        <v xml:space="preserve"> 57.50</v>
      </c>
      <c r="I1740" t="str">
        <f t="shared" si="54"/>
        <v>INSERT INTO COTACAO (cot_id, cot_blt_id, cot_pap_id, cot_prc_comum, cot_prc_min, cot_prc_max, cot_prc_med, cot_prc_mediana) VALUES (1739, 81, 29, NULL,  50.00,  65.00,  57.50,  57.50);</v>
      </c>
      <c r="J1740" t="str">
        <f t="shared" si="55"/>
        <v>UPDATE COTACAO SET cot_id = 1739, cot_blt_id = 81, cot_pap_id = 29, cot_prc_comum = NULL, cot_prc_min =  50.00, cot_prc_max =  65.00, cot_prc_med =  57.50, cot_prc_mediana =  57.50 WHERE cot_id = 1739;</v>
      </c>
    </row>
    <row r="1741" spans="1:10" x14ac:dyDescent="0.3">
      <c r="A1741">
        <v>1740</v>
      </c>
      <c r="B1741">
        <f>IF('Boletins Nuppa Site'!A1741&lt;&gt;0,'Boletins Nuppa Site'!A1741,"NULL")</f>
        <v>81</v>
      </c>
      <c r="C1741">
        <v>30</v>
      </c>
      <c r="D1741" t="str">
        <f>IF('Boletins Nuppa Site'!G1741&lt;&gt;0,'Boletins Nuppa Site'!G1741,"NULL")</f>
        <v xml:space="preserve"> 40.00</v>
      </c>
      <c r="E1741" s="14" t="str">
        <f>IF('Boletins Nuppa Site'!H1741&lt;&gt;0,'Boletins Nuppa Site'!H1741,"NULL")</f>
        <v xml:space="preserve"> 35.00</v>
      </c>
      <c r="F1741" s="14" t="str">
        <f>IF('Boletins Nuppa Site'!I1741&lt;&gt;0,'Boletins Nuppa Site'!I1741,"NULL")</f>
        <v xml:space="preserve"> 60.00</v>
      </c>
      <c r="G1741" s="14" t="str">
        <f>IF('Boletins Nuppa Site'!J1741&lt;&gt;0,'Boletins Nuppa Site'!J1741,"NULL")</f>
        <v xml:space="preserve"> 43.00</v>
      </c>
      <c r="H1741" s="14" t="str">
        <f>IF('Boletins Nuppa Site'!K1741&lt;&gt;0,'Boletins Nuppa Site'!K1741,"NULL")</f>
        <v xml:space="preserve"> 40.00</v>
      </c>
      <c r="I1741" t="str">
        <f t="shared" si="54"/>
        <v>INSERT INTO COTACAO (cot_id, cot_blt_id, cot_pap_id, cot_prc_comum, cot_prc_min, cot_prc_max, cot_prc_med, cot_prc_mediana) VALUES (1740, 81, 30,  40.00,  35.00,  60.00,  43.00,  40.00);</v>
      </c>
      <c r="J1741" t="str">
        <f t="shared" si="55"/>
        <v>UPDATE COTACAO SET cot_id = 1740, cot_blt_id = 81, cot_pap_id = 30, cot_prc_comum =  40.00, cot_prc_min =  35.00, cot_prc_max =  60.00, cot_prc_med =  43.00, cot_prc_mediana =  40.00 WHERE cot_id = 1740;</v>
      </c>
    </row>
    <row r="1742" spans="1:10" x14ac:dyDescent="0.3">
      <c r="A1742">
        <v>1741</v>
      </c>
      <c r="B1742">
        <f>IF('Boletins Nuppa Site'!A1742&lt;&gt;0,'Boletins Nuppa Site'!A1742,"NULL")</f>
        <v>81</v>
      </c>
      <c r="C1742">
        <v>31</v>
      </c>
      <c r="D1742" t="str">
        <f>IF('Boletins Nuppa Site'!G1742&lt;&gt;0,'Boletins Nuppa Site'!G1742,"NULL")</f>
        <v xml:space="preserve"> 40.00</v>
      </c>
      <c r="E1742" s="14" t="str">
        <f>IF('Boletins Nuppa Site'!H1742&lt;&gt;0,'Boletins Nuppa Site'!H1742,"NULL")</f>
        <v xml:space="preserve"> 40.00</v>
      </c>
      <c r="F1742" s="14" t="str">
        <f>IF('Boletins Nuppa Site'!I1742&lt;&gt;0,'Boletins Nuppa Site'!I1742,"NULL")</f>
        <v xml:space="preserve"> 60.00</v>
      </c>
      <c r="G1742" s="14" t="str">
        <f>IF('Boletins Nuppa Site'!J1742&lt;&gt;0,'Boletins Nuppa Site'!J1742,"NULL")</f>
        <v xml:space="preserve"> 46.43</v>
      </c>
      <c r="H1742" s="14" t="str">
        <f>IF('Boletins Nuppa Site'!K1742&lt;&gt;0,'Boletins Nuppa Site'!K1742,"NULL")</f>
        <v xml:space="preserve"> 45.00</v>
      </c>
      <c r="I1742" t="str">
        <f t="shared" si="54"/>
        <v>INSERT INTO COTACAO (cot_id, cot_blt_id, cot_pap_id, cot_prc_comum, cot_prc_min, cot_prc_max, cot_prc_med, cot_prc_mediana) VALUES (1741, 81, 31,  40.00,  40.00,  60.00,  46.43,  45.00);</v>
      </c>
      <c r="J1742" t="str">
        <f t="shared" si="55"/>
        <v>UPDATE COTACAO SET cot_id = 1741, cot_blt_id = 81, cot_pap_id = 31, cot_prc_comum =  40.00, cot_prc_min =  40.00, cot_prc_max =  60.00, cot_prc_med =  46.43, cot_prc_mediana =  45.00 WHERE cot_id = 1741;</v>
      </c>
    </row>
    <row r="1743" spans="1:10" x14ac:dyDescent="0.3">
      <c r="A1743">
        <v>1742</v>
      </c>
      <c r="B1743">
        <f>IF('Boletins Nuppa Site'!A1743&lt;&gt;0,'Boletins Nuppa Site'!A1743,"NULL")</f>
        <v>81</v>
      </c>
      <c r="C1743">
        <v>32</v>
      </c>
      <c r="D1743" t="str">
        <f>IF('Boletins Nuppa Site'!G1743&lt;&gt;0,'Boletins Nuppa Site'!G1743,"NULL")</f>
        <v xml:space="preserve"> 40.00</v>
      </c>
      <c r="E1743" s="14" t="str">
        <f>IF('Boletins Nuppa Site'!H1743&lt;&gt;0,'Boletins Nuppa Site'!H1743,"NULL")</f>
        <v xml:space="preserve"> 40.00</v>
      </c>
      <c r="F1743" s="14" t="str">
        <f>IF('Boletins Nuppa Site'!I1743&lt;&gt;0,'Boletins Nuppa Site'!I1743,"NULL")</f>
        <v xml:space="preserve"> 50.00</v>
      </c>
      <c r="G1743" s="14" t="str">
        <f>IF('Boletins Nuppa Site'!J1743&lt;&gt;0,'Boletins Nuppa Site'!J1743,"NULL")</f>
        <v xml:space="preserve"> 42.50</v>
      </c>
      <c r="H1743" s="14" t="str">
        <f>IF('Boletins Nuppa Site'!K1743&lt;&gt;0,'Boletins Nuppa Site'!K1743,"NULL")</f>
        <v xml:space="preserve"> 40.00</v>
      </c>
      <c r="I1743" t="str">
        <f t="shared" si="54"/>
        <v>INSERT INTO COTACAO (cot_id, cot_blt_id, cot_pap_id, cot_prc_comum, cot_prc_min, cot_prc_max, cot_prc_med, cot_prc_mediana) VALUES (1742, 81, 32,  40.00,  40.00,  50.00,  42.50,  40.00);</v>
      </c>
      <c r="J1743" t="str">
        <f t="shared" si="55"/>
        <v>UPDATE COTACAO SET cot_id = 1742, cot_blt_id = 81, cot_pap_id = 32, cot_prc_comum =  40.00, cot_prc_min =  40.00, cot_prc_max =  50.00, cot_prc_med =  42.50, cot_prc_mediana =  40.00 WHERE cot_id = 1742;</v>
      </c>
    </row>
    <row r="1744" spans="1:10" x14ac:dyDescent="0.3">
      <c r="A1744">
        <v>1743</v>
      </c>
      <c r="B1744">
        <f>IF('Boletins Nuppa Site'!A1744&lt;&gt;0,'Boletins Nuppa Site'!A1744,"NULL")</f>
        <v>81</v>
      </c>
      <c r="C1744">
        <v>33</v>
      </c>
      <c r="D1744" t="str">
        <f>IF('Boletins Nuppa Site'!G1744&lt;&gt;0,'Boletins Nuppa Site'!G1744,"NULL")</f>
        <v>NULL</v>
      </c>
      <c r="E1744" s="14" t="str">
        <f>IF('Boletins Nuppa Site'!H1744&lt;&gt;0,'Boletins Nuppa Site'!H1744,"NULL")</f>
        <v xml:space="preserve"> 70.00</v>
      </c>
      <c r="F1744" s="14" t="str">
        <f>IF('Boletins Nuppa Site'!I1744&lt;&gt;0,'Boletins Nuppa Site'!I1744,"NULL")</f>
        <v xml:space="preserve"> 120.00</v>
      </c>
      <c r="G1744" s="14" t="str">
        <f>IF('Boletins Nuppa Site'!J1744&lt;&gt;0,'Boletins Nuppa Site'!J1744,"NULL")</f>
        <v xml:space="preserve"> 92.00</v>
      </c>
      <c r="H1744" s="14" t="str">
        <f>IF('Boletins Nuppa Site'!K1744&lt;&gt;0,'Boletins Nuppa Site'!K1744,"NULL")</f>
        <v xml:space="preserve"> 90.00</v>
      </c>
      <c r="I1744" t="str">
        <f t="shared" si="54"/>
        <v>INSERT INTO COTACAO (cot_id, cot_blt_id, cot_pap_id, cot_prc_comum, cot_prc_min, cot_prc_max, cot_prc_med, cot_prc_mediana) VALUES (1743, 81, 33, NULL,  70.00,  120.00,  92.00,  90.00);</v>
      </c>
      <c r="J1744" t="str">
        <f t="shared" si="55"/>
        <v>UPDATE COTACAO SET cot_id = 1743, cot_blt_id = 81, cot_pap_id = 33, cot_prc_comum = NULL, cot_prc_min =  70.00, cot_prc_max =  120.00, cot_prc_med =  92.00, cot_prc_mediana =  90.00 WHERE cot_id = 1743;</v>
      </c>
    </row>
    <row r="1745" spans="1:10" x14ac:dyDescent="0.3">
      <c r="A1745">
        <v>1744</v>
      </c>
      <c r="B1745">
        <f>IF('Boletins Nuppa Site'!A1745&lt;&gt;0,'Boletins Nuppa Site'!A1745,"NULL")</f>
        <v>81</v>
      </c>
      <c r="C1745">
        <v>34</v>
      </c>
      <c r="D1745" t="str">
        <f>IF('Boletins Nuppa Site'!G1745&lt;&gt;0,'Boletins Nuppa Site'!G1745,"NULL")</f>
        <v xml:space="preserve"> 40.00</v>
      </c>
      <c r="E1745" s="14" t="str">
        <f>IF('Boletins Nuppa Site'!H1745&lt;&gt;0,'Boletins Nuppa Site'!H1745,"NULL")</f>
        <v xml:space="preserve"> 40.00</v>
      </c>
      <c r="F1745" s="14" t="str">
        <f>IF('Boletins Nuppa Site'!I1745&lt;&gt;0,'Boletins Nuppa Site'!I1745,"NULL")</f>
        <v xml:space="preserve"> 60.00</v>
      </c>
      <c r="G1745" s="14" t="str">
        <f>IF('Boletins Nuppa Site'!J1745&lt;&gt;0,'Boletins Nuppa Site'!J1745,"NULL")</f>
        <v xml:space="preserve"> 50.71</v>
      </c>
      <c r="H1745" s="14" t="str">
        <f>IF('Boletins Nuppa Site'!K1745&lt;&gt;0,'Boletins Nuppa Site'!K1745,"NULL")</f>
        <v xml:space="preserve"> 50.00</v>
      </c>
      <c r="I1745" t="str">
        <f t="shared" si="54"/>
        <v>INSERT INTO COTACAO (cot_id, cot_blt_id, cot_pap_id, cot_prc_comum, cot_prc_min, cot_prc_max, cot_prc_med, cot_prc_mediana) VALUES (1744, 81, 34,  40.00,  40.00,  60.00,  50.71,  50.00);</v>
      </c>
      <c r="J1745" t="str">
        <f t="shared" si="55"/>
        <v>UPDATE COTACAO SET cot_id = 1744, cot_blt_id = 81, cot_pap_id = 34, cot_prc_comum =  40.00, cot_prc_min =  40.00, cot_prc_max =  60.00, cot_prc_med =  50.71, cot_prc_mediana =  50.00 WHERE cot_id = 1744;</v>
      </c>
    </row>
    <row r="1746" spans="1:10" x14ac:dyDescent="0.3">
      <c r="A1746">
        <v>1745</v>
      </c>
      <c r="B1746">
        <f>IF('Boletins Nuppa Site'!A1746&lt;&gt;0,'Boletins Nuppa Site'!A1746,"NULL")</f>
        <v>81</v>
      </c>
      <c r="C1746">
        <v>35</v>
      </c>
      <c r="D1746" t="str">
        <f>IF('Boletins Nuppa Site'!G1746&lt;&gt;0,'Boletins Nuppa Site'!G1746,"NULL")</f>
        <v xml:space="preserve"> 60.00</v>
      </c>
      <c r="E1746" s="14" t="str">
        <f>IF('Boletins Nuppa Site'!H1746&lt;&gt;0,'Boletins Nuppa Site'!H1746,"NULL")</f>
        <v xml:space="preserve"> 50.00</v>
      </c>
      <c r="F1746" s="14" t="str">
        <f>IF('Boletins Nuppa Site'!I1746&lt;&gt;0,'Boletins Nuppa Site'!I1746,"NULL")</f>
        <v xml:space="preserve"> 60.00</v>
      </c>
      <c r="G1746" s="14" t="str">
        <f>IF('Boletins Nuppa Site'!J1746&lt;&gt;0,'Boletins Nuppa Site'!J1746,"NULL")</f>
        <v xml:space="preserve"> 55.00</v>
      </c>
      <c r="H1746" s="14" t="str">
        <f>IF('Boletins Nuppa Site'!K1746&lt;&gt;0,'Boletins Nuppa Site'!K1746,"NULL")</f>
        <v xml:space="preserve"> 55.00</v>
      </c>
      <c r="I1746" t="str">
        <f t="shared" si="54"/>
        <v>INSERT INTO COTACAO (cot_id, cot_blt_id, cot_pap_id, cot_prc_comum, cot_prc_min, cot_prc_max, cot_prc_med, cot_prc_mediana) VALUES (1745, 81, 35,  60.00,  50.00,  60.00,  55.00,  55.00);</v>
      </c>
      <c r="J1746" t="str">
        <f t="shared" si="55"/>
        <v>UPDATE COTACAO SET cot_id = 1745, cot_blt_id = 81, cot_pap_id = 35, cot_prc_comum =  60.00, cot_prc_min =  50.00, cot_prc_max =  60.00, cot_prc_med =  55.00, cot_prc_mediana =  55.00 WHERE cot_id = 1745;</v>
      </c>
    </row>
    <row r="1747" spans="1:10" x14ac:dyDescent="0.3">
      <c r="A1747">
        <v>1746</v>
      </c>
      <c r="B1747">
        <f>IF('Boletins Nuppa Site'!A1747&lt;&gt;0,'Boletins Nuppa Site'!A1747,"NULL")</f>
        <v>81</v>
      </c>
      <c r="C1747">
        <v>36</v>
      </c>
      <c r="D1747" t="str">
        <f>IF('Boletins Nuppa Site'!G1747&lt;&gt;0,'Boletins Nuppa Site'!G1747,"NULL")</f>
        <v>NULL</v>
      </c>
      <c r="E1747" s="14" t="str">
        <f>IF('Boletins Nuppa Site'!H1747&lt;&gt;0,'Boletins Nuppa Site'!H1747,"NULL")</f>
        <v>NULL</v>
      </c>
      <c r="F1747" s="14" t="str">
        <f>IF('Boletins Nuppa Site'!I1747&lt;&gt;0,'Boletins Nuppa Site'!I1747,"NULL")</f>
        <v>NULL</v>
      </c>
      <c r="G1747" s="14" t="str">
        <f>IF('Boletins Nuppa Site'!J1747&lt;&gt;0,'Boletins Nuppa Site'!J1747,"NULL")</f>
        <v>NULL</v>
      </c>
      <c r="H1747" s="14" t="str">
        <f>IF('Boletins Nuppa Site'!K1747&lt;&gt;0,'Boletins Nuppa Site'!K1747,"NULL")</f>
        <v>NULL</v>
      </c>
      <c r="I1747" t="str">
        <f t="shared" si="54"/>
        <v>INSERT INTO COTACAO (cot_id, cot_blt_id, cot_pap_id, cot_prc_comum, cot_prc_min, cot_prc_max, cot_prc_med, cot_prc_mediana) VALUES (1746, 81, 36, NULL, NULL, NULL, NULL, NULL);</v>
      </c>
      <c r="J1747" t="str">
        <f t="shared" si="55"/>
        <v>UPDATE COTACAO SET cot_id = 1746, cot_blt_id = 81, cot_pap_id = 36, cot_prc_comum = NULL, cot_prc_min = NULL, cot_prc_max = NULL, cot_prc_med = NULL, cot_prc_mediana = NULL WHERE cot_id = 1746;</v>
      </c>
    </row>
    <row r="1748" spans="1:10" x14ac:dyDescent="0.3">
      <c r="A1748">
        <v>1747</v>
      </c>
      <c r="B1748">
        <f>IF('Boletins Nuppa Site'!A1748&lt;&gt;0,'Boletins Nuppa Site'!A1748,"NULL")</f>
        <v>81</v>
      </c>
      <c r="C1748">
        <v>37</v>
      </c>
      <c r="D1748" t="str">
        <f>IF('Boletins Nuppa Site'!G1748&lt;&gt;0,'Boletins Nuppa Site'!G1748,"NULL")</f>
        <v>NULL</v>
      </c>
      <c r="E1748" s="14" t="str">
        <f>IF('Boletins Nuppa Site'!H1748&lt;&gt;0,'Boletins Nuppa Site'!H1748,"NULL")</f>
        <v>NULL</v>
      </c>
      <c r="F1748" s="14" t="str">
        <f>IF('Boletins Nuppa Site'!I1748&lt;&gt;0,'Boletins Nuppa Site'!I1748,"NULL")</f>
        <v>NULL</v>
      </c>
      <c r="G1748" s="14" t="str">
        <f>IF('Boletins Nuppa Site'!J1748&lt;&gt;0,'Boletins Nuppa Site'!J1748,"NULL")</f>
        <v>NULL</v>
      </c>
      <c r="H1748" s="14" t="str">
        <f>IF('Boletins Nuppa Site'!K1748&lt;&gt;0,'Boletins Nuppa Site'!K1748,"NULL")</f>
        <v>NULL</v>
      </c>
      <c r="I1748" t="str">
        <f t="shared" si="54"/>
        <v>INSERT INTO COTACAO (cot_id, cot_blt_id, cot_pap_id, cot_prc_comum, cot_prc_min, cot_prc_max, cot_prc_med, cot_prc_mediana) VALUES (1747, 81, 37, NULL, NULL, NULL, NULL, NULL);</v>
      </c>
      <c r="J1748" t="str">
        <f t="shared" si="55"/>
        <v>UPDATE COTACAO SET cot_id = 1747, cot_blt_id = 81, cot_pap_id = 37, cot_prc_comum = NULL, cot_prc_min = NULL, cot_prc_max = NULL, cot_prc_med = NULL, cot_prc_mediana = NULL WHERE cot_id = 1747;</v>
      </c>
    </row>
    <row r="1749" spans="1:10" x14ac:dyDescent="0.3">
      <c r="A1749">
        <v>1748</v>
      </c>
      <c r="B1749">
        <f>IF('Boletins Nuppa Site'!A1749&lt;&gt;0,'Boletins Nuppa Site'!A1749,"NULL")</f>
        <v>81</v>
      </c>
      <c r="C1749">
        <v>38</v>
      </c>
      <c r="D1749" t="str">
        <f>IF('Boletins Nuppa Site'!G1749&lt;&gt;0,'Boletins Nuppa Site'!G1749,"NULL")</f>
        <v>NULL</v>
      </c>
      <c r="E1749" s="14" t="str">
        <f>IF('Boletins Nuppa Site'!H1749&lt;&gt;0,'Boletins Nuppa Site'!H1749,"NULL")</f>
        <v>NULL</v>
      </c>
      <c r="F1749" s="14" t="str">
        <f>IF('Boletins Nuppa Site'!I1749&lt;&gt;0,'Boletins Nuppa Site'!I1749,"NULL")</f>
        <v>NULL</v>
      </c>
      <c r="G1749" s="14" t="str">
        <f>IF('Boletins Nuppa Site'!J1749&lt;&gt;0,'Boletins Nuppa Site'!J1749,"NULL")</f>
        <v>NULL</v>
      </c>
      <c r="H1749" s="14" t="str">
        <f>IF('Boletins Nuppa Site'!K1749&lt;&gt;0,'Boletins Nuppa Site'!K1749,"NULL")</f>
        <v>NULL</v>
      </c>
      <c r="I1749" t="str">
        <f t="shared" si="54"/>
        <v>INSERT INTO COTACAO (cot_id, cot_blt_id, cot_pap_id, cot_prc_comum, cot_prc_min, cot_prc_max, cot_prc_med, cot_prc_mediana) VALUES (1748, 81, 38, NULL, NULL, NULL, NULL, NULL);</v>
      </c>
      <c r="J1749" t="str">
        <f t="shared" si="55"/>
        <v>UPDATE COTACAO SET cot_id = 1748, cot_blt_id = 81, cot_pap_id = 38, cot_prc_comum = NULL, cot_prc_min = NULL, cot_prc_max = NULL, cot_prc_med = NULL, cot_prc_mediana = NULL WHERE cot_id = 1748;</v>
      </c>
    </row>
    <row r="1750" spans="1:10" x14ac:dyDescent="0.3">
      <c r="A1750">
        <v>1749</v>
      </c>
      <c r="B1750">
        <f>IF('Boletins Nuppa Site'!A1750&lt;&gt;0,'Boletins Nuppa Site'!A1750,"NULL")</f>
        <v>81</v>
      </c>
      <c r="C1750">
        <v>39</v>
      </c>
      <c r="D1750" t="str">
        <f>IF('Boletins Nuppa Site'!G1750&lt;&gt;0,'Boletins Nuppa Site'!G1750,"NULL")</f>
        <v>NULL</v>
      </c>
      <c r="E1750" s="14" t="str">
        <f>IF('Boletins Nuppa Site'!H1750&lt;&gt;0,'Boletins Nuppa Site'!H1750,"NULL")</f>
        <v xml:space="preserve"> 55.00</v>
      </c>
      <c r="F1750" s="14" t="str">
        <f>IF('Boletins Nuppa Site'!I1750&lt;&gt;0,'Boletins Nuppa Site'!I1750,"NULL")</f>
        <v xml:space="preserve"> 55.00</v>
      </c>
      <c r="G1750" s="14" t="str">
        <f>IF('Boletins Nuppa Site'!J1750&lt;&gt;0,'Boletins Nuppa Site'!J1750,"NULL")</f>
        <v xml:space="preserve"> 55.00</v>
      </c>
      <c r="H1750" s="14" t="str">
        <f>IF('Boletins Nuppa Site'!K1750&lt;&gt;0,'Boletins Nuppa Site'!K1750,"NULL")</f>
        <v xml:space="preserve"> 55.00</v>
      </c>
      <c r="I1750" t="str">
        <f t="shared" si="54"/>
        <v>INSERT INTO COTACAO (cot_id, cot_blt_id, cot_pap_id, cot_prc_comum, cot_prc_min, cot_prc_max, cot_prc_med, cot_prc_mediana) VALUES (1749, 81, 39, NULL,  55.00,  55.00,  55.00,  55.00);</v>
      </c>
      <c r="J1750" t="str">
        <f t="shared" si="55"/>
        <v>UPDATE COTACAO SET cot_id = 1749, cot_blt_id = 81, cot_pap_id = 39, cot_prc_comum = NULL, cot_prc_min =  55.00, cot_prc_max =  55.00, cot_prc_med =  55.00, cot_prc_mediana =  55.00 WHERE cot_id = 1749;</v>
      </c>
    </row>
    <row r="1751" spans="1:10" x14ac:dyDescent="0.3">
      <c r="A1751">
        <v>1750</v>
      </c>
      <c r="B1751">
        <f>IF('Boletins Nuppa Site'!A1751&lt;&gt;0,'Boletins Nuppa Site'!A1751,"NULL")</f>
        <v>81</v>
      </c>
      <c r="C1751">
        <v>40</v>
      </c>
      <c r="D1751" t="str">
        <f>IF('Boletins Nuppa Site'!G1751&lt;&gt;0,'Boletins Nuppa Site'!G1751,"NULL")</f>
        <v>NULL</v>
      </c>
      <c r="E1751" s="14" t="str">
        <f>IF('Boletins Nuppa Site'!H1751&lt;&gt;0,'Boletins Nuppa Site'!H1751,"NULL")</f>
        <v>NULL</v>
      </c>
      <c r="F1751" s="14" t="str">
        <f>IF('Boletins Nuppa Site'!I1751&lt;&gt;0,'Boletins Nuppa Site'!I1751,"NULL")</f>
        <v>NULL</v>
      </c>
      <c r="G1751" s="14" t="str">
        <f>IF('Boletins Nuppa Site'!J1751&lt;&gt;0,'Boletins Nuppa Site'!J1751,"NULL")</f>
        <v>NULL</v>
      </c>
      <c r="H1751" s="14" t="str">
        <f>IF('Boletins Nuppa Site'!K1751&lt;&gt;0,'Boletins Nuppa Site'!K1751,"NULL")</f>
        <v>NULL</v>
      </c>
      <c r="I1751" t="str">
        <f t="shared" si="54"/>
        <v>INSERT INTO COTACAO (cot_id, cot_blt_id, cot_pap_id, cot_prc_comum, cot_prc_min, cot_prc_max, cot_prc_med, cot_prc_mediana) VALUES (1750, 81, 40, NULL, NULL, NULL, NULL, NULL);</v>
      </c>
      <c r="J1751" t="str">
        <f t="shared" si="55"/>
        <v>UPDATE COTACAO SET cot_id = 1750, cot_blt_id = 81, cot_pap_id = 40, cot_prc_comum = NULL, cot_prc_min = NULL, cot_prc_max = NULL, cot_prc_med = NULL, cot_prc_mediana = NULL WHERE cot_id = 1750;</v>
      </c>
    </row>
    <row r="1752" spans="1:10" x14ac:dyDescent="0.3">
      <c r="A1752">
        <v>1751</v>
      </c>
      <c r="B1752">
        <f>IF('Boletins Nuppa Site'!A1752&lt;&gt;0,'Boletins Nuppa Site'!A1752,"NULL")</f>
        <v>82</v>
      </c>
      <c r="C1752">
        <v>1</v>
      </c>
      <c r="D1752" t="str">
        <f>IF('Boletins Nuppa Site'!G1752&lt;&gt;0,'Boletins Nuppa Site'!G1752,"NULL")</f>
        <v xml:space="preserve"> 36.00</v>
      </c>
      <c r="E1752" s="14" t="str">
        <f>IF('Boletins Nuppa Site'!H1752&lt;&gt;0,'Boletins Nuppa Site'!H1752,"NULL")</f>
        <v xml:space="preserve"> 72.00</v>
      </c>
      <c r="F1752" s="14" t="str">
        <f>IF('Boletins Nuppa Site'!I1752&lt;&gt;0,'Boletins Nuppa Site'!I1752,"NULL")</f>
        <v xml:space="preserve"> 72.00</v>
      </c>
      <c r="G1752" s="14" t="str">
        <f>IF('Boletins Nuppa Site'!J1752&lt;&gt;0,'Boletins Nuppa Site'!J1752,"NULL")</f>
        <v xml:space="preserve"> 57.00</v>
      </c>
      <c r="H1752" s="14" t="str">
        <f>IF('Boletins Nuppa Site'!K1752&lt;&gt;0,'Boletins Nuppa Site'!K1752,"NULL")</f>
        <v xml:space="preserve"> 60.00</v>
      </c>
      <c r="I1752" t="str">
        <f t="shared" si="54"/>
        <v>INSERT INTO COTACAO (cot_id, cot_blt_id, cot_pap_id, cot_prc_comum, cot_prc_min, cot_prc_max, cot_prc_med, cot_prc_mediana) VALUES (1751, 82, 1,  36.00,  72.00,  72.00,  57.00,  60.00);</v>
      </c>
      <c r="J1752" t="str">
        <f t="shared" si="55"/>
        <v>UPDATE COTACAO SET cot_id = 1751, cot_blt_id = 82, cot_pap_id = 1, cot_prc_comum =  36.00, cot_prc_min =  72.00, cot_prc_max =  72.00, cot_prc_med =  57.00, cot_prc_mediana =  60.00 WHERE cot_id = 1751;</v>
      </c>
    </row>
    <row r="1753" spans="1:10" x14ac:dyDescent="0.3">
      <c r="A1753">
        <v>1752</v>
      </c>
      <c r="B1753">
        <f>IF('Boletins Nuppa Site'!A1753&lt;&gt;0,'Boletins Nuppa Site'!A1753,"NULL")</f>
        <v>82</v>
      </c>
      <c r="C1753">
        <v>2</v>
      </c>
      <c r="D1753" t="str">
        <f>IF('Boletins Nuppa Site'!G1753&lt;&gt;0,'Boletins Nuppa Site'!G1753,"NULL")</f>
        <v>NULL</v>
      </c>
      <c r="E1753" s="14" t="str">
        <f>IF('Boletins Nuppa Site'!H1753&lt;&gt;0,'Boletins Nuppa Site'!H1753,"NULL")</f>
        <v xml:space="preserve"> 48.00</v>
      </c>
      <c r="F1753" s="14" t="str">
        <f>IF('Boletins Nuppa Site'!I1753&lt;&gt;0,'Boletins Nuppa Site'!I1753,"NULL")</f>
        <v xml:space="preserve"> 96.00</v>
      </c>
      <c r="G1753" s="14" t="str">
        <f>IF('Boletins Nuppa Site'!J1753&lt;&gt;0,'Boletins Nuppa Site'!J1753,"NULL")</f>
        <v xml:space="preserve"> 67.00</v>
      </c>
      <c r="H1753" s="14" t="str">
        <f>IF('Boletins Nuppa Site'!K1753&lt;&gt;0,'Boletins Nuppa Site'!K1753,"NULL")</f>
        <v xml:space="preserve"> 62.00</v>
      </c>
      <c r="I1753" t="str">
        <f t="shared" si="54"/>
        <v>INSERT INTO COTACAO (cot_id, cot_blt_id, cot_pap_id, cot_prc_comum, cot_prc_min, cot_prc_max, cot_prc_med, cot_prc_mediana) VALUES (1752, 82, 2, NULL,  48.00,  96.00,  67.00,  62.00);</v>
      </c>
      <c r="J1753" t="str">
        <f t="shared" si="55"/>
        <v>UPDATE COTACAO SET cot_id = 1752, cot_blt_id = 82, cot_pap_id = 2, cot_prc_comum = NULL, cot_prc_min =  48.00, cot_prc_max =  96.00, cot_prc_med =  67.00, cot_prc_mediana =  62.00 WHERE cot_id = 1752;</v>
      </c>
    </row>
    <row r="1754" spans="1:10" x14ac:dyDescent="0.3">
      <c r="A1754">
        <v>1753</v>
      </c>
      <c r="B1754">
        <f>IF('Boletins Nuppa Site'!A1754&lt;&gt;0,'Boletins Nuppa Site'!A1754,"NULL")</f>
        <v>82</v>
      </c>
      <c r="C1754">
        <v>3</v>
      </c>
      <c r="D1754" t="str">
        <f>IF('Boletins Nuppa Site'!G1754&lt;&gt;0,'Boletins Nuppa Site'!G1754,"NULL")</f>
        <v>NULL</v>
      </c>
      <c r="E1754" s="14" t="str">
        <f>IF('Boletins Nuppa Site'!H1754&lt;&gt;0,'Boletins Nuppa Site'!H1754,"NULL")</f>
        <v xml:space="preserve"> 60.00</v>
      </c>
      <c r="F1754" s="14" t="str">
        <f>IF('Boletins Nuppa Site'!I1754&lt;&gt;0,'Boletins Nuppa Site'!I1754,"NULL")</f>
        <v xml:space="preserve"> 48.00</v>
      </c>
      <c r="G1754" s="14" t="str">
        <f>IF('Boletins Nuppa Site'!J1754&lt;&gt;0,'Boletins Nuppa Site'!J1754,"NULL")</f>
        <v xml:space="preserve"> 48.00</v>
      </c>
      <c r="H1754" s="14" t="str">
        <f>IF('Boletins Nuppa Site'!K1754&lt;&gt;0,'Boletins Nuppa Site'!K1754,"NULL")</f>
        <v xml:space="preserve"> 48.00</v>
      </c>
      <c r="I1754" t="str">
        <f t="shared" si="54"/>
        <v>INSERT INTO COTACAO (cot_id, cot_blt_id, cot_pap_id, cot_prc_comum, cot_prc_min, cot_prc_max, cot_prc_med, cot_prc_mediana) VALUES (1753, 82, 3, NULL,  60.00,  48.00,  48.00,  48.00);</v>
      </c>
      <c r="J1754" t="str">
        <f t="shared" si="55"/>
        <v>UPDATE COTACAO SET cot_id = 1753, cot_blt_id = 82, cot_pap_id = 3, cot_prc_comum = NULL, cot_prc_min =  60.00, cot_prc_max =  48.00, cot_prc_med =  48.00, cot_prc_mediana =  48.00 WHERE cot_id = 1753;</v>
      </c>
    </row>
    <row r="1755" spans="1:10" x14ac:dyDescent="0.3">
      <c r="A1755">
        <v>1754</v>
      </c>
      <c r="B1755">
        <f>IF('Boletins Nuppa Site'!A1755&lt;&gt;0,'Boletins Nuppa Site'!A1755,"NULL")</f>
        <v>82</v>
      </c>
      <c r="C1755">
        <v>4</v>
      </c>
      <c r="D1755" t="str">
        <f>IF('Boletins Nuppa Site'!G1755&lt;&gt;0,'Boletins Nuppa Site'!G1755,"NULL")</f>
        <v xml:space="preserve"> 36.00</v>
      </c>
      <c r="E1755" s="14" t="str">
        <f>IF('Boletins Nuppa Site'!H1755&lt;&gt;0,'Boletins Nuppa Site'!H1755,"NULL")</f>
        <v xml:space="preserve"> 36.00</v>
      </c>
      <c r="F1755" s="14" t="str">
        <f>IF('Boletins Nuppa Site'!I1755&lt;&gt;0,'Boletins Nuppa Site'!I1755,"NULL")</f>
        <v xml:space="preserve"> 36.00</v>
      </c>
      <c r="G1755" s="14" t="str">
        <f>IF('Boletins Nuppa Site'!J1755&lt;&gt;0,'Boletins Nuppa Site'!J1755,"NULL")</f>
        <v xml:space="preserve"> 24.00</v>
      </c>
      <c r="H1755" s="14" t="str">
        <f>IF('Boletins Nuppa Site'!K1755&lt;&gt;0,'Boletins Nuppa Site'!K1755,"NULL")</f>
        <v xml:space="preserve"> 30.20</v>
      </c>
      <c r="I1755" t="str">
        <f t="shared" si="54"/>
        <v>INSERT INTO COTACAO (cot_id, cot_blt_id, cot_pap_id, cot_prc_comum, cot_prc_min, cot_prc_max, cot_prc_med, cot_prc_mediana) VALUES (1754, 82, 4,  36.00,  36.00,  36.00,  24.00,  30.20);</v>
      </c>
      <c r="J1755" t="str">
        <f t="shared" si="55"/>
        <v>UPDATE COTACAO SET cot_id = 1754, cot_blt_id = 82, cot_pap_id = 4, cot_prc_comum =  36.00, cot_prc_min =  36.00, cot_prc_max =  36.00, cot_prc_med =  24.00, cot_prc_mediana =  30.20 WHERE cot_id = 1754;</v>
      </c>
    </row>
    <row r="1756" spans="1:10" x14ac:dyDescent="0.3">
      <c r="A1756">
        <v>1755</v>
      </c>
      <c r="B1756">
        <f>IF('Boletins Nuppa Site'!A1756&lt;&gt;0,'Boletins Nuppa Site'!A1756,"NULL")</f>
        <v>82</v>
      </c>
      <c r="C1756">
        <v>5</v>
      </c>
      <c r="D1756" t="str">
        <f>IF('Boletins Nuppa Site'!G1756&lt;&gt;0,'Boletins Nuppa Site'!G1756,"NULL")</f>
        <v xml:space="preserve"> 30.00</v>
      </c>
      <c r="E1756" s="14" t="str">
        <f>IF('Boletins Nuppa Site'!H1756&lt;&gt;0,'Boletins Nuppa Site'!H1756,"NULL")</f>
        <v xml:space="preserve"> 25.00</v>
      </c>
      <c r="F1756" s="14" t="str">
        <f>IF('Boletins Nuppa Site'!I1756&lt;&gt;0,'Boletins Nuppa Site'!I1756,"NULL")</f>
        <v xml:space="preserve"> 36.00</v>
      </c>
      <c r="G1756" s="14" t="str">
        <f>IF('Boletins Nuppa Site'!J1756&lt;&gt;0,'Boletins Nuppa Site'!J1756,"NULL")</f>
        <v xml:space="preserve"> 30.25</v>
      </c>
      <c r="H1756" s="14" t="str">
        <f>IF('Boletins Nuppa Site'!K1756&lt;&gt;0,'Boletins Nuppa Site'!K1756,"NULL")</f>
        <v xml:space="preserve"> 30.00</v>
      </c>
      <c r="I1756" t="str">
        <f t="shared" si="54"/>
        <v>INSERT INTO COTACAO (cot_id, cot_blt_id, cot_pap_id, cot_prc_comum, cot_prc_min, cot_prc_max, cot_prc_med, cot_prc_mediana) VALUES (1755, 82, 5,  30.00,  25.00,  36.00,  30.25,  30.00);</v>
      </c>
      <c r="J1756" t="str">
        <f t="shared" si="55"/>
        <v>UPDATE COTACAO SET cot_id = 1755, cot_blt_id = 82, cot_pap_id = 5, cot_prc_comum =  30.00, cot_prc_min =  25.00, cot_prc_max =  36.00, cot_prc_med =  30.25, cot_prc_mediana =  30.00 WHERE cot_id = 1755;</v>
      </c>
    </row>
    <row r="1757" spans="1:10" x14ac:dyDescent="0.3">
      <c r="A1757">
        <v>1756</v>
      </c>
      <c r="B1757">
        <f>IF('Boletins Nuppa Site'!A1757&lt;&gt;0,'Boletins Nuppa Site'!A1757,"NULL")</f>
        <v>82</v>
      </c>
      <c r="C1757">
        <v>6</v>
      </c>
      <c r="D1757" t="str">
        <f>IF('Boletins Nuppa Site'!G1757&lt;&gt;0,'Boletins Nuppa Site'!G1757,"NULL")</f>
        <v xml:space="preserve"> 60.00</v>
      </c>
      <c r="E1757" s="14" t="str">
        <f>IF('Boletins Nuppa Site'!H1757&lt;&gt;0,'Boletins Nuppa Site'!H1757,"NULL")</f>
        <v xml:space="preserve"> 60.00</v>
      </c>
      <c r="F1757" s="14" t="str">
        <f>IF('Boletins Nuppa Site'!I1757&lt;&gt;0,'Boletins Nuppa Site'!I1757,"NULL")</f>
        <v xml:space="preserve"> 66.00</v>
      </c>
      <c r="G1757" s="14" t="str">
        <f>IF('Boletins Nuppa Site'!J1757&lt;&gt;0,'Boletins Nuppa Site'!J1757,"NULL")</f>
        <v xml:space="preserve"> 62.00</v>
      </c>
      <c r="H1757" s="14" t="str">
        <f>IF('Boletins Nuppa Site'!K1757&lt;&gt;0,'Boletins Nuppa Site'!K1757,"NULL")</f>
        <v xml:space="preserve"> 60.00</v>
      </c>
      <c r="I1757" t="str">
        <f t="shared" si="54"/>
        <v>INSERT INTO COTACAO (cot_id, cot_blt_id, cot_pap_id, cot_prc_comum, cot_prc_min, cot_prc_max, cot_prc_med, cot_prc_mediana) VALUES (1756, 82, 6,  60.00,  60.00,  66.00,  62.00,  60.00);</v>
      </c>
      <c r="J1757" t="str">
        <f t="shared" si="55"/>
        <v>UPDATE COTACAO SET cot_id = 1756, cot_blt_id = 82, cot_pap_id = 6, cot_prc_comum =  60.00, cot_prc_min =  60.00, cot_prc_max =  66.00, cot_prc_med =  62.00, cot_prc_mediana =  60.00 WHERE cot_id = 1756;</v>
      </c>
    </row>
    <row r="1758" spans="1:10" x14ac:dyDescent="0.3">
      <c r="A1758">
        <v>1757</v>
      </c>
      <c r="B1758">
        <f>IF('Boletins Nuppa Site'!A1758&lt;&gt;0,'Boletins Nuppa Site'!A1758,"NULL")</f>
        <v>82</v>
      </c>
      <c r="C1758">
        <v>7</v>
      </c>
      <c r="D1758" t="str">
        <f>IF('Boletins Nuppa Site'!G1758&lt;&gt;0,'Boletins Nuppa Site'!G1758,"NULL")</f>
        <v xml:space="preserve"> 60.00</v>
      </c>
      <c r="E1758" s="14" t="str">
        <f>IF('Boletins Nuppa Site'!H1758&lt;&gt;0,'Boletins Nuppa Site'!H1758,"NULL")</f>
        <v xml:space="preserve"> 60.00</v>
      </c>
      <c r="F1758" s="14" t="str">
        <f>IF('Boletins Nuppa Site'!I1758&lt;&gt;0,'Boletins Nuppa Site'!I1758,"NULL")</f>
        <v xml:space="preserve"> 54.00</v>
      </c>
      <c r="G1758" s="14" t="str">
        <f>IF('Boletins Nuppa Site'!J1758&lt;&gt;0,'Boletins Nuppa Site'!J1758,"NULL")</f>
        <v xml:space="preserve"> 58.50</v>
      </c>
      <c r="H1758" s="14" t="str">
        <f>IF('Boletins Nuppa Site'!K1758&lt;&gt;0,'Boletins Nuppa Site'!K1758,"NULL")</f>
        <v xml:space="preserve"> 60.00</v>
      </c>
      <c r="I1758" t="str">
        <f t="shared" si="54"/>
        <v>INSERT INTO COTACAO (cot_id, cot_blt_id, cot_pap_id, cot_prc_comum, cot_prc_min, cot_prc_max, cot_prc_med, cot_prc_mediana) VALUES (1757, 82, 7,  60.00,  60.00,  54.00,  58.50,  60.00);</v>
      </c>
      <c r="J1758" t="str">
        <f t="shared" si="55"/>
        <v>UPDATE COTACAO SET cot_id = 1757, cot_blt_id = 82, cot_pap_id = 7, cot_prc_comum =  60.00, cot_prc_min =  60.00, cot_prc_max =  54.00, cot_prc_med =  58.50, cot_prc_mediana =  60.00 WHERE cot_id = 1757;</v>
      </c>
    </row>
    <row r="1759" spans="1:10" x14ac:dyDescent="0.3">
      <c r="A1759">
        <v>1758</v>
      </c>
      <c r="B1759">
        <f>IF('Boletins Nuppa Site'!A1759&lt;&gt;0,'Boletins Nuppa Site'!A1759,"NULL")</f>
        <v>82</v>
      </c>
      <c r="C1759">
        <v>8</v>
      </c>
      <c r="D1759" t="str">
        <f>IF('Boletins Nuppa Site'!G1759&lt;&gt;0,'Boletins Nuppa Site'!G1759,"NULL")</f>
        <v xml:space="preserve"> 72.00</v>
      </c>
      <c r="E1759" s="14" t="str">
        <f>IF('Boletins Nuppa Site'!H1759&lt;&gt;0,'Boletins Nuppa Site'!H1759,"NULL")</f>
        <v xml:space="preserve"> 72.00</v>
      </c>
      <c r="F1759" s="14" t="str">
        <f>IF('Boletins Nuppa Site'!I1759&lt;&gt;0,'Boletins Nuppa Site'!I1759,"NULL")</f>
        <v xml:space="preserve"> 72.00</v>
      </c>
      <c r="G1759" s="14" t="str">
        <f>IF('Boletins Nuppa Site'!J1759&lt;&gt;0,'Boletins Nuppa Site'!J1759,"NULL")</f>
        <v xml:space="preserve"> 72.00</v>
      </c>
      <c r="H1759" s="14" t="str">
        <f>IF('Boletins Nuppa Site'!K1759&lt;&gt;0,'Boletins Nuppa Site'!K1759,"NULL")</f>
        <v xml:space="preserve"> 72.00</v>
      </c>
      <c r="I1759" t="str">
        <f t="shared" si="54"/>
        <v>INSERT INTO COTACAO (cot_id, cot_blt_id, cot_pap_id, cot_prc_comum, cot_prc_min, cot_prc_max, cot_prc_med, cot_prc_mediana) VALUES (1758, 82, 8,  72.00,  72.00,  72.00,  72.00,  72.00);</v>
      </c>
      <c r="J1759" t="str">
        <f t="shared" si="55"/>
        <v>UPDATE COTACAO SET cot_id = 1758, cot_blt_id = 82, cot_pap_id = 8, cot_prc_comum =  72.00, cot_prc_min =  72.00, cot_prc_max =  72.00, cot_prc_med =  72.00, cot_prc_mediana =  72.00 WHERE cot_id = 1758;</v>
      </c>
    </row>
    <row r="1760" spans="1:10" x14ac:dyDescent="0.3">
      <c r="A1760">
        <v>1759</v>
      </c>
      <c r="B1760">
        <f>IF('Boletins Nuppa Site'!A1760&lt;&gt;0,'Boletins Nuppa Site'!A1760,"NULL")</f>
        <v>82</v>
      </c>
      <c r="C1760">
        <v>9</v>
      </c>
      <c r="D1760" t="str">
        <f>IF('Boletins Nuppa Site'!G1760&lt;&gt;0,'Boletins Nuppa Site'!G1760,"NULL")</f>
        <v xml:space="preserve"> 20.00</v>
      </c>
      <c r="E1760" s="14" t="str">
        <f>IF('Boletins Nuppa Site'!H1760&lt;&gt;0,'Boletins Nuppa Site'!H1760,"NULL")</f>
        <v xml:space="preserve"> 24.00</v>
      </c>
      <c r="F1760" s="14" t="str">
        <f>IF('Boletins Nuppa Site'!I1760&lt;&gt;0,'Boletins Nuppa Site'!I1760,"NULL")</f>
        <v xml:space="preserve"> 18.00</v>
      </c>
      <c r="G1760" s="14" t="str">
        <f>IF('Boletins Nuppa Site'!J1760&lt;&gt;0,'Boletins Nuppa Site'!J1760,"NULL")</f>
        <v xml:space="preserve"> 21.20</v>
      </c>
      <c r="H1760" s="14" t="str">
        <f>IF('Boletins Nuppa Site'!K1760&lt;&gt;0,'Boletins Nuppa Site'!K1760,"NULL")</f>
        <v xml:space="preserve"> 20.00</v>
      </c>
      <c r="I1760" t="str">
        <f t="shared" si="54"/>
        <v>INSERT INTO COTACAO (cot_id, cot_blt_id, cot_pap_id, cot_prc_comum, cot_prc_min, cot_prc_max, cot_prc_med, cot_prc_mediana) VALUES (1759, 82, 9,  20.00,  24.00,  18.00,  21.20,  20.00);</v>
      </c>
      <c r="J1760" t="str">
        <f t="shared" si="55"/>
        <v>UPDATE COTACAO SET cot_id = 1759, cot_blt_id = 82, cot_pap_id = 9, cot_prc_comum =  20.00, cot_prc_min =  24.00, cot_prc_max =  18.00, cot_prc_med =  21.20, cot_prc_mediana =  20.00 WHERE cot_id = 1759;</v>
      </c>
    </row>
    <row r="1761" spans="1:10" x14ac:dyDescent="0.3">
      <c r="A1761">
        <v>1760</v>
      </c>
      <c r="B1761">
        <f>IF('Boletins Nuppa Site'!A1761&lt;&gt;0,'Boletins Nuppa Site'!A1761,"NULL")</f>
        <v>82</v>
      </c>
      <c r="C1761">
        <v>10</v>
      </c>
      <c r="D1761" t="str">
        <f>IF('Boletins Nuppa Site'!G1761&lt;&gt;0,'Boletins Nuppa Site'!G1761,"NULL")</f>
        <v xml:space="preserve"> 84.00</v>
      </c>
      <c r="E1761" s="14" t="str">
        <f>IF('Boletins Nuppa Site'!H1761&lt;&gt;0,'Boletins Nuppa Site'!H1761,"NULL")</f>
        <v xml:space="preserve"> 72.00</v>
      </c>
      <c r="F1761" s="14" t="str">
        <f>IF('Boletins Nuppa Site'!I1761&lt;&gt;0,'Boletins Nuppa Site'!I1761,"NULL")</f>
        <v xml:space="preserve"> 84.00</v>
      </c>
      <c r="G1761" s="14" t="str">
        <f>IF('Boletins Nuppa Site'!J1761&lt;&gt;0,'Boletins Nuppa Site'!J1761,"NULL")</f>
        <v xml:space="preserve"> 79.00</v>
      </c>
      <c r="H1761" s="14" t="str">
        <f>IF('Boletins Nuppa Site'!K1761&lt;&gt;0,'Boletins Nuppa Site'!K1761,"NULL")</f>
        <v xml:space="preserve"> 80.00</v>
      </c>
      <c r="I1761" t="str">
        <f t="shared" si="54"/>
        <v>INSERT INTO COTACAO (cot_id, cot_blt_id, cot_pap_id, cot_prc_comum, cot_prc_min, cot_prc_max, cot_prc_med, cot_prc_mediana) VALUES (1760, 82, 10,  84.00,  72.00,  84.00,  79.00,  80.00);</v>
      </c>
      <c r="J1761" t="str">
        <f t="shared" si="55"/>
        <v>UPDATE COTACAO SET cot_id = 1760, cot_blt_id = 82, cot_pap_id = 10, cot_prc_comum =  84.00, cot_prc_min =  72.00, cot_prc_max =  84.00, cot_prc_med =  79.00, cot_prc_mediana =  80.00 WHERE cot_id = 1760;</v>
      </c>
    </row>
    <row r="1762" spans="1:10" x14ac:dyDescent="0.3">
      <c r="A1762">
        <v>1761</v>
      </c>
      <c r="B1762">
        <f>IF('Boletins Nuppa Site'!A1762&lt;&gt;0,'Boletins Nuppa Site'!A1762,"NULL")</f>
        <v>82</v>
      </c>
      <c r="C1762">
        <v>11</v>
      </c>
      <c r="D1762" t="str">
        <f>IF('Boletins Nuppa Site'!G1762&lt;&gt;0,'Boletins Nuppa Site'!G1762,"NULL")</f>
        <v xml:space="preserve"> 30.00</v>
      </c>
      <c r="E1762" s="14" t="str">
        <f>IF('Boletins Nuppa Site'!H1762&lt;&gt;0,'Boletins Nuppa Site'!H1762,"NULL")</f>
        <v xml:space="preserve"> 30.00</v>
      </c>
      <c r="F1762" s="14" t="str">
        <f>IF('Boletins Nuppa Site'!I1762&lt;&gt;0,'Boletins Nuppa Site'!I1762,"NULL")</f>
        <v xml:space="preserve"> 36.00</v>
      </c>
      <c r="G1762" s="14" t="str">
        <f>IF('Boletins Nuppa Site'!J1762&lt;&gt;0,'Boletins Nuppa Site'!J1762,"NULL")</f>
        <v xml:space="preserve"> 33.00</v>
      </c>
      <c r="H1762" s="14" t="str">
        <f>IF('Boletins Nuppa Site'!K1762&lt;&gt;0,'Boletins Nuppa Site'!K1762,"NULL")</f>
        <v xml:space="preserve"> 33.00</v>
      </c>
      <c r="I1762" t="str">
        <f t="shared" si="54"/>
        <v>INSERT INTO COTACAO (cot_id, cot_blt_id, cot_pap_id, cot_prc_comum, cot_prc_min, cot_prc_max, cot_prc_med, cot_prc_mediana) VALUES (1761, 82, 11,  30.00,  30.00,  36.00,  33.00,  33.00);</v>
      </c>
      <c r="J1762" t="str">
        <f t="shared" si="55"/>
        <v>UPDATE COTACAO SET cot_id = 1761, cot_blt_id = 82, cot_pap_id = 11, cot_prc_comum =  30.00, cot_prc_min =  30.00, cot_prc_max =  36.00, cot_prc_med =  33.00, cot_prc_mediana =  33.00 WHERE cot_id = 1761;</v>
      </c>
    </row>
    <row r="1763" spans="1:10" x14ac:dyDescent="0.3">
      <c r="A1763">
        <v>1762</v>
      </c>
      <c r="B1763">
        <f>IF('Boletins Nuppa Site'!A1763&lt;&gt;0,'Boletins Nuppa Site'!A1763,"NULL")</f>
        <v>82</v>
      </c>
      <c r="C1763">
        <v>12</v>
      </c>
      <c r="D1763" t="str">
        <f>IF('Boletins Nuppa Site'!G1763&lt;&gt;0,'Boletins Nuppa Site'!G1763,"NULL")</f>
        <v xml:space="preserve"> 60.00</v>
      </c>
      <c r="E1763" s="14" t="str">
        <f>IF('Boletins Nuppa Site'!H1763&lt;&gt;0,'Boletins Nuppa Site'!H1763,"NULL")</f>
        <v xml:space="preserve"> 60.00</v>
      </c>
      <c r="F1763" s="14" t="str">
        <f>IF('Boletins Nuppa Site'!I1763&lt;&gt;0,'Boletins Nuppa Site'!I1763,"NULL")</f>
        <v xml:space="preserve"> 60.00</v>
      </c>
      <c r="G1763" s="14" t="str">
        <f>IF('Boletins Nuppa Site'!J1763&lt;&gt;0,'Boletins Nuppa Site'!J1763,"NULL")</f>
        <v xml:space="preserve"> 60.00</v>
      </c>
      <c r="H1763" s="14" t="str">
        <f>IF('Boletins Nuppa Site'!K1763&lt;&gt;0,'Boletins Nuppa Site'!K1763,"NULL")</f>
        <v xml:space="preserve"> 60.00</v>
      </c>
      <c r="I1763" t="str">
        <f t="shared" si="54"/>
        <v>INSERT INTO COTACAO (cot_id, cot_blt_id, cot_pap_id, cot_prc_comum, cot_prc_min, cot_prc_max, cot_prc_med, cot_prc_mediana) VALUES (1762, 82, 12,  60.00,  60.00,  60.00,  60.00,  60.00);</v>
      </c>
      <c r="J1763" t="str">
        <f t="shared" si="55"/>
        <v>UPDATE COTACAO SET cot_id = 1762, cot_blt_id = 82, cot_pap_id = 12, cot_prc_comum =  60.00, cot_prc_min =  60.00, cot_prc_max =  60.00, cot_prc_med =  60.00, cot_prc_mediana =  60.00 WHERE cot_id = 1762;</v>
      </c>
    </row>
    <row r="1764" spans="1:10" x14ac:dyDescent="0.3">
      <c r="A1764">
        <v>1763</v>
      </c>
      <c r="B1764">
        <f>IF('Boletins Nuppa Site'!A1764&lt;&gt;0,'Boletins Nuppa Site'!A1764,"NULL")</f>
        <v>82</v>
      </c>
      <c r="C1764">
        <v>13</v>
      </c>
      <c r="D1764" t="str">
        <f>IF('Boletins Nuppa Site'!G1764&lt;&gt;0,'Boletins Nuppa Site'!G1764,"NULL")</f>
        <v xml:space="preserve"> 60.00</v>
      </c>
      <c r="E1764" s="14" t="str">
        <f>IF('Boletins Nuppa Site'!H1764&lt;&gt;0,'Boletins Nuppa Site'!H1764,"NULL")</f>
        <v xml:space="preserve"> 60.00</v>
      </c>
      <c r="F1764" s="14" t="str">
        <f>IF('Boletins Nuppa Site'!I1764&lt;&gt;0,'Boletins Nuppa Site'!I1764,"NULL")</f>
        <v xml:space="preserve"> 48.00</v>
      </c>
      <c r="G1764" s="14" t="str">
        <f>IF('Boletins Nuppa Site'!J1764&lt;&gt;0,'Boletins Nuppa Site'!J1764,"NULL")</f>
        <v xml:space="preserve"> 60.00</v>
      </c>
      <c r="H1764" s="14" t="str">
        <f>IF('Boletins Nuppa Site'!K1764&lt;&gt;0,'Boletins Nuppa Site'!K1764,"NULL")</f>
        <v xml:space="preserve"> 57.60</v>
      </c>
      <c r="I1764" t="str">
        <f t="shared" si="54"/>
        <v>INSERT INTO COTACAO (cot_id, cot_blt_id, cot_pap_id, cot_prc_comum, cot_prc_min, cot_prc_max, cot_prc_med, cot_prc_mediana) VALUES (1763, 82, 13,  60.00,  60.00,  48.00,  60.00,  57.60);</v>
      </c>
      <c r="J1764" t="str">
        <f t="shared" si="55"/>
        <v>UPDATE COTACAO SET cot_id = 1763, cot_blt_id = 82, cot_pap_id = 13, cot_prc_comum =  60.00, cot_prc_min =  60.00, cot_prc_max =  48.00, cot_prc_med =  60.00, cot_prc_mediana =  57.60 WHERE cot_id = 1763;</v>
      </c>
    </row>
    <row r="1765" spans="1:10" x14ac:dyDescent="0.3">
      <c r="A1765">
        <v>1764</v>
      </c>
      <c r="B1765">
        <f>IF('Boletins Nuppa Site'!A1765&lt;&gt;0,'Boletins Nuppa Site'!A1765,"NULL")</f>
        <v>82</v>
      </c>
      <c r="C1765">
        <v>14</v>
      </c>
      <c r="D1765" t="str">
        <f>IF('Boletins Nuppa Site'!G1765&lt;&gt;0,'Boletins Nuppa Site'!G1765,"NULL")</f>
        <v xml:space="preserve"> 90.00</v>
      </c>
      <c r="E1765" s="14" t="str">
        <f>IF('Boletins Nuppa Site'!H1765&lt;&gt;0,'Boletins Nuppa Site'!H1765,"NULL")</f>
        <v xml:space="preserve"> 48.00</v>
      </c>
      <c r="F1765" s="14" t="str">
        <f>IF('Boletins Nuppa Site'!I1765&lt;&gt;0,'Boletins Nuppa Site'!I1765,"NULL")</f>
        <v xml:space="preserve"> 48.00</v>
      </c>
      <c r="G1765" s="14" t="str">
        <f>IF('Boletins Nuppa Site'!J1765&lt;&gt;0,'Boletins Nuppa Site'!J1765,"NULL")</f>
        <v xml:space="preserve"> 69.00</v>
      </c>
      <c r="H1765" s="14" t="str">
        <f>IF('Boletins Nuppa Site'!K1765&lt;&gt;0,'Boletins Nuppa Site'!K1765,"NULL")</f>
        <v xml:space="preserve"> 69.00</v>
      </c>
      <c r="I1765" t="str">
        <f t="shared" si="54"/>
        <v>INSERT INTO COTACAO (cot_id, cot_blt_id, cot_pap_id, cot_prc_comum, cot_prc_min, cot_prc_max, cot_prc_med, cot_prc_mediana) VALUES (1764, 82, 14,  90.00,  48.00,  48.00,  69.00,  69.00);</v>
      </c>
      <c r="J1765" t="str">
        <f t="shared" si="55"/>
        <v>UPDATE COTACAO SET cot_id = 1764, cot_blt_id = 82, cot_pap_id = 14, cot_prc_comum =  90.00, cot_prc_min =  48.00, cot_prc_max =  48.00, cot_prc_med =  69.00, cot_prc_mediana =  69.00 WHERE cot_id = 1764;</v>
      </c>
    </row>
    <row r="1766" spans="1:10" x14ac:dyDescent="0.3">
      <c r="A1766">
        <v>1765</v>
      </c>
      <c r="B1766">
        <f>IF('Boletins Nuppa Site'!A1766&lt;&gt;0,'Boletins Nuppa Site'!A1766,"NULL")</f>
        <v>82</v>
      </c>
      <c r="C1766">
        <v>15</v>
      </c>
      <c r="D1766" t="str">
        <f>IF('Boletins Nuppa Site'!G1766&lt;&gt;0,'Boletins Nuppa Site'!G1766,"NULL")</f>
        <v>NULL</v>
      </c>
      <c r="E1766" s="14" t="str">
        <f>IF('Boletins Nuppa Site'!H1766&lt;&gt;0,'Boletins Nuppa Site'!H1766,"NULL")</f>
        <v xml:space="preserve"> 30.00</v>
      </c>
      <c r="F1766" s="14" t="str">
        <f>IF('Boletins Nuppa Site'!I1766&lt;&gt;0,'Boletins Nuppa Site'!I1766,"NULL")</f>
        <v xml:space="preserve"> 36.00</v>
      </c>
      <c r="G1766" s="14" t="str">
        <f>IF('Boletins Nuppa Site'!J1766&lt;&gt;0,'Boletins Nuppa Site'!J1766,"NULL")</f>
        <v xml:space="preserve"> 37.20</v>
      </c>
      <c r="H1766" s="14" t="str">
        <f>IF('Boletins Nuppa Site'!K1766&lt;&gt;0,'Boletins Nuppa Site'!K1766,"NULL")</f>
        <v xml:space="preserve"> 36.00</v>
      </c>
      <c r="I1766" t="str">
        <f t="shared" si="54"/>
        <v>INSERT INTO COTACAO (cot_id, cot_blt_id, cot_pap_id, cot_prc_comum, cot_prc_min, cot_prc_max, cot_prc_med, cot_prc_mediana) VALUES (1765, 82, 15, NULL,  30.00,  36.00,  37.20,  36.00);</v>
      </c>
      <c r="J1766" t="str">
        <f t="shared" si="55"/>
        <v>UPDATE COTACAO SET cot_id = 1765, cot_blt_id = 82, cot_pap_id = 15, cot_prc_comum = NULL, cot_prc_min =  30.00, cot_prc_max =  36.00, cot_prc_med =  37.20, cot_prc_mediana =  36.00 WHERE cot_id = 1765;</v>
      </c>
    </row>
    <row r="1767" spans="1:10" x14ac:dyDescent="0.3">
      <c r="A1767">
        <v>1766</v>
      </c>
      <c r="B1767">
        <f>IF('Boletins Nuppa Site'!A1767&lt;&gt;0,'Boletins Nuppa Site'!A1767,"NULL")</f>
        <v>82</v>
      </c>
      <c r="C1767">
        <v>16</v>
      </c>
      <c r="D1767" t="str">
        <f>IF('Boletins Nuppa Site'!G1767&lt;&gt;0,'Boletins Nuppa Site'!G1767,"NULL")</f>
        <v xml:space="preserve"> 60.00</v>
      </c>
      <c r="E1767" s="14" t="str">
        <f>IF('Boletins Nuppa Site'!H1767&lt;&gt;0,'Boletins Nuppa Site'!H1767,"NULL")</f>
        <v xml:space="preserve"> 48.00</v>
      </c>
      <c r="F1767" s="14" t="str">
        <f>IF('Boletins Nuppa Site'!I1767&lt;&gt;0,'Boletins Nuppa Site'!I1767,"NULL")</f>
        <v xml:space="preserve"> 48.00</v>
      </c>
      <c r="G1767" s="14" t="str">
        <f>IF('Boletins Nuppa Site'!J1767&lt;&gt;0,'Boletins Nuppa Site'!J1767,"NULL")</f>
        <v xml:space="preserve"> 51.60</v>
      </c>
      <c r="H1767" s="14" t="str">
        <f>IF('Boletins Nuppa Site'!K1767&lt;&gt;0,'Boletins Nuppa Site'!K1767,"NULL")</f>
        <v xml:space="preserve"> 48.00</v>
      </c>
      <c r="I1767" t="str">
        <f t="shared" si="54"/>
        <v>INSERT INTO COTACAO (cot_id, cot_blt_id, cot_pap_id, cot_prc_comum, cot_prc_min, cot_prc_max, cot_prc_med, cot_prc_mediana) VALUES (1766, 82, 16,  60.00,  48.00,  48.00,  51.60,  48.00);</v>
      </c>
      <c r="J1767" t="str">
        <f t="shared" si="55"/>
        <v>UPDATE COTACAO SET cot_id = 1766, cot_blt_id = 82, cot_pap_id = 16, cot_prc_comum =  60.00, cot_prc_min =  48.00, cot_prc_max =  48.00, cot_prc_med =  51.60, cot_prc_mediana =  48.00 WHERE cot_id = 1766;</v>
      </c>
    </row>
    <row r="1768" spans="1:10" x14ac:dyDescent="0.3">
      <c r="A1768">
        <v>1767</v>
      </c>
      <c r="B1768">
        <f>IF('Boletins Nuppa Site'!A1768&lt;&gt;0,'Boletins Nuppa Site'!A1768,"NULL")</f>
        <v>82</v>
      </c>
      <c r="C1768">
        <v>17</v>
      </c>
      <c r="D1768" t="str">
        <f>IF('Boletins Nuppa Site'!G1768&lt;&gt;0,'Boletins Nuppa Site'!G1768,"NULL")</f>
        <v xml:space="preserve"> 4.00</v>
      </c>
      <c r="E1768" s="14" t="str">
        <f>IF('Boletins Nuppa Site'!H1768&lt;&gt;0,'Boletins Nuppa Site'!H1768,"NULL")</f>
        <v xml:space="preserve"> 5.00</v>
      </c>
      <c r="F1768" s="14" t="str">
        <f>IF('Boletins Nuppa Site'!I1768&lt;&gt;0,'Boletins Nuppa Site'!I1768,"NULL")</f>
        <v xml:space="preserve"> 5.00</v>
      </c>
      <c r="G1768" s="14" t="str">
        <f>IF('Boletins Nuppa Site'!J1768&lt;&gt;0,'Boletins Nuppa Site'!J1768,"NULL")</f>
        <v xml:space="preserve"> 4.80</v>
      </c>
      <c r="H1768" s="14" t="str">
        <f>IF('Boletins Nuppa Site'!K1768&lt;&gt;0,'Boletins Nuppa Site'!K1768,"NULL")</f>
        <v xml:space="preserve"> 5.00</v>
      </c>
      <c r="I1768" t="str">
        <f t="shared" si="54"/>
        <v>INSERT INTO COTACAO (cot_id, cot_blt_id, cot_pap_id, cot_prc_comum, cot_prc_min, cot_prc_max, cot_prc_med, cot_prc_mediana) VALUES (1767, 82, 17,  4.00,  5.00,  5.00,  4.80,  5.00);</v>
      </c>
      <c r="J1768" t="str">
        <f t="shared" si="55"/>
        <v>UPDATE COTACAO SET cot_id = 1767, cot_blt_id = 82, cot_pap_id = 17, cot_prc_comum =  4.00, cot_prc_min =  5.00, cot_prc_max =  5.00, cot_prc_med =  4.80, cot_prc_mediana =  5.00 WHERE cot_id = 1767;</v>
      </c>
    </row>
    <row r="1769" spans="1:10" x14ac:dyDescent="0.3">
      <c r="A1769">
        <v>1768</v>
      </c>
      <c r="B1769">
        <f>IF('Boletins Nuppa Site'!A1769&lt;&gt;0,'Boletins Nuppa Site'!A1769,"NULL")</f>
        <v>82</v>
      </c>
      <c r="C1769">
        <v>18</v>
      </c>
      <c r="D1769" t="str">
        <f>IF('Boletins Nuppa Site'!G1769&lt;&gt;0,'Boletins Nuppa Site'!G1769,"NULL")</f>
        <v xml:space="preserve"> 20.00</v>
      </c>
      <c r="E1769" s="14" t="str">
        <f>IF('Boletins Nuppa Site'!H1769&lt;&gt;0,'Boletins Nuppa Site'!H1769,"NULL")</f>
        <v xml:space="preserve"> 15.00</v>
      </c>
      <c r="F1769" s="14" t="str">
        <f>IF('Boletins Nuppa Site'!I1769&lt;&gt;0,'Boletins Nuppa Site'!I1769,"NULL")</f>
        <v xml:space="preserve"> 15.00</v>
      </c>
      <c r="G1769" s="14" t="str">
        <f>IF('Boletins Nuppa Site'!J1769&lt;&gt;0,'Boletins Nuppa Site'!J1769,"NULL")</f>
        <v xml:space="preserve"> 16.00</v>
      </c>
      <c r="H1769" s="14" t="str">
        <f>IF('Boletins Nuppa Site'!K1769&lt;&gt;0,'Boletins Nuppa Site'!K1769,"NULL")</f>
        <v xml:space="preserve"> 15.00</v>
      </c>
      <c r="I1769" t="str">
        <f t="shared" si="54"/>
        <v>INSERT INTO COTACAO (cot_id, cot_blt_id, cot_pap_id, cot_prc_comum, cot_prc_min, cot_prc_max, cot_prc_med, cot_prc_mediana) VALUES (1768, 82, 18,  20.00,  15.00,  15.00,  16.00,  15.00);</v>
      </c>
      <c r="J1769" t="str">
        <f t="shared" si="55"/>
        <v>UPDATE COTACAO SET cot_id = 1768, cot_blt_id = 82, cot_pap_id = 18, cot_prc_comum =  20.00, cot_prc_min =  15.00, cot_prc_max =  15.00, cot_prc_med =  16.00, cot_prc_mediana =  15.00 WHERE cot_id = 1768;</v>
      </c>
    </row>
    <row r="1770" spans="1:10" x14ac:dyDescent="0.3">
      <c r="A1770">
        <v>1769</v>
      </c>
      <c r="B1770">
        <f>IF('Boletins Nuppa Site'!A1770&lt;&gt;0,'Boletins Nuppa Site'!A1770,"NULL")</f>
        <v>82</v>
      </c>
      <c r="C1770">
        <v>19</v>
      </c>
      <c r="D1770" t="str">
        <f>IF('Boletins Nuppa Site'!G1770&lt;&gt;0,'Boletins Nuppa Site'!G1770,"NULL")</f>
        <v xml:space="preserve"> 30.00</v>
      </c>
      <c r="E1770" s="14" t="str">
        <f>IF('Boletins Nuppa Site'!H1770&lt;&gt;0,'Boletins Nuppa Site'!H1770,"NULL")</f>
        <v xml:space="preserve"> 20.00</v>
      </c>
      <c r="F1770" s="14" t="str">
        <f>IF('Boletins Nuppa Site'!I1770&lt;&gt;0,'Boletins Nuppa Site'!I1770,"NULL")</f>
        <v xml:space="preserve"> 20.00</v>
      </c>
      <c r="G1770" s="14" t="str">
        <f>IF('Boletins Nuppa Site'!J1770&lt;&gt;0,'Boletins Nuppa Site'!J1770,"NULL")</f>
        <v xml:space="preserve"> 23.00</v>
      </c>
      <c r="H1770" s="14" t="str">
        <f>IF('Boletins Nuppa Site'!K1770&lt;&gt;0,'Boletins Nuppa Site'!K1770,"NULL")</f>
        <v xml:space="preserve"> 20.00</v>
      </c>
      <c r="I1770" t="str">
        <f t="shared" si="54"/>
        <v>INSERT INTO COTACAO (cot_id, cot_blt_id, cot_pap_id, cot_prc_comum, cot_prc_min, cot_prc_max, cot_prc_med, cot_prc_mediana) VALUES (1769, 82, 19,  30.00,  20.00,  20.00,  23.00,  20.00);</v>
      </c>
      <c r="J1770" t="str">
        <f t="shared" si="55"/>
        <v>UPDATE COTACAO SET cot_id = 1769, cot_blt_id = 82, cot_pap_id = 19, cot_prc_comum =  30.00, cot_prc_min =  20.00, cot_prc_max =  20.00, cot_prc_med =  23.00, cot_prc_mediana =  20.00 WHERE cot_id = 1769;</v>
      </c>
    </row>
    <row r="1771" spans="1:10" x14ac:dyDescent="0.3">
      <c r="A1771">
        <v>1770</v>
      </c>
      <c r="B1771">
        <f>IF('Boletins Nuppa Site'!A1771&lt;&gt;0,'Boletins Nuppa Site'!A1771,"NULL")</f>
        <v>82</v>
      </c>
      <c r="C1771">
        <v>20</v>
      </c>
      <c r="D1771" t="str">
        <f>IF('Boletins Nuppa Site'!G1771&lt;&gt;0,'Boletins Nuppa Site'!G1771,"NULL")</f>
        <v xml:space="preserve"> 75.00</v>
      </c>
      <c r="E1771" s="14" t="str">
        <f>IF('Boletins Nuppa Site'!H1771&lt;&gt;0,'Boletins Nuppa Site'!H1771,"NULL")</f>
        <v xml:space="preserve"> 75.00</v>
      </c>
      <c r="F1771" s="14" t="str">
        <f>IF('Boletins Nuppa Site'!I1771&lt;&gt;0,'Boletins Nuppa Site'!I1771,"NULL")</f>
        <v xml:space="preserve"> 65.00</v>
      </c>
      <c r="G1771" s="14" t="str">
        <f>IF('Boletins Nuppa Site'!J1771&lt;&gt;0,'Boletins Nuppa Site'!J1771,"NULL")</f>
        <v xml:space="preserve"> 71.67</v>
      </c>
      <c r="H1771" s="14" t="str">
        <f>IF('Boletins Nuppa Site'!K1771&lt;&gt;0,'Boletins Nuppa Site'!K1771,"NULL")</f>
        <v xml:space="preserve"> 75.00</v>
      </c>
      <c r="I1771" t="str">
        <f t="shared" si="54"/>
        <v>INSERT INTO COTACAO (cot_id, cot_blt_id, cot_pap_id, cot_prc_comum, cot_prc_min, cot_prc_max, cot_prc_med, cot_prc_mediana) VALUES (1770, 82, 20,  75.00,  75.00,  65.00,  71.67,  75.00);</v>
      </c>
      <c r="J1771" t="str">
        <f t="shared" si="55"/>
        <v>UPDATE COTACAO SET cot_id = 1770, cot_blt_id = 82, cot_pap_id = 20, cot_prc_comum =  75.00, cot_prc_min =  75.00, cot_prc_max =  65.00, cot_prc_med =  71.67, cot_prc_mediana =  75.00 WHERE cot_id = 1770;</v>
      </c>
    </row>
    <row r="1772" spans="1:10" x14ac:dyDescent="0.3">
      <c r="A1772">
        <v>1771</v>
      </c>
      <c r="B1772">
        <f>IF('Boletins Nuppa Site'!A1772&lt;&gt;0,'Boletins Nuppa Site'!A1772,"NULL")</f>
        <v>82</v>
      </c>
      <c r="C1772">
        <v>21</v>
      </c>
      <c r="D1772" t="str">
        <f>IF('Boletins Nuppa Site'!G1772&lt;&gt;0,'Boletins Nuppa Site'!G1772,"NULL")</f>
        <v xml:space="preserve"> 60.00</v>
      </c>
      <c r="E1772" s="14" t="str">
        <f>IF('Boletins Nuppa Site'!H1772&lt;&gt;0,'Boletins Nuppa Site'!H1772,"NULL")</f>
        <v xml:space="preserve"> 60.00</v>
      </c>
      <c r="F1772" s="14" t="str">
        <f>IF('Boletins Nuppa Site'!I1772&lt;&gt;0,'Boletins Nuppa Site'!I1772,"NULL")</f>
        <v xml:space="preserve"> 80.00</v>
      </c>
      <c r="G1772" s="14" t="str">
        <f>IF('Boletins Nuppa Site'!J1772&lt;&gt;0,'Boletins Nuppa Site'!J1772,"NULL")</f>
        <v xml:space="preserve"> 69.00</v>
      </c>
      <c r="H1772" s="14" t="str">
        <f>IF('Boletins Nuppa Site'!K1772&lt;&gt;0,'Boletins Nuppa Site'!K1772,"NULL")</f>
        <v xml:space="preserve"> 70.00</v>
      </c>
      <c r="I1772" t="str">
        <f t="shared" si="54"/>
        <v>INSERT INTO COTACAO (cot_id, cot_blt_id, cot_pap_id, cot_prc_comum, cot_prc_min, cot_prc_max, cot_prc_med, cot_prc_mediana) VALUES (1771, 82, 21,  60.00,  60.00,  80.00,  69.00,  70.00);</v>
      </c>
      <c r="J1772" t="str">
        <f t="shared" si="55"/>
        <v>UPDATE COTACAO SET cot_id = 1771, cot_blt_id = 82, cot_pap_id = 21, cot_prc_comum =  60.00, cot_prc_min =  60.00, cot_prc_max =  80.00, cot_prc_med =  69.00, cot_prc_mediana =  70.00 WHERE cot_id = 1771;</v>
      </c>
    </row>
    <row r="1773" spans="1:10" x14ac:dyDescent="0.3">
      <c r="A1773">
        <v>1772</v>
      </c>
      <c r="B1773">
        <f>IF('Boletins Nuppa Site'!A1773&lt;&gt;0,'Boletins Nuppa Site'!A1773,"NULL")</f>
        <v>82</v>
      </c>
      <c r="C1773">
        <v>22</v>
      </c>
      <c r="D1773" t="str">
        <f>IF('Boletins Nuppa Site'!G1773&lt;&gt;0,'Boletins Nuppa Site'!G1773,"NULL")</f>
        <v xml:space="preserve"> 70.00</v>
      </c>
      <c r="E1773" s="14" t="str">
        <f>IF('Boletins Nuppa Site'!H1773&lt;&gt;0,'Boletins Nuppa Site'!H1773,"NULL")</f>
        <v xml:space="preserve"> 45.00</v>
      </c>
      <c r="F1773" s="14" t="str">
        <f>IF('Boletins Nuppa Site'!I1773&lt;&gt;0,'Boletins Nuppa Site'!I1773,"NULL")</f>
        <v xml:space="preserve"> 70.00</v>
      </c>
      <c r="G1773" s="14" t="str">
        <f>IF('Boletins Nuppa Site'!J1773&lt;&gt;0,'Boletins Nuppa Site'!J1773,"NULL")</f>
        <v xml:space="preserve"> 60.00</v>
      </c>
      <c r="H1773" s="14" t="str">
        <f>IF('Boletins Nuppa Site'!K1773&lt;&gt;0,'Boletins Nuppa Site'!K1773,"NULL")</f>
        <v xml:space="preserve"> 65.00</v>
      </c>
      <c r="I1773" t="str">
        <f t="shared" si="54"/>
        <v>INSERT INTO COTACAO (cot_id, cot_blt_id, cot_pap_id, cot_prc_comum, cot_prc_min, cot_prc_max, cot_prc_med, cot_prc_mediana) VALUES (1772, 82, 22,  70.00,  45.00,  70.00,  60.00,  65.00);</v>
      </c>
      <c r="J1773" t="str">
        <f t="shared" si="55"/>
        <v>UPDATE COTACAO SET cot_id = 1772, cot_blt_id = 82, cot_pap_id = 22, cot_prc_comum =  70.00, cot_prc_min =  45.00, cot_prc_max =  70.00, cot_prc_med =  60.00, cot_prc_mediana =  65.00 WHERE cot_id = 1772;</v>
      </c>
    </row>
    <row r="1774" spans="1:10" x14ac:dyDescent="0.3">
      <c r="A1774">
        <v>1773</v>
      </c>
      <c r="B1774">
        <f>IF('Boletins Nuppa Site'!A1774&lt;&gt;0,'Boletins Nuppa Site'!A1774,"NULL")</f>
        <v>82</v>
      </c>
      <c r="C1774">
        <v>23</v>
      </c>
      <c r="D1774" t="str">
        <f>IF('Boletins Nuppa Site'!G1774&lt;&gt;0,'Boletins Nuppa Site'!G1774,"NULL")</f>
        <v xml:space="preserve"> 50.00</v>
      </c>
      <c r="E1774" s="14" t="str">
        <f>IF('Boletins Nuppa Site'!H1774&lt;&gt;0,'Boletins Nuppa Site'!H1774,"NULL")</f>
        <v xml:space="preserve"> 50.00</v>
      </c>
      <c r="F1774" s="14" t="str">
        <f>IF('Boletins Nuppa Site'!I1774&lt;&gt;0,'Boletins Nuppa Site'!I1774,"NULL")</f>
        <v xml:space="preserve"> 50.00</v>
      </c>
      <c r="G1774" s="14" t="str">
        <f>IF('Boletins Nuppa Site'!J1774&lt;&gt;0,'Boletins Nuppa Site'!J1774,"NULL")</f>
        <v xml:space="preserve"> 50.00</v>
      </c>
      <c r="H1774" s="14" t="str">
        <f>IF('Boletins Nuppa Site'!K1774&lt;&gt;0,'Boletins Nuppa Site'!K1774,"NULL")</f>
        <v xml:space="preserve"> 50.00</v>
      </c>
      <c r="I1774" t="str">
        <f t="shared" si="54"/>
        <v>INSERT INTO COTACAO (cot_id, cot_blt_id, cot_pap_id, cot_prc_comum, cot_prc_min, cot_prc_max, cot_prc_med, cot_prc_mediana) VALUES (1773, 82, 23,  50.00,  50.00,  50.00,  50.00,  50.00);</v>
      </c>
      <c r="J1774" t="str">
        <f t="shared" si="55"/>
        <v>UPDATE COTACAO SET cot_id = 1773, cot_blt_id = 82, cot_pap_id = 23, cot_prc_comum =  50.00, cot_prc_min =  50.00, cot_prc_max =  50.00, cot_prc_med =  50.00, cot_prc_mediana =  50.00 WHERE cot_id = 1773;</v>
      </c>
    </row>
    <row r="1775" spans="1:10" x14ac:dyDescent="0.3">
      <c r="A1775">
        <v>1774</v>
      </c>
      <c r="B1775">
        <f>IF('Boletins Nuppa Site'!A1775&lt;&gt;0,'Boletins Nuppa Site'!A1775,"NULL")</f>
        <v>82</v>
      </c>
      <c r="C1775">
        <v>24</v>
      </c>
      <c r="D1775" t="str">
        <f>IF('Boletins Nuppa Site'!G1775&lt;&gt;0,'Boletins Nuppa Site'!G1775,"NULL")</f>
        <v>NULL</v>
      </c>
      <c r="E1775" s="14" t="str">
        <f>IF('Boletins Nuppa Site'!H1775&lt;&gt;0,'Boletins Nuppa Site'!H1775,"NULL")</f>
        <v xml:space="preserve"> 75.00</v>
      </c>
      <c r="F1775" s="14" t="str">
        <f>IF('Boletins Nuppa Site'!I1775&lt;&gt;0,'Boletins Nuppa Site'!I1775,"NULL")</f>
        <v xml:space="preserve"> 75.00</v>
      </c>
      <c r="G1775" s="14" t="str">
        <f>IF('Boletins Nuppa Site'!J1775&lt;&gt;0,'Boletins Nuppa Site'!J1775,"NULL")</f>
        <v xml:space="preserve"> 75.00</v>
      </c>
      <c r="H1775" s="14" t="str">
        <f>IF('Boletins Nuppa Site'!K1775&lt;&gt;0,'Boletins Nuppa Site'!K1775,"NULL")</f>
        <v xml:space="preserve"> 75.00</v>
      </c>
      <c r="I1775" t="str">
        <f t="shared" si="54"/>
        <v>INSERT INTO COTACAO (cot_id, cot_blt_id, cot_pap_id, cot_prc_comum, cot_prc_min, cot_prc_max, cot_prc_med, cot_prc_mediana) VALUES (1774, 82, 24, NULL,  75.00,  75.00,  75.00,  75.00);</v>
      </c>
      <c r="J1775" t="str">
        <f t="shared" si="55"/>
        <v>UPDATE COTACAO SET cot_id = 1774, cot_blt_id = 82, cot_pap_id = 24, cot_prc_comum = NULL, cot_prc_min =  75.00, cot_prc_max =  75.00, cot_prc_med =  75.00, cot_prc_mediana =  75.00 WHERE cot_id = 1774;</v>
      </c>
    </row>
    <row r="1776" spans="1:10" x14ac:dyDescent="0.3">
      <c r="A1776">
        <v>1775</v>
      </c>
      <c r="B1776">
        <f>IF('Boletins Nuppa Site'!A1776&lt;&gt;0,'Boletins Nuppa Site'!A1776,"NULL")</f>
        <v>82</v>
      </c>
      <c r="C1776">
        <v>25</v>
      </c>
      <c r="D1776" t="str">
        <f>IF('Boletins Nuppa Site'!G1776&lt;&gt;0,'Boletins Nuppa Site'!G1776,"NULL")</f>
        <v xml:space="preserve"> 70.00</v>
      </c>
      <c r="E1776" s="14" t="str">
        <f>IF('Boletins Nuppa Site'!H1776&lt;&gt;0,'Boletins Nuppa Site'!H1776,"NULL")</f>
        <v xml:space="preserve"> 50.00</v>
      </c>
      <c r="F1776" s="14" t="str">
        <f>IF('Boletins Nuppa Site'!I1776&lt;&gt;0,'Boletins Nuppa Site'!I1776,"NULL")</f>
        <v xml:space="preserve"> 50.00</v>
      </c>
      <c r="G1776" s="14" t="str">
        <f>IF('Boletins Nuppa Site'!J1776&lt;&gt;0,'Boletins Nuppa Site'!J1776,"NULL")</f>
        <v xml:space="preserve"> 57.00</v>
      </c>
      <c r="H1776" s="14" t="str">
        <f>IF('Boletins Nuppa Site'!K1776&lt;&gt;0,'Boletins Nuppa Site'!K1776,"NULL")</f>
        <v xml:space="preserve"> 55.00</v>
      </c>
      <c r="I1776" t="str">
        <f t="shared" si="54"/>
        <v>INSERT INTO COTACAO (cot_id, cot_blt_id, cot_pap_id, cot_prc_comum, cot_prc_min, cot_prc_max, cot_prc_med, cot_prc_mediana) VALUES (1775, 82, 25,  70.00,  50.00,  50.00,  57.00,  55.00);</v>
      </c>
      <c r="J1776" t="str">
        <f t="shared" si="55"/>
        <v>UPDATE COTACAO SET cot_id = 1775, cot_blt_id = 82, cot_pap_id = 25, cot_prc_comum =  70.00, cot_prc_min =  50.00, cot_prc_max =  50.00, cot_prc_med =  57.00, cot_prc_mediana =  55.00 WHERE cot_id = 1775;</v>
      </c>
    </row>
    <row r="1777" spans="1:10" x14ac:dyDescent="0.3">
      <c r="A1777">
        <v>1776</v>
      </c>
      <c r="B1777">
        <f>IF('Boletins Nuppa Site'!A1777&lt;&gt;0,'Boletins Nuppa Site'!A1777,"NULL")</f>
        <v>82</v>
      </c>
      <c r="C1777">
        <v>26</v>
      </c>
      <c r="D1777" t="str">
        <f>IF('Boletins Nuppa Site'!G1777&lt;&gt;0,'Boletins Nuppa Site'!G1777,"NULL")</f>
        <v xml:space="preserve"> 70.00</v>
      </c>
      <c r="E1777" s="14" t="str">
        <f>IF('Boletins Nuppa Site'!H1777&lt;&gt;0,'Boletins Nuppa Site'!H1777,"NULL")</f>
        <v xml:space="preserve"> 40.00</v>
      </c>
      <c r="F1777" s="14" t="str">
        <f>IF('Boletins Nuppa Site'!I1777&lt;&gt;0,'Boletins Nuppa Site'!I1777,"NULL")</f>
        <v xml:space="preserve"> 50.00</v>
      </c>
      <c r="G1777" s="14" t="str">
        <f>IF('Boletins Nuppa Site'!J1777&lt;&gt;0,'Boletins Nuppa Site'!J1777,"NULL")</f>
        <v xml:space="preserve"> 54.00</v>
      </c>
      <c r="H1777" s="14" t="str">
        <f>IF('Boletins Nuppa Site'!K1777&lt;&gt;0,'Boletins Nuppa Site'!K1777,"NULL")</f>
        <v xml:space="preserve"> 50.00</v>
      </c>
      <c r="I1777" t="str">
        <f t="shared" si="54"/>
        <v>INSERT INTO COTACAO (cot_id, cot_blt_id, cot_pap_id, cot_prc_comum, cot_prc_min, cot_prc_max, cot_prc_med, cot_prc_mediana) VALUES (1776, 82, 26,  70.00,  40.00,  50.00,  54.00,  50.00);</v>
      </c>
      <c r="J1777" t="str">
        <f t="shared" si="55"/>
        <v>UPDATE COTACAO SET cot_id = 1776, cot_blt_id = 82, cot_pap_id = 26, cot_prc_comum =  70.00, cot_prc_min =  40.00, cot_prc_max =  50.00, cot_prc_med =  54.00, cot_prc_mediana =  50.00 WHERE cot_id = 1776;</v>
      </c>
    </row>
    <row r="1778" spans="1:10" x14ac:dyDescent="0.3">
      <c r="A1778">
        <v>1777</v>
      </c>
      <c r="B1778">
        <f>IF('Boletins Nuppa Site'!A1778&lt;&gt;0,'Boletins Nuppa Site'!A1778,"NULL")</f>
        <v>82</v>
      </c>
      <c r="C1778">
        <v>27</v>
      </c>
      <c r="D1778" t="str">
        <f>IF('Boletins Nuppa Site'!G1778&lt;&gt;0,'Boletins Nuppa Site'!G1778,"NULL")</f>
        <v xml:space="preserve"> 50.00</v>
      </c>
      <c r="E1778" s="14" t="str">
        <f>IF('Boletins Nuppa Site'!H1778&lt;&gt;0,'Boletins Nuppa Site'!H1778,"NULL")</f>
        <v xml:space="preserve"> 40.00</v>
      </c>
      <c r="F1778" s="14" t="str">
        <f>IF('Boletins Nuppa Site'!I1778&lt;&gt;0,'Boletins Nuppa Site'!I1778,"NULL")</f>
        <v xml:space="preserve"> 60.00</v>
      </c>
      <c r="G1778" s="14" t="str">
        <f>IF('Boletins Nuppa Site'!J1778&lt;&gt;0,'Boletins Nuppa Site'!J1778,"NULL")</f>
        <v xml:space="preserve"> 50.00</v>
      </c>
      <c r="H1778" s="14" t="str">
        <f>IF('Boletins Nuppa Site'!K1778&lt;&gt;0,'Boletins Nuppa Site'!K1778,"NULL")</f>
        <v xml:space="preserve"> 50.00</v>
      </c>
      <c r="I1778" t="str">
        <f t="shared" si="54"/>
        <v>INSERT INTO COTACAO (cot_id, cot_blt_id, cot_pap_id, cot_prc_comum, cot_prc_min, cot_prc_max, cot_prc_med, cot_prc_mediana) VALUES (1777, 82, 27,  50.00,  40.00,  60.00,  50.00,  50.00);</v>
      </c>
      <c r="J1778" t="str">
        <f t="shared" si="55"/>
        <v>UPDATE COTACAO SET cot_id = 1777, cot_blt_id = 82, cot_pap_id = 27, cot_prc_comum =  50.00, cot_prc_min =  40.00, cot_prc_max =  60.00, cot_prc_med =  50.00, cot_prc_mediana =  50.00 WHERE cot_id = 1777;</v>
      </c>
    </row>
    <row r="1779" spans="1:10" x14ac:dyDescent="0.3">
      <c r="A1779">
        <v>1778</v>
      </c>
      <c r="B1779">
        <f>IF('Boletins Nuppa Site'!A1779&lt;&gt;0,'Boletins Nuppa Site'!A1779,"NULL")</f>
        <v>82</v>
      </c>
      <c r="C1779">
        <v>28</v>
      </c>
      <c r="D1779" t="str">
        <f>IF('Boletins Nuppa Site'!G1779&lt;&gt;0,'Boletins Nuppa Site'!G1779,"NULL")</f>
        <v xml:space="preserve"> 90.00</v>
      </c>
      <c r="E1779" s="14" t="str">
        <f>IF('Boletins Nuppa Site'!H1779&lt;&gt;0,'Boletins Nuppa Site'!H1779,"NULL")</f>
        <v xml:space="preserve"> 80.00</v>
      </c>
      <c r="F1779" s="14" t="str">
        <f>IF('Boletins Nuppa Site'!I1779&lt;&gt;0,'Boletins Nuppa Site'!I1779,"NULL")</f>
        <v xml:space="preserve"> 80.00</v>
      </c>
      <c r="G1779" s="14" t="str">
        <f>IF('Boletins Nuppa Site'!J1779&lt;&gt;0,'Boletins Nuppa Site'!J1779,"NULL")</f>
        <v xml:space="preserve"> 85.00</v>
      </c>
      <c r="H1779" s="14" t="str">
        <f>IF('Boletins Nuppa Site'!K1779&lt;&gt;0,'Boletins Nuppa Site'!K1779,"NULL")</f>
        <v xml:space="preserve"> 85.00</v>
      </c>
      <c r="I1779" t="str">
        <f t="shared" si="54"/>
        <v>INSERT INTO COTACAO (cot_id, cot_blt_id, cot_pap_id, cot_prc_comum, cot_prc_min, cot_prc_max, cot_prc_med, cot_prc_mediana) VALUES (1778, 82, 28,  90.00,  80.00,  80.00,  85.00,  85.00);</v>
      </c>
      <c r="J1779" t="str">
        <f t="shared" si="55"/>
        <v>UPDATE COTACAO SET cot_id = 1778, cot_blt_id = 82, cot_pap_id = 28, cot_prc_comum =  90.00, cot_prc_min =  80.00, cot_prc_max =  80.00, cot_prc_med =  85.00, cot_prc_mediana =  85.00 WHERE cot_id = 1778;</v>
      </c>
    </row>
    <row r="1780" spans="1:10" x14ac:dyDescent="0.3">
      <c r="A1780">
        <v>1779</v>
      </c>
      <c r="B1780">
        <f>IF('Boletins Nuppa Site'!A1780&lt;&gt;0,'Boletins Nuppa Site'!A1780,"NULL")</f>
        <v>82</v>
      </c>
      <c r="C1780">
        <v>29</v>
      </c>
      <c r="D1780" t="str">
        <f>IF('Boletins Nuppa Site'!G1780&lt;&gt;0,'Boletins Nuppa Site'!G1780,"NULL")</f>
        <v>NULL</v>
      </c>
      <c r="E1780" s="14" t="str">
        <f>IF('Boletins Nuppa Site'!H1780&lt;&gt;0,'Boletins Nuppa Site'!H1780,"NULL")</f>
        <v xml:space="preserve"> 80.00</v>
      </c>
      <c r="F1780" s="14" t="str">
        <f>IF('Boletins Nuppa Site'!I1780&lt;&gt;0,'Boletins Nuppa Site'!I1780,"NULL")</f>
        <v xml:space="preserve"> 70.00</v>
      </c>
      <c r="G1780" s="14" t="str">
        <f>IF('Boletins Nuppa Site'!J1780&lt;&gt;0,'Boletins Nuppa Site'!J1780,"NULL")</f>
        <v xml:space="preserve"> 75.00</v>
      </c>
      <c r="H1780" s="14" t="str">
        <f>IF('Boletins Nuppa Site'!K1780&lt;&gt;0,'Boletins Nuppa Site'!K1780,"NULL")</f>
        <v xml:space="preserve"> 75.00</v>
      </c>
      <c r="I1780" t="str">
        <f t="shared" si="54"/>
        <v>INSERT INTO COTACAO (cot_id, cot_blt_id, cot_pap_id, cot_prc_comum, cot_prc_min, cot_prc_max, cot_prc_med, cot_prc_mediana) VALUES (1779, 82, 29, NULL,  80.00,  70.00,  75.00,  75.00);</v>
      </c>
      <c r="J1780" t="str">
        <f t="shared" si="55"/>
        <v>UPDATE COTACAO SET cot_id = 1779, cot_blt_id = 82, cot_pap_id = 29, cot_prc_comum = NULL, cot_prc_min =  80.00, cot_prc_max =  70.00, cot_prc_med =  75.00, cot_prc_mediana =  75.00 WHERE cot_id = 1779;</v>
      </c>
    </row>
    <row r="1781" spans="1:10" x14ac:dyDescent="0.3">
      <c r="A1781">
        <v>1780</v>
      </c>
      <c r="B1781">
        <f>IF('Boletins Nuppa Site'!A1781&lt;&gt;0,'Boletins Nuppa Site'!A1781,"NULL")</f>
        <v>82</v>
      </c>
      <c r="C1781">
        <v>30</v>
      </c>
      <c r="D1781" t="str">
        <f>IF('Boletins Nuppa Site'!G1781&lt;&gt;0,'Boletins Nuppa Site'!G1781,"NULL")</f>
        <v>NULL</v>
      </c>
      <c r="E1781" s="14" t="str">
        <f>IF('Boletins Nuppa Site'!H1781&lt;&gt;0,'Boletins Nuppa Site'!H1781,"NULL")</f>
        <v xml:space="preserve"> 60.00</v>
      </c>
      <c r="F1781" s="14" t="str">
        <f>IF('Boletins Nuppa Site'!I1781&lt;&gt;0,'Boletins Nuppa Site'!I1781,"NULL")</f>
        <v xml:space="preserve"> 40.00</v>
      </c>
      <c r="G1781" s="14" t="str">
        <f>IF('Boletins Nuppa Site'!J1781&lt;&gt;0,'Boletins Nuppa Site'!J1781,"NULL")</f>
        <v xml:space="preserve"> 50.00</v>
      </c>
      <c r="H1781" s="14" t="str">
        <f>IF('Boletins Nuppa Site'!K1781&lt;&gt;0,'Boletins Nuppa Site'!K1781,"NULL")</f>
        <v xml:space="preserve"> 50.00</v>
      </c>
      <c r="I1781" t="str">
        <f t="shared" si="54"/>
        <v>INSERT INTO COTACAO (cot_id, cot_blt_id, cot_pap_id, cot_prc_comum, cot_prc_min, cot_prc_max, cot_prc_med, cot_prc_mediana) VALUES (1780, 82, 30, NULL,  60.00,  40.00,  50.00,  50.00);</v>
      </c>
      <c r="J1781" t="str">
        <f t="shared" si="55"/>
        <v>UPDATE COTACAO SET cot_id = 1780, cot_blt_id = 82, cot_pap_id = 30, cot_prc_comum = NULL, cot_prc_min =  60.00, cot_prc_max =  40.00, cot_prc_med =  50.00, cot_prc_mediana =  50.00 WHERE cot_id = 1780;</v>
      </c>
    </row>
    <row r="1782" spans="1:10" x14ac:dyDescent="0.3">
      <c r="A1782">
        <v>1781</v>
      </c>
      <c r="B1782">
        <f>IF('Boletins Nuppa Site'!A1782&lt;&gt;0,'Boletins Nuppa Site'!A1782,"NULL")</f>
        <v>82</v>
      </c>
      <c r="C1782">
        <v>31</v>
      </c>
      <c r="D1782" t="str">
        <f>IF('Boletins Nuppa Site'!G1782&lt;&gt;0,'Boletins Nuppa Site'!G1782,"NULL")</f>
        <v xml:space="preserve"> 80.00</v>
      </c>
      <c r="E1782" s="14" t="str">
        <f>IF('Boletins Nuppa Site'!H1782&lt;&gt;0,'Boletins Nuppa Site'!H1782,"NULL")</f>
        <v xml:space="preserve"> 70.00</v>
      </c>
      <c r="F1782" s="14" t="str">
        <f>IF('Boletins Nuppa Site'!I1782&lt;&gt;0,'Boletins Nuppa Site'!I1782,"NULL")</f>
        <v xml:space="preserve"> 45.00</v>
      </c>
      <c r="G1782" s="14" t="str">
        <f>IF('Boletins Nuppa Site'!J1782&lt;&gt;0,'Boletins Nuppa Site'!J1782,"NULL")</f>
        <v xml:space="preserve"> 62.00</v>
      </c>
      <c r="H1782" s="14" t="str">
        <f>IF('Boletins Nuppa Site'!K1782&lt;&gt;0,'Boletins Nuppa Site'!K1782,"NULL")</f>
        <v xml:space="preserve"> 70.00</v>
      </c>
      <c r="I1782" t="str">
        <f t="shared" si="54"/>
        <v>INSERT INTO COTACAO (cot_id, cot_blt_id, cot_pap_id, cot_prc_comum, cot_prc_min, cot_prc_max, cot_prc_med, cot_prc_mediana) VALUES (1781, 82, 31,  80.00,  70.00,  45.00,  62.00,  70.00);</v>
      </c>
      <c r="J1782" t="str">
        <f t="shared" si="55"/>
        <v>UPDATE COTACAO SET cot_id = 1781, cot_blt_id = 82, cot_pap_id = 31, cot_prc_comum =  80.00, cot_prc_min =  70.00, cot_prc_max =  45.00, cot_prc_med =  62.00, cot_prc_mediana =  70.00 WHERE cot_id = 1781;</v>
      </c>
    </row>
    <row r="1783" spans="1:10" x14ac:dyDescent="0.3">
      <c r="A1783">
        <v>1782</v>
      </c>
      <c r="B1783">
        <f>IF('Boletins Nuppa Site'!A1783&lt;&gt;0,'Boletins Nuppa Site'!A1783,"NULL")</f>
        <v>82</v>
      </c>
      <c r="C1783">
        <v>32</v>
      </c>
      <c r="D1783" t="str">
        <f>IF('Boletins Nuppa Site'!G1783&lt;&gt;0,'Boletins Nuppa Site'!G1783,"NULL")</f>
        <v xml:space="preserve"> 50.00</v>
      </c>
      <c r="E1783" s="14" t="str">
        <f>IF('Boletins Nuppa Site'!H1783&lt;&gt;0,'Boletins Nuppa Site'!H1783,"NULL")</f>
        <v xml:space="preserve"> 50.00</v>
      </c>
      <c r="F1783" s="14" t="str">
        <f>IF('Boletins Nuppa Site'!I1783&lt;&gt;0,'Boletins Nuppa Site'!I1783,"NULL")</f>
        <v xml:space="preserve"> 40.00</v>
      </c>
      <c r="G1783" s="14" t="str">
        <f>IF('Boletins Nuppa Site'!J1783&lt;&gt;0,'Boletins Nuppa Site'!J1783,"NULL")</f>
        <v xml:space="preserve"> 46.00</v>
      </c>
      <c r="H1783" s="14" t="str">
        <f>IF('Boletins Nuppa Site'!K1783&lt;&gt;0,'Boletins Nuppa Site'!K1783,"NULL")</f>
        <v xml:space="preserve"> 45.00</v>
      </c>
      <c r="I1783" t="str">
        <f t="shared" si="54"/>
        <v>INSERT INTO COTACAO (cot_id, cot_blt_id, cot_pap_id, cot_prc_comum, cot_prc_min, cot_prc_max, cot_prc_med, cot_prc_mediana) VALUES (1782, 82, 32,  50.00,  50.00,  40.00,  46.00,  45.00);</v>
      </c>
      <c r="J1783" t="str">
        <f t="shared" si="55"/>
        <v>UPDATE COTACAO SET cot_id = 1782, cot_blt_id = 82, cot_pap_id = 32, cot_prc_comum =  50.00, cot_prc_min =  50.00, cot_prc_max =  40.00, cot_prc_med =  46.00, cot_prc_mediana =  45.00 WHERE cot_id = 1782;</v>
      </c>
    </row>
    <row r="1784" spans="1:10" x14ac:dyDescent="0.3">
      <c r="A1784">
        <v>1783</v>
      </c>
      <c r="B1784">
        <f>IF('Boletins Nuppa Site'!A1784&lt;&gt;0,'Boletins Nuppa Site'!A1784,"NULL")</f>
        <v>82</v>
      </c>
      <c r="C1784">
        <v>33</v>
      </c>
      <c r="D1784" t="str">
        <f>IF('Boletins Nuppa Site'!G1784&lt;&gt;0,'Boletins Nuppa Site'!G1784,"NULL")</f>
        <v xml:space="preserve"> 100.00</v>
      </c>
      <c r="E1784" s="14" t="str">
        <f>IF('Boletins Nuppa Site'!H1784&lt;&gt;0,'Boletins Nuppa Site'!H1784,"NULL")</f>
        <v xml:space="preserve"> 85.00</v>
      </c>
      <c r="F1784" s="14" t="str">
        <f>IF('Boletins Nuppa Site'!I1784&lt;&gt;0,'Boletins Nuppa Site'!I1784,"NULL")</f>
        <v xml:space="preserve"> 100.00</v>
      </c>
      <c r="G1784" s="14" t="str">
        <f>IF('Boletins Nuppa Site'!J1784&lt;&gt;0,'Boletins Nuppa Site'!J1784,"NULL")</f>
        <v xml:space="preserve"> 95.00</v>
      </c>
      <c r="H1784" s="14" t="str">
        <f>IF('Boletins Nuppa Site'!K1784&lt;&gt;0,'Boletins Nuppa Site'!K1784,"NULL")</f>
        <v xml:space="preserve"> 100.00</v>
      </c>
      <c r="I1784" t="str">
        <f t="shared" si="54"/>
        <v>INSERT INTO COTACAO (cot_id, cot_blt_id, cot_pap_id, cot_prc_comum, cot_prc_min, cot_prc_max, cot_prc_med, cot_prc_mediana) VALUES (1783, 82, 33,  100.00,  85.00,  100.00,  95.00,  100.00);</v>
      </c>
      <c r="J1784" t="str">
        <f t="shared" si="55"/>
        <v>UPDATE COTACAO SET cot_id = 1783, cot_blt_id = 82, cot_pap_id = 33, cot_prc_comum =  100.00, cot_prc_min =  85.00, cot_prc_max =  100.00, cot_prc_med =  95.00, cot_prc_mediana =  100.00 WHERE cot_id = 1783;</v>
      </c>
    </row>
    <row r="1785" spans="1:10" x14ac:dyDescent="0.3">
      <c r="A1785">
        <v>1784</v>
      </c>
      <c r="B1785">
        <f>IF('Boletins Nuppa Site'!A1785&lt;&gt;0,'Boletins Nuppa Site'!A1785,"NULL")</f>
        <v>82</v>
      </c>
      <c r="C1785">
        <v>34</v>
      </c>
      <c r="D1785" t="str">
        <f>IF('Boletins Nuppa Site'!G1785&lt;&gt;0,'Boletins Nuppa Site'!G1785,"NULL")</f>
        <v xml:space="preserve"> 50.00</v>
      </c>
      <c r="E1785" s="14" t="str">
        <f>IF('Boletins Nuppa Site'!H1785&lt;&gt;0,'Boletins Nuppa Site'!H1785,"NULL")</f>
        <v xml:space="preserve"> 50.00</v>
      </c>
      <c r="F1785" s="14" t="str">
        <f>IF('Boletins Nuppa Site'!I1785&lt;&gt;0,'Boletins Nuppa Site'!I1785,"NULL")</f>
        <v xml:space="preserve"> 70.00</v>
      </c>
      <c r="G1785" s="14" t="str">
        <f>IF('Boletins Nuppa Site'!J1785&lt;&gt;0,'Boletins Nuppa Site'!J1785,"NULL")</f>
        <v xml:space="preserve"> 57.00</v>
      </c>
      <c r="H1785" s="14" t="str">
        <f>IF('Boletins Nuppa Site'!K1785&lt;&gt;0,'Boletins Nuppa Site'!K1785,"NULL")</f>
        <v xml:space="preserve"> 55.00</v>
      </c>
      <c r="I1785" t="str">
        <f t="shared" si="54"/>
        <v>INSERT INTO COTACAO (cot_id, cot_blt_id, cot_pap_id, cot_prc_comum, cot_prc_min, cot_prc_max, cot_prc_med, cot_prc_mediana) VALUES (1784, 82, 34,  50.00,  50.00,  70.00,  57.00,  55.00);</v>
      </c>
      <c r="J1785" t="str">
        <f t="shared" si="55"/>
        <v>UPDATE COTACAO SET cot_id = 1784, cot_blt_id = 82, cot_pap_id = 34, cot_prc_comum =  50.00, cot_prc_min =  50.00, cot_prc_max =  70.00, cot_prc_med =  57.00, cot_prc_mediana =  55.00 WHERE cot_id = 1784;</v>
      </c>
    </row>
    <row r="1786" spans="1:10" x14ac:dyDescent="0.3">
      <c r="A1786">
        <v>1785</v>
      </c>
      <c r="B1786">
        <f>IF('Boletins Nuppa Site'!A1786&lt;&gt;0,'Boletins Nuppa Site'!A1786,"NULL")</f>
        <v>82</v>
      </c>
      <c r="C1786">
        <v>35</v>
      </c>
      <c r="D1786" t="str">
        <f>IF('Boletins Nuppa Site'!G1786&lt;&gt;0,'Boletins Nuppa Site'!G1786,"NULL")</f>
        <v xml:space="preserve"> 70.00</v>
      </c>
      <c r="E1786" s="14" t="str">
        <f>IF('Boletins Nuppa Site'!H1786&lt;&gt;0,'Boletins Nuppa Site'!H1786,"NULL")</f>
        <v xml:space="preserve"> 70.00</v>
      </c>
      <c r="F1786" s="14" t="str">
        <f>IF('Boletins Nuppa Site'!I1786&lt;&gt;0,'Boletins Nuppa Site'!I1786,"NULL")</f>
        <v xml:space="preserve"> 60.00</v>
      </c>
      <c r="G1786" s="14" t="str">
        <f>IF('Boletins Nuppa Site'!J1786&lt;&gt;0,'Boletins Nuppa Site'!J1786,"NULL")</f>
        <v xml:space="preserve"> 66.00</v>
      </c>
      <c r="H1786" s="14" t="str">
        <f>IF('Boletins Nuppa Site'!K1786&lt;&gt;0,'Boletins Nuppa Site'!K1786,"NULL")</f>
        <v xml:space="preserve"> 70.00</v>
      </c>
      <c r="I1786" t="str">
        <f t="shared" si="54"/>
        <v>INSERT INTO COTACAO (cot_id, cot_blt_id, cot_pap_id, cot_prc_comum, cot_prc_min, cot_prc_max, cot_prc_med, cot_prc_mediana) VALUES (1785, 82, 35,  70.00,  70.00,  60.00,  66.00,  70.00);</v>
      </c>
      <c r="J1786" t="str">
        <f t="shared" si="55"/>
        <v>UPDATE COTACAO SET cot_id = 1785, cot_blt_id = 82, cot_pap_id = 35, cot_prc_comum =  70.00, cot_prc_min =  70.00, cot_prc_max =  60.00, cot_prc_med =  66.00, cot_prc_mediana =  70.00 WHERE cot_id = 1785;</v>
      </c>
    </row>
    <row r="1787" spans="1:10" x14ac:dyDescent="0.3">
      <c r="A1787">
        <v>1786</v>
      </c>
      <c r="B1787">
        <f>IF('Boletins Nuppa Site'!A1787&lt;&gt;0,'Boletins Nuppa Site'!A1787,"NULL")</f>
        <v>82</v>
      </c>
      <c r="C1787">
        <v>36</v>
      </c>
      <c r="D1787" t="str">
        <f>IF('Boletins Nuppa Site'!G1787&lt;&gt;0,'Boletins Nuppa Site'!G1787,"NULL")</f>
        <v>NULL</v>
      </c>
      <c r="E1787" s="14" t="str">
        <f>IF('Boletins Nuppa Site'!H1787&lt;&gt;0,'Boletins Nuppa Site'!H1787,"NULL")</f>
        <v>NULL</v>
      </c>
      <c r="F1787" s="14" t="str">
        <f>IF('Boletins Nuppa Site'!I1787&lt;&gt;0,'Boletins Nuppa Site'!I1787,"NULL")</f>
        <v>NULL</v>
      </c>
      <c r="G1787" s="14" t="str">
        <f>IF('Boletins Nuppa Site'!J1787&lt;&gt;0,'Boletins Nuppa Site'!J1787,"NULL")</f>
        <v>NULL</v>
      </c>
      <c r="H1787" s="14" t="str">
        <f>IF('Boletins Nuppa Site'!K1787&lt;&gt;0,'Boletins Nuppa Site'!K1787,"NULL")</f>
        <v>NULL</v>
      </c>
      <c r="I1787" t="str">
        <f t="shared" si="54"/>
        <v>INSERT INTO COTACAO (cot_id, cot_blt_id, cot_pap_id, cot_prc_comum, cot_prc_min, cot_prc_max, cot_prc_med, cot_prc_mediana) VALUES (1786, 82, 36, NULL, NULL, NULL, NULL, NULL);</v>
      </c>
      <c r="J1787" t="str">
        <f t="shared" si="55"/>
        <v>UPDATE COTACAO SET cot_id = 1786, cot_blt_id = 82, cot_pap_id = 36, cot_prc_comum = NULL, cot_prc_min = NULL, cot_prc_max = NULL, cot_prc_med = NULL, cot_prc_mediana = NULL WHERE cot_id = 1786;</v>
      </c>
    </row>
    <row r="1788" spans="1:10" x14ac:dyDescent="0.3">
      <c r="A1788">
        <v>1787</v>
      </c>
      <c r="B1788">
        <f>IF('Boletins Nuppa Site'!A1788&lt;&gt;0,'Boletins Nuppa Site'!A1788,"NULL")</f>
        <v>82</v>
      </c>
      <c r="C1788">
        <v>37</v>
      </c>
      <c r="D1788" t="str">
        <f>IF('Boletins Nuppa Site'!G1788&lt;&gt;0,'Boletins Nuppa Site'!G1788,"NULL")</f>
        <v>NULL</v>
      </c>
      <c r="E1788" s="14" t="str">
        <f>IF('Boletins Nuppa Site'!H1788&lt;&gt;0,'Boletins Nuppa Site'!H1788,"NULL")</f>
        <v>NULL</v>
      </c>
      <c r="F1788" s="14" t="str">
        <f>IF('Boletins Nuppa Site'!I1788&lt;&gt;0,'Boletins Nuppa Site'!I1788,"NULL")</f>
        <v>NULL</v>
      </c>
      <c r="G1788" s="14" t="str">
        <f>IF('Boletins Nuppa Site'!J1788&lt;&gt;0,'Boletins Nuppa Site'!J1788,"NULL")</f>
        <v>NULL</v>
      </c>
      <c r="H1788" s="14" t="str">
        <f>IF('Boletins Nuppa Site'!K1788&lt;&gt;0,'Boletins Nuppa Site'!K1788,"NULL")</f>
        <v>NULL</v>
      </c>
      <c r="I1788" t="str">
        <f t="shared" si="54"/>
        <v>INSERT INTO COTACAO (cot_id, cot_blt_id, cot_pap_id, cot_prc_comum, cot_prc_min, cot_prc_max, cot_prc_med, cot_prc_mediana) VALUES (1787, 82, 37, NULL, NULL, NULL, NULL, NULL);</v>
      </c>
      <c r="J1788" t="str">
        <f t="shared" si="55"/>
        <v>UPDATE COTACAO SET cot_id = 1787, cot_blt_id = 82, cot_pap_id = 37, cot_prc_comum = NULL, cot_prc_min = NULL, cot_prc_max = NULL, cot_prc_med = NULL, cot_prc_mediana = NULL WHERE cot_id = 1787;</v>
      </c>
    </row>
    <row r="1789" spans="1:10" x14ac:dyDescent="0.3">
      <c r="A1789">
        <v>1788</v>
      </c>
      <c r="B1789">
        <f>IF('Boletins Nuppa Site'!A1789&lt;&gt;0,'Boletins Nuppa Site'!A1789,"NULL")</f>
        <v>82</v>
      </c>
      <c r="C1789">
        <v>38</v>
      </c>
      <c r="D1789" t="str">
        <f>IF('Boletins Nuppa Site'!G1789&lt;&gt;0,'Boletins Nuppa Site'!G1789,"NULL")</f>
        <v>NULL</v>
      </c>
      <c r="E1789" s="14" t="str">
        <f>IF('Boletins Nuppa Site'!H1789&lt;&gt;0,'Boletins Nuppa Site'!H1789,"NULL")</f>
        <v>NULL</v>
      </c>
      <c r="F1789" s="14" t="str">
        <f>IF('Boletins Nuppa Site'!I1789&lt;&gt;0,'Boletins Nuppa Site'!I1789,"NULL")</f>
        <v>NULL</v>
      </c>
      <c r="G1789" s="14" t="str">
        <f>IF('Boletins Nuppa Site'!J1789&lt;&gt;0,'Boletins Nuppa Site'!J1789,"NULL")</f>
        <v>NULL</v>
      </c>
      <c r="H1789" s="14" t="str">
        <f>IF('Boletins Nuppa Site'!K1789&lt;&gt;0,'Boletins Nuppa Site'!K1789,"NULL")</f>
        <v>NULL</v>
      </c>
      <c r="I1789" t="str">
        <f t="shared" si="54"/>
        <v>INSERT INTO COTACAO (cot_id, cot_blt_id, cot_pap_id, cot_prc_comum, cot_prc_min, cot_prc_max, cot_prc_med, cot_prc_mediana) VALUES (1788, 82, 38, NULL, NULL, NULL, NULL, NULL);</v>
      </c>
      <c r="J1789" t="str">
        <f t="shared" si="55"/>
        <v>UPDATE COTACAO SET cot_id = 1788, cot_blt_id = 82, cot_pap_id = 38, cot_prc_comum = NULL, cot_prc_min = NULL, cot_prc_max = NULL, cot_prc_med = NULL, cot_prc_mediana = NULL WHERE cot_id = 1788;</v>
      </c>
    </row>
    <row r="1790" spans="1:10" x14ac:dyDescent="0.3">
      <c r="A1790">
        <v>1789</v>
      </c>
      <c r="B1790">
        <f>IF('Boletins Nuppa Site'!A1790&lt;&gt;0,'Boletins Nuppa Site'!A1790,"NULL")</f>
        <v>82</v>
      </c>
      <c r="C1790">
        <v>39</v>
      </c>
      <c r="D1790" t="str">
        <f>IF('Boletins Nuppa Site'!G1790&lt;&gt;0,'Boletins Nuppa Site'!G1790,"NULL")</f>
        <v>NULL</v>
      </c>
      <c r="E1790" s="14" t="str">
        <f>IF('Boletins Nuppa Site'!H1790&lt;&gt;0,'Boletins Nuppa Site'!H1790,"NULL")</f>
        <v xml:space="preserve"> 60.00</v>
      </c>
      <c r="F1790" s="14" t="str">
        <f>IF('Boletins Nuppa Site'!I1790&lt;&gt;0,'Boletins Nuppa Site'!I1790,"NULL")</f>
        <v xml:space="preserve"> 60.00</v>
      </c>
      <c r="G1790" s="14" t="str">
        <f>IF('Boletins Nuppa Site'!J1790&lt;&gt;0,'Boletins Nuppa Site'!J1790,"NULL")</f>
        <v xml:space="preserve"> 60.00</v>
      </c>
      <c r="H1790" s="14" t="str">
        <f>IF('Boletins Nuppa Site'!K1790&lt;&gt;0,'Boletins Nuppa Site'!K1790,"NULL")</f>
        <v xml:space="preserve"> 60.00</v>
      </c>
      <c r="I1790" t="str">
        <f t="shared" si="54"/>
        <v>INSERT INTO COTACAO (cot_id, cot_blt_id, cot_pap_id, cot_prc_comum, cot_prc_min, cot_prc_max, cot_prc_med, cot_prc_mediana) VALUES (1789, 82, 39, NULL,  60.00,  60.00,  60.00,  60.00);</v>
      </c>
      <c r="J1790" t="str">
        <f t="shared" si="55"/>
        <v>UPDATE COTACAO SET cot_id = 1789, cot_blt_id = 82, cot_pap_id = 39, cot_prc_comum = NULL, cot_prc_min =  60.00, cot_prc_max =  60.00, cot_prc_med =  60.00, cot_prc_mediana =  60.00 WHERE cot_id = 1789;</v>
      </c>
    </row>
    <row r="1791" spans="1:10" x14ac:dyDescent="0.3">
      <c r="A1791">
        <v>1790</v>
      </c>
      <c r="B1791">
        <f>IF('Boletins Nuppa Site'!A1791&lt;&gt;0,'Boletins Nuppa Site'!A1791,"NULL")</f>
        <v>82</v>
      </c>
      <c r="C1791">
        <v>40</v>
      </c>
      <c r="D1791" t="str">
        <f>IF('Boletins Nuppa Site'!G1791&lt;&gt;0,'Boletins Nuppa Site'!G1791,"NULL")</f>
        <v>NULL</v>
      </c>
      <c r="E1791" s="14" t="str">
        <f>IF('Boletins Nuppa Site'!H1791&lt;&gt;0,'Boletins Nuppa Site'!H1791,"NULL")</f>
        <v>NULL</v>
      </c>
      <c r="F1791" s="14" t="str">
        <f>IF('Boletins Nuppa Site'!I1791&lt;&gt;0,'Boletins Nuppa Site'!I1791,"NULL")</f>
        <v>NULL</v>
      </c>
      <c r="G1791" s="14" t="str">
        <f>IF('Boletins Nuppa Site'!J1791&lt;&gt;0,'Boletins Nuppa Site'!J1791,"NULL")</f>
        <v>NULL</v>
      </c>
      <c r="H1791" s="14" t="str">
        <f>IF('Boletins Nuppa Site'!K1791&lt;&gt;0,'Boletins Nuppa Site'!K1791,"NULL")</f>
        <v>NULL</v>
      </c>
      <c r="I1791" t="str">
        <f t="shared" si="54"/>
        <v>INSERT INTO COTACAO (cot_id, cot_blt_id, cot_pap_id, cot_prc_comum, cot_prc_min, cot_prc_max, cot_prc_med, cot_prc_mediana) VALUES (1790, 82, 40, NULL, NULL, NULL, NULL, NULL);</v>
      </c>
      <c r="J1791" t="str">
        <f t="shared" si="55"/>
        <v>UPDATE COTACAO SET cot_id = 1790, cot_blt_id = 82, cot_pap_id = 40, cot_prc_comum = NULL, cot_prc_min = NULL, cot_prc_max = NULL, cot_prc_med = NULL, cot_prc_mediana = NULL WHERE cot_id = 1790;</v>
      </c>
    </row>
    <row r="1792" spans="1:10" x14ac:dyDescent="0.3">
      <c r="A1792">
        <v>1791</v>
      </c>
      <c r="B1792">
        <f>IF('Boletins Nuppa Site'!A1792&lt;&gt;0,'Boletins Nuppa Site'!A1792,"NULL")</f>
        <v>83</v>
      </c>
      <c r="C1792">
        <v>1</v>
      </c>
      <c r="D1792" t="str">
        <f>IF('Boletins Nuppa Site'!G1792&lt;&gt;0,'Boletins Nuppa Site'!G1792,"NULL")</f>
        <v xml:space="preserve"> 60.00</v>
      </c>
      <c r="E1792" s="14" t="str">
        <f>IF('Boletins Nuppa Site'!H1792&lt;&gt;0,'Boletins Nuppa Site'!H1792,"NULL")</f>
        <v xml:space="preserve"> 72.00</v>
      </c>
      <c r="F1792" s="14" t="str">
        <f>IF('Boletins Nuppa Site'!I1792&lt;&gt;0,'Boletins Nuppa Site'!I1792,"NULL")</f>
        <v xml:space="preserve"> 72.00</v>
      </c>
      <c r="G1792" s="14" t="str">
        <f>IF('Boletins Nuppa Site'!J1792&lt;&gt;0,'Boletins Nuppa Site'!J1792,"NULL")</f>
        <v xml:space="preserve"> 68.00</v>
      </c>
      <c r="H1792" s="14" t="str">
        <f>IF('Boletins Nuppa Site'!K1792&lt;&gt;0,'Boletins Nuppa Site'!K1792,"NULL")</f>
        <v xml:space="preserve"> 72.00</v>
      </c>
      <c r="I1792" t="str">
        <f t="shared" si="54"/>
        <v>INSERT INTO COTACAO (cot_id, cot_blt_id, cot_pap_id, cot_prc_comum, cot_prc_min, cot_prc_max, cot_prc_med, cot_prc_mediana) VALUES (1791, 83, 1,  60.00,  72.00,  72.00,  68.00,  72.00);</v>
      </c>
      <c r="J1792" t="str">
        <f t="shared" si="55"/>
        <v>UPDATE COTACAO SET cot_id = 1791, cot_blt_id = 83, cot_pap_id = 1, cot_prc_comum =  60.00, cot_prc_min =  72.00, cot_prc_max =  72.00, cot_prc_med =  68.00, cot_prc_mediana =  72.00 WHERE cot_id = 1791;</v>
      </c>
    </row>
    <row r="1793" spans="1:10" x14ac:dyDescent="0.3">
      <c r="A1793">
        <v>1792</v>
      </c>
      <c r="B1793">
        <f>IF('Boletins Nuppa Site'!A1793&lt;&gt;0,'Boletins Nuppa Site'!A1793,"NULL")</f>
        <v>83</v>
      </c>
      <c r="C1793">
        <v>2</v>
      </c>
      <c r="D1793" t="str">
        <f>IF('Boletins Nuppa Site'!G1793&lt;&gt;0,'Boletins Nuppa Site'!G1793,"NULL")</f>
        <v xml:space="preserve"> 72.00</v>
      </c>
      <c r="E1793" s="14" t="str">
        <f>IF('Boletins Nuppa Site'!H1793&lt;&gt;0,'Boletins Nuppa Site'!H1793,"NULL")</f>
        <v xml:space="preserve"> 84.00</v>
      </c>
      <c r="F1793" s="14" t="str">
        <f>IF('Boletins Nuppa Site'!I1793&lt;&gt;0,'Boletins Nuppa Site'!I1793,"NULL")</f>
        <v xml:space="preserve"> 84.00</v>
      </c>
      <c r="G1793" s="14" t="str">
        <f>IF('Boletins Nuppa Site'!J1793&lt;&gt;0,'Boletins Nuppa Site'!J1793,"NULL")</f>
        <v xml:space="preserve"> 80.00</v>
      </c>
      <c r="H1793" s="14" t="str">
        <f>IF('Boletins Nuppa Site'!K1793&lt;&gt;0,'Boletins Nuppa Site'!K1793,"NULL")</f>
        <v xml:space="preserve"> 84.00</v>
      </c>
      <c r="I1793" t="str">
        <f t="shared" si="54"/>
        <v>INSERT INTO COTACAO (cot_id, cot_blt_id, cot_pap_id, cot_prc_comum, cot_prc_min, cot_prc_max, cot_prc_med, cot_prc_mediana) VALUES (1792, 83, 2,  72.00,  84.00,  84.00,  80.00,  84.00);</v>
      </c>
      <c r="J1793" t="str">
        <f t="shared" si="55"/>
        <v>UPDATE COTACAO SET cot_id = 1792, cot_blt_id = 83, cot_pap_id = 2, cot_prc_comum =  72.00, cot_prc_min =  84.00, cot_prc_max =  84.00, cot_prc_med =  80.00, cot_prc_mediana =  84.00 WHERE cot_id = 1792;</v>
      </c>
    </row>
    <row r="1794" spans="1:10" x14ac:dyDescent="0.3">
      <c r="A1794">
        <v>1793</v>
      </c>
      <c r="B1794">
        <f>IF('Boletins Nuppa Site'!A1794&lt;&gt;0,'Boletins Nuppa Site'!A1794,"NULL")</f>
        <v>83</v>
      </c>
      <c r="C1794">
        <v>3</v>
      </c>
      <c r="D1794" t="str">
        <f>IF('Boletins Nuppa Site'!G1794&lt;&gt;0,'Boletins Nuppa Site'!G1794,"NULL")</f>
        <v xml:space="preserve"> 36.00</v>
      </c>
      <c r="E1794" s="14" t="str">
        <f>IF('Boletins Nuppa Site'!H1794&lt;&gt;0,'Boletins Nuppa Site'!H1794,"NULL")</f>
        <v xml:space="preserve"> 45.00</v>
      </c>
      <c r="F1794" s="14" t="str">
        <f>IF('Boletins Nuppa Site'!I1794&lt;&gt;0,'Boletins Nuppa Site'!I1794,"NULL")</f>
        <v xml:space="preserve"> 60.00</v>
      </c>
      <c r="G1794" s="14" t="str">
        <f>IF('Boletins Nuppa Site'!J1794&lt;&gt;0,'Boletins Nuppa Site'!J1794,"NULL")</f>
        <v xml:space="preserve"> 46.50</v>
      </c>
      <c r="H1794" s="14" t="str">
        <f>IF('Boletins Nuppa Site'!K1794&lt;&gt;0,'Boletins Nuppa Site'!K1794,"NULL")</f>
        <v xml:space="preserve"> 45.00</v>
      </c>
      <c r="I1794" t="str">
        <f t="shared" si="54"/>
        <v>INSERT INTO COTACAO (cot_id, cot_blt_id, cot_pap_id, cot_prc_comum, cot_prc_min, cot_prc_max, cot_prc_med, cot_prc_mediana) VALUES (1793, 83, 3,  36.00,  45.00,  60.00,  46.50,  45.00);</v>
      </c>
      <c r="J1794" t="str">
        <f t="shared" si="55"/>
        <v>UPDATE COTACAO SET cot_id = 1793, cot_blt_id = 83, cot_pap_id = 3, cot_prc_comum =  36.00, cot_prc_min =  45.00, cot_prc_max =  60.00, cot_prc_med =  46.50, cot_prc_mediana =  45.00 WHERE cot_id = 1793;</v>
      </c>
    </row>
    <row r="1795" spans="1:10" x14ac:dyDescent="0.3">
      <c r="A1795">
        <v>1794</v>
      </c>
      <c r="B1795">
        <f>IF('Boletins Nuppa Site'!A1795&lt;&gt;0,'Boletins Nuppa Site'!A1795,"NULL")</f>
        <v>83</v>
      </c>
      <c r="C1795">
        <v>4</v>
      </c>
      <c r="D1795" t="str">
        <f>IF('Boletins Nuppa Site'!G1795&lt;&gt;0,'Boletins Nuppa Site'!G1795,"NULL")</f>
        <v xml:space="preserve"> 24.00</v>
      </c>
      <c r="E1795" s="14" t="str">
        <f>IF('Boletins Nuppa Site'!H1795&lt;&gt;0,'Boletins Nuppa Site'!H1795,"NULL")</f>
        <v xml:space="preserve"> 30.00</v>
      </c>
      <c r="F1795" s="14" t="str">
        <f>IF('Boletins Nuppa Site'!I1795&lt;&gt;0,'Boletins Nuppa Site'!I1795,"NULL")</f>
        <v xml:space="preserve"> 30.00</v>
      </c>
      <c r="G1795" s="14" t="str">
        <f>IF('Boletins Nuppa Site'!J1795&lt;&gt;0,'Boletins Nuppa Site'!J1795,"NULL")</f>
        <v xml:space="preserve"> 27.25</v>
      </c>
      <c r="H1795" s="14" t="str">
        <f>IF('Boletins Nuppa Site'!K1795&lt;&gt;0,'Boletins Nuppa Site'!K1795,"NULL")</f>
        <v xml:space="preserve"> 27.50</v>
      </c>
      <c r="I1795" t="str">
        <f t="shared" ref="I1795:I1858" si="56">"INSERT INTO COTACAO (cot_id, cot_blt_id, cot_pap_id, cot_prc_comum, cot_prc_min, cot_prc_max, cot_prc_med, cot_prc_mediana) VALUES ("&amp;A1795&amp;", "&amp;B1795&amp;", "&amp;C1795&amp;", "&amp;D1795&amp;", "&amp;E1795&amp;", "&amp;F1795&amp;", "&amp;G1795&amp;", "&amp;H1795&amp;");"</f>
        <v>INSERT INTO COTACAO (cot_id, cot_blt_id, cot_pap_id, cot_prc_comum, cot_prc_min, cot_prc_max, cot_prc_med, cot_prc_mediana) VALUES (1794, 83, 4,  24.00,  30.00,  30.00,  27.25,  27.50);</v>
      </c>
      <c r="J1795" t="str">
        <f t="shared" ref="J1795:J1858" si="57">"UPDATE COTACAO SET cot_id = "&amp;A1795&amp;", cot_blt_id = "&amp;B1795&amp;", cot_pap_id = "&amp;C1795&amp;", cot_prc_comum = "&amp;D1795&amp;", cot_prc_min = "&amp;E1795&amp;", cot_prc_max = "&amp;F1795&amp;", cot_prc_med = "&amp;G1795&amp;", cot_prc_mediana = "&amp;H1795&amp;" WHERE cot_id = "&amp;A1795&amp;";"</f>
        <v>UPDATE COTACAO SET cot_id = 1794, cot_blt_id = 83, cot_pap_id = 4, cot_prc_comum =  24.00, cot_prc_min =  30.00, cot_prc_max =  30.00, cot_prc_med =  27.25, cot_prc_mediana =  27.50 WHERE cot_id = 1794;</v>
      </c>
    </row>
    <row r="1796" spans="1:10" x14ac:dyDescent="0.3">
      <c r="A1796">
        <v>1795</v>
      </c>
      <c r="B1796">
        <f>IF('Boletins Nuppa Site'!A1796&lt;&gt;0,'Boletins Nuppa Site'!A1796,"NULL")</f>
        <v>83</v>
      </c>
      <c r="C1796">
        <v>5</v>
      </c>
      <c r="D1796" t="str">
        <f>IF('Boletins Nuppa Site'!G1796&lt;&gt;0,'Boletins Nuppa Site'!G1796,"NULL")</f>
        <v xml:space="preserve"> 25.00</v>
      </c>
      <c r="E1796" s="14" t="str">
        <f>IF('Boletins Nuppa Site'!H1796&lt;&gt;0,'Boletins Nuppa Site'!H1796,"NULL")</f>
        <v xml:space="preserve"> 30.00</v>
      </c>
      <c r="F1796" s="14" t="str">
        <f>IF('Boletins Nuppa Site'!I1796&lt;&gt;0,'Boletins Nuppa Site'!I1796,"NULL")</f>
        <v xml:space="preserve"> 30.00</v>
      </c>
      <c r="G1796" s="14" t="str">
        <f>IF('Boletins Nuppa Site'!J1796&lt;&gt;0,'Boletins Nuppa Site'!J1796,"NULL")</f>
        <v xml:space="preserve"> 28.33</v>
      </c>
      <c r="H1796" s="14" t="str">
        <f>IF('Boletins Nuppa Site'!K1796&lt;&gt;0,'Boletins Nuppa Site'!K1796,"NULL")</f>
        <v xml:space="preserve"> 30.00</v>
      </c>
      <c r="I1796" t="str">
        <f t="shared" si="56"/>
        <v>INSERT INTO COTACAO (cot_id, cot_blt_id, cot_pap_id, cot_prc_comum, cot_prc_min, cot_prc_max, cot_prc_med, cot_prc_mediana) VALUES (1795, 83, 5,  25.00,  30.00,  30.00,  28.33,  30.00);</v>
      </c>
      <c r="J1796" t="str">
        <f t="shared" si="57"/>
        <v>UPDATE COTACAO SET cot_id = 1795, cot_blt_id = 83, cot_pap_id = 5, cot_prc_comum =  25.00, cot_prc_min =  30.00, cot_prc_max =  30.00, cot_prc_med =  28.33, cot_prc_mediana =  30.00 WHERE cot_id = 1795;</v>
      </c>
    </row>
    <row r="1797" spans="1:10" x14ac:dyDescent="0.3">
      <c r="A1797">
        <v>1796</v>
      </c>
      <c r="B1797">
        <f>IF('Boletins Nuppa Site'!A1797&lt;&gt;0,'Boletins Nuppa Site'!A1797,"NULL")</f>
        <v>83</v>
      </c>
      <c r="C1797">
        <v>6</v>
      </c>
      <c r="D1797" t="str">
        <f>IF('Boletins Nuppa Site'!G1797&lt;&gt;0,'Boletins Nuppa Site'!G1797,"NULL")</f>
        <v xml:space="preserve"> 60.00</v>
      </c>
      <c r="E1797" s="14" t="str">
        <f>IF('Boletins Nuppa Site'!H1797&lt;&gt;0,'Boletins Nuppa Site'!H1797,"NULL")</f>
        <v xml:space="preserve"> 60.00</v>
      </c>
      <c r="F1797" s="14" t="str">
        <f>IF('Boletins Nuppa Site'!I1797&lt;&gt;0,'Boletins Nuppa Site'!I1797,"NULL")</f>
        <v xml:space="preserve"> 66.00</v>
      </c>
      <c r="G1797" s="14" t="str">
        <f>IF('Boletins Nuppa Site'!J1797&lt;&gt;0,'Boletins Nuppa Site'!J1797,"NULL")</f>
        <v xml:space="preserve"> 62.00</v>
      </c>
      <c r="H1797" s="14" t="str">
        <f>IF('Boletins Nuppa Site'!K1797&lt;&gt;0,'Boletins Nuppa Site'!K1797,"NULL")</f>
        <v xml:space="preserve"> 60.00</v>
      </c>
      <c r="I1797" t="str">
        <f t="shared" si="56"/>
        <v>INSERT INTO COTACAO (cot_id, cot_blt_id, cot_pap_id, cot_prc_comum, cot_prc_min, cot_prc_max, cot_prc_med, cot_prc_mediana) VALUES (1796, 83, 6,  60.00,  60.00,  66.00,  62.00,  60.00);</v>
      </c>
      <c r="J1797" t="str">
        <f t="shared" si="57"/>
        <v>UPDATE COTACAO SET cot_id = 1796, cot_blt_id = 83, cot_pap_id = 6, cot_prc_comum =  60.00, cot_prc_min =  60.00, cot_prc_max =  66.00, cot_prc_med =  62.00, cot_prc_mediana =  60.00 WHERE cot_id = 1796;</v>
      </c>
    </row>
    <row r="1798" spans="1:10" x14ac:dyDescent="0.3">
      <c r="A1798">
        <v>1797</v>
      </c>
      <c r="B1798">
        <f>IF('Boletins Nuppa Site'!A1798&lt;&gt;0,'Boletins Nuppa Site'!A1798,"NULL")</f>
        <v>83</v>
      </c>
      <c r="C1798">
        <v>7</v>
      </c>
      <c r="D1798" t="str">
        <f>IF('Boletins Nuppa Site'!G1798&lt;&gt;0,'Boletins Nuppa Site'!G1798,"NULL")</f>
        <v xml:space="preserve"> 70.00</v>
      </c>
      <c r="E1798" s="14" t="str">
        <f>IF('Boletins Nuppa Site'!H1798&lt;&gt;0,'Boletins Nuppa Site'!H1798,"NULL")</f>
        <v xml:space="preserve"> 72.00</v>
      </c>
      <c r="F1798" s="14" t="str">
        <f>IF('Boletins Nuppa Site'!I1798&lt;&gt;0,'Boletins Nuppa Site'!I1798,"NULL")</f>
        <v xml:space="preserve"> 72.00</v>
      </c>
      <c r="G1798" s="14" t="str">
        <f>IF('Boletins Nuppa Site'!J1798&lt;&gt;0,'Boletins Nuppa Site'!J1798,"NULL")</f>
        <v xml:space="preserve"> 71.33</v>
      </c>
      <c r="H1798" s="14" t="str">
        <f>IF('Boletins Nuppa Site'!K1798&lt;&gt;0,'Boletins Nuppa Site'!K1798,"NULL")</f>
        <v xml:space="preserve"> 72.00</v>
      </c>
      <c r="I1798" t="str">
        <f t="shared" si="56"/>
        <v>INSERT INTO COTACAO (cot_id, cot_blt_id, cot_pap_id, cot_prc_comum, cot_prc_min, cot_prc_max, cot_prc_med, cot_prc_mediana) VALUES (1797, 83, 7,  70.00,  72.00,  72.00,  71.33,  72.00);</v>
      </c>
      <c r="J1798" t="str">
        <f t="shared" si="57"/>
        <v>UPDATE COTACAO SET cot_id = 1797, cot_blt_id = 83, cot_pap_id = 7, cot_prc_comum =  70.00, cot_prc_min =  72.00, cot_prc_max =  72.00, cot_prc_med =  71.33, cot_prc_mediana =  72.00 WHERE cot_id = 1797;</v>
      </c>
    </row>
    <row r="1799" spans="1:10" x14ac:dyDescent="0.3">
      <c r="A1799">
        <v>1798</v>
      </c>
      <c r="B1799">
        <f>IF('Boletins Nuppa Site'!A1799&lt;&gt;0,'Boletins Nuppa Site'!A1799,"NULL")</f>
        <v>83</v>
      </c>
      <c r="C1799">
        <v>8</v>
      </c>
      <c r="D1799" t="str">
        <f>IF('Boletins Nuppa Site'!G1799&lt;&gt;0,'Boletins Nuppa Site'!G1799,"NULL")</f>
        <v xml:space="preserve"> 60.00</v>
      </c>
      <c r="E1799" s="14" t="str">
        <f>IF('Boletins Nuppa Site'!H1799&lt;&gt;0,'Boletins Nuppa Site'!H1799,"NULL")</f>
        <v xml:space="preserve"> 72.00</v>
      </c>
      <c r="F1799" s="14" t="str">
        <f>IF('Boletins Nuppa Site'!I1799&lt;&gt;0,'Boletins Nuppa Site'!I1799,"NULL")</f>
        <v xml:space="preserve"> 72.00</v>
      </c>
      <c r="G1799" s="14" t="str">
        <f>IF('Boletins Nuppa Site'!J1799&lt;&gt;0,'Boletins Nuppa Site'!J1799,"NULL")</f>
        <v xml:space="preserve"> 69.00</v>
      </c>
      <c r="H1799" s="14" t="str">
        <f>IF('Boletins Nuppa Site'!K1799&lt;&gt;0,'Boletins Nuppa Site'!K1799,"NULL")</f>
        <v xml:space="preserve"> 72.00</v>
      </c>
      <c r="I1799" t="str">
        <f t="shared" si="56"/>
        <v>INSERT INTO COTACAO (cot_id, cot_blt_id, cot_pap_id, cot_prc_comum, cot_prc_min, cot_prc_max, cot_prc_med, cot_prc_mediana) VALUES (1798, 83, 8,  60.00,  72.00,  72.00,  69.00,  72.00);</v>
      </c>
      <c r="J1799" t="str">
        <f t="shared" si="57"/>
        <v>UPDATE COTACAO SET cot_id = 1798, cot_blt_id = 83, cot_pap_id = 8, cot_prc_comum =  60.00, cot_prc_min =  72.00, cot_prc_max =  72.00, cot_prc_med =  69.00, cot_prc_mediana =  72.00 WHERE cot_id = 1798;</v>
      </c>
    </row>
    <row r="1800" spans="1:10" x14ac:dyDescent="0.3">
      <c r="A1800">
        <v>1799</v>
      </c>
      <c r="B1800">
        <f>IF('Boletins Nuppa Site'!A1800&lt;&gt;0,'Boletins Nuppa Site'!A1800,"NULL")</f>
        <v>83</v>
      </c>
      <c r="C1800">
        <v>9</v>
      </c>
      <c r="D1800" t="str">
        <f>IF('Boletins Nuppa Site'!G1800&lt;&gt;0,'Boletins Nuppa Site'!G1800,"NULL")</f>
        <v xml:space="preserve"> 18.00</v>
      </c>
      <c r="E1800" s="14" t="str">
        <f>IF('Boletins Nuppa Site'!H1800&lt;&gt;0,'Boletins Nuppa Site'!H1800,"NULL")</f>
        <v xml:space="preserve"> 20.00</v>
      </c>
      <c r="F1800" s="14" t="str">
        <f>IF('Boletins Nuppa Site'!I1800&lt;&gt;0,'Boletins Nuppa Site'!I1800,"NULL")</f>
        <v xml:space="preserve"> 24.00</v>
      </c>
      <c r="G1800" s="14" t="str">
        <f>IF('Boletins Nuppa Site'!J1800&lt;&gt;0,'Boletins Nuppa Site'!J1800,"NULL")</f>
        <v xml:space="preserve"> 20.50</v>
      </c>
      <c r="H1800" s="14" t="str">
        <f>IF('Boletins Nuppa Site'!K1800&lt;&gt;0,'Boletins Nuppa Site'!K1800,"NULL")</f>
        <v xml:space="preserve"> 20.00</v>
      </c>
      <c r="I1800" t="str">
        <f t="shared" si="56"/>
        <v>INSERT INTO COTACAO (cot_id, cot_blt_id, cot_pap_id, cot_prc_comum, cot_prc_min, cot_prc_max, cot_prc_med, cot_prc_mediana) VALUES (1799, 83, 9,  18.00,  20.00,  24.00,  20.50,  20.00);</v>
      </c>
      <c r="J1800" t="str">
        <f t="shared" si="57"/>
        <v>UPDATE COTACAO SET cot_id = 1799, cot_blt_id = 83, cot_pap_id = 9, cot_prc_comum =  18.00, cot_prc_min =  20.00, cot_prc_max =  24.00, cot_prc_med =  20.50, cot_prc_mediana =  20.00 WHERE cot_id = 1799;</v>
      </c>
    </row>
    <row r="1801" spans="1:10" x14ac:dyDescent="0.3">
      <c r="A1801">
        <v>1800</v>
      </c>
      <c r="B1801">
        <f>IF('Boletins Nuppa Site'!A1801&lt;&gt;0,'Boletins Nuppa Site'!A1801,"NULL")</f>
        <v>83</v>
      </c>
      <c r="C1801">
        <v>10</v>
      </c>
      <c r="D1801" t="str">
        <f>IF('Boletins Nuppa Site'!G1801&lt;&gt;0,'Boletins Nuppa Site'!G1801,"NULL")</f>
        <v xml:space="preserve"> 60.00</v>
      </c>
      <c r="E1801" s="14" t="str">
        <f>IF('Boletins Nuppa Site'!H1801&lt;&gt;0,'Boletins Nuppa Site'!H1801,"NULL")</f>
        <v xml:space="preserve"> 84.00</v>
      </c>
      <c r="F1801" s="14" t="str">
        <f>IF('Boletins Nuppa Site'!I1801&lt;&gt;0,'Boletins Nuppa Site'!I1801,"NULL")</f>
        <v xml:space="preserve"> 84.00</v>
      </c>
      <c r="G1801" s="14" t="str">
        <f>IF('Boletins Nuppa Site'!J1801&lt;&gt;0,'Boletins Nuppa Site'!J1801,"NULL")</f>
        <v xml:space="preserve"> 76.00</v>
      </c>
      <c r="H1801" s="14" t="str">
        <f>IF('Boletins Nuppa Site'!K1801&lt;&gt;0,'Boletins Nuppa Site'!K1801,"NULL")</f>
        <v xml:space="preserve"> 84.00</v>
      </c>
      <c r="I1801" t="str">
        <f t="shared" si="56"/>
        <v>INSERT INTO COTACAO (cot_id, cot_blt_id, cot_pap_id, cot_prc_comum, cot_prc_min, cot_prc_max, cot_prc_med, cot_prc_mediana) VALUES (1800, 83, 10,  60.00,  84.00,  84.00,  76.00,  84.00);</v>
      </c>
      <c r="J1801" t="str">
        <f t="shared" si="57"/>
        <v>UPDATE COTACAO SET cot_id = 1800, cot_blt_id = 83, cot_pap_id = 10, cot_prc_comum =  60.00, cot_prc_min =  84.00, cot_prc_max =  84.00, cot_prc_med =  76.00, cot_prc_mediana =  84.00 WHERE cot_id = 1800;</v>
      </c>
    </row>
    <row r="1802" spans="1:10" x14ac:dyDescent="0.3">
      <c r="A1802">
        <v>1801</v>
      </c>
      <c r="B1802">
        <f>IF('Boletins Nuppa Site'!A1802&lt;&gt;0,'Boletins Nuppa Site'!A1802,"NULL")</f>
        <v>83</v>
      </c>
      <c r="C1802">
        <v>11</v>
      </c>
      <c r="D1802" t="str">
        <f>IF('Boletins Nuppa Site'!G1802&lt;&gt;0,'Boletins Nuppa Site'!G1802,"NULL")</f>
        <v xml:space="preserve"> 24.00</v>
      </c>
      <c r="E1802" s="14" t="str">
        <f>IF('Boletins Nuppa Site'!H1802&lt;&gt;0,'Boletins Nuppa Site'!H1802,"NULL")</f>
        <v xml:space="preserve"> 30.00</v>
      </c>
      <c r="F1802" s="14" t="str">
        <f>IF('Boletins Nuppa Site'!I1802&lt;&gt;0,'Boletins Nuppa Site'!I1802,"NULL")</f>
        <v xml:space="preserve"> 30.00</v>
      </c>
      <c r="G1802" s="14" t="str">
        <f>IF('Boletins Nuppa Site'!J1802&lt;&gt;0,'Boletins Nuppa Site'!J1802,"NULL")</f>
        <v xml:space="preserve"> 27.25</v>
      </c>
      <c r="H1802" s="14" t="str">
        <f>IF('Boletins Nuppa Site'!K1802&lt;&gt;0,'Boletins Nuppa Site'!K1802,"NULL")</f>
        <v xml:space="preserve"> 27.50</v>
      </c>
      <c r="I1802" t="str">
        <f t="shared" si="56"/>
        <v>INSERT INTO COTACAO (cot_id, cot_blt_id, cot_pap_id, cot_prc_comum, cot_prc_min, cot_prc_max, cot_prc_med, cot_prc_mediana) VALUES (1801, 83, 11,  24.00,  30.00,  30.00,  27.25,  27.50);</v>
      </c>
      <c r="J1802" t="str">
        <f t="shared" si="57"/>
        <v>UPDATE COTACAO SET cot_id = 1801, cot_blt_id = 83, cot_pap_id = 11, cot_prc_comum =  24.00, cot_prc_min =  30.00, cot_prc_max =  30.00, cot_prc_med =  27.25, cot_prc_mediana =  27.50 WHERE cot_id = 1801;</v>
      </c>
    </row>
    <row r="1803" spans="1:10" x14ac:dyDescent="0.3">
      <c r="A1803">
        <v>1802</v>
      </c>
      <c r="B1803">
        <f>IF('Boletins Nuppa Site'!A1803&lt;&gt;0,'Boletins Nuppa Site'!A1803,"NULL")</f>
        <v>83</v>
      </c>
      <c r="C1803">
        <v>12</v>
      </c>
      <c r="D1803" t="str">
        <f>IF('Boletins Nuppa Site'!G1803&lt;&gt;0,'Boletins Nuppa Site'!G1803,"NULL")</f>
        <v xml:space="preserve"> 60.00</v>
      </c>
      <c r="E1803" s="14" t="str">
        <f>IF('Boletins Nuppa Site'!H1803&lt;&gt;0,'Boletins Nuppa Site'!H1803,"NULL")</f>
        <v xml:space="preserve"> 60.00</v>
      </c>
      <c r="F1803" s="14" t="str">
        <f>IF('Boletins Nuppa Site'!I1803&lt;&gt;0,'Boletins Nuppa Site'!I1803,"NULL")</f>
        <v xml:space="preserve"> 60.00</v>
      </c>
      <c r="G1803" s="14" t="str">
        <f>IF('Boletins Nuppa Site'!J1803&lt;&gt;0,'Boletins Nuppa Site'!J1803,"NULL")</f>
        <v xml:space="preserve"> 60.00</v>
      </c>
      <c r="H1803" s="14" t="str">
        <f>IF('Boletins Nuppa Site'!K1803&lt;&gt;0,'Boletins Nuppa Site'!K1803,"NULL")</f>
        <v xml:space="preserve"> 60.00</v>
      </c>
      <c r="I1803" t="str">
        <f t="shared" si="56"/>
        <v>INSERT INTO COTACAO (cot_id, cot_blt_id, cot_pap_id, cot_prc_comum, cot_prc_min, cot_prc_max, cot_prc_med, cot_prc_mediana) VALUES (1802, 83, 12,  60.00,  60.00,  60.00,  60.00,  60.00);</v>
      </c>
      <c r="J1803" t="str">
        <f t="shared" si="57"/>
        <v>UPDATE COTACAO SET cot_id = 1802, cot_blt_id = 83, cot_pap_id = 12, cot_prc_comum =  60.00, cot_prc_min =  60.00, cot_prc_max =  60.00, cot_prc_med =  60.00, cot_prc_mediana =  60.00 WHERE cot_id = 1802;</v>
      </c>
    </row>
    <row r="1804" spans="1:10" x14ac:dyDescent="0.3">
      <c r="A1804">
        <v>1803</v>
      </c>
      <c r="B1804">
        <f>IF('Boletins Nuppa Site'!A1804&lt;&gt;0,'Boletins Nuppa Site'!A1804,"NULL")</f>
        <v>83</v>
      </c>
      <c r="C1804">
        <v>13</v>
      </c>
      <c r="D1804" t="str">
        <f>IF('Boletins Nuppa Site'!G1804&lt;&gt;0,'Boletins Nuppa Site'!G1804,"NULL")</f>
        <v xml:space="preserve"> 60.00</v>
      </c>
      <c r="E1804" s="14" t="str">
        <f>IF('Boletins Nuppa Site'!H1804&lt;&gt;0,'Boletins Nuppa Site'!H1804,"NULL")</f>
        <v xml:space="preserve"> 60.00</v>
      </c>
      <c r="F1804" s="14" t="str">
        <f>IF('Boletins Nuppa Site'!I1804&lt;&gt;0,'Boletins Nuppa Site'!I1804,"NULL")</f>
        <v xml:space="preserve"> 60.00</v>
      </c>
      <c r="G1804" s="14" t="str">
        <f>IF('Boletins Nuppa Site'!J1804&lt;&gt;0,'Boletins Nuppa Site'!J1804,"NULL")</f>
        <v xml:space="preserve"> 60.00</v>
      </c>
      <c r="H1804" s="14" t="str">
        <f>IF('Boletins Nuppa Site'!K1804&lt;&gt;0,'Boletins Nuppa Site'!K1804,"NULL")</f>
        <v xml:space="preserve"> 60.00</v>
      </c>
      <c r="I1804" t="str">
        <f t="shared" si="56"/>
        <v>INSERT INTO COTACAO (cot_id, cot_blt_id, cot_pap_id, cot_prc_comum, cot_prc_min, cot_prc_max, cot_prc_med, cot_prc_mediana) VALUES (1803, 83, 13,  60.00,  60.00,  60.00,  60.00,  60.00);</v>
      </c>
      <c r="J1804" t="str">
        <f t="shared" si="57"/>
        <v>UPDATE COTACAO SET cot_id = 1803, cot_blt_id = 83, cot_pap_id = 13, cot_prc_comum =  60.00, cot_prc_min =  60.00, cot_prc_max =  60.00, cot_prc_med =  60.00, cot_prc_mediana =  60.00 WHERE cot_id = 1803;</v>
      </c>
    </row>
    <row r="1805" spans="1:10" x14ac:dyDescent="0.3">
      <c r="A1805">
        <v>1804</v>
      </c>
      <c r="B1805">
        <f>IF('Boletins Nuppa Site'!A1805&lt;&gt;0,'Boletins Nuppa Site'!A1805,"NULL")</f>
        <v>83</v>
      </c>
      <c r="C1805">
        <v>14</v>
      </c>
      <c r="D1805" t="str">
        <f>IF('Boletins Nuppa Site'!G1805&lt;&gt;0,'Boletins Nuppa Site'!G1805,"NULL")</f>
        <v xml:space="preserve"> 50.00</v>
      </c>
      <c r="E1805" s="14" t="str">
        <f>IF('Boletins Nuppa Site'!H1805&lt;&gt;0,'Boletins Nuppa Site'!H1805,"NULL")</f>
        <v xml:space="preserve"> 58.67</v>
      </c>
      <c r="F1805" s="14" t="str">
        <f>IF('Boletins Nuppa Site'!I1805&lt;&gt;0,'Boletins Nuppa Site'!I1805,"NULL")</f>
        <v xml:space="preserve"> 72.00</v>
      </c>
      <c r="G1805" s="14" t="str">
        <f>IF('Boletins Nuppa Site'!J1805&lt;&gt;0,'Boletins Nuppa Site'!J1805,"NULL")</f>
        <v xml:space="preserve"> 54.00</v>
      </c>
      <c r="H1805" s="14" t="str">
        <f>IF('Boletins Nuppa Site'!K1805&lt;&gt;0,'Boletins Nuppa Site'!K1805,"NULL")</f>
        <v xml:space="preserve"> 60.00</v>
      </c>
      <c r="I1805" t="str">
        <f t="shared" si="56"/>
        <v>INSERT INTO COTACAO (cot_id, cot_blt_id, cot_pap_id, cot_prc_comum, cot_prc_min, cot_prc_max, cot_prc_med, cot_prc_mediana) VALUES (1804, 83, 14,  50.00,  58.67,  72.00,  54.00,  60.00);</v>
      </c>
      <c r="J1805" t="str">
        <f t="shared" si="57"/>
        <v>UPDATE COTACAO SET cot_id = 1804, cot_blt_id = 83, cot_pap_id = 14, cot_prc_comum =  50.00, cot_prc_min =  58.67, cot_prc_max =  72.00, cot_prc_med =  54.00, cot_prc_mediana =  60.00 WHERE cot_id = 1804;</v>
      </c>
    </row>
    <row r="1806" spans="1:10" x14ac:dyDescent="0.3">
      <c r="A1806">
        <v>1805</v>
      </c>
      <c r="B1806">
        <f>IF('Boletins Nuppa Site'!A1806&lt;&gt;0,'Boletins Nuppa Site'!A1806,"NULL")</f>
        <v>83</v>
      </c>
      <c r="C1806">
        <v>15</v>
      </c>
      <c r="D1806" t="str">
        <f>IF('Boletins Nuppa Site'!G1806&lt;&gt;0,'Boletins Nuppa Site'!G1806,"NULL")</f>
        <v xml:space="preserve"> 36.00</v>
      </c>
      <c r="E1806" s="14" t="str">
        <f>IF('Boletins Nuppa Site'!H1806&lt;&gt;0,'Boletins Nuppa Site'!H1806,"NULL")</f>
        <v xml:space="preserve"> 39.00</v>
      </c>
      <c r="F1806" s="14" t="str">
        <f>IF('Boletins Nuppa Site'!I1806&lt;&gt;0,'Boletins Nuppa Site'!I1806,"NULL")</f>
        <v xml:space="preserve"> 48.00</v>
      </c>
      <c r="G1806" s="14" t="str">
        <f>IF('Boletins Nuppa Site'!J1806&lt;&gt;0,'Boletins Nuppa Site'!J1806,"NULL")</f>
        <v xml:space="preserve"> 36.00</v>
      </c>
      <c r="H1806" s="14" t="str">
        <f>IF('Boletins Nuppa Site'!K1806&lt;&gt;0,'Boletins Nuppa Site'!K1806,"NULL")</f>
        <v xml:space="preserve"> 36.00</v>
      </c>
      <c r="I1806" t="str">
        <f t="shared" si="56"/>
        <v>INSERT INTO COTACAO (cot_id, cot_blt_id, cot_pap_id, cot_prc_comum, cot_prc_min, cot_prc_max, cot_prc_med, cot_prc_mediana) VALUES (1805, 83, 15,  36.00,  39.00,  48.00,  36.00,  36.00);</v>
      </c>
      <c r="J1806" t="str">
        <f t="shared" si="57"/>
        <v>UPDATE COTACAO SET cot_id = 1805, cot_blt_id = 83, cot_pap_id = 15, cot_prc_comum =  36.00, cot_prc_min =  39.00, cot_prc_max =  48.00, cot_prc_med =  36.00, cot_prc_mediana =  36.00 WHERE cot_id = 1805;</v>
      </c>
    </row>
    <row r="1807" spans="1:10" x14ac:dyDescent="0.3">
      <c r="A1807">
        <v>1806</v>
      </c>
      <c r="B1807">
        <f>IF('Boletins Nuppa Site'!A1807&lt;&gt;0,'Boletins Nuppa Site'!A1807,"NULL")</f>
        <v>83</v>
      </c>
      <c r="C1807">
        <v>16</v>
      </c>
      <c r="D1807" t="str">
        <f>IF('Boletins Nuppa Site'!G1807&lt;&gt;0,'Boletins Nuppa Site'!G1807,"NULL")</f>
        <v xml:space="preserve"> 42.00</v>
      </c>
      <c r="E1807" s="14" t="str">
        <f>IF('Boletins Nuppa Site'!H1807&lt;&gt;0,'Boletins Nuppa Site'!H1807,"NULL")</f>
        <v xml:space="preserve"> 48.00</v>
      </c>
      <c r="F1807" s="14" t="str">
        <f>IF('Boletins Nuppa Site'!I1807&lt;&gt;0,'Boletins Nuppa Site'!I1807,"NULL")</f>
        <v xml:space="preserve"> 48.00</v>
      </c>
      <c r="G1807" s="14" t="str">
        <f>IF('Boletins Nuppa Site'!J1807&lt;&gt;0,'Boletins Nuppa Site'!J1807,"NULL")</f>
        <v xml:space="preserve"> 46.00</v>
      </c>
      <c r="H1807" s="14" t="str">
        <f>IF('Boletins Nuppa Site'!K1807&lt;&gt;0,'Boletins Nuppa Site'!K1807,"NULL")</f>
        <v xml:space="preserve"> 48.00</v>
      </c>
      <c r="I1807" t="str">
        <f t="shared" si="56"/>
        <v>INSERT INTO COTACAO (cot_id, cot_blt_id, cot_pap_id, cot_prc_comum, cot_prc_min, cot_prc_max, cot_prc_med, cot_prc_mediana) VALUES (1806, 83, 16,  42.00,  48.00,  48.00,  46.00,  48.00);</v>
      </c>
      <c r="J1807" t="str">
        <f t="shared" si="57"/>
        <v>UPDATE COTACAO SET cot_id = 1806, cot_blt_id = 83, cot_pap_id = 16, cot_prc_comum =  42.00, cot_prc_min =  48.00, cot_prc_max =  48.00, cot_prc_med =  46.00, cot_prc_mediana =  48.00 WHERE cot_id = 1806;</v>
      </c>
    </row>
    <row r="1808" spans="1:10" x14ac:dyDescent="0.3">
      <c r="A1808">
        <v>1807</v>
      </c>
      <c r="B1808">
        <f>IF('Boletins Nuppa Site'!A1808&lt;&gt;0,'Boletins Nuppa Site'!A1808,"NULL")</f>
        <v>83</v>
      </c>
      <c r="C1808">
        <v>17</v>
      </c>
      <c r="D1808" t="str">
        <f>IF('Boletins Nuppa Site'!G1808&lt;&gt;0,'Boletins Nuppa Site'!G1808,"NULL")</f>
        <v xml:space="preserve"> 5.00</v>
      </c>
      <c r="E1808" s="14" t="str">
        <f>IF('Boletins Nuppa Site'!H1808&lt;&gt;0,'Boletins Nuppa Site'!H1808,"NULL")</f>
        <v xml:space="preserve"> 5.00</v>
      </c>
      <c r="F1808" s="14" t="str">
        <f>IF('Boletins Nuppa Site'!I1808&lt;&gt;0,'Boletins Nuppa Site'!I1808,"NULL")</f>
        <v xml:space="preserve"> 5.00</v>
      </c>
      <c r="G1808" s="14" t="str">
        <f>IF('Boletins Nuppa Site'!J1808&lt;&gt;0,'Boletins Nuppa Site'!J1808,"NULL")</f>
        <v xml:space="preserve"> 5.00</v>
      </c>
      <c r="H1808" s="14" t="str">
        <f>IF('Boletins Nuppa Site'!K1808&lt;&gt;0,'Boletins Nuppa Site'!K1808,"NULL")</f>
        <v xml:space="preserve"> 5.00</v>
      </c>
      <c r="I1808" t="str">
        <f t="shared" si="56"/>
        <v>INSERT INTO COTACAO (cot_id, cot_blt_id, cot_pap_id, cot_prc_comum, cot_prc_min, cot_prc_max, cot_prc_med, cot_prc_mediana) VALUES (1807, 83, 17,  5.00,  5.00,  5.00,  5.00,  5.00);</v>
      </c>
      <c r="J1808" t="str">
        <f t="shared" si="57"/>
        <v>UPDATE COTACAO SET cot_id = 1807, cot_blt_id = 83, cot_pap_id = 17, cot_prc_comum =  5.00, cot_prc_min =  5.00, cot_prc_max =  5.00, cot_prc_med =  5.00, cot_prc_mediana =  5.00 WHERE cot_id = 1807;</v>
      </c>
    </row>
    <row r="1809" spans="1:10" x14ac:dyDescent="0.3">
      <c r="A1809">
        <v>1808</v>
      </c>
      <c r="B1809">
        <f>IF('Boletins Nuppa Site'!A1809&lt;&gt;0,'Boletins Nuppa Site'!A1809,"NULL")</f>
        <v>83</v>
      </c>
      <c r="C1809">
        <v>18</v>
      </c>
      <c r="D1809" t="str">
        <f>IF('Boletins Nuppa Site'!G1809&lt;&gt;0,'Boletins Nuppa Site'!G1809,"NULL")</f>
        <v xml:space="preserve"> 15.00</v>
      </c>
      <c r="E1809" s="14" t="str">
        <f>IF('Boletins Nuppa Site'!H1809&lt;&gt;0,'Boletins Nuppa Site'!H1809,"NULL")</f>
        <v xml:space="preserve"> 15.00</v>
      </c>
      <c r="F1809" s="14" t="str">
        <f>IF('Boletins Nuppa Site'!I1809&lt;&gt;0,'Boletins Nuppa Site'!I1809,"NULL")</f>
        <v xml:space="preserve"> 18.00</v>
      </c>
      <c r="G1809" s="14" t="str">
        <f>IF('Boletins Nuppa Site'!J1809&lt;&gt;0,'Boletins Nuppa Site'!J1809,"NULL")</f>
        <v xml:space="preserve"> 15.75</v>
      </c>
      <c r="H1809" s="14" t="str">
        <f>IF('Boletins Nuppa Site'!K1809&lt;&gt;0,'Boletins Nuppa Site'!K1809,"NULL")</f>
        <v xml:space="preserve"> 15.00</v>
      </c>
      <c r="I1809" t="str">
        <f t="shared" si="56"/>
        <v>INSERT INTO COTACAO (cot_id, cot_blt_id, cot_pap_id, cot_prc_comum, cot_prc_min, cot_prc_max, cot_prc_med, cot_prc_mediana) VALUES (1808, 83, 18,  15.00,  15.00,  18.00,  15.75,  15.00);</v>
      </c>
      <c r="J1809" t="str">
        <f t="shared" si="57"/>
        <v>UPDATE COTACAO SET cot_id = 1808, cot_blt_id = 83, cot_pap_id = 18, cot_prc_comum =  15.00, cot_prc_min =  15.00, cot_prc_max =  18.00, cot_prc_med =  15.75, cot_prc_mediana =  15.00 WHERE cot_id = 1808;</v>
      </c>
    </row>
    <row r="1810" spans="1:10" x14ac:dyDescent="0.3">
      <c r="A1810">
        <v>1809</v>
      </c>
      <c r="B1810">
        <f>IF('Boletins Nuppa Site'!A1810&lt;&gt;0,'Boletins Nuppa Site'!A1810,"NULL")</f>
        <v>83</v>
      </c>
      <c r="C1810">
        <v>19</v>
      </c>
      <c r="D1810" t="str">
        <f>IF('Boletins Nuppa Site'!G1810&lt;&gt;0,'Boletins Nuppa Site'!G1810,"NULL")</f>
        <v xml:space="preserve"> 20.00</v>
      </c>
      <c r="E1810" s="14" t="str">
        <f>IF('Boletins Nuppa Site'!H1810&lt;&gt;0,'Boletins Nuppa Site'!H1810,"NULL")</f>
        <v xml:space="preserve"> 25.00</v>
      </c>
      <c r="F1810" s="14" t="str">
        <f>IF('Boletins Nuppa Site'!I1810&lt;&gt;0,'Boletins Nuppa Site'!I1810,"NULL")</f>
        <v xml:space="preserve"> 30.00</v>
      </c>
      <c r="G1810" s="14" t="str">
        <f>IF('Boletins Nuppa Site'!J1810&lt;&gt;0,'Boletins Nuppa Site'!J1810,"NULL")</f>
        <v xml:space="preserve"> 25.00</v>
      </c>
      <c r="H1810" s="14" t="str">
        <f>IF('Boletins Nuppa Site'!K1810&lt;&gt;0,'Boletins Nuppa Site'!K1810,"NULL")</f>
        <v xml:space="preserve"> 25.00</v>
      </c>
      <c r="I1810" t="str">
        <f t="shared" si="56"/>
        <v>INSERT INTO COTACAO (cot_id, cot_blt_id, cot_pap_id, cot_prc_comum, cot_prc_min, cot_prc_max, cot_prc_med, cot_prc_mediana) VALUES (1809, 83, 19,  20.00,  25.00,  30.00,  25.00,  25.00);</v>
      </c>
      <c r="J1810" t="str">
        <f t="shared" si="57"/>
        <v>UPDATE COTACAO SET cot_id = 1809, cot_blt_id = 83, cot_pap_id = 19, cot_prc_comum =  20.00, cot_prc_min =  25.00, cot_prc_max =  30.00, cot_prc_med =  25.00, cot_prc_mediana =  25.00 WHERE cot_id = 1809;</v>
      </c>
    </row>
    <row r="1811" spans="1:10" x14ac:dyDescent="0.3">
      <c r="A1811">
        <v>1810</v>
      </c>
      <c r="B1811">
        <f>IF('Boletins Nuppa Site'!A1811&lt;&gt;0,'Boletins Nuppa Site'!A1811,"NULL")</f>
        <v>83</v>
      </c>
      <c r="C1811">
        <v>20</v>
      </c>
      <c r="D1811" t="str">
        <f>IF('Boletins Nuppa Site'!G1811&lt;&gt;0,'Boletins Nuppa Site'!G1811,"NULL")</f>
        <v xml:space="preserve"> 65.00</v>
      </c>
      <c r="E1811" s="14" t="str">
        <f>IF('Boletins Nuppa Site'!H1811&lt;&gt;0,'Boletins Nuppa Site'!H1811,"NULL")</f>
        <v xml:space="preserve"> 75.00</v>
      </c>
      <c r="F1811" s="14" t="str">
        <f>IF('Boletins Nuppa Site'!I1811&lt;&gt;0,'Boletins Nuppa Site'!I1811,"NULL")</f>
        <v xml:space="preserve"> 80.00</v>
      </c>
      <c r="G1811" s="14" t="str">
        <f>IF('Boletins Nuppa Site'!J1811&lt;&gt;0,'Boletins Nuppa Site'!J1811,"NULL")</f>
        <v xml:space="preserve"> 73.75</v>
      </c>
      <c r="H1811" s="14" t="str">
        <f>IF('Boletins Nuppa Site'!K1811&lt;&gt;0,'Boletins Nuppa Site'!K1811,"NULL")</f>
        <v xml:space="preserve"> 75.00</v>
      </c>
      <c r="I1811" t="str">
        <f t="shared" si="56"/>
        <v>INSERT INTO COTACAO (cot_id, cot_blt_id, cot_pap_id, cot_prc_comum, cot_prc_min, cot_prc_max, cot_prc_med, cot_prc_mediana) VALUES (1810, 83, 20,  65.00,  75.00,  80.00,  73.75,  75.00);</v>
      </c>
      <c r="J1811" t="str">
        <f t="shared" si="57"/>
        <v>UPDATE COTACAO SET cot_id = 1810, cot_blt_id = 83, cot_pap_id = 20, cot_prc_comum =  65.00, cot_prc_min =  75.00, cot_prc_max =  80.00, cot_prc_med =  73.75, cot_prc_mediana =  75.00 WHERE cot_id = 1810;</v>
      </c>
    </row>
    <row r="1812" spans="1:10" x14ac:dyDescent="0.3">
      <c r="A1812">
        <v>1811</v>
      </c>
      <c r="B1812">
        <f>IF('Boletins Nuppa Site'!A1812&lt;&gt;0,'Boletins Nuppa Site'!A1812,"NULL")</f>
        <v>83</v>
      </c>
      <c r="C1812">
        <v>21</v>
      </c>
      <c r="D1812" t="str">
        <f>IF('Boletins Nuppa Site'!G1812&lt;&gt;0,'Boletins Nuppa Site'!G1812,"NULL")</f>
        <v xml:space="preserve"> 35.00</v>
      </c>
      <c r="E1812" s="14" t="str">
        <f>IF('Boletins Nuppa Site'!H1812&lt;&gt;0,'Boletins Nuppa Site'!H1812,"NULL")</f>
        <v xml:space="preserve"> 50.00</v>
      </c>
      <c r="F1812" s="14" t="str">
        <f>IF('Boletins Nuppa Site'!I1812&lt;&gt;0,'Boletins Nuppa Site'!I1812,"NULL")</f>
        <v xml:space="preserve"> 60.00</v>
      </c>
      <c r="G1812" s="14" t="str">
        <f>IF('Boletins Nuppa Site'!J1812&lt;&gt;0,'Boletins Nuppa Site'!J1812,"NULL")</f>
        <v xml:space="preserve"> 50.00</v>
      </c>
      <c r="H1812" s="14" t="str">
        <f>IF('Boletins Nuppa Site'!K1812&lt;&gt;0,'Boletins Nuppa Site'!K1812,"NULL")</f>
        <v xml:space="preserve"> 50.00</v>
      </c>
      <c r="I1812" t="str">
        <f t="shared" si="56"/>
        <v>INSERT INTO COTACAO (cot_id, cot_blt_id, cot_pap_id, cot_prc_comum, cot_prc_min, cot_prc_max, cot_prc_med, cot_prc_mediana) VALUES (1811, 83, 21,  35.00,  50.00,  60.00,  50.00,  50.00);</v>
      </c>
      <c r="J1812" t="str">
        <f t="shared" si="57"/>
        <v>UPDATE COTACAO SET cot_id = 1811, cot_blt_id = 83, cot_pap_id = 21, cot_prc_comum =  35.00, cot_prc_min =  50.00, cot_prc_max =  60.00, cot_prc_med =  50.00, cot_prc_mediana =  50.00 WHERE cot_id = 1811;</v>
      </c>
    </row>
    <row r="1813" spans="1:10" x14ac:dyDescent="0.3">
      <c r="A1813">
        <v>1812</v>
      </c>
      <c r="B1813">
        <f>IF('Boletins Nuppa Site'!A1813&lt;&gt;0,'Boletins Nuppa Site'!A1813,"NULL")</f>
        <v>83</v>
      </c>
      <c r="C1813">
        <v>22</v>
      </c>
      <c r="D1813" t="str">
        <f>IF('Boletins Nuppa Site'!G1813&lt;&gt;0,'Boletins Nuppa Site'!G1813,"NULL")</f>
        <v xml:space="preserve"> 45.00</v>
      </c>
      <c r="E1813" s="14" t="str">
        <f>IF('Boletins Nuppa Site'!H1813&lt;&gt;0,'Boletins Nuppa Site'!H1813,"NULL")</f>
        <v xml:space="preserve"> 70.00</v>
      </c>
      <c r="F1813" s="14" t="str">
        <f>IF('Boletins Nuppa Site'!I1813&lt;&gt;0,'Boletins Nuppa Site'!I1813,"NULL")</f>
        <v xml:space="preserve"> 70.00</v>
      </c>
      <c r="G1813" s="14" t="str">
        <f>IF('Boletins Nuppa Site'!J1813&lt;&gt;0,'Boletins Nuppa Site'!J1813,"NULL")</f>
        <v xml:space="preserve"> 60.83</v>
      </c>
      <c r="H1813" s="14" t="str">
        <f>IF('Boletins Nuppa Site'!K1813&lt;&gt;0,'Boletins Nuppa Site'!K1813,"NULL")</f>
        <v xml:space="preserve"> 67.50</v>
      </c>
      <c r="I1813" t="str">
        <f t="shared" si="56"/>
        <v>INSERT INTO COTACAO (cot_id, cot_blt_id, cot_pap_id, cot_prc_comum, cot_prc_min, cot_prc_max, cot_prc_med, cot_prc_mediana) VALUES (1812, 83, 22,  45.00,  70.00,  70.00,  60.83,  67.50);</v>
      </c>
      <c r="J1813" t="str">
        <f t="shared" si="57"/>
        <v>UPDATE COTACAO SET cot_id = 1812, cot_blt_id = 83, cot_pap_id = 22, cot_prc_comum =  45.00, cot_prc_min =  70.00, cot_prc_max =  70.00, cot_prc_med =  60.83, cot_prc_mediana =  67.50 WHERE cot_id = 1812;</v>
      </c>
    </row>
    <row r="1814" spans="1:10" x14ac:dyDescent="0.3">
      <c r="A1814">
        <v>1813</v>
      </c>
      <c r="B1814">
        <f>IF('Boletins Nuppa Site'!A1814&lt;&gt;0,'Boletins Nuppa Site'!A1814,"NULL")</f>
        <v>83</v>
      </c>
      <c r="C1814">
        <v>23</v>
      </c>
      <c r="D1814" t="str">
        <f>IF('Boletins Nuppa Site'!G1814&lt;&gt;0,'Boletins Nuppa Site'!G1814,"NULL")</f>
        <v xml:space="preserve"> 45.00</v>
      </c>
      <c r="E1814" s="14" t="str">
        <f>IF('Boletins Nuppa Site'!H1814&lt;&gt;0,'Boletins Nuppa Site'!H1814,"NULL")</f>
        <v xml:space="preserve"> 50.00</v>
      </c>
      <c r="F1814" s="14" t="str">
        <f>IF('Boletins Nuppa Site'!I1814&lt;&gt;0,'Boletins Nuppa Site'!I1814,"NULL")</f>
        <v xml:space="preserve"> 50.00</v>
      </c>
      <c r="G1814" s="14" t="str">
        <f>IF('Boletins Nuppa Site'!J1814&lt;&gt;0,'Boletins Nuppa Site'!J1814,"NULL")</f>
        <v xml:space="preserve"> 48.33</v>
      </c>
      <c r="H1814" s="14" t="str">
        <f>IF('Boletins Nuppa Site'!K1814&lt;&gt;0,'Boletins Nuppa Site'!K1814,"NULL")</f>
        <v xml:space="preserve"> 50.00</v>
      </c>
      <c r="I1814" t="str">
        <f t="shared" si="56"/>
        <v>INSERT INTO COTACAO (cot_id, cot_blt_id, cot_pap_id, cot_prc_comum, cot_prc_min, cot_prc_max, cot_prc_med, cot_prc_mediana) VALUES (1813, 83, 23,  45.00,  50.00,  50.00,  48.33,  50.00);</v>
      </c>
      <c r="J1814" t="str">
        <f t="shared" si="57"/>
        <v>UPDATE COTACAO SET cot_id = 1813, cot_blt_id = 83, cot_pap_id = 23, cot_prc_comum =  45.00, cot_prc_min =  50.00, cot_prc_max =  50.00, cot_prc_med =  48.33, cot_prc_mediana =  50.00 WHERE cot_id = 1813;</v>
      </c>
    </row>
    <row r="1815" spans="1:10" x14ac:dyDescent="0.3">
      <c r="A1815">
        <v>1814</v>
      </c>
      <c r="B1815">
        <f>IF('Boletins Nuppa Site'!A1815&lt;&gt;0,'Boletins Nuppa Site'!A1815,"NULL")</f>
        <v>83</v>
      </c>
      <c r="C1815">
        <v>24</v>
      </c>
      <c r="D1815" t="str">
        <f>IF('Boletins Nuppa Site'!G1815&lt;&gt;0,'Boletins Nuppa Site'!G1815,"NULL")</f>
        <v xml:space="preserve"> 60.00</v>
      </c>
      <c r="E1815" s="14" t="str">
        <f>IF('Boletins Nuppa Site'!H1815&lt;&gt;0,'Boletins Nuppa Site'!H1815,"NULL")</f>
        <v xml:space="preserve"> 70.00</v>
      </c>
      <c r="F1815" s="14" t="str">
        <f>IF('Boletins Nuppa Site'!I1815&lt;&gt;0,'Boletins Nuppa Site'!I1815,"NULL")</f>
        <v xml:space="preserve"> 80.00</v>
      </c>
      <c r="G1815" s="14" t="str">
        <f>IF('Boletins Nuppa Site'!J1815&lt;&gt;0,'Boletins Nuppa Site'!J1815,"NULL")</f>
        <v xml:space="preserve"> 70.00</v>
      </c>
      <c r="H1815" s="14" t="str">
        <f>IF('Boletins Nuppa Site'!K1815&lt;&gt;0,'Boletins Nuppa Site'!K1815,"NULL")</f>
        <v xml:space="preserve"> 70.00</v>
      </c>
      <c r="I1815" t="str">
        <f t="shared" si="56"/>
        <v>INSERT INTO COTACAO (cot_id, cot_blt_id, cot_pap_id, cot_prc_comum, cot_prc_min, cot_prc_max, cot_prc_med, cot_prc_mediana) VALUES (1814, 83, 24,  60.00,  70.00,  80.00,  70.00,  70.00);</v>
      </c>
      <c r="J1815" t="str">
        <f t="shared" si="57"/>
        <v>UPDATE COTACAO SET cot_id = 1814, cot_blt_id = 83, cot_pap_id = 24, cot_prc_comum =  60.00, cot_prc_min =  70.00, cot_prc_max =  80.00, cot_prc_med =  70.00, cot_prc_mediana =  70.00 WHERE cot_id = 1814;</v>
      </c>
    </row>
    <row r="1816" spans="1:10" x14ac:dyDescent="0.3">
      <c r="A1816">
        <v>1815</v>
      </c>
      <c r="B1816">
        <f>IF('Boletins Nuppa Site'!A1816&lt;&gt;0,'Boletins Nuppa Site'!A1816,"NULL")</f>
        <v>83</v>
      </c>
      <c r="C1816">
        <v>25</v>
      </c>
      <c r="D1816" t="str">
        <f>IF('Boletins Nuppa Site'!G1816&lt;&gt;0,'Boletins Nuppa Site'!G1816,"NULL")</f>
        <v xml:space="preserve"> 35.00</v>
      </c>
      <c r="E1816" s="14" t="str">
        <f>IF('Boletins Nuppa Site'!H1816&lt;&gt;0,'Boletins Nuppa Site'!H1816,"NULL")</f>
        <v xml:space="preserve"> 50.00</v>
      </c>
      <c r="F1816" s="14" t="str">
        <f>IF('Boletins Nuppa Site'!I1816&lt;&gt;0,'Boletins Nuppa Site'!I1816,"NULL")</f>
        <v xml:space="preserve"> 60.00</v>
      </c>
      <c r="G1816" s="14" t="str">
        <f>IF('Boletins Nuppa Site'!J1816&lt;&gt;0,'Boletins Nuppa Site'!J1816,"NULL")</f>
        <v xml:space="preserve"> 50.83</v>
      </c>
      <c r="H1816" s="14" t="str">
        <f>IF('Boletins Nuppa Site'!K1816&lt;&gt;0,'Boletins Nuppa Site'!K1816,"NULL")</f>
        <v xml:space="preserve"> 52.50</v>
      </c>
      <c r="I1816" t="str">
        <f t="shared" si="56"/>
        <v>INSERT INTO COTACAO (cot_id, cot_blt_id, cot_pap_id, cot_prc_comum, cot_prc_min, cot_prc_max, cot_prc_med, cot_prc_mediana) VALUES (1815, 83, 25,  35.00,  50.00,  60.00,  50.83,  52.50);</v>
      </c>
      <c r="J1816" t="str">
        <f t="shared" si="57"/>
        <v>UPDATE COTACAO SET cot_id = 1815, cot_blt_id = 83, cot_pap_id = 25, cot_prc_comum =  35.00, cot_prc_min =  50.00, cot_prc_max =  60.00, cot_prc_med =  50.83, cot_prc_mediana =  52.50 WHERE cot_id = 1815;</v>
      </c>
    </row>
    <row r="1817" spans="1:10" x14ac:dyDescent="0.3">
      <c r="A1817">
        <v>1816</v>
      </c>
      <c r="B1817">
        <f>IF('Boletins Nuppa Site'!A1817&lt;&gt;0,'Boletins Nuppa Site'!A1817,"NULL")</f>
        <v>83</v>
      </c>
      <c r="C1817">
        <v>26</v>
      </c>
      <c r="D1817" t="str">
        <f>IF('Boletins Nuppa Site'!G1817&lt;&gt;0,'Boletins Nuppa Site'!G1817,"NULL")</f>
        <v xml:space="preserve"> 45.00</v>
      </c>
      <c r="E1817" s="14" t="str">
        <f>IF('Boletins Nuppa Site'!H1817&lt;&gt;0,'Boletins Nuppa Site'!H1817,"NULL")</f>
        <v xml:space="preserve"> 50.00</v>
      </c>
      <c r="F1817" s="14" t="str">
        <f>IF('Boletins Nuppa Site'!I1817&lt;&gt;0,'Boletins Nuppa Site'!I1817,"NULL")</f>
        <v xml:space="preserve"> 80.00</v>
      </c>
      <c r="G1817" s="14" t="str">
        <f>IF('Boletins Nuppa Site'!J1817&lt;&gt;0,'Boletins Nuppa Site'!J1817,"NULL")</f>
        <v xml:space="preserve"> 60.00</v>
      </c>
      <c r="H1817" s="14" t="str">
        <f>IF('Boletins Nuppa Site'!K1817&lt;&gt;0,'Boletins Nuppa Site'!K1817,"NULL")</f>
        <v xml:space="preserve"> 55.00</v>
      </c>
      <c r="I1817" t="str">
        <f t="shared" si="56"/>
        <v>INSERT INTO COTACAO (cot_id, cot_blt_id, cot_pap_id, cot_prc_comum, cot_prc_min, cot_prc_max, cot_prc_med, cot_prc_mediana) VALUES (1816, 83, 26,  45.00,  50.00,  80.00,  60.00,  55.00);</v>
      </c>
      <c r="J1817" t="str">
        <f t="shared" si="57"/>
        <v>UPDATE COTACAO SET cot_id = 1816, cot_blt_id = 83, cot_pap_id = 26, cot_prc_comum =  45.00, cot_prc_min =  50.00, cot_prc_max =  80.00, cot_prc_med =  60.00, cot_prc_mediana =  55.00 WHERE cot_id = 1816;</v>
      </c>
    </row>
    <row r="1818" spans="1:10" x14ac:dyDescent="0.3">
      <c r="A1818">
        <v>1817</v>
      </c>
      <c r="B1818">
        <f>IF('Boletins Nuppa Site'!A1818&lt;&gt;0,'Boletins Nuppa Site'!A1818,"NULL")</f>
        <v>83</v>
      </c>
      <c r="C1818">
        <v>27</v>
      </c>
      <c r="D1818" t="str">
        <f>IF('Boletins Nuppa Site'!G1818&lt;&gt;0,'Boletins Nuppa Site'!G1818,"NULL")</f>
        <v xml:space="preserve"> 35.00</v>
      </c>
      <c r="E1818" s="14" t="str">
        <f>IF('Boletins Nuppa Site'!H1818&lt;&gt;0,'Boletins Nuppa Site'!H1818,"NULL")</f>
        <v xml:space="preserve"> 40.00</v>
      </c>
      <c r="F1818" s="14" t="str">
        <f>IF('Boletins Nuppa Site'!I1818&lt;&gt;0,'Boletins Nuppa Site'!I1818,"NULL")</f>
        <v xml:space="preserve"> 60.00</v>
      </c>
      <c r="G1818" s="14" t="str">
        <f>IF('Boletins Nuppa Site'!J1818&lt;&gt;0,'Boletins Nuppa Site'!J1818,"NULL")</f>
        <v xml:space="preserve"> 43.33</v>
      </c>
      <c r="H1818" s="14" t="str">
        <f>IF('Boletins Nuppa Site'!K1818&lt;&gt;0,'Boletins Nuppa Site'!K1818,"NULL")</f>
        <v xml:space="preserve"> 40.00</v>
      </c>
      <c r="I1818" t="str">
        <f t="shared" si="56"/>
        <v>INSERT INTO COTACAO (cot_id, cot_blt_id, cot_pap_id, cot_prc_comum, cot_prc_min, cot_prc_max, cot_prc_med, cot_prc_mediana) VALUES (1817, 83, 27,  35.00,  40.00,  60.00,  43.33,  40.00);</v>
      </c>
      <c r="J1818" t="str">
        <f t="shared" si="57"/>
        <v>UPDATE COTACAO SET cot_id = 1817, cot_blt_id = 83, cot_pap_id = 27, cot_prc_comum =  35.00, cot_prc_min =  40.00, cot_prc_max =  60.00, cot_prc_med =  43.33, cot_prc_mediana =  40.00 WHERE cot_id = 1817;</v>
      </c>
    </row>
    <row r="1819" spans="1:10" x14ac:dyDescent="0.3">
      <c r="A1819">
        <v>1818</v>
      </c>
      <c r="B1819">
        <f>IF('Boletins Nuppa Site'!A1819&lt;&gt;0,'Boletins Nuppa Site'!A1819,"NULL")</f>
        <v>83</v>
      </c>
      <c r="C1819">
        <v>28</v>
      </c>
      <c r="D1819" t="str">
        <f>IF('Boletins Nuppa Site'!G1819&lt;&gt;0,'Boletins Nuppa Site'!G1819,"NULL")</f>
        <v xml:space="preserve"> 70.00</v>
      </c>
      <c r="E1819" s="14" t="str">
        <f>IF('Boletins Nuppa Site'!H1819&lt;&gt;0,'Boletins Nuppa Site'!H1819,"NULL")</f>
        <v xml:space="preserve"> 80.00</v>
      </c>
      <c r="F1819" s="14" t="str">
        <f>IF('Boletins Nuppa Site'!I1819&lt;&gt;0,'Boletins Nuppa Site'!I1819,"NULL")</f>
        <v xml:space="preserve"> 110.00</v>
      </c>
      <c r="G1819" s="14" t="str">
        <f>IF('Boletins Nuppa Site'!J1819&lt;&gt;0,'Boletins Nuppa Site'!J1819,"NULL")</f>
        <v xml:space="preserve"> 82.50</v>
      </c>
      <c r="H1819" s="14" t="str">
        <f>IF('Boletins Nuppa Site'!K1819&lt;&gt;0,'Boletins Nuppa Site'!K1819,"NULL")</f>
        <v xml:space="preserve"> 80.00</v>
      </c>
      <c r="I1819" t="str">
        <f t="shared" si="56"/>
        <v>INSERT INTO COTACAO (cot_id, cot_blt_id, cot_pap_id, cot_prc_comum, cot_prc_min, cot_prc_max, cot_prc_med, cot_prc_mediana) VALUES (1818, 83, 28,  70.00,  80.00,  110.00,  82.50,  80.00);</v>
      </c>
      <c r="J1819" t="str">
        <f t="shared" si="57"/>
        <v>UPDATE COTACAO SET cot_id = 1818, cot_blt_id = 83, cot_pap_id = 28, cot_prc_comum =  70.00, cot_prc_min =  80.00, cot_prc_max =  110.00, cot_prc_med =  82.50, cot_prc_mediana =  80.00 WHERE cot_id = 1818;</v>
      </c>
    </row>
    <row r="1820" spans="1:10" x14ac:dyDescent="0.3">
      <c r="A1820">
        <v>1819</v>
      </c>
      <c r="B1820">
        <f>IF('Boletins Nuppa Site'!A1820&lt;&gt;0,'Boletins Nuppa Site'!A1820,"NULL")</f>
        <v>83</v>
      </c>
      <c r="C1820">
        <v>29</v>
      </c>
      <c r="D1820" t="str">
        <f>IF('Boletins Nuppa Site'!G1820&lt;&gt;0,'Boletins Nuppa Site'!G1820,"NULL")</f>
        <v xml:space="preserve"> 75.00</v>
      </c>
      <c r="E1820" s="14" t="str">
        <f>IF('Boletins Nuppa Site'!H1820&lt;&gt;0,'Boletins Nuppa Site'!H1820,"NULL")</f>
        <v xml:space="preserve"> 75.00</v>
      </c>
      <c r="F1820" s="14" t="str">
        <f>IF('Boletins Nuppa Site'!I1820&lt;&gt;0,'Boletins Nuppa Site'!I1820,"NULL")</f>
        <v xml:space="preserve"> 75.00</v>
      </c>
      <c r="G1820" s="14" t="str">
        <f>IF('Boletins Nuppa Site'!J1820&lt;&gt;0,'Boletins Nuppa Site'!J1820,"NULL")</f>
        <v xml:space="preserve"> 75.00</v>
      </c>
      <c r="H1820" s="14" t="str">
        <f>IF('Boletins Nuppa Site'!K1820&lt;&gt;0,'Boletins Nuppa Site'!K1820,"NULL")</f>
        <v xml:space="preserve"> 75.00</v>
      </c>
      <c r="I1820" t="str">
        <f t="shared" si="56"/>
        <v>INSERT INTO COTACAO (cot_id, cot_blt_id, cot_pap_id, cot_prc_comum, cot_prc_min, cot_prc_max, cot_prc_med, cot_prc_mediana) VALUES (1819, 83, 29,  75.00,  75.00,  75.00,  75.00,  75.00);</v>
      </c>
      <c r="J1820" t="str">
        <f t="shared" si="57"/>
        <v>UPDATE COTACAO SET cot_id = 1819, cot_blt_id = 83, cot_pap_id = 29, cot_prc_comum =  75.00, cot_prc_min =  75.00, cot_prc_max =  75.00, cot_prc_med =  75.00, cot_prc_mediana =  75.00 WHERE cot_id = 1819;</v>
      </c>
    </row>
    <row r="1821" spans="1:10" x14ac:dyDescent="0.3">
      <c r="A1821">
        <v>1820</v>
      </c>
      <c r="B1821">
        <f>IF('Boletins Nuppa Site'!A1821&lt;&gt;0,'Boletins Nuppa Site'!A1821,"NULL")</f>
        <v>83</v>
      </c>
      <c r="C1821">
        <v>30</v>
      </c>
      <c r="D1821" t="str">
        <f>IF('Boletins Nuppa Site'!G1821&lt;&gt;0,'Boletins Nuppa Site'!G1821,"NULL")</f>
        <v xml:space="preserve"> 45.00</v>
      </c>
      <c r="E1821" s="14" t="str">
        <f>IF('Boletins Nuppa Site'!H1821&lt;&gt;0,'Boletins Nuppa Site'!H1821,"NULL")</f>
        <v xml:space="preserve"> 50.00</v>
      </c>
      <c r="F1821" s="14" t="str">
        <f>IF('Boletins Nuppa Site'!I1821&lt;&gt;0,'Boletins Nuppa Site'!I1821,"NULL")</f>
        <v xml:space="preserve"> 60.00</v>
      </c>
      <c r="G1821" s="14" t="str">
        <f>IF('Boletins Nuppa Site'!J1821&lt;&gt;0,'Boletins Nuppa Site'!J1821,"NULL")</f>
        <v xml:space="preserve"> 51.25</v>
      </c>
      <c r="H1821" s="14" t="str">
        <f>IF('Boletins Nuppa Site'!K1821&lt;&gt;0,'Boletins Nuppa Site'!K1821,"NULL")</f>
        <v xml:space="preserve"> 50.00</v>
      </c>
      <c r="I1821" t="str">
        <f t="shared" si="56"/>
        <v>INSERT INTO COTACAO (cot_id, cot_blt_id, cot_pap_id, cot_prc_comum, cot_prc_min, cot_prc_max, cot_prc_med, cot_prc_mediana) VALUES (1820, 83, 30,  45.00,  50.00,  60.00,  51.25,  50.00);</v>
      </c>
      <c r="J1821" t="str">
        <f t="shared" si="57"/>
        <v>UPDATE COTACAO SET cot_id = 1820, cot_blt_id = 83, cot_pap_id = 30, cot_prc_comum =  45.00, cot_prc_min =  50.00, cot_prc_max =  60.00, cot_prc_med =  51.25, cot_prc_mediana =  50.00 WHERE cot_id = 1820;</v>
      </c>
    </row>
    <row r="1822" spans="1:10" x14ac:dyDescent="0.3">
      <c r="A1822">
        <v>1821</v>
      </c>
      <c r="B1822">
        <f>IF('Boletins Nuppa Site'!A1822&lt;&gt;0,'Boletins Nuppa Site'!A1822,"NULL")</f>
        <v>83</v>
      </c>
      <c r="C1822">
        <v>31</v>
      </c>
      <c r="D1822" t="str">
        <f>IF('Boletins Nuppa Site'!G1822&lt;&gt;0,'Boletins Nuppa Site'!G1822,"NULL")</f>
        <v xml:space="preserve"> 80.00</v>
      </c>
      <c r="E1822" s="14" t="str">
        <f>IF('Boletins Nuppa Site'!H1822&lt;&gt;0,'Boletins Nuppa Site'!H1822,"NULL")</f>
        <v xml:space="preserve"> 80.00</v>
      </c>
      <c r="F1822" s="14" t="str">
        <f>IF('Boletins Nuppa Site'!I1822&lt;&gt;0,'Boletins Nuppa Site'!I1822,"NULL")</f>
        <v xml:space="preserve"> 90.00</v>
      </c>
      <c r="G1822" s="14" t="str">
        <f>IF('Boletins Nuppa Site'!J1822&lt;&gt;0,'Boletins Nuppa Site'!J1822,"NULL")</f>
        <v xml:space="preserve"> 85.00</v>
      </c>
      <c r="H1822" s="14" t="str">
        <f>IF('Boletins Nuppa Site'!K1822&lt;&gt;0,'Boletins Nuppa Site'!K1822,"NULL")</f>
        <v xml:space="preserve"> 85.00</v>
      </c>
      <c r="I1822" t="str">
        <f t="shared" si="56"/>
        <v>INSERT INTO COTACAO (cot_id, cot_blt_id, cot_pap_id, cot_prc_comum, cot_prc_min, cot_prc_max, cot_prc_med, cot_prc_mediana) VALUES (1821, 83, 31,  80.00,  80.00,  90.00,  85.00,  85.00);</v>
      </c>
      <c r="J1822" t="str">
        <f t="shared" si="57"/>
        <v>UPDATE COTACAO SET cot_id = 1821, cot_blt_id = 83, cot_pap_id = 31, cot_prc_comum =  80.00, cot_prc_min =  80.00, cot_prc_max =  90.00, cot_prc_med =  85.00, cot_prc_mediana =  85.00 WHERE cot_id = 1821;</v>
      </c>
    </row>
    <row r="1823" spans="1:10" x14ac:dyDescent="0.3">
      <c r="A1823">
        <v>1822</v>
      </c>
      <c r="B1823">
        <f>IF('Boletins Nuppa Site'!A1823&lt;&gt;0,'Boletins Nuppa Site'!A1823,"NULL")</f>
        <v>83</v>
      </c>
      <c r="C1823">
        <v>32</v>
      </c>
      <c r="D1823" t="str">
        <f>IF('Boletins Nuppa Site'!G1823&lt;&gt;0,'Boletins Nuppa Site'!G1823,"NULL")</f>
        <v xml:space="preserve"> 30.00</v>
      </c>
      <c r="E1823" s="14" t="str">
        <f>IF('Boletins Nuppa Site'!H1823&lt;&gt;0,'Boletins Nuppa Site'!H1823,"NULL")</f>
        <v xml:space="preserve"> 40.00</v>
      </c>
      <c r="F1823" s="14" t="str">
        <f>IF('Boletins Nuppa Site'!I1823&lt;&gt;0,'Boletins Nuppa Site'!I1823,"NULL")</f>
        <v xml:space="preserve"> 50.00</v>
      </c>
      <c r="G1823" s="14" t="str">
        <f>IF('Boletins Nuppa Site'!J1823&lt;&gt;0,'Boletins Nuppa Site'!J1823,"NULL")</f>
        <v xml:space="preserve"> 42.50</v>
      </c>
      <c r="H1823" s="14" t="str">
        <f>IF('Boletins Nuppa Site'!K1823&lt;&gt;0,'Boletins Nuppa Site'!K1823,"NULL")</f>
        <v xml:space="preserve"> 42.50</v>
      </c>
      <c r="I1823" t="str">
        <f t="shared" si="56"/>
        <v>INSERT INTO COTACAO (cot_id, cot_blt_id, cot_pap_id, cot_prc_comum, cot_prc_min, cot_prc_max, cot_prc_med, cot_prc_mediana) VALUES (1822, 83, 32,  30.00,  40.00,  50.00,  42.50,  42.50);</v>
      </c>
      <c r="J1823" t="str">
        <f t="shared" si="57"/>
        <v>UPDATE COTACAO SET cot_id = 1822, cot_blt_id = 83, cot_pap_id = 32, cot_prc_comum =  30.00, cot_prc_min =  40.00, cot_prc_max =  50.00, cot_prc_med =  42.50, cot_prc_mediana =  42.50 WHERE cot_id = 1822;</v>
      </c>
    </row>
    <row r="1824" spans="1:10" x14ac:dyDescent="0.3">
      <c r="A1824">
        <v>1823</v>
      </c>
      <c r="B1824">
        <f>IF('Boletins Nuppa Site'!A1824&lt;&gt;0,'Boletins Nuppa Site'!A1824,"NULL")</f>
        <v>83</v>
      </c>
      <c r="C1824">
        <v>33</v>
      </c>
      <c r="D1824" t="str">
        <f>IF('Boletins Nuppa Site'!G1824&lt;&gt;0,'Boletins Nuppa Site'!G1824,"NULL")</f>
        <v xml:space="preserve"> 90.00</v>
      </c>
      <c r="E1824" s="14" t="str">
        <f>IF('Boletins Nuppa Site'!H1824&lt;&gt;0,'Boletins Nuppa Site'!H1824,"NULL")</f>
        <v xml:space="preserve"> 120.00</v>
      </c>
      <c r="F1824" s="14" t="str">
        <f>IF('Boletins Nuppa Site'!I1824&lt;&gt;0,'Boletins Nuppa Site'!I1824,"NULL")</f>
        <v xml:space="preserve"> 140.00</v>
      </c>
      <c r="G1824" s="14" t="str">
        <f>IF('Boletins Nuppa Site'!J1824&lt;&gt;0,'Boletins Nuppa Site'!J1824,"NULL")</f>
        <v xml:space="preserve"> 116.67</v>
      </c>
      <c r="H1824" s="14" t="str">
        <f>IF('Boletins Nuppa Site'!K1824&lt;&gt;0,'Boletins Nuppa Site'!K1824,"NULL")</f>
        <v xml:space="preserve"> 120.00</v>
      </c>
      <c r="I1824" t="str">
        <f t="shared" si="56"/>
        <v>INSERT INTO COTACAO (cot_id, cot_blt_id, cot_pap_id, cot_prc_comum, cot_prc_min, cot_prc_max, cot_prc_med, cot_prc_mediana) VALUES (1823, 83, 33,  90.00,  120.00,  140.00,  116.67,  120.00);</v>
      </c>
      <c r="J1824" t="str">
        <f t="shared" si="57"/>
        <v>UPDATE COTACAO SET cot_id = 1823, cot_blt_id = 83, cot_pap_id = 33, cot_prc_comum =  90.00, cot_prc_min =  120.00, cot_prc_max =  140.00, cot_prc_med =  116.67, cot_prc_mediana =  120.00 WHERE cot_id = 1823;</v>
      </c>
    </row>
    <row r="1825" spans="1:10" x14ac:dyDescent="0.3">
      <c r="A1825">
        <v>1824</v>
      </c>
      <c r="B1825">
        <f>IF('Boletins Nuppa Site'!A1825&lt;&gt;0,'Boletins Nuppa Site'!A1825,"NULL")</f>
        <v>83</v>
      </c>
      <c r="C1825">
        <v>34</v>
      </c>
      <c r="D1825" t="str">
        <f>IF('Boletins Nuppa Site'!G1825&lt;&gt;0,'Boletins Nuppa Site'!G1825,"NULL")</f>
        <v xml:space="preserve"> 60.00</v>
      </c>
      <c r="E1825" s="14" t="str">
        <f>IF('Boletins Nuppa Site'!H1825&lt;&gt;0,'Boletins Nuppa Site'!H1825,"NULL")</f>
        <v xml:space="preserve"> 60.00</v>
      </c>
      <c r="F1825" s="14" t="str">
        <f>IF('Boletins Nuppa Site'!I1825&lt;&gt;0,'Boletins Nuppa Site'!I1825,"NULL")</f>
        <v xml:space="preserve"> 80.00</v>
      </c>
      <c r="G1825" s="14" t="str">
        <f>IF('Boletins Nuppa Site'!J1825&lt;&gt;0,'Boletins Nuppa Site'!J1825,"NULL")</f>
        <v xml:space="preserve"> 67.50</v>
      </c>
      <c r="H1825" s="14" t="str">
        <f>IF('Boletins Nuppa Site'!K1825&lt;&gt;0,'Boletins Nuppa Site'!K1825,"NULL")</f>
        <v xml:space="preserve"> 67.50</v>
      </c>
      <c r="I1825" t="str">
        <f t="shared" si="56"/>
        <v>INSERT INTO COTACAO (cot_id, cot_blt_id, cot_pap_id, cot_prc_comum, cot_prc_min, cot_prc_max, cot_prc_med, cot_prc_mediana) VALUES (1824, 83, 34,  60.00,  60.00,  80.00,  67.50,  67.50);</v>
      </c>
      <c r="J1825" t="str">
        <f t="shared" si="57"/>
        <v>UPDATE COTACAO SET cot_id = 1824, cot_blt_id = 83, cot_pap_id = 34, cot_prc_comum =  60.00, cot_prc_min =  60.00, cot_prc_max =  80.00, cot_prc_med =  67.50, cot_prc_mediana =  67.50 WHERE cot_id = 1824;</v>
      </c>
    </row>
    <row r="1826" spans="1:10" x14ac:dyDescent="0.3">
      <c r="A1826">
        <v>1825</v>
      </c>
      <c r="B1826">
        <f>IF('Boletins Nuppa Site'!A1826&lt;&gt;0,'Boletins Nuppa Site'!A1826,"NULL")</f>
        <v>83</v>
      </c>
      <c r="C1826">
        <v>35</v>
      </c>
      <c r="D1826" t="str">
        <f>IF('Boletins Nuppa Site'!G1826&lt;&gt;0,'Boletins Nuppa Site'!G1826,"NULL")</f>
        <v xml:space="preserve"> 110.00</v>
      </c>
      <c r="E1826" s="14" t="str">
        <f>IF('Boletins Nuppa Site'!H1826&lt;&gt;0,'Boletins Nuppa Site'!H1826,"NULL")</f>
        <v xml:space="preserve"> 140.00</v>
      </c>
      <c r="F1826" s="14" t="str">
        <f>IF('Boletins Nuppa Site'!I1826&lt;&gt;0,'Boletins Nuppa Site'!I1826,"NULL")</f>
        <v xml:space="preserve"> 160.00</v>
      </c>
      <c r="G1826" s="14" t="str">
        <f>IF('Boletins Nuppa Site'!J1826&lt;&gt;0,'Boletins Nuppa Site'!J1826,"NULL")</f>
        <v xml:space="preserve"> 138.00</v>
      </c>
      <c r="H1826" s="14" t="str">
        <f>IF('Boletins Nuppa Site'!K1826&lt;&gt;0,'Boletins Nuppa Site'!K1826,"NULL")</f>
        <v xml:space="preserve"> 140.00</v>
      </c>
      <c r="I1826" t="str">
        <f t="shared" si="56"/>
        <v>INSERT INTO COTACAO (cot_id, cot_blt_id, cot_pap_id, cot_prc_comum, cot_prc_min, cot_prc_max, cot_prc_med, cot_prc_mediana) VALUES (1825, 83, 35,  110.00,  140.00,  160.00,  138.00,  140.00);</v>
      </c>
      <c r="J1826" t="str">
        <f t="shared" si="57"/>
        <v>UPDATE COTACAO SET cot_id = 1825, cot_blt_id = 83, cot_pap_id = 35, cot_prc_comum =  110.00, cot_prc_min =  140.00, cot_prc_max =  160.00, cot_prc_med =  138.00, cot_prc_mediana =  140.00 WHERE cot_id = 1825;</v>
      </c>
    </row>
    <row r="1827" spans="1:10" x14ac:dyDescent="0.3">
      <c r="A1827">
        <v>1826</v>
      </c>
      <c r="B1827">
        <f>IF('Boletins Nuppa Site'!A1827&lt;&gt;0,'Boletins Nuppa Site'!A1827,"NULL")</f>
        <v>83</v>
      </c>
      <c r="C1827">
        <v>36</v>
      </c>
      <c r="D1827" t="str">
        <f>IF('Boletins Nuppa Site'!G1827&lt;&gt;0,'Boletins Nuppa Site'!G1827,"NULL")</f>
        <v>NULL</v>
      </c>
      <c r="E1827" s="14" t="str">
        <f>IF('Boletins Nuppa Site'!H1827&lt;&gt;0,'Boletins Nuppa Site'!H1827,"NULL")</f>
        <v>NULL</v>
      </c>
      <c r="F1827" s="14" t="str">
        <f>IF('Boletins Nuppa Site'!I1827&lt;&gt;0,'Boletins Nuppa Site'!I1827,"NULL")</f>
        <v>NULL</v>
      </c>
      <c r="G1827" s="14" t="str">
        <f>IF('Boletins Nuppa Site'!J1827&lt;&gt;0,'Boletins Nuppa Site'!J1827,"NULL")</f>
        <v>NULL</v>
      </c>
      <c r="H1827" s="14" t="str">
        <f>IF('Boletins Nuppa Site'!K1827&lt;&gt;0,'Boletins Nuppa Site'!K1827,"NULL")</f>
        <v>NULL</v>
      </c>
      <c r="I1827" t="str">
        <f t="shared" si="56"/>
        <v>INSERT INTO COTACAO (cot_id, cot_blt_id, cot_pap_id, cot_prc_comum, cot_prc_min, cot_prc_max, cot_prc_med, cot_prc_mediana) VALUES (1826, 83, 36, NULL, NULL, NULL, NULL, NULL);</v>
      </c>
      <c r="J1827" t="str">
        <f t="shared" si="57"/>
        <v>UPDATE COTACAO SET cot_id = 1826, cot_blt_id = 83, cot_pap_id = 36, cot_prc_comum = NULL, cot_prc_min = NULL, cot_prc_max = NULL, cot_prc_med = NULL, cot_prc_mediana = NULL WHERE cot_id = 1826;</v>
      </c>
    </row>
    <row r="1828" spans="1:10" x14ac:dyDescent="0.3">
      <c r="A1828">
        <v>1827</v>
      </c>
      <c r="B1828">
        <f>IF('Boletins Nuppa Site'!A1828&lt;&gt;0,'Boletins Nuppa Site'!A1828,"NULL")</f>
        <v>83</v>
      </c>
      <c r="C1828">
        <v>37</v>
      </c>
      <c r="D1828" t="str">
        <f>IF('Boletins Nuppa Site'!G1828&lt;&gt;0,'Boletins Nuppa Site'!G1828,"NULL")</f>
        <v>NULL</v>
      </c>
      <c r="E1828" s="14" t="str">
        <f>IF('Boletins Nuppa Site'!H1828&lt;&gt;0,'Boletins Nuppa Site'!H1828,"NULL")</f>
        <v>NULL</v>
      </c>
      <c r="F1828" s="14" t="str">
        <f>IF('Boletins Nuppa Site'!I1828&lt;&gt;0,'Boletins Nuppa Site'!I1828,"NULL")</f>
        <v>NULL</v>
      </c>
      <c r="G1828" s="14" t="str">
        <f>IF('Boletins Nuppa Site'!J1828&lt;&gt;0,'Boletins Nuppa Site'!J1828,"NULL")</f>
        <v>NULL</v>
      </c>
      <c r="H1828" s="14" t="str">
        <f>IF('Boletins Nuppa Site'!K1828&lt;&gt;0,'Boletins Nuppa Site'!K1828,"NULL")</f>
        <v>NULL</v>
      </c>
      <c r="I1828" t="str">
        <f t="shared" si="56"/>
        <v>INSERT INTO COTACAO (cot_id, cot_blt_id, cot_pap_id, cot_prc_comum, cot_prc_min, cot_prc_max, cot_prc_med, cot_prc_mediana) VALUES (1827, 83, 37, NULL, NULL, NULL, NULL, NULL);</v>
      </c>
      <c r="J1828" t="str">
        <f t="shared" si="57"/>
        <v>UPDATE COTACAO SET cot_id = 1827, cot_blt_id = 83, cot_pap_id = 37, cot_prc_comum = NULL, cot_prc_min = NULL, cot_prc_max = NULL, cot_prc_med = NULL, cot_prc_mediana = NULL WHERE cot_id = 1827;</v>
      </c>
    </row>
    <row r="1829" spans="1:10" x14ac:dyDescent="0.3">
      <c r="A1829">
        <v>1828</v>
      </c>
      <c r="B1829">
        <f>IF('Boletins Nuppa Site'!A1829&lt;&gt;0,'Boletins Nuppa Site'!A1829,"NULL")</f>
        <v>83</v>
      </c>
      <c r="C1829">
        <v>38</v>
      </c>
      <c r="D1829" t="str">
        <f>IF('Boletins Nuppa Site'!G1829&lt;&gt;0,'Boletins Nuppa Site'!G1829,"NULL")</f>
        <v>NULL</v>
      </c>
      <c r="E1829" s="14" t="str">
        <f>IF('Boletins Nuppa Site'!H1829&lt;&gt;0,'Boletins Nuppa Site'!H1829,"NULL")</f>
        <v>NULL</v>
      </c>
      <c r="F1829" s="14" t="str">
        <f>IF('Boletins Nuppa Site'!I1829&lt;&gt;0,'Boletins Nuppa Site'!I1829,"NULL")</f>
        <v>NULL</v>
      </c>
      <c r="G1829" s="14" t="str">
        <f>IF('Boletins Nuppa Site'!J1829&lt;&gt;0,'Boletins Nuppa Site'!J1829,"NULL")</f>
        <v>NULL</v>
      </c>
      <c r="H1829" s="14" t="str">
        <f>IF('Boletins Nuppa Site'!K1829&lt;&gt;0,'Boletins Nuppa Site'!K1829,"NULL")</f>
        <v>NULL</v>
      </c>
      <c r="I1829" t="str">
        <f t="shared" si="56"/>
        <v>INSERT INTO COTACAO (cot_id, cot_blt_id, cot_pap_id, cot_prc_comum, cot_prc_min, cot_prc_max, cot_prc_med, cot_prc_mediana) VALUES (1828, 83, 38, NULL, NULL, NULL, NULL, NULL);</v>
      </c>
      <c r="J1829" t="str">
        <f t="shared" si="57"/>
        <v>UPDATE COTACAO SET cot_id = 1828, cot_blt_id = 83, cot_pap_id = 38, cot_prc_comum = NULL, cot_prc_min = NULL, cot_prc_max = NULL, cot_prc_med = NULL, cot_prc_mediana = NULL WHERE cot_id = 1828;</v>
      </c>
    </row>
    <row r="1830" spans="1:10" x14ac:dyDescent="0.3">
      <c r="A1830">
        <v>1829</v>
      </c>
      <c r="B1830">
        <f>IF('Boletins Nuppa Site'!A1830&lt;&gt;0,'Boletins Nuppa Site'!A1830,"NULL")</f>
        <v>83</v>
      </c>
      <c r="C1830">
        <v>39</v>
      </c>
      <c r="D1830" t="str">
        <f>IF('Boletins Nuppa Site'!G1830&lt;&gt;0,'Boletins Nuppa Site'!G1830,"NULL")</f>
        <v xml:space="preserve"> 60.00</v>
      </c>
      <c r="E1830" s="14" t="str">
        <f>IF('Boletins Nuppa Site'!H1830&lt;&gt;0,'Boletins Nuppa Site'!H1830,"NULL")</f>
        <v xml:space="preserve"> 60.00</v>
      </c>
      <c r="F1830" s="14" t="str">
        <f>IF('Boletins Nuppa Site'!I1830&lt;&gt;0,'Boletins Nuppa Site'!I1830,"NULL")</f>
        <v xml:space="preserve"> 60.00</v>
      </c>
      <c r="G1830" s="14" t="str">
        <f>IF('Boletins Nuppa Site'!J1830&lt;&gt;0,'Boletins Nuppa Site'!J1830,"NULL")</f>
        <v xml:space="preserve"> 60.00</v>
      </c>
      <c r="H1830" s="14" t="str">
        <f>IF('Boletins Nuppa Site'!K1830&lt;&gt;0,'Boletins Nuppa Site'!K1830,"NULL")</f>
        <v xml:space="preserve"> 60.00</v>
      </c>
      <c r="I1830" t="str">
        <f t="shared" si="56"/>
        <v>INSERT INTO COTACAO (cot_id, cot_blt_id, cot_pap_id, cot_prc_comum, cot_prc_min, cot_prc_max, cot_prc_med, cot_prc_mediana) VALUES (1829, 83, 39,  60.00,  60.00,  60.00,  60.00,  60.00);</v>
      </c>
      <c r="J1830" t="str">
        <f t="shared" si="57"/>
        <v>UPDATE COTACAO SET cot_id = 1829, cot_blt_id = 83, cot_pap_id = 39, cot_prc_comum =  60.00, cot_prc_min =  60.00, cot_prc_max =  60.00, cot_prc_med =  60.00, cot_prc_mediana =  60.00 WHERE cot_id = 1829;</v>
      </c>
    </row>
    <row r="1831" spans="1:10" x14ac:dyDescent="0.3">
      <c r="A1831">
        <v>1830</v>
      </c>
      <c r="B1831">
        <f>IF('Boletins Nuppa Site'!A1831&lt;&gt;0,'Boletins Nuppa Site'!A1831,"NULL")</f>
        <v>83</v>
      </c>
      <c r="C1831">
        <v>40</v>
      </c>
      <c r="D1831" t="str">
        <f>IF('Boletins Nuppa Site'!G1831&lt;&gt;0,'Boletins Nuppa Site'!G1831,"NULL")</f>
        <v>NULL</v>
      </c>
      <c r="E1831" s="14" t="str">
        <f>IF('Boletins Nuppa Site'!H1831&lt;&gt;0,'Boletins Nuppa Site'!H1831,"NULL")</f>
        <v>NULL</v>
      </c>
      <c r="F1831" s="14" t="str">
        <f>IF('Boletins Nuppa Site'!I1831&lt;&gt;0,'Boletins Nuppa Site'!I1831,"NULL")</f>
        <v>NULL</v>
      </c>
      <c r="G1831" s="14" t="str">
        <f>IF('Boletins Nuppa Site'!J1831&lt;&gt;0,'Boletins Nuppa Site'!J1831,"NULL")</f>
        <v>NULL</v>
      </c>
      <c r="H1831" s="14" t="str">
        <f>IF('Boletins Nuppa Site'!K1831&lt;&gt;0,'Boletins Nuppa Site'!K1831,"NULL")</f>
        <v>NULL</v>
      </c>
      <c r="I1831" t="str">
        <f t="shared" si="56"/>
        <v>INSERT INTO COTACAO (cot_id, cot_blt_id, cot_pap_id, cot_prc_comum, cot_prc_min, cot_prc_max, cot_prc_med, cot_prc_mediana) VALUES (1830, 83, 40, NULL, NULL, NULL, NULL, NULL);</v>
      </c>
      <c r="J1831" t="str">
        <f t="shared" si="57"/>
        <v>UPDATE COTACAO SET cot_id = 1830, cot_blt_id = 83, cot_pap_id = 40, cot_prc_comum = NULL, cot_prc_min = NULL, cot_prc_max = NULL, cot_prc_med = NULL, cot_prc_mediana = NULL WHERE cot_id = 1830;</v>
      </c>
    </row>
    <row r="1832" spans="1:10" x14ac:dyDescent="0.3">
      <c r="A1832">
        <v>1831</v>
      </c>
      <c r="B1832">
        <f>IF('Boletins Nuppa Site'!A1832&lt;&gt;0,'Boletins Nuppa Site'!A1832,"NULL")</f>
        <v>84</v>
      </c>
      <c r="C1832">
        <v>1</v>
      </c>
      <c r="D1832" t="str">
        <f>IF('Boletins Nuppa Site'!G1832&lt;&gt;0,'Boletins Nuppa Site'!G1832,"NULL")</f>
        <v xml:space="preserve"> 48.00</v>
      </c>
      <c r="E1832" s="14" t="str">
        <f>IF('Boletins Nuppa Site'!H1832&lt;&gt;0,'Boletins Nuppa Site'!H1832,"NULL")</f>
        <v xml:space="preserve"> 48.00</v>
      </c>
      <c r="F1832" s="14" t="str">
        <f>IF('Boletins Nuppa Site'!I1832&lt;&gt;0,'Boletins Nuppa Site'!I1832,"NULL")</f>
        <v xml:space="preserve"> 72.00</v>
      </c>
      <c r="G1832" s="14" t="str">
        <f>IF('Boletins Nuppa Site'!J1832&lt;&gt;0,'Boletins Nuppa Site'!J1832,"NULL")</f>
        <v xml:space="preserve"> 60.00</v>
      </c>
      <c r="H1832" s="14" t="str">
        <f>IF('Boletins Nuppa Site'!K1832&lt;&gt;0,'Boletins Nuppa Site'!K1832,"NULL")</f>
        <v xml:space="preserve"> 60.00</v>
      </c>
      <c r="I1832" t="str">
        <f t="shared" si="56"/>
        <v>INSERT INTO COTACAO (cot_id, cot_blt_id, cot_pap_id, cot_prc_comum, cot_prc_min, cot_prc_max, cot_prc_med, cot_prc_mediana) VALUES (1831, 84, 1,  48.00,  48.00,  72.00,  60.00,  60.00);</v>
      </c>
      <c r="J1832" t="str">
        <f t="shared" si="57"/>
        <v>UPDATE COTACAO SET cot_id = 1831, cot_blt_id = 84, cot_pap_id = 1, cot_prc_comum =  48.00, cot_prc_min =  48.00, cot_prc_max =  72.00, cot_prc_med =  60.00, cot_prc_mediana =  60.00 WHERE cot_id = 1831;</v>
      </c>
    </row>
    <row r="1833" spans="1:10" x14ac:dyDescent="0.3">
      <c r="A1833">
        <v>1832</v>
      </c>
      <c r="B1833">
        <f>IF('Boletins Nuppa Site'!A1833&lt;&gt;0,'Boletins Nuppa Site'!A1833,"NULL")</f>
        <v>84</v>
      </c>
      <c r="C1833">
        <v>2</v>
      </c>
      <c r="D1833" t="str">
        <f>IF('Boletins Nuppa Site'!G1833&lt;&gt;0,'Boletins Nuppa Site'!G1833,"NULL")</f>
        <v xml:space="preserve"> 72.00</v>
      </c>
      <c r="E1833" s="14" t="str">
        <f>IF('Boletins Nuppa Site'!H1833&lt;&gt;0,'Boletins Nuppa Site'!H1833,"NULL")</f>
        <v xml:space="preserve"> 72.00</v>
      </c>
      <c r="F1833" s="14" t="str">
        <f>IF('Boletins Nuppa Site'!I1833&lt;&gt;0,'Boletins Nuppa Site'!I1833,"NULL")</f>
        <v xml:space="preserve"> 96.00</v>
      </c>
      <c r="G1833" s="14" t="str">
        <f>IF('Boletins Nuppa Site'!J1833&lt;&gt;0,'Boletins Nuppa Site'!J1833,"NULL")</f>
        <v xml:space="preserve"> 81.00</v>
      </c>
      <c r="H1833" s="14" t="str">
        <f>IF('Boletins Nuppa Site'!K1833&lt;&gt;0,'Boletins Nuppa Site'!K1833,"NULL")</f>
        <v xml:space="preserve"> 78.00</v>
      </c>
      <c r="I1833" t="str">
        <f t="shared" si="56"/>
        <v>INSERT INTO COTACAO (cot_id, cot_blt_id, cot_pap_id, cot_prc_comum, cot_prc_min, cot_prc_max, cot_prc_med, cot_prc_mediana) VALUES (1832, 84, 2,  72.00,  72.00,  96.00,  81.00,  78.00);</v>
      </c>
      <c r="J1833" t="str">
        <f t="shared" si="57"/>
        <v>UPDATE COTACAO SET cot_id = 1832, cot_blt_id = 84, cot_pap_id = 2, cot_prc_comum =  72.00, cot_prc_min =  72.00, cot_prc_max =  96.00, cot_prc_med =  81.00, cot_prc_mediana =  78.00 WHERE cot_id = 1832;</v>
      </c>
    </row>
    <row r="1834" spans="1:10" x14ac:dyDescent="0.3">
      <c r="A1834">
        <v>1833</v>
      </c>
      <c r="B1834">
        <f>IF('Boletins Nuppa Site'!A1834&lt;&gt;0,'Boletins Nuppa Site'!A1834,"NULL")</f>
        <v>84</v>
      </c>
      <c r="C1834">
        <v>3</v>
      </c>
      <c r="D1834" t="str">
        <f>IF('Boletins Nuppa Site'!G1834&lt;&gt;0,'Boletins Nuppa Site'!G1834,"NULL")</f>
        <v xml:space="preserve"> 36.00</v>
      </c>
      <c r="E1834" s="14" t="str">
        <f>IF('Boletins Nuppa Site'!H1834&lt;&gt;0,'Boletins Nuppa Site'!H1834,"NULL")</f>
        <v xml:space="preserve"> 48.00</v>
      </c>
      <c r="F1834" s="14" t="str">
        <f>IF('Boletins Nuppa Site'!I1834&lt;&gt;0,'Boletins Nuppa Site'!I1834,"NULL")</f>
        <v xml:space="preserve"> 60.00</v>
      </c>
      <c r="G1834" s="14" t="str">
        <f>IF('Boletins Nuppa Site'!J1834&lt;&gt;0,'Boletins Nuppa Site'!J1834,"NULL")</f>
        <v xml:space="preserve"> 46.80</v>
      </c>
      <c r="H1834" s="14" t="str">
        <f>IF('Boletins Nuppa Site'!K1834&lt;&gt;0,'Boletins Nuppa Site'!K1834,"NULL")</f>
        <v xml:space="preserve"> 48.00</v>
      </c>
      <c r="I1834" t="str">
        <f t="shared" si="56"/>
        <v>INSERT INTO COTACAO (cot_id, cot_blt_id, cot_pap_id, cot_prc_comum, cot_prc_min, cot_prc_max, cot_prc_med, cot_prc_mediana) VALUES (1833, 84, 3,  36.00,  48.00,  60.00,  46.80,  48.00);</v>
      </c>
      <c r="J1834" t="str">
        <f t="shared" si="57"/>
        <v>UPDATE COTACAO SET cot_id = 1833, cot_blt_id = 84, cot_pap_id = 3, cot_prc_comum =  36.00, cot_prc_min =  48.00, cot_prc_max =  60.00, cot_prc_med =  46.80, cot_prc_mediana =  48.00 WHERE cot_id = 1833;</v>
      </c>
    </row>
    <row r="1835" spans="1:10" x14ac:dyDescent="0.3">
      <c r="A1835">
        <v>1834</v>
      </c>
      <c r="B1835">
        <f>IF('Boletins Nuppa Site'!A1835&lt;&gt;0,'Boletins Nuppa Site'!A1835,"NULL")</f>
        <v>84</v>
      </c>
      <c r="C1835">
        <v>4</v>
      </c>
      <c r="D1835" t="str">
        <f>IF('Boletins Nuppa Site'!G1835&lt;&gt;0,'Boletins Nuppa Site'!G1835,"NULL")</f>
        <v xml:space="preserve"> 24.00</v>
      </c>
      <c r="E1835" s="14" t="str">
        <f>IF('Boletins Nuppa Site'!H1835&lt;&gt;0,'Boletins Nuppa Site'!H1835,"NULL")</f>
        <v xml:space="preserve"> 30.00</v>
      </c>
      <c r="F1835" s="14" t="str">
        <f>IF('Boletins Nuppa Site'!I1835&lt;&gt;0,'Boletins Nuppa Site'!I1835,"NULL")</f>
        <v xml:space="preserve"> 36.00</v>
      </c>
      <c r="G1835" s="14" t="str">
        <f>IF('Boletins Nuppa Site'!J1835&lt;&gt;0,'Boletins Nuppa Site'!J1835,"NULL")</f>
        <v xml:space="preserve"> 30.00</v>
      </c>
      <c r="H1835" s="14" t="str">
        <f>IF('Boletins Nuppa Site'!K1835&lt;&gt;0,'Boletins Nuppa Site'!K1835,"NULL")</f>
        <v xml:space="preserve"> 30.00</v>
      </c>
      <c r="I1835" t="str">
        <f t="shared" si="56"/>
        <v>INSERT INTO COTACAO (cot_id, cot_blt_id, cot_pap_id, cot_prc_comum, cot_prc_min, cot_prc_max, cot_prc_med, cot_prc_mediana) VALUES (1834, 84, 4,  24.00,  30.00,  36.00,  30.00,  30.00);</v>
      </c>
      <c r="J1835" t="str">
        <f t="shared" si="57"/>
        <v>UPDATE COTACAO SET cot_id = 1834, cot_blt_id = 84, cot_pap_id = 4, cot_prc_comum =  24.00, cot_prc_min =  30.00, cot_prc_max =  36.00, cot_prc_med =  30.00, cot_prc_mediana =  30.00 WHERE cot_id = 1834;</v>
      </c>
    </row>
    <row r="1836" spans="1:10" x14ac:dyDescent="0.3">
      <c r="A1836">
        <v>1835</v>
      </c>
      <c r="B1836">
        <f>IF('Boletins Nuppa Site'!A1836&lt;&gt;0,'Boletins Nuppa Site'!A1836,"NULL")</f>
        <v>84</v>
      </c>
      <c r="C1836">
        <v>5</v>
      </c>
      <c r="D1836" t="str">
        <f>IF('Boletins Nuppa Site'!G1836&lt;&gt;0,'Boletins Nuppa Site'!G1836,"NULL")</f>
        <v xml:space="preserve"> 25.00</v>
      </c>
      <c r="E1836" s="14" t="str">
        <f>IF('Boletins Nuppa Site'!H1836&lt;&gt;0,'Boletins Nuppa Site'!H1836,"NULL")</f>
        <v xml:space="preserve"> 30.00</v>
      </c>
      <c r="F1836" s="14" t="str">
        <f>IF('Boletins Nuppa Site'!I1836&lt;&gt;0,'Boletins Nuppa Site'!I1836,"NULL")</f>
        <v xml:space="preserve"> 36.00</v>
      </c>
      <c r="G1836" s="14" t="str">
        <f>IF('Boletins Nuppa Site'!J1836&lt;&gt;0,'Boletins Nuppa Site'!J1836,"NULL")</f>
        <v xml:space="preserve"> 30.25</v>
      </c>
      <c r="H1836" s="14" t="str">
        <f>IF('Boletins Nuppa Site'!K1836&lt;&gt;0,'Boletins Nuppa Site'!K1836,"NULL")</f>
        <v xml:space="preserve"> 30.00</v>
      </c>
      <c r="I1836" t="str">
        <f t="shared" si="56"/>
        <v>INSERT INTO COTACAO (cot_id, cot_blt_id, cot_pap_id, cot_prc_comum, cot_prc_min, cot_prc_max, cot_prc_med, cot_prc_mediana) VALUES (1835, 84, 5,  25.00,  30.00,  36.00,  30.25,  30.00);</v>
      </c>
      <c r="J1836" t="str">
        <f t="shared" si="57"/>
        <v>UPDATE COTACAO SET cot_id = 1835, cot_blt_id = 84, cot_pap_id = 5, cot_prc_comum =  25.00, cot_prc_min =  30.00, cot_prc_max =  36.00, cot_prc_med =  30.25, cot_prc_mediana =  30.00 WHERE cot_id = 1835;</v>
      </c>
    </row>
    <row r="1837" spans="1:10" x14ac:dyDescent="0.3">
      <c r="A1837">
        <v>1836</v>
      </c>
      <c r="B1837">
        <f>IF('Boletins Nuppa Site'!A1837&lt;&gt;0,'Boletins Nuppa Site'!A1837,"NULL")</f>
        <v>84</v>
      </c>
      <c r="C1837">
        <v>6</v>
      </c>
      <c r="D1837" t="str">
        <f>IF('Boletins Nuppa Site'!G1837&lt;&gt;0,'Boletins Nuppa Site'!G1837,"NULL")</f>
        <v xml:space="preserve"> 60.00</v>
      </c>
      <c r="E1837" s="14" t="str">
        <f>IF('Boletins Nuppa Site'!H1837&lt;&gt;0,'Boletins Nuppa Site'!H1837,"NULL")</f>
        <v xml:space="preserve"> 60.00</v>
      </c>
      <c r="F1837" s="14" t="str">
        <f>IF('Boletins Nuppa Site'!I1837&lt;&gt;0,'Boletins Nuppa Site'!I1837,"NULL")</f>
        <v xml:space="preserve"> 60.00</v>
      </c>
      <c r="G1837" s="14" t="str">
        <f>IF('Boletins Nuppa Site'!J1837&lt;&gt;0,'Boletins Nuppa Site'!J1837,"NULL")</f>
        <v xml:space="preserve"> 60.00</v>
      </c>
      <c r="H1837" s="14" t="str">
        <f>IF('Boletins Nuppa Site'!K1837&lt;&gt;0,'Boletins Nuppa Site'!K1837,"NULL")</f>
        <v xml:space="preserve"> 60.00</v>
      </c>
      <c r="I1837" t="str">
        <f t="shared" si="56"/>
        <v>INSERT INTO COTACAO (cot_id, cot_blt_id, cot_pap_id, cot_prc_comum, cot_prc_min, cot_prc_max, cot_prc_med, cot_prc_mediana) VALUES (1836, 84, 6,  60.00,  60.00,  60.00,  60.00,  60.00);</v>
      </c>
      <c r="J1837" t="str">
        <f t="shared" si="57"/>
        <v>UPDATE COTACAO SET cot_id = 1836, cot_blt_id = 84, cot_pap_id = 6, cot_prc_comum =  60.00, cot_prc_min =  60.00, cot_prc_max =  60.00, cot_prc_med =  60.00, cot_prc_mediana =  60.00 WHERE cot_id = 1836;</v>
      </c>
    </row>
    <row r="1838" spans="1:10" x14ac:dyDescent="0.3">
      <c r="A1838">
        <v>1837</v>
      </c>
      <c r="B1838">
        <f>IF('Boletins Nuppa Site'!A1838&lt;&gt;0,'Boletins Nuppa Site'!A1838,"NULL")</f>
        <v>84</v>
      </c>
      <c r="C1838">
        <v>7</v>
      </c>
      <c r="D1838" t="str">
        <f>IF('Boletins Nuppa Site'!G1838&lt;&gt;0,'Boletins Nuppa Site'!G1838,"NULL")</f>
        <v xml:space="preserve"> 72.00</v>
      </c>
      <c r="E1838" s="14" t="str">
        <f>IF('Boletins Nuppa Site'!H1838&lt;&gt;0,'Boletins Nuppa Site'!H1838,"NULL")</f>
        <v xml:space="preserve"> 72.00</v>
      </c>
      <c r="F1838" s="14" t="str">
        <f>IF('Boletins Nuppa Site'!I1838&lt;&gt;0,'Boletins Nuppa Site'!I1838,"NULL")</f>
        <v xml:space="preserve"> 72.00</v>
      </c>
      <c r="G1838" s="14" t="str">
        <f>IF('Boletins Nuppa Site'!J1838&lt;&gt;0,'Boletins Nuppa Site'!J1838,"NULL")</f>
        <v xml:space="preserve"> 72.00</v>
      </c>
      <c r="H1838" s="14" t="str">
        <f>IF('Boletins Nuppa Site'!K1838&lt;&gt;0,'Boletins Nuppa Site'!K1838,"NULL")</f>
        <v xml:space="preserve"> 72.00</v>
      </c>
      <c r="I1838" t="str">
        <f t="shared" si="56"/>
        <v>INSERT INTO COTACAO (cot_id, cot_blt_id, cot_pap_id, cot_prc_comum, cot_prc_min, cot_prc_max, cot_prc_med, cot_prc_mediana) VALUES (1837, 84, 7,  72.00,  72.00,  72.00,  72.00,  72.00);</v>
      </c>
      <c r="J1838" t="str">
        <f t="shared" si="57"/>
        <v>UPDATE COTACAO SET cot_id = 1837, cot_blt_id = 84, cot_pap_id = 7, cot_prc_comum =  72.00, cot_prc_min =  72.00, cot_prc_max =  72.00, cot_prc_med =  72.00, cot_prc_mediana =  72.00 WHERE cot_id = 1837;</v>
      </c>
    </row>
    <row r="1839" spans="1:10" x14ac:dyDescent="0.3">
      <c r="A1839">
        <v>1838</v>
      </c>
      <c r="B1839">
        <f>IF('Boletins Nuppa Site'!A1839&lt;&gt;0,'Boletins Nuppa Site'!A1839,"NULL")</f>
        <v>84</v>
      </c>
      <c r="C1839">
        <v>8</v>
      </c>
      <c r="D1839" t="str">
        <f>IF('Boletins Nuppa Site'!G1839&lt;&gt;0,'Boletins Nuppa Site'!G1839,"NULL")</f>
        <v xml:space="preserve"> 60.00</v>
      </c>
      <c r="E1839" s="14" t="str">
        <f>IF('Boletins Nuppa Site'!H1839&lt;&gt;0,'Boletins Nuppa Site'!H1839,"NULL")</f>
        <v xml:space="preserve"> 72.00</v>
      </c>
      <c r="F1839" s="14" t="str">
        <f>IF('Boletins Nuppa Site'!I1839&lt;&gt;0,'Boletins Nuppa Site'!I1839,"NULL")</f>
        <v xml:space="preserve"> 72.00</v>
      </c>
      <c r="G1839" s="14" t="str">
        <f>IF('Boletins Nuppa Site'!J1839&lt;&gt;0,'Boletins Nuppa Site'!J1839,"NULL")</f>
        <v xml:space="preserve"> 69.60</v>
      </c>
      <c r="H1839" s="14" t="str">
        <f>IF('Boletins Nuppa Site'!K1839&lt;&gt;0,'Boletins Nuppa Site'!K1839,"NULL")</f>
        <v xml:space="preserve"> 72.00</v>
      </c>
      <c r="I1839" t="str">
        <f t="shared" si="56"/>
        <v>INSERT INTO COTACAO (cot_id, cot_blt_id, cot_pap_id, cot_prc_comum, cot_prc_min, cot_prc_max, cot_prc_med, cot_prc_mediana) VALUES (1838, 84, 8,  60.00,  72.00,  72.00,  69.60,  72.00);</v>
      </c>
      <c r="J1839" t="str">
        <f t="shared" si="57"/>
        <v>UPDATE COTACAO SET cot_id = 1838, cot_blt_id = 84, cot_pap_id = 8, cot_prc_comum =  60.00, cot_prc_min =  72.00, cot_prc_max =  72.00, cot_prc_med =  69.60, cot_prc_mediana =  72.00 WHERE cot_id = 1838;</v>
      </c>
    </row>
    <row r="1840" spans="1:10" x14ac:dyDescent="0.3">
      <c r="A1840">
        <v>1839</v>
      </c>
      <c r="B1840">
        <f>IF('Boletins Nuppa Site'!A1840&lt;&gt;0,'Boletins Nuppa Site'!A1840,"NULL")</f>
        <v>84</v>
      </c>
      <c r="C1840">
        <v>9</v>
      </c>
      <c r="D1840" t="str">
        <f>IF('Boletins Nuppa Site'!G1840&lt;&gt;0,'Boletins Nuppa Site'!G1840,"NULL")</f>
        <v xml:space="preserve"> 18.00</v>
      </c>
      <c r="E1840" s="14" t="str">
        <f>IF('Boletins Nuppa Site'!H1840&lt;&gt;0,'Boletins Nuppa Site'!H1840,"NULL")</f>
        <v xml:space="preserve"> 20.00</v>
      </c>
      <c r="F1840" s="14" t="str">
        <f>IF('Boletins Nuppa Site'!I1840&lt;&gt;0,'Boletins Nuppa Site'!I1840,"NULL")</f>
        <v xml:space="preserve"> 24.00</v>
      </c>
      <c r="G1840" s="14" t="str">
        <f>IF('Boletins Nuppa Site'!J1840&lt;&gt;0,'Boletins Nuppa Site'!J1840,"NULL")</f>
        <v xml:space="preserve"> 21.20</v>
      </c>
      <c r="H1840" s="14" t="str">
        <f>IF('Boletins Nuppa Site'!K1840&lt;&gt;0,'Boletins Nuppa Site'!K1840,"NULL")</f>
        <v xml:space="preserve"> 20.00</v>
      </c>
      <c r="I1840" t="str">
        <f t="shared" si="56"/>
        <v>INSERT INTO COTACAO (cot_id, cot_blt_id, cot_pap_id, cot_prc_comum, cot_prc_min, cot_prc_max, cot_prc_med, cot_prc_mediana) VALUES (1839, 84, 9,  18.00,  20.00,  24.00,  21.20,  20.00);</v>
      </c>
      <c r="J1840" t="str">
        <f t="shared" si="57"/>
        <v>UPDATE COTACAO SET cot_id = 1839, cot_blt_id = 84, cot_pap_id = 9, cot_prc_comum =  18.00, cot_prc_min =  20.00, cot_prc_max =  24.00, cot_prc_med =  21.20, cot_prc_mediana =  20.00 WHERE cot_id = 1839;</v>
      </c>
    </row>
    <row r="1841" spans="1:10" x14ac:dyDescent="0.3">
      <c r="A1841">
        <v>1840</v>
      </c>
      <c r="B1841">
        <f>IF('Boletins Nuppa Site'!A1841&lt;&gt;0,'Boletins Nuppa Site'!A1841,"NULL")</f>
        <v>84</v>
      </c>
      <c r="C1841">
        <v>10</v>
      </c>
      <c r="D1841" t="str">
        <f>IF('Boletins Nuppa Site'!G1841&lt;&gt;0,'Boletins Nuppa Site'!G1841,"NULL")</f>
        <v xml:space="preserve"> 60.00</v>
      </c>
      <c r="E1841" s="14" t="str">
        <f>IF('Boletins Nuppa Site'!H1841&lt;&gt;0,'Boletins Nuppa Site'!H1841,"NULL")</f>
        <v xml:space="preserve"> 80.00</v>
      </c>
      <c r="F1841" s="14" t="str">
        <f>IF('Boletins Nuppa Site'!I1841&lt;&gt;0,'Boletins Nuppa Site'!I1841,"NULL")</f>
        <v xml:space="preserve"> 96.00</v>
      </c>
      <c r="G1841" s="14" t="str">
        <f>IF('Boletins Nuppa Site'!J1841&lt;&gt;0,'Boletins Nuppa Site'!J1841,"NULL")</f>
        <v xml:space="preserve"> 80.00</v>
      </c>
      <c r="H1841" s="14" t="str">
        <f>IF('Boletins Nuppa Site'!K1841&lt;&gt;0,'Boletins Nuppa Site'!K1841,"NULL")</f>
        <v xml:space="preserve"> 82.00</v>
      </c>
      <c r="I1841" t="str">
        <f t="shared" si="56"/>
        <v>INSERT INTO COTACAO (cot_id, cot_blt_id, cot_pap_id, cot_prc_comum, cot_prc_min, cot_prc_max, cot_prc_med, cot_prc_mediana) VALUES (1840, 84, 10,  60.00,  80.00,  96.00,  80.00,  82.00);</v>
      </c>
      <c r="J1841" t="str">
        <f t="shared" si="57"/>
        <v>UPDATE COTACAO SET cot_id = 1840, cot_blt_id = 84, cot_pap_id = 10, cot_prc_comum =  60.00, cot_prc_min =  80.00, cot_prc_max =  96.00, cot_prc_med =  80.00, cot_prc_mediana =  82.00 WHERE cot_id = 1840;</v>
      </c>
    </row>
    <row r="1842" spans="1:10" x14ac:dyDescent="0.3">
      <c r="A1842">
        <v>1841</v>
      </c>
      <c r="B1842">
        <f>IF('Boletins Nuppa Site'!A1842&lt;&gt;0,'Boletins Nuppa Site'!A1842,"NULL")</f>
        <v>84</v>
      </c>
      <c r="C1842">
        <v>11</v>
      </c>
      <c r="D1842" t="str">
        <f>IF('Boletins Nuppa Site'!G1842&lt;&gt;0,'Boletins Nuppa Site'!G1842,"NULL")</f>
        <v xml:space="preserve"> 30.00</v>
      </c>
      <c r="E1842" s="14" t="str">
        <f>IF('Boletins Nuppa Site'!H1842&lt;&gt;0,'Boletins Nuppa Site'!H1842,"NULL")</f>
        <v xml:space="preserve"> 24.00</v>
      </c>
      <c r="F1842" s="14" t="str">
        <f>IF('Boletins Nuppa Site'!I1842&lt;&gt;0,'Boletins Nuppa Site'!I1842,"NULL")</f>
        <v xml:space="preserve"> 36.00</v>
      </c>
      <c r="G1842" s="14" t="str">
        <f>IF('Boletins Nuppa Site'!J1842&lt;&gt;0,'Boletins Nuppa Site'!J1842,"NULL")</f>
        <v xml:space="preserve"> 29.00</v>
      </c>
      <c r="H1842" s="14" t="str">
        <f>IF('Boletins Nuppa Site'!K1842&lt;&gt;0,'Boletins Nuppa Site'!K1842,"NULL")</f>
        <v xml:space="preserve"> 30.00</v>
      </c>
      <c r="I1842" t="str">
        <f t="shared" si="56"/>
        <v>INSERT INTO COTACAO (cot_id, cot_blt_id, cot_pap_id, cot_prc_comum, cot_prc_min, cot_prc_max, cot_prc_med, cot_prc_mediana) VALUES (1841, 84, 11,  30.00,  24.00,  36.00,  29.00,  30.00);</v>
      </c>
      <c r="J1842" t="str">
        <f t="shared" si="57"/>
        <v>UPDATE COTACAO SET cot_id = 1841, cot_blt_id = 84, cot_pap_id = 11, cot_prc_comum =  30.00, cot_prc_min =  24.00, cot_prc_max =  36.00, cot_prc_med =  29.00, cot_prc_mediana =  30.00 WHERE cot_id = 1841;</v>
      </c>
    </row>
    <row r="1843" spans="1:10" x14ac:dyDescent="0.3">
      <c r="A1843">
        <v>1842</v>
      </c>
      <c r="B1843">
        <f>IF('Boletins Nuppa Site'!A1843&lt;&gt;0,'Boletins Nuppa Site'!A1843,"NULL")</f>
        <v>84</v>
      </c>
      <c r="C1843">
        <v>12</v>
      </c>
      <c r="D1843" t="str">
        <f>IF('Boletins Nuppa Site'!G1843&lt;&gt;0,'Boletins Nuppa Site'!G1843,"NULL")</f>
        <v xml:space="preserve"> 60.00</v>
      </c>
      <c r="E1843" s="14" t="str">
        <f>IF('Boletins Nuppa Site'!H1843&lt;&gt;0,'Boletins Nuppa Site'!H1843,"NULL")</f>
        <v xml:space="preserve"> 60.00</v>
      </c>
      <c r="F1843" s="14" t="str">
        <f>IF('Boletins Nuppa Site'!I1843&lt;&gt;0,'Boletins Nuppa Site'!I1843,"NULL")</f>
        <v xml:space="preserve"> 72.00</v>
      </c>
      <c r="G1843" s="14" t="str">
        <f>IF('Boletins Nuppa Site'!J1843&lt;&gt;0,'Boletins Nuppa Site'!J1843,"NULL")</f>
        <v xml:space="preserve"> 63.00</v>
      </c>
      <c r="H1843" s="14" t="str">
        <f>IF('Boletins Nuppa Site'!K1843&lt;&gt;0,'Boletins Nuppa Site'!K1843,"NULL")</f>
        <v xml:space="preserve"> 60.00</v>
      </c>
      <c r="I1843" t="str">
        <f t="shared" si="56"/>
        <v>INSERT INTO COTACAO (cot_id, cot_blt_id, cot_pap_id, cot_prc_comum, cot_prc_min, cot_prc_max, cot_prc_med, cot_prc_mediana) VALUES (1842, 84, 12,  60.00,  60.00,  72.00,  63.00,  60.00);</v>
      </c>
      <c r="J1843" t="str">
        <f t="shared" si="57"/>
        <v>UPDATE COTACAO SET cot_id = 1842, cot_blt_id = 84, cot_pap_id = 12, cot_prc_comum =  60.00, cot_prc_min =  60.00, cot_prc_max =  72.00, cot_prc_med =  63.00, cot_prc_mediana =  60.00 WHERE cot_id = 1842;</v>
      </c>
    </row>
    <row r="1844" spans="1:10" x14ac:dyDescent="0.3">
      <c r="A1844">
        <v>1843</v>
      </c>
      <c r="B1844">
        <f>IF('Boletins Nuppa Site'!A1844&lt;&gt;0,'Boletins Nuppa Site'!A1844,"NULL")</f>
        <v>84</v>
      </c>
      <c r="C1844">
        <v>13</v>
      </c>
      <c r="D1844" t="str">
        <f>IF('Boletins Nuppa Site'!G1844&lt;&gt;0,'Boletins Nuppa Site'!G1844,"NULL")</f>
        <v xml:space="preserve"> 60.00</v>
      </c>
      <c r="E1844" s="14" t="str">
        <f>IF('Boletins Nuppa Site'!H1844&lt;&gt;0,'Boletins Nuppa Site'!H1844,"NULL")</f>
        <v xml:space="preserve"> 48.00</v>
      </c>
      <c r="F1844" s="14" t="str">
        <f>IF('Boletins Nuppa Site'!I1844&lt;&gt;0,'Boletins Nuppa Site'!I1844,"NULL")</f>
        <v xml:space="preserve"> 60.00</v>
      </c>
      <c r="G1844" s="14" t="str">
        <f>IF('Boletins Nuppa Site'!J1844&lt;&gt;0,'Boletins Nuppa Site'!J1844,"NULL")</f>
        <v xml:space="preserve"> 57.60</v>
      </c>
      <c r="H1844" s="14" t="str">
        <f>IF('Boletins Nuppa Site'!K1844&lt;&gt;0,'Boletins Nuppa Site'!K1844,"NULL")</f>
        <v xml:space="preserve"> 60.00</v>
      </c>
      <c r="I1844" t="str">
        <f t="shared" si="56"/>
        <v>INSERT INTO COTACAO (cot_id, cot_blt_id, cot_pap_id, cot_prc_comum, cot_prc_min, cot_prc_max, cot_prc_med, cot_prc_mediana) VALUES (1843, 84, 13,  60.00,  48.00,  60.00,  57.60,  60.00);</v>
      </c>
      <c r="J1844" t="str">
        <f t="shared" si="57"/>
        <v>UPDATE COTACAO SET cot_id = 1843, cot_blt_id = 84, cot_pap_id = 13, cot_prc_comum =  60.00, cot_prc_min =  48.00, cot_prc_max =  60.00, cot_prc_med =  57.60, cot_prc_mediana =  60.00 WHERE cot_id = 1843;</v>
      </c>
    </row>
    <row r="1845" spans="1:10" x14ac:dyDescent="0.3">
      <c r="A1845">
        <v>1844</v>
      </c>
      <c r="B1845">
        <f>IF('Boletins Nuppa Site'!A1845&lt;&gt;0,'Boletins Nuppa Site'!A1845,"NULL")</f>
        <v>84</v>
      </c>
      <c r="C1845">
        <v>14</v>
      </c>
      <c r="D1845" t="str">
        <f>IF('Boletins Nuppa Site'!G1845&lt;&gt;0,'Boletins Nuppa Site'!G1845,"NULL")</f>
        <v xml:space="preserve"> 60.00</v>
      </c>
      <c r="E1845" s="14" t="str">
        <f>IF('Boletins Nuppa Site'!H1845&lt;&gt;0,'Boletins Nuppa Site'!H1845,"NULL")</f>
        <v xml:space="preserve"> 72.00</v>
      </c>
      <c r="F1845" s="14" t="str">
        <f>IF('Boletins Nuppa Site'!I1845&lt;&gt;0,'Boletins Nuppa Site'!I1845,"NULL")</f>
        <v xml:space="preserve"> 72.00</v>
      </c>
      <c r="G1845" s="14" t="str">
        <f>IF('Boletins Nuppa Site'!J1845&lt;&gt;0,'Boletins Nuppa Site'!J1845,"NULL")</f>
        <v xml:space="preserve"> 68.50</v>
      </c>
      <c r="H1845" s="14" t="str">
        <f>IF('Boletins Nuppa Site'!K1845&lt;&gt;0,'Boletins Nuppa Site'!K1845,"NULL")</f>
        <v xml:space="preserve"> 71.00</v>
      </c>
      <c r="I1845" t="str">
        <f t="shared" si="56"/>
        <v>INSERT INTO COTACAO (cot_id, cot_blt_id, cot_pap_id, cot_prc_comum, cot_prc_min, cot_prc_max, cot_prc_med, cot_prc_mediana) VALUES (1844, 84, 14,  60.00,  72.00,  72.00,  68.50,  71.00);</v>
      </c>
      <c r="J1845" t="str">
        <f t="shared" si="57"/>
        <v>UPDATE COTACAO SET cot_id = 1844, cot_blt_id = 84, cot_pap_id = 14, cot_prc_comum =  60.00, cot_prc_min =  72.00, cot_prc_max =  72.00, cot_prc_med =  68.50, cot_prc_mediana =  71.00 WHERE cot_id = 1844;</v>
      </c>
    </row>
    <row r="1846" spans="1:10" x14ac:dyDescent="0.3">
      <c r="A1846">
        <v>1845</v>
      </c>
      <c r="B1846">
        <f>IF('Boletins Nuppa Site'!A1846&lt;&gt;0,'Boletins Nuppa Site'!A1846,"NULL")</f>
        <v>84</v>
      </c>
      <c r="C1846">
        <v>15</v>
      </c>
      <c r="D1846" t="str">
        <f>IF('Boletins Nuppa Site'!G1846&lt;&gt;0,'Boletins Nuppa Site'!G1846,"NULL")</f>
        <v xml:space="preserve"> 35.00</v>
      </c>
      <c r="E1846" s="14" t="str">
        <f>IF('Boletins Nuppa Site'!H1846&lt;&gt;0,'Boletins Nuppa Site'!H1846,"NULL")</f>
        <v xml:space="preserve"> 36.00</v>
      </c>
      <c r="F1846" s="14" t="str">
        <f>IF('Boletins Nuppa Site'!I1846&lt;&gt;0,'Boletins Nuppa Site'!I1846,"NULL")</f>
        <v xml:space="preserve"> 60.00</v>
      </c>
      <c r="G1846" s="14" t="str">
        <f>IF('Boletins Nuppa Site'!J1846&lt;&gt;0,'Boletins Nuppa Site'!J1846,"NULL")</f>
        <v xml:space="preserve"> 35.60</v>
      </c>
      <c r="H1846" s="14" t="str">
        <f>IF('Boletins Nuppa Site'!K1846&lt;&gt;0,'Boletins Nuppa Site'!K1846,"NULL")</f>
        <v xml:space="preserve"> 36.00</v>
      </c>
      <c r="I1846" t="str">
        <f t="shared" si="56"/>
        <v>INSERT INTO COTACAO (cot_id, cot_blt_id, cot_pap_id, cot_prc_comum, cot_prc_min, cot_prc_max, cot_prc_med, cot_prc_mediana) VALUES (1845, 84, 15,  35.00,  36.00,  60.00,  35.60,  36.00);</v>
      </c>
      <c r="J1846" t="str">
        <f t="shared" si="57"/>
        <v>UPDATE COTACAO SET cot_id = 1845, cot_blt_id = 84, cot_pap_id = 15, cot_prc_comum =  35.00, cot_prc_min =  36.00, cot_prc_max =  60.00, cot_prc_med =  35.60, cot_prc_mediana =  36.00 WHERE cot_id = 1845;</v>
      </c>
    </row>
    <row r="1847" spans="1:10" x14ac:dyDescent="0.3">
      <c r="A1847">
        <v>1846</v>
      </c>
      <c r="B1847">
        <f>IF('Boletins Nuppa Site'!A1847&lt;&gt;0,'Boletins Nuppa Site'!A1847,"NULL")</f>
        <v>84</v>
      </c>
      <c r="C1847">
        <v>16</v>
      </c>
      <c r="D1847" t="str">
        <f>IF('Boletins Nuppa Site'!G1847&lt;&gt;0,'Boletins Nuppa Site'!G1847,"NULL")</f>
        <v xml:space="preserve"> 42.00</v>
      </c>
      <c r="E1847" s="14" t="str">
        <f>IF('Boletins Nuppa Site'!H1847&lt;&gt;0,'Boletins Nuppa Site'!H1847,"NULL")</f>
        <v xml:space="preserve"> 60.00</v>
      </c>
      <c r="F1847" s="14" t="str">
        <f>IF('Boletins Nuppa Site'!I1847&lt;&gt;0,'Boletins Nuppa Site'!I1847,"NULL")</f>
        <v xml:space="preserve"> 60.00</v>
      </c>
      <c r="G1847" s="14" t="str">
        <f>IF('Boletins Nuppa Site'!J1847&lt;&gt;0,'Boletins Nuppa Site'!J1847,"NULL")</f>
        <v xml:space="preserve"> 55.20</v>
      </c>
      <c r="H1847" s="14" t="str">
        <f>IF('Boletins Nuppa Site'!K1847&lt;&gt;0,'Boletins Nuppa Site'!K1847,"NULL")</f>
        <v xml:space="preserve"> 60.00</v>
      </c>
      <c r="I1847" t="str">
        <f t="shared" si="56"/>
        <v>INSERT INTO COTACAO (cot_id, cot_blt_id, cot_pap_id, cot_prc_comum, cot_prc_min, cot_prc_max, cot_prc_med, cot_prc_mediana) VALUES (1846, 84, 16,  42.00,  60.00,  60.00,  55.20,  60.00);</v>
      </c>
      <c r="J1847" t="str">
        <f t="shared" si="57"/>
        <v>UPDATE COTACAO SET cot_id = 1846, cot_blt_id = 84, cot_pap_id = 16, cot_prc_comum =  42.00, cot_prc_min =  60.00, cot_prc_max =  60.00, cot_prc_med =  55.20, cot_prc_mediana =  60.00 WHERE cot_id = 1846;</v>
      </c>
    </row>
    <row r="1848" spans="1:10" x14ac:dyDescent="0.3">
      <c r="A1848">
        <v>1847</v>
      </c>
      <c r="B1848">
        <f>IF('Boletins Nuppa Site'!A1848&lt;&gt;0,'Boletins Nuppa Site'!A1848,"NULL")</f>
        <v>84</v>
      </c>
      <c r="C1848">
        <v>17</v>
      </c>
      <c r="D1848" t="str">
        <f>IF('Boletins Nuppa Site'!G1848&lt;&gt;0,'Boletins Nuppa Site'!G1848,"NULL")</f>
        <v xml:space="preserve"> 5.00</v>
      </c>
      <c r="E1848" s="14" t="str">
        <f>IF('Boletins Nuppa Site'!H1848&lt;&gt;0,'Boletins Nuppa Site'!H1848,"NULL")</f>
        <v xml:space="preserve"> 5.00</v>
      </c>
      <c r="F1848" s="14" t="str">
        <f>IF('Boletins Nuppa Site'!I1848&lt;&gt;0,'Boletins Nuppa Site'!I1848,"NULL")</f>
        <v xml:space="preserve"> 5.00</v>
      </c>
      <c r="G1848" s="14" t="str">
        <f>IF('Boletins Nuppa Site'!J1848&lt;&gt;0,'Boletins Nuppa Site'!J1848,"NULL")</f>
        <v xml:space="preserve"> 5.00</v>
      </c>
      <c r="H1848" s="14" t="str">
        <f>IF('Boletins Nuppa Site'!K1848&lt;&gt;0,'Boletins Nuppa Site'!K1848,"NULL")</f>
        <v xml:space="preserve"> 5.00</v>
      </c>
      <c r="I1848" t="str">
        <f t="shared" si="56"/>
        <v>INSERT INTO COTACAO (cot_id, cot_blt_id, cot_pap_id, cot_prc_comum, cot_prc_min, cot_prc_max, cot_prc_med, cot_prc_mediana) VALUES (1847, 84, 17,  5.00,  5.00,  5.00,  5.00,  5.00);</v>
      </c>
      <c r="J1848" t="str">
        <f t="shared" si="57"/>
        <v>UPDATE COTACAO SET cot_id = 1847, cot_blt_id = 84, cot_pap_id = 17, cot_prc_comum =  5.00, cot_prc_min =  5.00, cot_prc_max =  5.00, cot_prc_med =  5.00, cot_prc_mediana =  5.00 WHERE cot_id = 1847;</v>
      </c>
    </row>
    <row r="1849" spans="1:10" x14ac:dyDescent="0.3">
      <c r="A1849">
        <v>1848</v>
      </c>
      <c r="B1849">
        <f>IF('Boletins Nuppa Site'!A1849&lt;&gt;0,'Boletins Nuppa Site'!A1849,"NULL")</f>
        <v>84</v>
      </c>
      <c r="C1849">
        <v>18</v>
      </c>
      <c r="D1849" t="str">
        <f>IF('Boletins Nuppa Site'!G1849&lt;&gt;0,'Boletins Nuppa Site'!G1849,"NULL")</f>
        <v xml:space="preserve"> 20.00</v>
      </c>
      <c r="E1849" s="14" t="str">
        <f>IF('Boletins Nuppa Site'!H1849&lt;&gt;0,'Boletins Nuppa Site'!H1849,"NULL")</f>
        <v xml:space="preserve"> 18.00</v>
      </c>
      <c r="F1849" s="14" t="str">
        <f>IF('Boletins Nuppa Site'!I1849&lt;&gt;0,'Boletins Nuppa Site'!I1849,"NULL")</f>
        <v xml:space="preserve"> 20.00</v>
      </c>
      <c r="G1849" s="14" t="str">
        <f>IF('Boletins Nuppa Site'!J1849&lt;&gt;0,'Boletins Nuppa Site'!J1849,"NULL")</f>
        <v xml:space="preserve"> 19.20</v>
      </c>
      <c r="H1849" s="14" t="str">
        <f>IF('Boletins Nuppa Site'!K1849&lt;&gt;0,'Boletins Nuppa Site'!K1849,"NULL")</f>
        <v xml:space="preserve"> 20.00</v>
      </c>
      <c r="I1849" t="str">
        <f t="shared" si="56"/>
        <v>INSERT INTO COTACAO (cot_id, cot_blt_id, cot_pap_id, cot_prc_comum, cot_prc_min, cot_prc_max, cot_prc_med, cot_prc_mediana) VALUES (1848, 84, 18,  20.00,  18.00,  20.00,  19.20,  20.00);</v>
      </c>
      <c r="J1849" t="str">
        <f t="shared" si="57"/>
        <v>UPDATE COTACAO SET cot_id = 1848, cot_blt_id = 84, cot_pap_id = 18, cot_prc_comum =  20.00, cot_prc_min =  18.00, cot_prc_max =  20.00, cot_prc_med =  19.20, cot_prc_mediana =  20.00 WHERE cot_id = 1848;</v>
      </c>
    </row>
    <row r="1850" spans="1:10" x14ac:dyDescent="0.3">
      <c r="A1850">
        <v>1849</v>
      </c>
      <c r="B1850">
        <f>IF('Boletins Nuppa Site'!A1850&lt;&gt;0,'Boletins Nuppa Site'!A1850,"NULL")</f>
        <v>84</v>
      </c>
      <c r="C1850">
        <v>19</v>
      </c>
      <c r="D1850" t="str">
        <f>IF('Boletins Nuppa Site'!G1850&lt;&gt;0,'Boletins Nuppa Site'!G1850,"NULL")</f>
        <v xml:space="preserve"> 25.00</v>
      </c>
      <c r="E1850" s="14" t="str">
        <f>IF('Boletins Nuppa Site'!H1850&lt;&gt;0,'Boletins Nuppa Site'!H1850,"NULL")</f>
        <v xml:space="preserve"> 20.00</v>
      </c>
      <c r="F1850" s="14" t="str">
        <f>IF('Boletins Nuppa Site'!I1850&lt;&gt;0,'Boletins Nuppa Site'!I1850,"NULL")</f>
        <v xml:space="preserve"> 30.00</v>
      </c>
      <c r="G1850" s="14" t="str">
        <f>IF('Boletins Nuppa Site'!J1850&lt;&gt;0,'Boletins Nuppa Site'!J1850,"NULL")</f>
        <v xml:space="preserve"> 25.00</v>
      </c>
      <c r="H1850" s="14" t="str">
        <f>IF('Boletins Nuppa Site'!K1850&lt;&gt;0,'Boletins Nuppa Site'!K1850,"NULL")</f>
        <v xml:space="preserve"> 25.00</v>
      </c>
      <c r="I1850" t="str">
        <f t="shared" si="56"/>
        <v>INSERT INTO COTACAO (cot_id, cot_blt_id, cot_pap_id, cot_prc_comum, cot_prc_min, cot_prc_max, cot_prc_med, cot_prc_mediana) VALUES (1849, 84, 19,  25.00,  20.00,  30.00,  25.00,  25.00);</v>
      </c>
      <c r="J1850" t="str">
        <f t="shared" si="57"/>
        <v>UPDATE COTACAO SET cot_id = 1849, cot_blt_id = 84, cot_pap_id = 19, cot_prc_comum =  25.00, cot_prc_min =  20.00, cot_prc_max =  30.00, cot_prc_med =  25.00, cot_prc_mediana =  25.00 WHERE cot_id = 1849;</v>
      </c>
    </row>
    <row r="1851" spans="1:10" x14ac:dyDescent="0.3">
      <c r="A1851">
        <v>1850</v>
      </c>
      <c r="B1851">
        <f>IF('Boletins Nuppa Site'!A1851&lt;&gt;0,'Boletins Nuppa Site'!A1851,"NULL")</f>
        <v>84</v>
      </c>
      <c r="C1851">
        <v>20</v>
      </c>
      <c r="D1851" t="str">
        <f>IF('Boletins Nuppa Site'!G1851&lt;&gt;0,'Boletins Nuppa Site'!G1851,"NULL")</f>
        <v xml:space="preserve"> 80.00</v>
      </c>
      <c r="E1851" s="14" t="str">
        <f>IF('Boletins Nuppa Site'!H1851&lt;&gt;0,'Boletins Nuppa Site'!H1851,"NULL")</f>
        <v xml:space="preserve"> 80.00</v>
      </c>
      <c r="F1851" s="14" t="str">
        <f>IF('Boletins Nuppa Site'!I1851&lt;&gt;0,'Boletins Nuppa Site'!I1851,"NULL")</f>
        <v xml:space="preserve"> 80.00</v>
      </c>
      <c r="G1851" s="14" t="str">
        <f>IF('Boletins Nuppa Site'!J1851&lt;&gt;0,'Boletins Nuppa Site'!J1851,"NULL")</f>
        <v xml:space="preserve"> 80.00</v>
      </c>
      <c r="H1851" s="14" t="str">
        <f>IF('Boletins Nuppa Site'!K1851&lt;&gt;0,'Boletins Nuppa Site'!K1851,"NULL")</f>
        <v xml:space="preserve"> 80.00</v>
      </c>
      <c r="I1851" t="str">
        <f t="shared" si="56"/>
        <v>INSERT INTO COTACAO (cot_id, cot_blt_id, cot_pap_id, cot_prc_comum, cot_prc_min, cot_prc_max, cot_prc_med, cot_prc_mediana) VALUES (1850, 84, 20,  80.00,  80.00,  80.00,  80.00,  80.00);</v>
      </c>
      <c r="J1851" t="str">
        <f t="shared" si="57"/>
        <v>UPDATE COTACAO SET cot_id = 1850, cot_blt_id = 84, cot_pap_id = 20, cot_prc_comum =  80.00, cot_prc_min =  80.00, cot_prc_max =  80.00, cot_prc_med =  80.00, cot_prc_mediana =  80.00 WHERE cot_id = 1850;</v>
      </c>
    </row>
    <row r="1852" spans="1:10" x14ac:dyDescent="0.3">
      <c r="A1852">
        <v>1851</v>
      </c>
      <c r="B1852">
        <f>IF('Boletins Nuppa Site'!A1852&lt;&gt;0,'Boletins Nuppa Site'!A1852,"NULL")</f>
        <v>84</v>
      </c>
      <c r="C1852">
        <v>21</v>
      </c>
      <c r="D1852" t="str">
        <f>IF('Boletins Nuppa Site'!G1852&lt;&gt;0,'Boletins Nuppa Site'!G1852,"NULL")</f>
        <v xml:space="preserve"> 45.00</v>
      </c>
      <c r="E1852" s="14" t="str">
        <f>IF('Boletins Nuppa Site'!H1852&lt;&gt;0,'Boletins Nuppa Site'!H1852,"NULL")</f>
        <v xml:space="preserve"> 50.00</v>
      </c>
      <c r="F1852" s="14" t="str">
        <f>IF('Boletins Nuppa Site'!I1852&lt;&gt;0,'Boletins Nuppa Site'!I1852,"NULL")</f>
        <v xml:space="preserve"> 50.00</v>
      </c>
      <c r="G1852" s="14" t="str">
        <f>IF('Boletins Nuppa Site'!J1852&lt;&gt;0,'Boletins Nuppa Site'!J1852,"NULL")</f>
        <v xml:space="preserve"> 48.75</v>
      </c>
      <c r="H1852" s="14" t="str">
        <f>IF('Boletins Nuppa Site'!K1852&lt;&gt;0,'Boletins Nuppa Site'!K1852,"NULL")</f>
        <v xml:space="preserve"> 50.00</v>
      </c>
      <c r="I1852" t="str">
        <f t="shared" si="56"/>
        <v>INSERT INTO COTACAO (cot_id, cot_blt_id, cot_pap_id, cot_prc_comum, cot_prc_min, cot_prc_max, cot_prc_med, cot_prc_mediana) VALUES (1851, 84, 21,  45.00,  50.00,  50.00,  48.75,  50.00);</v>
      </c>
      <c r="J1852" t="str">
        <f t="shared" si="57"/>
        <v>UPDATE COTACAO SET cot_id = 1851, cot_blt_id = 84, cot_pap_id = 21, cot_prc_comum =  45.00, cot_prc_min =  50.00, cot_prc_max =  50.00, cot_prc_med =  48.75, cot_prc_mediana =  50.00 WHERE cot_id = 1851;</v>
      </c>
    </row>
    <row r="1853" spans="1:10" x14ac:dyDescent="0.3">
      <c r="A1853">
        <v>1852</v>
      </c>
      <c r="B1853">
        <f>IF('Boletins Nuppa Site'!A1853&lt;&gt;0,'Boletins Nuppa Site'!A1853,"NULL")</f>
        <v>84</v>
      </c>
      <c r="C1853">
        <v>22</v>
      </c>
      <c r="D1853" t="str">
        <f>IF('Boletins Nuppa Site'!G1853&lt;&gt;0,'Boletins Nuppa Site'!G1853,"NULL")</f>
        <v xml:space="preserve"> 45.00</v>
      </c>
      <c r="E1853" s="14" t="str">
        <f>IF('Boletins Nuppa Site'!H1853&lt;&gt;0,'Boletins Nuppa Site'!H1853,"NULL")</f>
        <v xml:space="preserve"> 57.50</v>
      </c>
      <c r="F1853" s="14" t="str">
        <f>IF('Boletins Nuppa Site'!I1853&lt;&gt;0,'Boletins Nuppa Site'!I1853,"NULL")</f>
        <v xml:space="preserve"> 70.00</v>
      </c>
      <c r="G1853" s="14" t="str">
        <f>IF('Boletins Nuppa Site'!J1853&lt;&gt;0,'Boletins Nuppa Site'!J1853,"NULL")</f>
        <v xml:space="preserve"> 57.50</v>
      </c>
      <c r="H1853" s="14" t="str">
        <f>IF('Boletins Nuppa Site'!K1853&lt;&gt;0,'Boletins Nuppa Site'!K1853,"NULL")</f>
        <v xml:space="preserve"> 57.50</v>
      </c>
      <c r="I1853" t="str">
        <f t="shared" si="56"/>
        <v>INSERT INTO COTACAO (cot_id, cot_blt_id, cot_pap_id, cot_prc_comum, cot_prc_min, cot_prc_max, cot_prc_med, cot_prc_mediana) VALUES (1852, 84, 22,  45.00,  57.50,  70.00,  57.50,  57.50);</v>
      </c>
      <c r="J1853" t="str">
        <f t="shared" si="57"/>
        <v>UPDATE COTACAO SET cot_id = 1852, cot_blt_id = 84, cot_pap_id = 22, cot_prc_comum =  45.00, cot_prc_min =  57.50, cot_prc_max =  70.00, cot_prc_med =  57.50, cot_prc_mediana =  57.50 WHERE cot_id = 1852;</v>
      </c>
    </row>
    <row r="1854" spans="1:10" x14ac:dyDescent="0.3">
      <c r="A1854">
        <v>1853</v>
      </c>
      <c r="B1854">
        <f>IF('Boletins Nuppa Site'!A1854&lt;&gt;0,'Boletins Nuppa Site'!A1854,"NULL")</f>
        <v>84</v>
      </c>
      <c r="C1854">
        <v>23</v>
      </c>
      <c r="D1854" t="str">
        <f>IF('Boletins Nuppa Site'!G1854&lt;&gt;0,'Boletins Nuppa Site'!G1854,"NULL")</f>
        <v xml:space="preserve"> 50.00</v>
      </c>
      <c r="E1854" s="14" t="str">
        <f>IF('Boletins Nuppa Site'!H1854&lt;&gt;0,'Boletins Nuppa Site'!H1854,"NULL")</f>
        <v xml:space="preserve"> 50.00</v>
      </c>
      <c r="F1854" s="14" t="str">
        <f>IF('Boletins Nuppa Site'!I1854&lt;&gt;0,'Boletins Nuppa Site'!I1854,"NULL")</f>
        <v xml:space="preserve"> 55.00</v>
      </c>
      <c r="G1854" s="14" t="str">
        <f>IF('Boletins Nuppa Site'!J1854&lt;&gt;0,'Boletins Nuppa Site'!J1854,"NULL")</f>
        <v xml:space="preserve"> 51.25</v>
      </c>
      <c r="H1854" s="14" t="str">
        <f>IF('Boletins Nuppa Site'!K1854&lt;&gt;0,'Boletins Nuppa Site'!K1854,"NULL")</f>
        <v xml:space="preserve"> 50.00</v>
      </c>
      <c r="I1854" t="str">
        <f t="shared" si="56"/>
        <v>INSERT INTO COTACAO (cot_id, cot_blt_id, cot_pap_id, cot_prc_comum, cot_prc_min, cot_prc_max, cot_prc_med, cot_prc_mediana) VALUES (1853, 84, 23,  50.00,  50.00,  55.00,  51.25,  50.00);</v>
      </c>
      <c r="J1854" t="str">
        <f t="shared" si="57"/>
        <v>UPDATE COTACAO SET cot_id = 1853, cot_blt_id = 84, cot_pap_id = 23, cot_prc_comum =  50.00, cot_prc_min =  50.00, cot_prc_max =  55.00, cot_prc_med =  51.25, cot_prc_mediana =  50.00 WHERE cot_id = 1853;</v>
      </c>
    </row>
    <row r="1855" spans="1:10" x14ac:dyDescent="0.3">
      <c r="A1855">
        <v>1854</v>
      </c>
      <c r="B1855">
        <f>IF('Boletins Nuppa Site'!A1855&lt;&gt;0,'Boletins Nuppa Site'!A1855,"NULL")</f>
        <v>84</v>
      </c>
      <c r="C1855">
        <v>24</v>
      </c>
      <c r="D1855" t="str">
        <f>IF('Boletins Nuppa Site'!G1855&lt;&gt;0,'Boletins Nuppa Site'!G1855,"NULL")</f>
        <v xml:space="preserve"> 80.00</v>
      </c>
      <c r="E1855" s="14" t="str">
        <f>IF('Boletins Nuppa Site'!H1855&lt;&gt;0,'Boletins Nuppa Site'!H1855,"NULL")</f>
        <v xml:space="preserve"> 80.00</v>
      </c>
      <c r="F1855" s="14" t="str">
        <f>IF('Boletins Nuppa Site'!I1855&lt;&gt;0,'Boletins Nuppa Site'!I1855,"NULL")</f>
        <v xml:space="preserve"> 80.00</v>
      </c>
      <c r="G1855" s="14" t="str">
        <f>IF('Boletins Nuppa Site'!J1855&lt;&gt;0,'Boletins Nuppa Site'!J1855,"NULL")</f>
        <v xml:space="preserve"> 80.00</v>
      </c>
      <c r="H1855" s="14" t="str">
        <f>IF('Boletins Nuppa Site'!K1855&lt;&gt;0,'Boletins Nuppa Site'!K1855,"NULL")</f>
        <v xml:space="preserve"> 80.00</v>
      </c>
      <c r="I1855" t="str">
        <f t="shared" si="56"/>
        <v>INSERT INTO COTACAO (cot_id, cot_blt_id, cot_pap_id, cot_prc_comum, cot_prc_min, cot_prc_max, cot_prc_med, cot_prc_mediana) VALUES (1854, 84, 24,  80.00,  80.00,  80.00,  80.00,  80.00);</v>
      </c>
      <c r="J1855" t="str">
        <f t="shared" si="57"/>
        <v>UPDATE COTACAO SET cot_id = 1854, cot_blt_id = 84, cot_pap_id = 24, cot_prc_comum =  80.00, cot_prc_min =  80.00, cot_prc_max =  80.00, cot_prc_med =  80.00, cot_prc_mediana =  80.00 WHERE cot_id = 1854;</v>
      </c>
    </row>
    <row r="1856" spans="1:10" x14ac:dyDescent="0.3">
      <c r="A1856">
        <v>1855</v>
      </c>
      <c r="B1856">
        <f>IF('Boletins Nuppa Site'!A1856&lt;&gt;0,'Boletins Nuppa Site'!A1856,"NULL")</f>
        <v>84</v>
      </c>
      <c r="C1856">
        <v>25</v>
      </c>
      <c r="D1856" t="str">
        <f>IF('Boletins Nuppa Site'!G1856&lt;&gt;0,'Boletins Nuppa Site'!G1856,"NULL")</f>
        <v xml:space="preserve"> 55.00</v>
      </c>
      <c r="E1856" s="14" t="str">
        <f>IF('Boletins Nuppa Site'!H1856&lt;&gt;0,'Boletins Nuppa Site'!H1856,"NULL")</f>
        <v xml:space="preserve"> 60.00</v>
      </c>
      <c r="F1856" s="14" t="str">
        <f>IF('Boletins Nuppa Site'!I1856&lt;&gt;0,'Boletins Nuppa Site'!I1856,"NULL")</f>
        <v xml:space="preserve"> 65.00</v>
      </c>
      <c r="G1856" s="14" t="str">
        <f>IF('Boletins Nuppa Site'!J1856&lt;&gt;0,'Boletins Nuppa Site'!J1856,"NULL")</f>
        <v xml:space="preserve"> 60.00</v>
      </c>
      <c r="H1856" s="14" t="str">
        <f>IF('Boletins Nuppa Site'!K1856&lt;&gt;0,'Boletins Nuppa Site'!K1856,"NULL")</f>
        <v xml:space="preserve"> 60.00</v>
      </c>
      <c r="I1856" t="str">
        <f t="shared" si="56"/>
        <v>INSERT INTO COTACAO (cot_id, cot_blt_id, cot_pap_id, cot_prc_comum, cot_prc_min, cot_prc_max, cot_prc_med, cot_prc_mediana) VALUES (1855, 84, 25,  55.00,  60.00,  65.00,  60.00,  60.00);</v>
      </c>
      <c r="J1856" t="str">
        <f t="shared" si="57"/>
        <v>UPDATE COTACAO SET cot_id = 1855, cot_blt_id = 84, cot_pap_id = 25, cot_prc_comum =  55.00, cot_prc_min =  60.00, cot_prc_max =  65.00, cot_prc_med =  60.00, cot_prc_mediana =  60.00 WHERE cot_id = 1855;</v>
      </c>
    </row>
    <row r="1857" spans="1:10" x14ac:dyDescent="0.3">
      <c r="A1857">
        <v>1856</v>
      </c>
      <c r="B1857">
        <f>IF('Boletins Nuppa Site'!A1857&lt;&gt;0,'Boletins Nuppa Site'!A1857,"NULL")</f>
        <v>84</v>
      </c>
      <c r="C1857">
        <v>26</v>
      </c>
      <c r="D1857" t="str">
        <f>IF('Boletins Nuppa Site'!G1857&lt;&gt;0,'Boletins Nuppa Site'!G1857,"NULL")</f>
        <v xml:space="preserve"> 50.00</v>
      </c>
      <c r="E1857" s="14" t="str">
        <f>IF('Boletins Nuppa Site'!H1857&lt;&gt;0,'Boletins Nuppa Site'!H1857,"NULL")</f>
        <v xml:space="preserve"> 85.00</v>
      </c>
      <c r="F1857" s="14" t="str">
        <f>IF('Boletins Nuppa Site'!I1857&lt;&gt;0,'Boletins Nuppa Site'!I1857,"NULL")</f>
        <v xml:space="preserve"> 65.00</v>
      </c>
      <c r="G1857" s="14" t="str">
        <f>IF('Boletins Nuppa Site'!J1857&lt;&gt;0,'Boletins Nuppa Site'!J1857,"NULL")</f>
        <v xml:space="preserve"> 65.00</v>
      </c>
      <c r="H1857" s="14" t="str">
        <f>IF('Boletins Nuppa Site'!K1857&lt;&gt;0,'Boletins Nuppa Site'!K1857,"NULL")</f>
        <v xml:space="preserve"> 62.50</v>
      </c>
      <c r="I1857" t="str">
        <f t="shared" si="56"/>
        <v>INSERT INTO COTACAO (cot_id, cot_blt_id, cot_pap_id, cot_prc_comum, cot_prc_min, cot_prc_max, cot_prc_med, cot_prc_mediana) VALUES (1856, 84, 26,  50.00,  85.00,  65.00,  65.00,  62.50);</v>
      </c>
      <c r="J1857" t="str">
        <f t="shared" si="57"/>
        <v>UPDATE COTACAO SET cot_id = 1856, cot_blt_id = 84, cot_pap_id = 26, cot_prc_comum =  50.00, cot_prc_min =  85.00, cot_prc_max =  65.00, cot_prc_med =  65.00, cot_prc_mediana =  62.50 WHERE cot_id = 1856;</v>
      </c>
    </row>
    <row r="1858" spans="1:10" x14ac:dyDescent="0.3">
      <c r="A1858">
        <v>1857</v>
      </c>
      <c r="B1858">
        <f>IF('Boletins Nuppa Site'!A1858&lt;&gt;0,'Boletins Nuppa Site'!A1858,"NULL")</f>
        <v>84</v>
      </c>
      <c r="C1858">
        <v>27</v>
      </c>
      <c r="D1858" t="str">
        <f>IF('Boletins Nuppa Site'!G1858&lt;&gt;0,'Boletins Nuppa Site'!G1858,"NULL")</f>
        <v xml:space="preserve"> 60.00</v>
      </c>
      <c r="E1858" s="14" t="str">
        <f>IF('Boletins Nuppa Site'!H1858&lt;&gt;0,'Boletins Nuppa Site'!H1858,"NULL")</f>
        <v xml:space="preserve"> 30.00</v>
      </c>
      <c r="F1858" s="14" t="str">
        <f>IF('Boletins Nuppa Site'!I1858&lt;&gt;0,'Boletins Nuppa Site'!I1858,"NULL")</f>
        <v xml:space="preserve"> 60.00</v>
      </c>
      <c r="G1858" s="14" t="str">
        <f>IF('Boletins Nuppa Site'!J1858&lt;&gt;0,'Boletins Nuppa Site'!J1858,"NULL")</f>
        <v xml:space="preserve"> 48.75</v>
      </c>
      <c r="H1858" s="14" t="str">
        <f>IF('Boletins Nuppa Site'!K1858&lt;&gt;0,'Boletins Nuppa Site'!K1858,"NULL")</f>
        <v xml:space="preserve"> 52.50</v>
      </c>
      <c r="I1858" t="str">
        <f t="shared" si="56"/>
        <v>INSERT INTO COTACAO (cot_id, cot_blt_id, cot_pap_id, cot_prc_comum, cot_prc_min, cot_prc_max, cot_prc_med, cot_prc_mediana) VALUES (1857, 84, 27,  60.00,  30.00,  60.00,  48.75,  52.50);</v>
      </c>
      <c r="J1858" t="str">
        <f t="shared" si="57"/>
        <v>UPDATE COTACAO SET cot_id = 1857, cot_blt_id = 84, cot_pap_id = 27, cot_prc_comum =  60.00, cot_prc_min =  30.00, cot_prc_max =  60.00, cot_prc_med =  48.75, cot_prc_mediana =  52.50 WHERE cot_id = 1857;</v>
      </c>
    </row>
    <row r="1859" spans="1:10" x14ac:dyDescent="0.3">
      <c r="A1859">
        <v>1858</v>
      </c>
      <c r="B1859">
        <f>IF('Boletins Nuppa Site'!A1859&lt;&gt;0,'Boletins Nuppa Site'!A1859,"NULL")</f>
        <v>84</v>
      </c>
      <c r="C1859">
        <v>28</v>
      </c>
      <c r="D1859" t="str">
        <f>IF('Boletins Nuppa Site'!G1859&lt;&gt;0,'Boletins Nuppa Site'!G1859,"NULL")</f>
        <v xml:space="preserve"> 70.00</v>
      </c>
      <c r="E1859" s="14" t="str">
        <f>IF('Boletins Nuppa Site'!H1859&lt;&gt;0,'Boletins Nuppa Site'!H1859,"NULL")</f>
        <v xml:space="preserve"> 70.00</v>
      </c>
      <c r="F1859" s="14" t="str">
        <f>IF('Boletins Nuppa Site'!I1859&lt;&gt;0,'Boletins Nuppa Site'!I1859,"NULL")</f>
        <v xml:space="preserve"> 110.00</v>
      </c>
      <c r="G1859" s="14" t="str">
        <f>IF('Boletins Nuppa Site'!J1859&lt;&gt;0,'Boletins Nuppa Site'!J1859,"NULL")</f>
        <v xml:space="preserve"> 85.00</v>
      </c>
      <c r="H1859" s="14" t="str">
        <f>IF('Boletins Nuppa Site'!K1859&lt;&gt;0,'Boletins Nuppa Site'!K1859,"NULL")</f>
        <v xml:space="preserve"> 80.00</v>
      </c>
      <c r="I1859" t="str">
        <f t="shared" ref="I1859:I1922" si="58">"INSERT INTO COTACAO (cot_id, cot_blt_id, cot_pap_id, cot_prc_comum, cot_prc_min, cot_prc_max, cot_prc_med, cot_prc_mediana) VALUES ("&amp;A1859&amp;", "&amp;B1859&amp;", "&amp;C1859&amp;", "&amp;D1859&amp;", "&amp;E1859&amp;", "&amp;F1859&amp;", "&amp;G1859&amp;", "&amp;H1859&amp;");"</f>
        <v>INSERT INTO COTACAO (cot_id, cot_blt_id, cot_pap_id, cot_prc_comum, cot_prc_min, cot_prc_max, cot_prc_med, cot_prc_mediana) VALUES (1858, 84, 28,  70.00,  70.00,  110.00,  85.00,  80.00);</v>
      </c>
      <c r="J1859" t="str">
        <f t="shared" ref="J1859:J1922" si="59">"UPDATE COTACAO SET cot_id = "&amp;A1859&amp;", cot_blt_id = "&amp;B1859&amp;", cot_pap_id = "&amp;C1859&amp;", cot_prc_comum = "&amp;D1859&amp;", cot_prc_min = "&amp;E1859&amp;", cot_prc_max = "&amp;F1859&amp;", cot_prc_med = "&amp;G1859&amp;", cot_prc_mediana = "&amp;H1859&amp;" WHERE cot_id = "&amp;A1859&amp;";"</f>
        <v>UPDATE COTACAO SET cot_id = 1858, cot_blt_id = 84, cot_pap_id = 28, cot_prc_comum =  70.00, cot_prc_min =  70.00, cot_prc_max =  110.00, cot_prc_med =  85.00, cot_prc_mediana =  80.00 WHERE cot_id = 1858;</v>
      </c>
    </row>
    <row r="1860" spans="1:10" x14ac:dyDescent="0.3">
      <c r="A1860">
        <v>1859</v>
      </c>
      <c r="B1860">
        <f>IF('Boletins Nuppa Site'!A1860&lt;&gt;0,'Boletins Nuppa Site'!A1860,"NULL")</f>
        <v>84</v>
      </c>
      <c r="C1860">
        <v>29</v>
      </c>
      <c r="D1860" t="str">
        <f>IF('Boletins Nuppa Site'!G1860&lt;&gt;0,'Boletins Nuppa Site'!G1860,"NULL")</f>
        <v xml:space="preserve"> 65.00</v>
      </c>
      <c r="E1860" s="14" t="str">
        <f>IF('Boletins Nuppa Site'!H1860&lt;&gt;0,'Boletins Nuppa Site'!H1860,"NULL")</f>
        <v xml:space="preserve"> 65.00</v>
      </c>
      <c r="F1860" s="14" t="str">
        <f>IF('Boletins Nuppa Site'!I1860&lt;&gt;0,'Boletins Nuppa Site'!I1860,"NULL")</f>
        <v xml:space="preserve"> 65.00</v>
      </c>
      <c r="G1860" s="14" t="str">
        <f>IF('Boletins Nuppa Site'!J1860&lt;&gt;0,'Boletins Nuppa Site'!J1860,"NULL")</f>
        <v xml:space="preserve"> 65.00</v>
      </c>
      <c r="H1860" s="14" t="str">
        <f>IF('Boletins Nuppa Site'!K1860&lt;&gt;0,'Boletins Nuppa Site'!K1860,"NULL")</f>
        <v xml:space="preserve"> 65.00</v>
      </c>
      <c r="I1860" t="str">
        <f t="shared" si="58"/>
        <v>INSERT INTO COTACAO (cot_id, cot_blt_id, cot_pap_id, cot_prc_comum, cot_prc_min, cot_prc_max, cot_prc_med, cot_prc_mediana) VALUES (1859, 84, 29,  65.00,  65.00,  65.00,  65.00,  65.00);</v>
      </c>
      <c r="J1860" t="str">
        <f t="shared" si="59"/>
        <v>UPDATE COTACAO SET cot_id = 1859, cot_blt_id = 84, cot_pap_id = 29, cot_prc_comum =  65.00, cot_prc_min =  65.00, cot_prc_max =  65.00, cot_prc_med =  65.00, cot_prc_mediana =  65.00 WHERE cot_id = 1859;</v>
      </c>
    </row>
    <row r="1861" spans="1:10" x14ac:dyDescent="0.3">
      <c r="A1861">
        <v>1860</v>
      </c>
      <c r="B1861">
        <f>IF('Boletins Nuppa Site'!A1861&lt;&gt;0,'Boletins Nuppa Site'!A1861,"NULL")</f>
        <v>84</v>
      </c>
      <c r="C1861">
        <v>30</v>
      </c>
      <c r="D1861" t="str">
        <f>IF('Boletins Nuppa Site'!G1861&lt;&gt;0,'Boletins Nuppa Site'!G1861,"NULL")</f>
        <v xml:space="preserve"> 45.00</v>
      </c>
      <c r="E1861" s="14" t="str">
        <f>IF('Boletins Nuppa Site'!H1861&lt;&gt;0,'Boletins Nuppa Site'!H1861,"NULL")</f>
        <v xml:space="preserve"> 70.00</v>
      </c>
      <c r="F1861" s="14" t="str">
        <f>IF('Boletins Nuppa Site'!I1861&lt;&gt;0,'Boletins Nuppa Site'!I1861,"NULL")</f>
        <v xml:space="preserve"> 70.00</v>
      </c>
      <c r="G1861" s="14" t="str">
        <f>IF('Boletins Nuppa Site'!J1861&lt;&gt;0,'Boletins Nuppa Site'!J1861,"NULL")</f>
        <v xml:space="preserve"> 61.67</v>
      </c>
      <c r="H1861" s="14" t="str">
        <f>IF('Boletins Nuppa Site'!K1861&lt;&gt;0,'Boletins Nuppa Site'!K1861,"NULL")</f>
        <v xml:space="preserve"> 70.00</v>
      </c>
      <c r="I1861" t="str">
        <f t="shared" si="58"/>
        <v>INSERT INTO COTACAO (cot_id, cot_blt_id, cot_pap_id, cot_prc_comum, cot_prc_min, cot_prc_max, cot_prc_med, cot_prc_mediana) VALUES (1860, 84, 30,  45.00,  70.00,  70.00,  61.67,  70.00);</v>
      </c>
      <c r="J1861" t="str">
        <f t="shared" si="59"/>
        <v>UPDATE COTACAO SET cot_id = 1860, cot_blt_id = 84, cot_pap_id = 30, cot_prc_comum =  45.00, cot_prc_min =  70.00, cot_prc_max =  70.00, cot_prc_med =  61.67, cot_prc_mediana =  70.00 WHERE cot_id = 1860;</v>
      </c>
    </row>
    <row r="1862" spans="1:10" x14ac:dyDescent="0.3">
      <c r="A1862">
        <v>1861</v>
      </c>
      <c r="B1862">
        <f>IF('Boletins Nuppa Site'!A1862&lt;&gt;0,'Boletins Nuppa Site'!A1862,"NULL")</f>
        <v>84</v>
      </c>
      <c r="C1862">
        <v>31</v>
      </c>
      <c r="D1862" t="str">
        <f>IF('Boletins Nuppa Site'!G1862&lt;&gt;0,'Boletins Nuppa Site'!G1862,"NULL")</f>
        <v xml:space="preserve"> 80.00</v>
      </c>
      <c r="E1862" s="14" t="str">
        <f>IF('Boletins Nuppa Site'!H1862&lt;&gt;0,'Boletins Nuppa Site'!H1862,"NULL")</f>
        <v xml:space="preserve"> 80.00</v>
      </c>
      <c r="F1862" s="14" t="str">
        <f>IF('Boletins Nuppa Site'!I1862&lt;&gt;0,'Boletins Nuppa Site'!I1862,"NULL")</f>
        <v xml:space="preserve"> 95.00</v>
      </c>
      <c r="G1862" s="14" t="str">
        <f>IF('Boletins Nuppa Site'!J1862&lt;&gt;0,'Boletins Nuppa Site'!J1862,"NULL")</f>
        <v xml:space="preserve"> 83.75</v>
      </c>
      <c r="H1862" s="14" t="str">
        <f>IF('Boletins Nuppa Site'!K1862&lt;&gt;0,'Boletins Nuppa Site'!K1862,"NULL")</f>
        <v xml:space="preserve"> 80.00</v>
      </c>
      <c r="I1862" t="str">
        <f t="shared" si="58"/>
        <v>INSERT INTO COTACAO (cot_id, cot_blt_id, cot_pap_id, cot_prc_comum, cot_prc_min, cot_prc_max, cot_prc_med, cot_prc_mediana) VALUES (1861, 84, 31,  80.00,  80.00,  95.00,  83.75,  80.00);</v>
      </c>
      <c r="J1862" t="str">
        <f t="shared" si="59"/>
        <v>UPDATE COTACAO SET cot_id = 1861, cot_blt_id = 84, cot_pap_id = 31, cot_prc_comum =  80.00, cot_prc_min =  80.00, cot_prc_max =  95.00, cot_prc_med =  83.75, cot_prc_mediana =  80.00 WHERE cot_id = 1861;</v>
      </c>
    </row>
    <row r="1863" spans="1:10" x14ac:dyDescent="0.3">
      <c r="A1863">
        <v>1862</v>
      </c>
      <c r="B1863">
        <f>IF('Boletins Nuppa Site'!A1863&lt;&gt;0,'Boletins Nuppa Site'!A1863,"NULL")</f>
        <v>84</v>
      </c>
      <c r="C1863">
        <v>32</v>
      </c>
      <c r="D1863" t="str">
        <f>IF('Boletins Nuppa Site'!G1863&lt;&gt;0,'Boletins Nuppa Site'!G1863,"NULL")</f>
        <v xml:space="preserve"> 35.00</v>
      </c>
      <c r="E1863" s="14" t="str">
        <f>IF('Boletins Nuppa Site'!H1863&lt;&gt;0,'Boletins Nuppa Site'!H1863,"NULL")</f>
        <v xml:space="preserve"> 55.00</v>
      </c>
      <c r="F1863" s="14" t="str">
        <f>IF('Boletins Nuppa Site'!I1863&lt;&gt;0,'Boletins Nuppa Site'!I1863,"NULL")</f>
        <v xml:space="preserve"> 46.25</v>
      </c>
      <c r="G1863" s="14" t="str">
        <f>IF('Boletins Nuppa Site'!J1863&lt;&gt;0,'Boletins Nuppa Site'!J1863,"NULL")</f>
        <v xml:space="preserve"> 47.50</v>
      </c>
      <c r="H1863" s="14" t="str">
        <f>IF('Boletins Nuppa Site'!K1863&lt;&gt;0,'Boletins Nuppa Site'!K1863,"NULL")</f>
        <v xml:space="preserve"> 47.50</v>
      </c>
      <c r="I1863" t="str">
        <f t="shared" si="58"/>
        <v>INSERT INTO COTACAO (cot_id, cot_blt_id, cot_pap_id, cot_prc_comum, cot_prc_min, cot_prc_max, cot_prc_med, cot_prc_mediana) VALUES (1862, 84, 32,  35.00,  55.00,  46.25,  47.50,  47.50);</v>
      </c>
      <c r="J1863" t="str">
        <f t="shared" si="59"/>
        <v>UPDATE COTACAO SET cot_id = 1862, cot_blt_id = 84, cot_pap_id = 32, cot_prc_comum =  35.00, cot_prc_min =  55.00, cot_prc_max =  46.25, cot_prc_med =  47.50, cot_prc_mediana =  47.50 WHERE cot_id = 1862;</v>
      </c>
    </row>
    <row r="1864" spans="1:10" x14ac:dyDescent="0.3">
      <c r="A1864">
        <v>1863</v>
      </c>
      <c r="B1864">
        <f>IF('Boletins Nuppa Site'!A1864&lt;&gt;0,'Boletins Nuppa Site'!A1864,"NULL")</f>
        <v>84</v>
      </c>
      <c r="C1864">
        <v>33</v>
      </c>
      <c r="D1864" t="str">
        <f>IF('Boletins Nuppa Site'!G1864&lt;&gt;0,'Boletins Nuppa Site'!G1864,"NULL")</f>
        <v xml:space="preserve"> 90.00</v>
      </c>
      <c r="E1864" s="14" t="str">
        <f>IF('Boletins Nuppa Site'!H1864&lt;&gt;0,'Boletins Nuppa Site'!H1864,"NULL")</f>
        <v xml:space="preserve"> 90.00</v>
      </c>
      <c r="F1864" s="14" t="str">
        <f>IF('Boletins Nuppa Site'!I1864&lt;&gt;0,'Boletins Nuppa Site'!I1864,"NULL")</f>
        <v xml:space="preserve"> 100.00</v>
      </c>
      <c r="G1864" s="14" t="str">
        <f>IF('Boletins Nuppa Site'!J1864&lt;&gt;0,'Boletins Nuppa Site'!J1864,"NULL")</f>
        <v xml:space="preserve"> 95.00</v>
      </c>
      <c r="H1864" s="14" t="str">
        <f>IF('Boletins Nuppa Site'!K1864&lt;&gt;0,'Boletins Nuppa Site'!K1864,"NULL")</f>
        <v xml:space="preserve"> 95.00</v>
      </c>
      <c r="I1864" t="str">
        <f t="shared" si="58"/>
        <v>INSERT INTO COTACAO (cot_id, cot_blt_id, cot_pap_id, cot_prc_comum, cot_prc_min, cot_prc_max, cot_prc_med, cot_prc_mediana) VALUES (1863, 84, 33,  90.00,  90.00,  100.00,  95.00,  95.00);</v>
      </c>
      <c r="J1864" t="str">
        <f t="shared" si="59"/>
        <v>UPDATE COTACAO SET cot_id = 1863, cot_blt_id = 84, cot_pap_id = 33, cot_prc_comum =  90.00, cot_prc_min =  90.00, cot_prc_max =  100.00, cot_prc_med =  95.00, cot_prc_mediana =  95.00 WHERE cot_id = 1863;</v>
      </c>
    </row>
    <row r="1865" spans="1:10" x14ac:dyDescent="0.3">
      <c r="A1865">
        <v>1864</v>
      </c>
      <c r="B1865">
        <f>IF('Boletins Nuppa Site'!A1865&lt;&gt;0,'Boletins Nuppa Site'!A1865,"NULL")</f>
        <v>84</v>
      </c>
      <c r="C1865">
        <v>34</v>
      </c>
      <c r="D1865" t="str">
        <f>IF('Boletins Nuppa Site'!G1865&lt;&gt;0,'Boletins Nuppa Site'!G1865,"NULL")</f>
        <v xml:space="preserve"> 85.00</v>
      </c>
      <c r="E1865" s="14" t="str">
        <f>IF('Boletins Nuppa Site'!H1865&lt;&gt;0,'Boletins Nuppa Site'!H1865,"NULL")</f>
        <v xml:space="preserve"> 120.00</v>
      </c>
      <c r="F1865" s="14" t="str">
        <f>IF('Boletins Nuppa Site'!I1865&lt;&gt;0,'Boletins Nuppa Site'!I1865,"NULL")</f>
        <v xml:space="preserve"> 120.00</v>
      </c>
      <c r="G1865" s="14" t="str">
        <f>IF('Boletins Nuppa Site'!J1865&lt;&gt;0,'Boletins Nuppa Site'!J1865,"NULL")</f>
        <v xml:space="preserve"> 106.25</v>
      </c>
      <c r="H1865" s="14" t="str">
        <f>IF('Boletins Nuppa Site'!K1865&lt;&gt;0,'Boletins Nuppa Site'!K1865,"NULL")</f>
        <v xml:space="preserve"> 110.00</v>
      </c>
      <c r="I1865" t="str">
        <f t="shared" si="58"/>
        <v>INSERT INTO COTACAO (cot_id, cot_blt_id, cot_pap_id, cot_prc_comum, cot_prc_min, cot_prc_max, cot_prc_med, cot_prc_mediana) VALUES (1864, 84, 34,  85.00,  120.00,  120.00,  106.25,  110.00);</v>
      </c>
      <c r="J1865" t="str">
        <f t="shared" si="59"/>
        <v>UPDATE COTACAO SET cot_id = 1864, cot_blt_id = 84, cot_pap_id = 34, cot_prc_comum =  85.00, cot_prc_min =  120.00, cot_prc_max =  120.00, cot_prc_med =  106.25, cot_prc_mediana =  110.00 WHERE cot_id = 1864;</v>
      </c>
    </row>
    <row r="1866" spans="1:10" x14ac:dyDescent="0.3">
      <c r="A1866">
        <v>1865</v>
      </c>
      <c r="B1866">
        <f>IF('Boletins Nuppa Site'!A1866&lt;&gt;0,'Boletins Nuppa Site'!A1866,"NULL")</f>
        <v>84</v>
      </c>
      <c r="C1866">
        <v>35</v>
      </c>
      <c r="D1866" t="str">
        <f>IF('Boletins Nuppa Site'!G1866&lt;&gt;0,'Boletins Nuppa Site'!G1866,"NULL")</f>
        <v xml:space="preserve"> 120.00</v>
      </c>
      <c r="E1866" s="14" t="str">
        <f>IF('Boletins Nuppa Site'!H1866&lt;&gt;0,'Boletins Nuppa Site'!H1866,"NULL")</f>
        <v xml:space="preserve"> 200.00</v>
      </c>
      <c r="F1866" s="14" t="str">
        <f>IF('Boletins Nuppa Site'!I1866&lt;&gt;0,'Boletins Nuppa Site'!I1866,"NULL")</f>
        <v xml:space="preserve"> 166.67</v>
      </c>
      <c r="G1866" s="14" t="str">
        <f>IF('Boletins Nuppa Site'!J1866&lt;&gt;0,'Boletins Nuppa Site'!J1866,"NULL")</f>
        <v xml:space="preserve"> 180.00</v>
      </c>
      <c r="H1866" s="14" t="str">
        <f>IF('Boletins Nuppa Site'!K1866&lt;&gt;0,'Boletins Nuppa Site'!K1866,"NULL")</f>
        <v xml:space="preserve"> 180.00</v>
      </c>
      <c r="I1866" t="str">
        <f t="shared" si="58"/>
        <v>INSERT INTO COTACAO (cot_id, cot_blt_id, cot_pap_id, cot_prc_comum, cot_prc_min, cot_prc_max, cot_prc_med, cot_prc_mediana) VALUES (1865, 84, 35,  120.00,  200.00,  166.67,  180.00,  180.00);</v>
      </c>
      <c r="J1866" t="str">
        <f t="shared" si="59"/>
        <v>UPDATE COTACAO SET cot_id = 1865, cot_blt_id = 84, cot_pap_id = 35, cot_prc_comum =  120.00, cot_prc_min =  200.00, cot_prc_max =  166.67, cot_prc_med =  180.00, cot_prc_mediana =  180.00 WHERE cot_id = 1865;</v>
      </c>
    </row>
    <row r="1867" spans="1:10" x14ac:dyDescent="0.3">
      <c r="A1867">
        <v>1866</v>
      </c>
      <c r="B1867">
        <f>IF('Boletins Nuppa Site'!A1867&lt;&gt;0,'Boletins Nuppa Site'!A1867,"NULL")</f>
        <v>84</v>
      </c>
      <c r="C1867">
        <v>36</v>
      </c>
      <c r="D1867" t="str">
        <f>IF('Boletins Nuppa Site'!G1867&lt;&gt;0,'Boletins Nuppa Site'!G1867,"NULL")</f>
        <v>NULL</v>
      </c>
      <c r="E1867" s="14" t="str">
        <f>IF('Boletins Nuppa Site'!H1867&lt;&gt;0,'Boletins Nuppa Site'!H1867,"NULL")</f>
        <v>NULL</v>
      </c>
      <c r="F1867" s="14" t="str">
        <f>IF('Boletins Nuppa Site'!I1867&lt;&gt;0,'Boletins Nuppa Site'!I1867,"NULL")</f>
        <v>NULL</v>
      </c>
      <c r="G1867" s="14" t="str">
        <f>IF('Boletins Nuppa Site'!J1867&lt;&gt;0,'Boletins Nuppa Site'!J1867,"NULL")</f>
        <v>NULL</v>
      </c>
      <c r="H1867" s="14" t="str">
        <f>IF('Boletins Nuppa Site'!K1867&lt;&gt;0,'Boletins Nuppa Site'!K1867,"NULL")</f>
        <v>NULL</v>
      </c>
      <c r="I1867" t="str">
        <f t="shared" si="58"/>
        <v>INSERT INTO COTACAO (cot_id, cot_blt_id, cot_pap_id, cot_prc_comum, cot_prc_min, cot_prc_max, cot_prc_med, cot_prc_mediana) VALUES (1866, 84, 36, NULL, NULL, NULL, NULL, NULL);</v>
      </c>
      <c r="J1867" t="str">
        <f t="shared" si="59"/>
        <v>UPDATE COTACAO SET cot_id = 1866, cot_blt_id = 84, cot_pap_id = 36, cot_prc_comum = NULL, cot_prc_min = NULL, cot_prc_max = NULL, cot_prc_med = NULL, cot_prc_mediana = NULL WHERE cot_id = 1866;</v>
      </c>
    </row>
    <row r="1868" spans="1:10" x14ac:dyDescent="0.3">
      <c r="A1868">
        <v>1867</v>
      </c>
      <c r="B1868">
        <f>IF('Boletins Nuppa Site'!A1868&lt;&gt;0,'Boletins Nuppa Site'!A1868,"NULL")</f>
        <v>84</v>
      </c>
      <c r="C1868">
        <v>37</v>
      </c>
      <c r="D1868" t="str">
        <f>IF('Boletins Nuppa Site'!G1868&lt;&gt;0,'Boletins Nuppa Site'!G1868,"NULL")</f>
        <v>NULL</v>
      </c>
      <c r="E1868" s="14" t="str">
        <f>IF('Boletins Nuppa Site'!H1868&lt;&gt;0,'Boletins Nuppa Site'!H1868,"NULL")</f>
        <v>NULL</v>
      </c>
      <c r="F1868" s="14" t="str">
        <f>IF('Boletins Nuppa Site'!I1868&lt;&gt;0,'Boletins Nuppa Site'!I1868,"NULL")</f>
        <v>NULL</v>
      </c>
      <c r="G1868" s="14" t="str">
        <f>IF('Boletins Nuppa Site'!J1868&lt;&gt;0,'Boletins Nuppa Site'!J1868,"NULL")</f>
        <v>NULL</v>
      </c>
      <c r="H1868" s="14" t="str">
        <f>IF('Boletins Nuppa Site'!K1868&lt;&gt;0,'Boletins Nuppa Site'!K1868,"NULL")</f>
        <v>NULL</v>
      </c>
      <c r="I1868" t="str">
        <f t="shared" si="58"/>
        <v>INSERT INTO COTACAO (cot_id, cot_blt_id, cot_pap_id, cot_prc_comum, cot_prc_min, cot_prc_max, cot_prc_med, cot_prc_mediana) VALUES (1867, 84, 37, NULL, NULL, NULL, NULL, NULL);</v>
      </c>
      <c r="J1868" t="str">
        <f t="shared" si="59"/>
        <v>UPDATE COTACAO SET cot_id = 1867, cot_blt_id = 84, cot_pap_id = 37, cot_prc_comum = NULL, cot_prc_min = NULL, cot_prc_max = NULL, cot_prc_med = NULL, cot_prc_mediana = NULL WHERE cot_id = 1867;</v>
      </c>
    </row>
    <row r="1869" spans="1:10" x14ac:dyDescent="0.3">
      <c r="A1869">
        <v>1868</v>
      </c>
      <c r="B1869">
        <f>IF('Boletins Nuppa Site'!A1869&lt;&gt;0,'Boletins Nuppa Site'!A1869,"NULL")</f>
        <v>84</v>
      </c>
      <c r="C1869">
        <v>38</v>
      </c>
      <c r="D1869" t="str">
        <f>IF('Boletins Nuppa Site'!G1869&lt;&gt;0,'Boletins Nuppa Site'!G1869,"NULL")</f>
        <v>NULL</v>
      </c>
      <c r="E1869" s="14" t="str">
        <f>IF('Boletins Nuppa Site'!H1869&lt;&gt;0,'Boletins Nuppa Site'!H1869,"NULL")</f>
        <v>NULL</v>
      </c>
      <c r="F1869" s="14" t="str">
        <f>IF('Boletins Nuppa Site'!I1869&lt;&gt;0,'Boletins Nuppa Site'!I1869,"NULL")</f>
        <v>NULL</v>
      </c>
      <c r="G1869" s="14" t="str">
        <f>IF('Boletins Nuppa Site'!J1869&lt;&gt;0,'Boletins Nuppa Site'!J1869,"NULL")</f>
        <v>NULL</v>
      </c>
      <c r="H1869" s="14" t="str">
        <f>IF('Boletins Nuppa Site'!K1869&lt;&gt;0,'Boletins Nuppa Site'!K1869,"NULL")</f>
        <v>NULL</v>
      </c>
      <c r="I1869" t="str">
        <f t="shared" si="58"/>
        <v>INSERT INTO COTACAO (cot_id, cot_blt_id, cot_pap_id, cot_prc_comum, cot_prc_min, cot_prc_max, cot_prc_med, cot_prc_mediana) VALUES (1868, 84, 38, NULL, NULL, NULL, NULL, NULL);</v>
      </c>
      <c r="J1869" t="str">
        <f t="shared" si="59"/>
        <v>UPDATE COTACAO SET cot_id = 1868, cot_blt_id = 84, cot_pap_id = 38, cot_prc_comum = NULL, cot_prc_min = NULL, cot_prc_max = NULL, cot_prc_med = NULL, cot_prc_mediana = NULL WHERE cot_id = 1868;</v>
      </c>
    </row>
    <row r="1870" spans="1:10" x14ac:dyDescent="0.3">
      <c r="A1870">
        <v>1869</v>
      </c>
      <c r="B1870">
        <f>IF('Boletins Nuppa Site'!A1870&lt;&gt;0,'Boletins Nuppa Site'!A1870,"NULL")</f>
        <v>84</v>
      </c>
      <c r="C1870">
        <v>39</v>
      </c>
      <c r="D1870" t="str">
        <f>IF('Boletins Nuppa Site'!G1870&lt;&gt;0,'Boletins Nuppa Site'!G1870,"NULL")</f>
        <v xml:space="preserve"> 60.00</v>
      </c>
      <c r="E1870" s="14" t="str">
        <f>IF('Boletins Nuppa Site'!H1870&lt;&gt;0,'Boletins Nuppa Site'!H1870,"NULL")</f>
        <v xml:space="preserve"> 60.00</v>
      </c>
      <c r="F1870" s="14" t="str">
        <f>IF('Boletins Nuppa Site'!I1870&lt;&gt;0,'Boletins Nuppa Site'!I1870,"NULL")</f>
        <v xml:space="preserve"> 60.00</v>
      </c>
      <c r="G1870" s="14" t="str">
        <f>IF('Boletins Nuppa Site'!J1870&lt;&gt;0,'Boletins Nuppa Site'!J1870,"NULL")</f>
        <v xml:space="preserve"> 60.00</v>
      </c>
      <c r="H1870" s="14" t="str">
        <f>IF('Boletins Nuppa Site'!K1870&lt;&gt;0,'Boletins Nuppa Site'!K1870,"NULL")</f>
        <v xml:space="preserve"> 60.00</v>
      </c>
      <c r="I1870" t="str">
        <f t="shared" si="58"/>
        <v>INSERT INTO COTACAO (cot_id, cot_blt_id, cot_pap_id, cot_prc_comum, cot_prc_min, cot_prc_max, cot_prc_med, cot_prc_mediana) VALUES (1869, 84, 39,  60.00,  60.00,  60.00,  60.00,  60.00);</v>
      </c>
      <c r="J1870" t="str">
        <f t="shared" si="59"/>
        <v>UPDATE COTACAO SET cot_id = 1869, cot_blt_id = 84, cot_pap_id = 39, cot_prc_comum =  60.00, cot_prc_min =  60.00, cot_prc_max =  60.00, cot_prc_med =  60.00, cot_prc_mediana =  60.00 WHERE cot_id = 1869;</v>
      </c>
    </row>
    <row r="1871" spans="1:10" x14ac:dyDescent="0.3">
      <c r="A1871">
        <v>1870</v>
      </c>
      <c r="B1871">
        <f>IF('Boletins Nuppa Site'!A1871&lt;&gt;0,'Boletins Nuppa Site'!A1871,"NULL")</f>
        <v>84</v>
      </c>
      <c r="C1871">
        <v>40</v>
      </c>
      <c r="D1871" t="str">
        <f>IF('Boletins Nuppa Site'!G1871&lt;&gt;0,'Boletins Nuppa Site'!G1871,"NULL")</f>
        <v>NULL</v>
      </c>
      <c r="E1871" s="14" t="str">
        <f>IF('Boletins Nuppa Site'!H1871&lt;&gt;0,'Boletins Nuppa Site'!H1871,"NULL")</f>
        <v>NULL</v>
      </c>
      <c r="F1871" s="14" t="str">
        <f>IF('Boletins Nuppa Site'!I1871&lt;&gt;0,'Boletins Nuppa Site'!I1871,"NULL")</f>
        <v>NULL</v>
      </c>
      <c r="G1871" s="14" t="str">
        <f>IF('Boletins Nuppa Site'!J1871&lt;&gt;0,'Boletins Nuppa Site'!J1871,"NULL")</f>
        <v>NULL</v>
      </c>
      <c r="H1871" s="14" t="str">
        <f>IF('Boletins Nuppa Site'!K1871&lt;&gt;0,'Boletins Nuppa Site'!K1871,"NULL")</f>
        <v>NULL</v>
      </c>
      <c r="I1871" t="str">
        <f t="shared" si="58"/>
        <v>INSERT INTO COTACAO (cot_id, cot_blt_id, cot_pap_id, cot_prc_comum, cot_prc_min, cot_prc_max, cot_prc_med, cot_prc_mediana) VALUES (1870, 84, 40, NULL, NULL, NULL, NULL, NULL);</v>
      </c>
      <c r="J1871" t="str">
        <f t="shared" si="59"/>
        <v>UPDATE COTACAO SET cot_id = 1870, cot_blt_id = 84, cot_pap_id = 40, cot_prc_comum = NULL, cot_prc_min = NULL, cot_prc_max = NULL, cot_prc_med = NULL, cot_prc_mediana = NULL WHERE cot_id = 1870;</v>
      </c>
    </row>
    <row r="1872" spans="1:10" x14ac:dyDescent="0.3">
      <c r="A1872">
        <v>1871</v>
      </c>
      <c r="B1872">
        <f>IF('Boletins Nuppa Site'!A1872&lt;&gt;0,'Boletins Nuppa Site'!A1872,"NULL")</f>
        <v>85</v>
      </c>
      <c r="C1872">
        <v>1</v>
      </c>
      <c r="D1872" t="str">
        <f>IF('Boletins Nuppa Site'!G1872&lt;&gt;0,'Boletins Nuppa Site'!G1872,"NULL")</f>
        <v>NULL</v>
      </c>
      <c r="E1872" s="14">
        <f>IF('Boletins Nuppa Site'!H1872&lt;&gt;0,'Boletins Nuppa Site'!H1872,"NULL")</f>
        <v>36</v>
      </c>
      <c r="F1872" s="14">
        <f>IF('Boletins Nuppa Site'!I1872&lt;&gt;0,'Boletins Nuppa Site'!I1872,"NULL")</f>
        <v>72</v>
      </c>
      <c r="G1872" s="14">
        <f>IF('Boletins Nuppa Site'!J1872&lt;&gt;0,'Boletins Nuppa Site'!J1872,"NULL")</f>
        <v>54</v>
      </c>
      <c r="H1872" s="14">
        <f>IF('Boletins Nuppa Site'!K1872&lt;&gt;0,'Boletins Nuppa Site'!K1872,"NULL")</f>
        <v>54</v>
      </c>
      <c r="I1872" t="str">
        <f t="shared" si="58"/>
        <v>INSERT INTO COTACAO (cot_id, cot_blt_id, cot_pap_id, cot_prc_comum, cot_prc_min, cot_prc_max, cot_prc_med, cot_prc_mediana) VALUES (1871, 85, 1, NULL, 36, 72, 54, 54);</v>
      </c>
      <c r="J1872" t="str">
        <f t="shared" si="59"/>
        <v>UPDATE COTACAO SET cot_id = 1871, cot_blt_id = 85, cot_pap_id = 1, cot_prc_comum = NULL, cot_prc_min = 36, cot_prc_max = 72, cot_prc_med = 54, cot_prc_mediana = 54 WHERE cot_id = 1871;</v>
      </c>
    </row>
    <row r="1873" spans="1:10" x14ac:dyDescent="0.3">
      <c r="A1873">
        <v>1872</v>
      </c>
      <c r="B1873">
        <f>IF('Boletins Nuppa Site'!A1873&lt;&gt;0,'Boletins Nuppa Site'!A1873,"NULL")</f>
        <v>85</v>
      </c>
      <c r="C1873">
        <v>2</v>
      </c>
      <c r="D1873">
        <f>IF('Boletins Nuppa Site'!G1873&lt;&gt;0,'Boletins Nuppa Site'!G1873,"NULL")</f>
        <v>96</v>
      </c>
      <c r="E1873" s="14">
        <f>IF('Boletins Nuppa Site'!H1873&lt;&gt;0,'Boletins Nuppa Site'!H1873,"NULL")</f>
        <v>54</v>
      </c>
      <c r="F1873" s="14">
        <f>IF('Boletins Nuppa Site'!I1873&lt;&gt;0,'Boletins Nuppa Site'!I1873,"NULL")</f>
        <v>96</v>
      </c>
      <c r="G1873" s="14" t="str">
        <f>IF('Boletins Nuppa Site'!J1873&lt;&gt;0,'Boletins Nuppa Site'!J1873,"NULL")</f>
        <v>82.5</v>
      </c>
      <c r="H1873" s="14">
        <f>IF('Boletins Nuppa Site'!K1873&lt;&gt;0,'Boletins Nuppa Site'!K1873,"NULL")</f>
        <v>90</v>
      </c>
      <c r="I1873" t="str">
        <f t="shared" si="58"/>
        <v>INSERT INTO COTACAO (cot_id, cot_blt_id, cot_pap_id, cot_prc_comum, cot_prc_min, cot_prc_max, cot_prc_med, cot_prc_mediana) VALUES (1872, 85, 2, 96, 54, 96, 82.5, 90);</v>
      </c>
      <c r="J1873" t="str">
        <f t="shared" si="59"/>
        <v>UPDATE COTACAO SET cot_id = 1872, cot_blt_id = 85, cot_pap_id = 2, cot_prc_comum = 96, cot_prc_min = 54, cot_prc_max = 96, cot_prc_med = 82.5, cot_prc_mediana = 90 WHERE cot_id = 1872;</v>
      </c>
    </row>
    <row r="1874" spans="1:10" x14ac:dyDescent="0.3">
      <c r="A1874">
        <v>1873</v>
      </c>
      <c r="B1874">
        <f>IF('Boletins Nuppa Site'!A1874&lt;&gt;0,'Boletins Nuppa Site'!A1874,"NULL")</f>
        <v>85</v>
      </c>
      <c r="C1874">
        <v>3</v>
      </c>
      <c r="D1874" t="str">
        <f>IF('Boletins Nuppa Site'!G1874&lt;&gt;0,'Boletins Nuppa Site'!G1874,"NULL")</f>
        <v>NULL</v>
      </c>
      <c r="E1874" s="14">
        <f>IF('Boletins Nuppa Site'!H1874&lt;&gt;0,'Boletins Nuppa Site'!H1874,"NULL")</f>
        <v>40</v>
      </c>
      <c r="F1874" s="14">
        <f>IF('Boletins Nuppa Site'!I1874&lt;&gt;0,'Boletins Nuppa Site'!I1874,"NULL")</f>
        <v>60</v>
      </c>
      <c r="G1874" s="14" t="str">
        <f>IF('Boletins Nuppa Site'!J1874&lt;&gt;0,'Boletins Nuppa Site'!J1874,"NULL")</f>
        <v>48.25</v>
      </c>
      <c r="H1874" s="14" t="str">
        <f>IF('Boletins Nuppa Site'!K1874&lt;&gt;0,'Boletins Nuppa Site'!K1874,"NULL")</f>
        <v>46.5</v>
      </c>
      <c r="I1874" t="str">
        <f t="shared" si="58"/>
        <v>INSERT INTO COTACAO (cot_id, cot_blt_id, cot_pap_id, cot_prc_comum, cot_prc_min, cot_prc_max, cot_prc_med, cot_prc_mediana) VALUES (1873, 85, 3, NULL, 40, 60, 48.25, 46.5);</v>
      </c>
      <c r="J1874" t="str">
        <f t="shared" si="59"/>
        <v>UPDATE COTACAO SET cot_id = 1873, cot_blt_id = 85, cot_pap_id = 3, cot_prc_comum = NULL, cot_prc_min = 40, cot_prc_max = 60, cot_prc_med = 48.25, cot_prc_mediana = 46.5 WHERE cot_id = 1873;</v>
      </c>
    </row>
    <row r="1875" spans="1:10" x14ac:dyDescent="0.3">
      <c r="A1875">
        <v>1874</v>
      </c>
      <c r="B1875">
        <f>IF('Boletins Nuppa Site'!A1875&lt;&gt;0,'Boletins Nuppa Site'!A1875,"NULL")</f>
        <v>85</v>
      </c>
      <c r="C1875">
        <v>4</v>
      </c>
      <c r="D1875">
        <f>IF('Boletins Nuppa Site'!G1875&lt;&gt;0,'Boletins Nuppa Site'!G1875,"NULL")</f>
        <v>30</v>
      </c>
      <c r="E1875" s="14">
        <f>IF('Boletins Nuppa Site'!H1875&lt;&gt;0,'Boletins Nuppa Site'!H1875,"NULL")</f>
        <v>25</v>
      </c>
      <c r="F1875" s="14">
        <f>IF('Boletins Nuppa Site'!I1875&lt;&gt;0,'Boletins Nuppa Site'!I1875,"NULL")</f>
        <v>50</v>
      </c>
      <c r="G1875" s="14" t="str">
        <f>IF('Boletins Nuppa Site'!J1875&lt;&gt;0,'Boletins Nuppa Site'!J1875,"NULL")</f>
        <v>33.75</v>
      </c>
      <c r="H1875" s="14">
        <f>IF('Boletins Nuppa Site'!K1875&lt;&gt;0,'Boletins Nuppa Site'!K1875,"NULL")</f>
        <v>30</v>
      </c>
      <c r="I1875" t="str">
        <f t="shared" si="58"/>
        <v>INSERT INTO COTACAO (cot_id, cot_blt_id, cot_pap_id, cot_prc_comum, cot_prc_min, cot_prc_max, cot_prc_med, cot_prc_mediana) VALUES (1874, 85, 4, 30, 25, 50, 33.75, 30);</v>
      </c>
      <c r="J1875" t="str">
        <f t="shared" si="59"/>
        <v>UPDATE COTACAO SET cot_id = 1874, cot_blt_id = 85, cot_pap_id = 4, cot_prc_comum = 30, cot_prc_min = 25, cot_prc_max = 50, cot_prc_med = 33.75, cot_prc_mediana = 30 WHERE cot_id = 1874;</v>
      </c>
    </row>
    <row r="1876" spans="1:10" x14ac:dyDescent="0.3">
      <c r="A1876">
        <v>1875</v>
      </c>
      <c r="B1876">
        <f>IF('Boletins Nuppa Site'!A1876&lt;&gt;0,'Boletins Nuppa Site'!A1876,"NULL")</f>
        <v>85</v>
      </c>
      <c r="C1876">
        <v>5</v>
      </c>
      <c r="D1876">
        <f>IF('Boletins Nuppa Site'!G1876&lt;&gt;0,'Boletins Nuppa Site'!G1876,"NULL")</f>
        <v>30</v>
      </c>
      <c r="E1876" s="14">
        <f>IF('Boletins Nuppa Site'!H1876&lt;&gt;0,'Boletins Nuppa Site'!H1876,"NULL")</f>
        <v>25</v>
      </c>
      <c r="F1876" s="14">
        <f>IF('Boletins Nuppa Site'!I1876&lt;&gt;0,'Boletins Nuppa Site'!I1876,"NULL")</f>
        <v>50</v>
      </c>
      <c r="G1876" s="14" t="str">
        <f>IF('Boletins Nuppa Site'!J1876&lt;&gt;0,'Boletins Nuppa Site'!J1876,"NULL")</f>
        <v>33.75</v>
      </c>
      <c r="H1876" s="14">
        <f>IF('Boletins Nuppa Site'!K1876&lt;&gt;0,'Boletins Nuppa Site'!K1876,"NULL")</f>
        <v>30</v>
      </c>
      <c r="I1876" t="str">
        <f t="shared" si="58"/>
        <v>INSERT INTO COTACAO (cot_id, cot_blt_id, cot_pap_id, cot_prc_comum, cot_prc_min, cot_prc_max, cot_prc_med, cot_prc_mediana) VALUES (1875, 85, 5, 30, 25, 50, 33.75, 30);</v>
      </c>
      <c r="J1876" t="str">
        <f t="shared" si="59"/>
        <v>UPDATE COTACAO SET cot_id = 1875, cot_blt_id = 85, cot_pap_id = 5, cot_prc_comum = 30, cot_prc_min = 25, cot_prc_max = 50, cot_prc_med = 33.75, cot_prc_mediana = 30 WHERE cot_id = 1875;</v>
      </c>
    </row>
    <row r="1877" spans="1:10" x14ac:dyDescent="0.3">
      <c r="A1877">
        <v>1876</v>
      </c>
      <c r="B1877">
        <f>IF('Boletins Nuppa Site'!A1877&lt;&gt;0,'Boletins Nuppa Site'!A1877,"NULL")</f>
        <v>85</v>
      </c>
      <c r="C1877">
        <v>6</v>
      </c>
      <c r="D1877">
        <f>IF('Boletins Nuppa Site'!G1877&lt;&gt;0,'Boletins Nuppa Site'!G1877,"NULL")</f>
        <v>60</v>
      </c>
      <c r="E1877" s="14">
        <f>IF('Boletins Nuppa Site'!H1877&lt;&gt;0,'Boletins Nuppa Site'!H1877,"NULL")</f>
        <v>60</v>
      </c>
      <c r="F1877" s="14">
        <f>IF('Boletins Nuppa Site'!I1877&lt;&gt;0,'Boletins Nuppa Site'!I1877,"NULL")</f>
        <v>120</v>
      </c>
      <c r="G1877" s="14" t="str">
        <f>IF('Boletins Nuppa Site'!J1877&lt;&gt;0,'Boletins Nuppa Site'!J1877,"NULL")</f>
        <v>76.5</v>
      </c>
      <c r="H1877" s="14">
        <f>IF('Boletins Nuppa Site'!K1877&lt;&gt;0,'Boletins Nuppa Site'!K1877,"NULL")</f>
        <v>63</v>
      </c>
      <c r="I1877" t="str">
        <f t="shared" si="58"/>
        <v>INSERT INTO COTACAO (cot_id, cot_blt_id, cot_pap_id, cot_prc_comum, cot_prc_min, cot_prc_max, cot_prc_med, cot_prc_mediana) VALUES (1876, 85, 6, 60, 60, 120, 76.5, 63);</v>
      </c>
      <c r="J1877" t="str">
        <f t="shared" si="59"/>
        <v>UPDATE COTACAO SET cot_id = 1876, cot_blt_id = 85, cot_pap_id = 6, cot_prc_comum = 60, cot_prc_min = 60, cot_prc_max = 120, cot_prc_med = 76.5, cot_prc_mediana = 63 WHERE cot_id = 1876;</v>
      </c>
    </row>
    <row r="1878" spans="1:10" x14ac:dyDescent="0.3">
      <c r="A1878">
        <v>1877</v>
      </c>
      <c r="B1878">
        <f>IF('Boletins Nuppa Site'!A1878&lt;&gt;0,'Boletins Nuppa Site'!A1878,"NULL")</f>
        <v>85</v>
      </c>
      <c r="C1878">
        <v>7</v>
      </c>
      <c r="D1878">
        <f>IF('Boletins Nuppa Site'!G1878&lt;&gt;0,'Boletins Nuppa Site'!G1878,"NULL")</f>
        <v>84</v>
      </c>
      <c r="E1878" s="14">
        <f>IF('Boletins Nuppa Site'!H1878&lt;&gt;0,'Boletins Nuppa Site'!H1878,"NULL")</f>
        <v>78</v>
      </c>
      <c r="F1878" s="14">
        <f>IF('Boletins Nuppa Site'!I1878&lt;&gt;0,'Boletins Nuppa Site'!I1878,"NULL")</f>
        <v>84</v>
      </c>
      <c r="G1878" s="14">
        <f>IF('Boletins Nuppa Site'!J1878&lt;&gt;0,'Boletins Nuppa Site'!J1878,"NULL")</f>
        <v>81</v>
      </c>
      <c r="H1878" s="14">
        <f>IF('Boletins Nuppa Site'!K1878&lt;&gt;0,'Boletins Nuppa Site'!K1878,"NULL")</f>
        <v>81</v>
      </c>
      <c r="I1878" t="str">
        <f t="shared" si="58"/>
        <v>INSERT INTO COTACAO (cot_id, cot_blt_id, cot_pap_id, cot_prc_comum, cot_prc_min, cot_prc_max, cot_prc_med, cot_prc_mediana) VALUES (1877, 85, 7, 84, 78, 84, 81, 81);</v>
      </c>
      <c r="J1878" t="str">
        <f t="shared" si="59"/>
        <v>UPDATE COTACAO SET cot_id = 1877, cot_blt_id = 85, cot_pap_id = 7, cot_prc_comum = 84, cot_prc_min = 78, cot_prc_max = 84, cot_prc_med = 81, cot_prc_mediana = 81 WHERE cot_id = 1877;</v>
      </c>
    </row>
    <row r="1879" spans="1:10" x14ac:dyDescent="0.3">
      <c r="A1879">
        <v>1878</v>
      </c>
      <c r="B1879">
        <f>IF('Boletins Nuppa Site'!A1879&lt;&gt;0,'Boletins Nuppa Site'!A1879,"NULL")</f>
        <v>85</v>
      </c>
      <c r="C1879">
        <v>8</v>
      </c>
      <c r="D1879">
        <f>IF('Boletins Nuppa Site'!G1879&lt;&gt;0,'Boletins Nuppa Site'!G1879,"NULL")</f>
        <v>84</v>
      </c>
      <c r="E1879" s="14">
        <f>IF('Boletins Nuppa Site'!H1879&lt;&gt;0,'Boletins Nuppa Site'!H1879,"NULL")</f>
        <v>72</v>
      </c>
      <c r="F1879" s="14">
        <f>IF('Boletins Nuppa Site'!I1879&lt;&gt;0,'Boletins Nuppa Site'!I1879,"NULL")</f>
        <v>96</v>
      </c>
      <c r="G1879" s="14">
        <f>IF('Boletins Nuppa Site'!J1879&lt;&gt;0,'Boletins Nuppa Site'!J1879,"NULL")</f>
        <v>84</v>
      </c>
      <c r="H1879" s="14">
        <f>IF('Boletins Nuppa Site'!K1879&lt;&gt;0,'Boletins Nuppa Site'!K1879,"NULL")</f>
        <v>84</v>
      </c>
      <c r="I1879" t="str">
        <f t="shared" si="58"/>
        <v>INSERT INTO COTACAO (cot_id, cot_blt_id, cot_pap_id, cot_prc_comum, cot_prc_min, cot_prc_max, cot_prc_med, cot_prc_mediana) VALUES (1878, 85, 8, 84, 72, 96, 84, 84);</v>
      </c>
      <c r="J1879" t="str">
        <f t="shared" si="59"/>
        <v>UPDATE COTACAO SET cot_id = 1878, cot_blt_id = 85, cot_pap_id = 8, cot_prc_comum = 84, cot_prc_min = 72, cot_prc_max = 96, cot_prc_med = 84, cot_prc_mediana = 84 WHERE cot_id = 1878;</v>
      </c>
    </row>
    <row r="1880" spans="1:10" x14ac:dyDescent="0.3">
      <c r="A1880">
        <v>1879</v>
      </c>
      <c r="B1880">
        <f>IF('Boletins Nuppa Site'!A1880&lt;&gt;0,'Boletins Nuppa Site'!A1880,"NULL")</f>
        <v>85</v>
      </c>
      <c r="C1880">
        <v>9</v>
      </c>
      <c r="D1880">
        <f>IF('Boletins Nuppa Site'!G1880&lt;&gt;0,'Boletins Nuppa Site'!G1880,"NULL")</f>
        <v>24</v>
      </c>
      <c r="E1880" s="14">
        <f>IF('Boletins Nuppa Site'!H1880&lt;&gt;0,'Boletins Nuppa Site'!H1880,"NULL")</f>
        <v>24</v>
      </c>
      <c r="F1880" s="14">
        <f>IF('Boletins Nuppa Site'!I1880&lt;&gt;0,'Boletins Nuppa Site'!I1880,"NULL")</f>
        <v>30</v>
      </c>
      <c r="G1880" s="14" t="str">
        <f>IF('Boletins Nuppa Site'!J1880&lt;&gt;0,'Boletins Nuppa Site'!J1880,"NULL")</f>
        <v>25.5</v>
      </c>
      <c r="H1880" s="14">
        <f>IF('Boletins Nuppa Site'!K1880&lt;&gt;0,'Boletins Nuppa Site'!K1880,"NULL")</f>
        <v>24</v>
      </c>
      <c r="I1880" t="str">
        <f t="shared" si="58"/>
        <v>INSERT INTO COTACAO (cot_id, cot_blt_id, cot_pap_id, cot_prc_comum, cot_prc_min, cot_prc_max, cot_prc_med, cot_prc_mediana) VALUES (1879, 85, 9, 24, 24, 30, 25.5, 24);</v>
      </c>
      <c r="J1880" t="str">
        <f t="shared" si="59"/>
        <v>UPDATE COTACAO SET cot_id = 1879, cot_blt_id = 85, cot_pap_id = 9, cot_prc_comum = 24, cot_prc_min = 24, cot_prc_max = 30, cot_prc_med = 25.5, cot_prc_mediana = 24 WHERE cot_id = 1879;</v>
      </c>
    </row>
    <row r="1881" spans="1:10" x14ac:dyDescent="0.3">
      <c r="A1881">
        <v>1880</v>
      </c>
      <c r="B1881">
        <f>IF('Boletins Nuppa Site'!A1881&lt;&gt;0,'Boletins Nuppa Site'!A1881,"NULL")</f>
        <v>85</v>
      </c>
      <c r="C1881">
        <v>10</v>
      </c>
      <c r="D1881">
        <f>IF('Boletins Nuppa Site'!G1881&lt;&gt;0,'Boletins Nuppa Site'!G1881,"NULL")</f>
        <v>96</v>
      </c>
      <c r="E1881" s="14">
        <f>IF('Boletins Nuppa Site'!H1881&lt;&gt;0,'Boletins Nuppa Site'!H1881,"NULL")</f>
        <v>72</v>
      </c>
      <c r="F1881" s="14">
        <f>IF('Boletins Nuppa Site'!I1881&lt;&gt;0,'Boletins Nuppa Site'!I1881,"NULL")</f>
        <v>96</v>
      </c>
      <c r="G1881" s="14">
        <f>IF('Boletins Nuppa Site'!J1881&lt;&gt;0,'Boletins Nuppa Site'!J1881,"NULL")</f>
        <v>87</v>
      </c>
      <c r="H1881" s="14">
        <f>IF('Boletins Nuppa Site'!K1881&lt;&gt;0,'Boletins Nuppa Site'!K1881,"NULL")</f>
        <v>90</v>
      </c>
      <c r="I1881" t="str">
        <f t="shared" si="58"/>
        <v>INSERT INTO COTACAO (cot_id, cot_blt_id, cot_pap_id, cot_prc_comum, cot_prc_min, cot_prc_max, cot_prc_med, cot_prc_mediana) VALUES (1880, 85, 10, 96, 72, 96, 87, 90);</v>
      </c>
      <c r="J1881" t="str">
        <f t="shared" si="59"/>
        <v>UPDATE COTACAO SET cot_id = 1880, cot_blt_id = 85, cot_pap_id = 10, cot_prc_comum = 96, cot_prc_min = 72, cot_prc_max = 96, cot_prc_med = 87, cot_prc_mediana = 90 WHERE cot_id = 1880;</v>
      </c>
    </row>
    <row r="1882" spans="1:10" x14ac:dyDescent="0.3">
      <c r="A1882">
        <v>1881</v>
      </c>
      <c r="B1882">
        <f>IF('Boletins Nuppa Site'!A1882&lt;&gt;0,'Boletins Nuppa Site'!A1882,"NULL")</f>
        <v>85</v>
      </c>
      <c r="C1882">
        <v>11</v>
      </c>
      <c r="D1882">
        <f>IF('Boletins Nuppa Site'!G1882&lt;&gt;0,'Boletins Nuppa Site'!G1882,"NULL")</f>
        <v>30</v>
      </c>
      <c r="E1882" s="14">
        <f>IF('Boletins Nuppa Site'!H1882&lt;&gt;0,'Boletins Nuppa Site'!H1882,"NULL")</f>
        <v>25</v>
      </c>
      <c r="F1882" s="14">
        <f>IF('Boletins Nuppa Site'!I1882&lt;&gt;0,'Boletins Nuppa Site'!I1882,"NULL")</f>
        <v>36</v>
      </c>
      <c r="G1882" s="14" t="str">
        <f>IF('Boletins Nuppa Site'!J1882&lt;&gt;0,'Boletins Nuppa Site'!J1882,"NULL")</f>
        <v>30.25</v>
      </c>
      <c r="H1882" s="14">
        <f>IF('Boletins Nuppa Site'!K1882&lt;&gt;0,'Boletins Nuppa Site'!K1882,"NULL")</f>
        <v>30</v>
      </c>
      <c r="I1882" t="str">
        <f t="shared" si="58"/>
        <v>INSERT INTO COTACAO (cot_id, cot_blt_id, cot_pap_id, cot_prc_comum, cot_prc_min, cot_prc_max, cot_prc_med, cot_prc_mediana) VALUES (1881, 85, 11, 30, 25, 36, 30.25, 30);</v>
      </c>
      <c r="J1882" t="str">
        <f t="shared" si="59"/>
        <v>UPDATE COTACAO SET cot_id = 1881, cot_blt_id = 85, cot_pap_id = 11, cot_prc_comum = 30, cot_prc_min = 25, cot_prc_max = 36, cot_prc_med = 30.25, cot_prc_mediana = 30 WHERE cot_id = 1881;</v>
      </c>
    </row>
    <row r="1883" spans="1:10" x14ac:dyDescent="0.3">
      <c r="A1883">
        <v>1882</v>
      </c>
      <c r="B1883">
        <f>IF('Boletins Nuppa Site'!A1883&lt;&gt;0,'Boletins Nuppa Site'!A1883,"NULL")</f>
        <v>85</v>
      </c>
      <c r="C1883">
        <v>12</v>
      </c>
      <c r="D1883">
        <f>IF('Boletins Nuppa Site'!G1883&lt;&gt;0,'Boletins Nuppa Site'!G1883,"NULL")</f>
        <v>72</v>
      </c>
      <c r="E1883" s="14">
        <f>IF('Boletins Nuppa Site'!H1883&lt;&gt;0,'Boletins Nuppa Site'!H1883,"NULL")</f>
        <v>60</v>
      </c>
      <c r="F1883" s="14">
        <f>IF('Boletins Nuppa Site'!I1883&lt;&gt;0,'Boletins Nuppa Site'!I1883,"NULL")</f>
        <v>84</v>
      </c>
      <c r="G1883" s="14">
        <f>IF('Boletins Nuppa Site'!J1883&lt;&gt;0,'Boletins Nuppa Site'!J1883,"NULL")</f>
        <v>72</v>
      </c>
      <c r="H1883" s="14">
        <f>IF('Boletins Nuppa Site'!K1883&lt;&gt;0,'Boletins Nuppa Site'!K1883,"NULL")</f>
        <v>72</v>
      </c>
      <c r="I1883" t="str">
        <f t="shared" si="58"/>
        <v>INSERT INTO COTACAO (cot_id, cot_blt_id, cot_pap_id, cot_prc_comum, cot_prc_min, cot_prc_max, cot_prc_med, cot_prc_mediana) VALUES (1882, 85, 12, 72, 60, 84, 72, 72);</v>
      </c>
      <c r="J1883" t="str">
        <f t="shared" si="59"/>
        <v>UPDATE COTACAO SET cot_id = 1882, cot_blt_id = 85, cot_pap_id = 12, cot_prc_comum = 72, cot_prc_min = 60, cot_prc_max = 84, cot_prc_med = 72, cot_prc_mediana = 72 WHERE cot_id = 1882;</v>
      </c>
    </row>
    <row r="1884" spans="1:10" x14ac:dyDescent="0.3">
      <c r="A1884">
        <v>1883</v>
      </c>
      <c r="B1884">
        <f>IF('Boletins Nuppa Site'!A1884&lt;&gt;0,'Boletins Nuppa Site'!A1884,"NULL")</f>
        <v>85</v>
      </c>
      <c r="C1884">
        <v>13</v>
      </c>
      <c r="D1884">
        <f>IF('Boletins Nuppa Site'!G1884&lt;&gt;0,'Boletins Nuppa Site'!G1884,"NULL")</f>
        <v>72</v>
      </c>
      <c r="E1884" s="14">
        <f>IF('Boletins Nuppa Site'!H1884&lt;&gt;0,'Boletins Nuppa Site'!H1884,"NULL")</f>
        <v>60</v>
      </c>
      <c r="F1884" s="14">
        <f>IF('Boletins Nuppa Site'!I1884&lt;&gt;0,'Boletins Nuppa Site'!I1884,"NULL")</f>
        <v>96</v>
      </c>
      <c r="G1884" s="14">
        <f>IF('Boletins Nuppa Site'!J1884&lt;&gt;0,'Boletins Nuppa Site'!J1884,"NULL")</f>
        <v>75</v>
      </c>
      <c r="H1884" s="14">
        <f>IF('Boletins Nuppa Site'!K1884&lt;&gt;0,'Boletins Nuppa Site'!K1884,"NULL")</f>
        <v>72</v>
      </c>
      <c r="I1884" t="str">
        <f t="shared" si="58"/>
        <v>INSERT INTO COTACAO (cot_id, cot_blt_id, cot_pap_id, cot_prc_comum, cot_prc_min, cot_prc_max, cot_prc_med, cot_prc_mediana) VALUES (1883, 85, 13, 72, 60, 96, 75, 72);</v>
      </c>
      <c r="J1884" t="str">
        <f t="shared" si="59"/>
        <v>UPDATE COTACAO SET cot_id = 1883, cot_blt_id = 85, cot_pap_id = 13, cot_prc_comum = 72, cot_prc_min = 60, cot_prc_max = 96, cot_prc_med = 75, cot_prc_mediana = 72 WHERE cot_id = 1883;</v>
      </c>
    </row>
    <row r="1885" spans="1:10" x14ac:dyDescent="0.3">
      <c r="A1885">
        <v>1884</v>
      </c>
      <c r="B1885">
        <f>IF('Boletins Nuppa Site'!A1885&lt;&gt;0,'Boletins Nuppa Site'!A1885,"NULL")</f>
        <v>85</v>
      </c>
      <c r="C1885">
        <v>14</v>
      </c>
      <c r="D1885">
        <f>IF('Boletins Nuppa Site'!G1885&lt;&gt;0,'Boletins Nuppa Site'!G1885,"NULL")</f>
        <v>60</v>
      </c>
      <c r="E1885" s="14">
        <f>IF('Boletins Nuppa Site'!H1885&lt;&gt;0,'Boletins Nuppa Site'!H1885,"NULL")</f>
        <v>54</v>
      </c>
      <c r="F1885" s="14">
        <f>IF('Boletins Nuppa Site'!I1885&lt;&gt;0,'Boletins Nuppa Site'!I1885,"NULL")</f>
        <v>72</v>
      </c>
      <c r="G1885" s="14" t="str">
        <f>IF('Boletins Nuppa Site'!J1885&lt;&gt;0,'Boletins Nuppa Site'!J1885,"NULL")</f>
        <v>61.5</v>
      </c>
      <c r="H1885" s="14">
        <f>IF('Boletins Nuppa Site'!K1885&lt;&gt;0,'Boletins Nuppa Site'!K1885,"NULL")</f>
        <v>60</v>
      </c>
      <c r="I1885" t="str">
        <f t="shared" si="58"/>
        <v>INSERT INTO COTACAO (cot_id, cot_blt_id, cot_pap_id, cot_prc_comum, cot_prc_min, cot_prc_max, cot_prc_med, cot_prc_mediana) VALUES (1884, 85, 14, 60, 54, 72, 61.5, 60);</v>
      </c>
      <c r="J1885" t="str">
        <f t="shared" si="59"/>
        <v>UPDATE COTACAO SET cot_id = 1884, cot_blt_id = 85, cot_pap_id = 14, cot_prc_comum = 60, cot_prc_min = 54, cot_prc_max = 72, cot_prc_med = 61.5, cot_prc_mediana = 60 WHERE cot_id = 1884;</v>
      </c>
    </row>
    <row r="1886" spans="1:10" x14ac:dyDescent="0.3">
      <c r="A1886">
        <v>1885</v>
      </c>
      <c r="B1886">
        <f>IF('Boletins Nuppa Site'!A1886&lt;&gt;0,'Boletins Nuppa Site'!A1886,"NULL")</f>
        <v>85</v>
      </c>
      <c r="C1886">
        <v>15</v>
      </c>
      <c r="D1886">
        <f>IF('Boletins Nuppa Site'!G1886&lt;&gt;0,'Boletins Nuppa Site'!G1886,"NULL")</f>
        <v>48</v>
      </c>
      <c r="E1886" s="14">
        <f>IF('Boletins Nuppa Site'!H1886&lt;&gt;0,'Boletins Nuppa Site'!H1886,"NULL")</f>
        <v>36</v>
      </c>
      <c r="F1886" s="14">
        <f>IF('Boletins Nuppa Site'!I1886&lt;&gt;0,'Boletins Nuppa Site'!I1886,"NULL")</f>
        <v>48</v>
      </c>
      <c r="G1886" s="14">
        <f>IF('Boletins Nuppa Site'!J1886&lt;&gt;0,'Boletins Nuppa Site'!J1886,"NULL")</f>
        <v>42</v>
      </c>
      <c r="H1886" s="14">
        <f>IF('Boletins Nuppa Site'!K1886&lt;&gt;0,'Boletins Nuppa Site'!K1886,"NULL")</f>
        <v>42</v>
      </c>
      <c r="I1886" t="str">
        <f t="shared" si="58"/>
        <v>INSERT INTO COTACAO (cot_id, cot_blt_id, cot_pap_id, cot_prc_comum, cot_prc_min, cot_prc_max, cot_prc_med, cot_prc_mediana) VALUES (1885, 85, 15, 48, 36, 48, 42, 42);</v>
      </c>
      <c r="J1886" t="str">
        <f t="shared" si="59"/>
        <v>UPDATE COTACAO SET cot_id = 1885, cot_blt_id = 85, cot_pap_id = 15, cot_prc_comum = 48, cot_prc_min = 36, cot_prc_max = 48, cot_prc_med = 42, cot_prc_mediana = 42 WHERE cot_id = 1885;</v>
      </c>
    </row>
    <row r="1887" spans="1:10" x14ac:dyDescent="0.3">
      <c r="A1887">
        <v>1886</v>
      </c>
      <c r="B1887">
        <f>IF('Boletins Nuppa Site'!A1887&lt;&gt;0,'Boletins Nuppa Site'!A1887,"NULL")</f>
        <v>85</v>
      </c>
      <c r="C1887">
        <v>16</v>
      </c>
      <c r="D1887">
        <f>IF('Boletins Nuppa Site'!G1887&lt;&gt;0,'Boletins Nuppa Site'!G1887,"NULL")</f>
        <v>54</v>
      </c>
      <c r="E1887" s="14">
        <f>IF('Boletins Nuppa Site'!H1887&lt;&gt;0,'Boletins Nuppa Site'!H1887,"NULL")</f>
        <v>48</v>
      </c>
      <c r="F1887" s="14">
        <f>IF('Boletins Nuppa Site'!I1887&lt;&gt;0,'Boletins Nuppa Site'!I1887,"NULL")</f>
        <v>60</v>
      </c>
      <c r="G1887" s="14">
        <f>IF('Boletins Nuppa Site'!J1887&lt;&gt;0,'Boletins Nuppa Site'!J1887,"NULL")</f>
        <v>54</v>
      </c>
      <c r="H1887" s="14">
        <f>IF('Boletins Nuppa Site'!K1887&lt;&gt;0,'Boletins Nuppa Site'!K1887,"NULL")</f>
        <v>54</v>
      </c>
      <c r="I1887" t="str">
        <f t="shared" si="58"/>
        <v>INSERT INTO COTACAO (cot_id, cot_blt_id, cot_pap_id, cot_prc_comum, cot_prc_min, cot_prc_max, cot_prc_med, cot_prc_mediana) VALUES (1886, 85, 16, 54, 48, 60, 54, 54);</v>
      </c>
      <c r="J1887" t="str">
        <f t="shared" si="59"/>
        <v>UPDATE COTACAO SET cot_id = 1886, cot_blt_id = 85, cot_pap_id = 16, cot_prc_comum = 54, cot_prc_min = 48, cot_prc_max = 60, cot_prc_med = 54, cot_prc_mediana = 54 WHERE cot_id = 1886;</v>
      </c>
    </row>
    <row r="1888" spans="1:10" x14ac:dyDescent="0.3">
      <c r="A1888">
        <v>1887</v>
      </c>
      <c r="B1888">
        <f>IF('Boletins Nuppa Site'!A1888&lt;&gt;0,'Boletins Nuppa Site'!A1888,"NULL")</f>
        <v>85</v>
      </c>
      <c r="C1888">
        <v>17</v>
      </c>
      <c r="D1888">
        <f>IF('Boletins Nuppa Site'!G1888&lt;&gt;0,'Boletins Nuppa Site'!G1888,"NULL")</f>
        <v>5</v>
      </c>
      <c r="E1888" s="14">
        <f>IF('Boletins Nuppa Site'!H1888&lt;&gt;0,'Boletins Nuppa Site'!H1888,"NULL")</f>
        <v>5</v>
      </c>
      <c r="F1888" s="14">
        <f>IF('Boletins Nuppa Site'!I1888&lt;&gt;0,'Boletins Nuppa Site'!I1888,"NULL")</f>
        <v>5</v>
      </c>
      <c r="G1888" s="14">
        <f>IF('Boletins Nuppa Site'!J1888&lt;&gt;0,'Boletins Nuppa Site'!J1888,"NULL")</f>
        <v>5</v>
      </c>
      <c r="H1888" s="14">
        <f>IF('Boletins Nuppa Site'!K1888&lt;&gt;0,'Boletins Nuppa Site'!K1888,"NULL")</f>
        <v>5</v>
      </c>
      <c r="I1888" t="str">
        <f t="shared" si="58"/>
        <v>INSERT INTO COTACAO (cot_id, cot_blt_id, cot_pap_id, cot_prc_comum, cot_prc_min, cot_prc_max, cot_prc_med, cot_prc_mediana) VALUES (1887, 85, 17, 5, 5, 5, 5, 5);</v>
      </c>
      <c r="J1888" t="str">
        <f t="shared" si="59"/>
        <v>UPDATE COTACAO SET cot_id = 1887, cot_blt_id = 85, cot_pap_id = 17, cot_prc_comum = 5, cot_prc_min = 5, cot_prc_max = 5, cot_prc_med = 5, cot_prc_mediana = 5 WHERE cot_id = 1887;</v>
      </c>
    </row>
    <row r="1889" spans="1:10" x14ac:dyDescent="0.3">
      <c r="A1889">
        <v>1888</v>
      </c>
      <c r="B1889">
        <f>IF('Boletins Nuppa Site'!A1889&lt;&gt;0,'Boletins Nuppa Site'!A1889,"NULL")</f>
        <v>85</v>
      </c>
      <c r="C1889">
        <v>18</v>
      </c>
      <c r="D1889">
        <f>IF('Boletins Nuppa Site'!G1889&lt;&gt;0,'Boletins Nuppa Site'!G1889,"NULL")</f>
        <v>20</v>
      </c>
      <c r="E1889" s="14">
        <f>IF('Boletins Nuppa Site'!H1889&lt;&gt;0,'Boletins Nuppa Site'!H1889,"NULL")</f>
        <v>20</v>
      </c>
      <c r="F1889" s="14">
        <f>IF('Boletins Nuppa Site'!I1889&lt;&gt;0,'Boletins Nuppa Site'!I1889,"NULL")</f>
        <v>25</v>
      </c>
      <c r="G1889" s="14" t="str">
        <f>IF('Boletins Nuppa Site'!J1889&lt;&gt;0,'Boletins Nuppa Site'!J1889,"NULL")</f>
        <v>22.5</v>
      </c>
      <c r="H1889" s="14" t="str">
        <f>IF('Boletins Nuppa Site'!K1889&lt;&gt;0,'Boletins Nuppa Site'!K1889,"NULL")</f>
        <v>22.5</v>
      </c>
      <c r="I1889" t="str">
        <f t="shared" si="58"/>
        <v>INSERT INTO COTACAO (cot_id, cot_blt_id, cot_pap_id, cot_prc_comum, cot_prc_min, cot_prc_max, cot_prc_med, cot_prc_mediana) VALUES (1888, 85, 18, 20, 20, 25, 22.5, 22.5);</v>
      </c>
      <c r="J1889" t="str">
        <f t="shared" si="59"/>
        <v>UPDATE COTACAO SET cot_id = 1888, cot_blt_id = 85, cot_pap_id = 18, cot_prc_comum = 20, cot_prc_min = 20, cot_prc_max = 25, cot_prc_med = 22.5, cot_prc_mediana = 22.5 WHERE cot_id = 1888;</v>
      </c>
    </row>
    <row r="1890" spans="1:10" x14ac:dyDescent="0.3">
      <c r="A1890">
        <v>1889</v>
      </c>
      <c r="B1890">
        <f>IF('Boletins Nuppa Site'!A1890&lt;&gt;0,'Boletins Nuppa Site'!A1890,"NULL")</f>
        <v>85</v>
      </c>
      <c r="C1890">
        <v>19</v>
      </c>
      <c r="D1890">
        <f>IF('Boletins Nuppa Site'!G1890&lt;&gt;0,'Boletins Nuppa Site'!G1890,"NULL")</f>
        <v>25</v>
      </c>
      <c r="E1890" s="14">
        <f>IF('Boletins Nuppa Site'!H1890&lt;&gt;0,'Boletins Nuppa Site'!H1890,"NULL")</f>
        <v>25</v>
      </c>
      <c r="F1890" s="14">
        <f>IF('Boletins Nuppa Site'!I1890&lt;&gt;0,'Boletins Nuppa Site'!I1890,"NULL")</f>
        <v>30</v>
      </c>
      <c r="G1890" s="14" t="str">
        <f>IF('Boletins Nuppa Site'!J1890&lt;&gt;0,'Boletins Nuppa Site'!J1890,"NULL")</f>
        <v>27.5</v>
      </c>
      <c r="H1890" s="14" t="str">
        <f>IF('Boletins Nuppa Site'!K1890&lt;&gt;0,'Boletins Nuppa Site'!K1890,"NULL")</f>
        <v>27.5</v>
      </c>
      <c r="I1890" t="str">
        <f t="shared" si="58"/>
        <v>INSERT INTO COTACAO (cot_id, cot_blt_id, cot_pap_id, cot_prc_comum, cot_prc_min, cot_prc_max, cot_prc_med, cot_prc_mediana) VALUES (1889, 85, 19, 25, 25, 30, 27.5, 27.5);</v>
      </c>
      <c r="J1890" t="str">
        <f t="shared" si="59"/>
        <v>UPDATE COTACAO SET cot_id = 1889, cot_blt_id = 85, cot_pap_id = 19, cot_prc_comum = 25, cot_prc_min = 25, cot_prc_max = 30, cot_prc_med = 27.5, cot_prc_mediana = 27.5 WHERE cot_id = 1889;</v>
      </c>
    </row>
    <row r="1891" spans="1:10" x14ac:dyDescent="0.3">
      <c r="A1891">
        <v>1890</v>
      </c>
      <c r="B1891">
        <f>IF('Boletins Nuppa Site'!A1891&lt;&gt;0,'Boletins Nuppa Site'!A1891,"NULL")</f>
        <v>85</v>
      </c>
      <c r="C1891">
        <v>20</v>
      </c>
      <c r="D1891">
        <f>IF('Boletins Nuppa Site'!G1891&lt;&gt;0,'Boletins Nuppa Site'!G1891,"NULL")</f>
        <v>70</v>
      </c>
      <c r="E1891" s="14">
        <f>IF('Boletins Nuppa Site'!H1891&lt;&gt;0,'Boletins Nuppa Site'!H1891,"NULL")</f>
        <v>70</v>
      </c>
      <c r="F1891" s="14">
        <f>IF('Boletins Nuppa Site'!I1891&lt;&gt;0,'Boletins Nuppa Site'!I1891,"NULL")</f>
        <v>75</v>
      </c>
      <c r="G1891" s="14" t="str">
        <f>IF('Boletins Nuppa Site'!J1891&lt;&gt;0,'Boletins Nuppa Site'!J1891,"NULL")</f>
        <v>71.67</v>
      </c>
      <c r="H1891" s="14">
        <f>IF('Boletins Nuppa Site'!K1891&lt;&gt;0,'Boletins Nuppa Site'!K1891,"NULL")</f>
        <v>70</v>
      </c>
      <c r="I1891" t="str">
        <f t="shared" si="58"/>
        <v>INSERT INTO COTACAO (cot_id, cot_blt_id, cot_pap_id, cot_prc_comum, cot_prc_min, cot_prc_max, cot_prc_med, cot_prc_mediana) VALUES (1890, 85, 20, 70, 70, 75, 71.67, 70);</v>
      </c>
      <c r="J1891" t="str">
        <f t="shared" si="59"/>
        <v>UPDATE COTACAO SET cot_id = 1890, cot_blt_id = 85, cot_pap_id = 20, cot_prc_comum = 70, cot_prc_min = 70, cot_prc_max = 75, cot_prc_med = 71.67, cot_prc_mediana = 70 WHERE cot_id = 1890;</v>
      </c>
    </row>
    <row r="1892" spans="1:10" x14ac:dyDescent="0.3">
      <c r="A1892">
        <v>1891</v>
      </c>
      <c r="B1892">
        <f>IF('Boletins Nuppa Site'!A1892&lt;&gt;0,'Boletins Nuppa Site'!A1892,"NULL")</f>
        <v>85</v>
      </c>
      <c r="C1892">
        <v>21</v>
      </c>
      <c r="D1892">
        <f>IF('Boletins Nuppa Site'!G1892&lt;&gt;0,'Boletins Nuppa Site'!G1892,"NULL")</f>
        <v>50</v>
      </c>
      <c r="E1892" s="14">
        <f>IF('Boletins Nuppa Site'!H1892&lt;&gt;0,'Boletins Nuppa Site'!H1892,"NULL")</f>
        <v>50</v>
      </c>
      <c r="F1892" s="14">
        <f>IF('Boletins Nuppa Site'!I1892&lt;&gt;0,'Boletins Nuppa Site'!I1892,"NULL")</f>
        <v>60</v>
      </c>
      <c r="G1892" s="14" t="str">
        <f>IF('Boletins Nuppa Site'!J1892&lt;&gt;0,'Boletins Nuppa Site'!J1892,"NULL")</f>
        <v>53.33</v>
      </c>
      <c r="H1892" s="14">
        <f>IF('Boletins Nuppa Site'!K1892&lt;&gt;0,'Boletins Nuppa Site'!K1892,"NULL")</f>
        <v>50</v>
      </c>
      <c r="I1892" t="str">
        <f t="shared" si="58"/>
        <v>INSERT INTO COTACAO (cot_id, cot_blt_id, cot_pap_id, cot_prc_comum, cot_prc_min, cot_prc_max, cot_prc_med, cot_prc_mediana) VALUES (1891, 85, 21, 50, 50, 60, 53.33, 50);</v>
      </c>
      <c r="J1892" t="str">
        <f t="shared" si="59"/>
        <v>UPDATE COTACAO SET cot_id = 1891, cot_blt_id = 85, cot_pap_id = 21, cot_prc_comum = 50, cot_prc_min = 50, cot_prc_max = 60, cot_prc_med = 53.33, cot_prc_mediana = 50 WHERE cot_id = 1891;</v>
      </c>
    </row>
    <row r="1893" spans="1:10" x14ac:dyDescent="0.3">
      <c r="A1893">
        <v>1892</v>
      </c>
      <c r="B1893">
        <f>IF('Boletins Nuppa Site'!A1893&lt;&gt;0,'Boletins Nuppa Site'!A1893,"NULL")</f>
        <v>85</v>
      </c>
      <c r="C1893">
        <v>22</v>
      </c>
      <c r="D1893">
        <f>IF('Boletins Nuppa Site'!G1893&lt;&gt;0,'Boletins Nuppa Site'!G1893,"NULL")</f>
        <v>70</v>
      </c>
      <c r="E1893" s="14">
        <f>IF('Boletins Nuppa Site'!H1893&lt;&gt;0,'Boletins Nuppa Site'!H1893,"NULL")</f>
        <v>45</v>
      </c>
      <c r="F1893" s="14">
        <f>IF('Boletins Nuppa Site'!I1893&lt;&gt;0,'Boletins Nuppa Site'!I1893,"NULL")</f>
        <v>70</v>
      </c>
      <c r="G1893" s="14" t="str">
        <f>IF('Boletins Nuppa Site'!J1893&lt;&gt;0,'Boletins Nuppa Site'!J1893,"NULL")</f>
        <v>62.5</v>
      </c>
      <c r="H1893" s="14" t="str">
        <f>IF('Boletins Nuppa Site'!K1893&lt;&gt;0,'Boletins Nuppa Site'!K1893,"NULL")</f>
        <v>67.5</v>
      </c>
      <c r="I1893" t="str">
        <f t="shared" si="58"/>
        <v>INSERT INTO COTACAO (cot_id, cot_blt_id, cot_pap_id, cot_prc_comum, cot_prc_min, cot_prc_max, cot_prc_med, cot_prc_mediana) VALUES (1892, 85, 22, 70, 45, 70, 62.5, 67.5);</v>
      </c>
      <c r="J1893" t="str">
        <f t="shared" si="59"/>
        <v>UPDATE COTACAO SET cot_id = 1892, cot_blt_id = 85, cot_pap_id = 22, cot_prc_comum = 70, cot_prc_min = 45, cot_prc_max = 70, cot_prc_med = 62.5, cot_prc_mediana = 67.5 WHERE cot_id = 1892;</v>
      </c>
    </row>
    <row r="1894" spans="1:10" x14ac:dyDescent="0.3">
      <c r="A1894">
        <v>1893</v>
      </c>
      <c r="B1894">
        <f>IF('Boletins Nuppa Site'!A1894&lt;&gt;0,'Boletins Nuppa Site'!A1894,"NULL")</f>
        <v>85</v>
      </c>
      <c r="C1894">
        <v>23</v>
      </c>
      <c r="D1894" t="str">
        <f>IF('Boletins Nuppa Site'!G1894&lt;&gt;0,'Boletins Nuppa Site'!G1894,"NULL")</f>
        <v>NULL</v>
      </c>
      <c r="E1894" s="14">
        <f>IF('Boletins Nuppa Site'!H1894&lt;&gt;0,'Boletins Nuppa Site'!H1894,"NULL")</f>
        <v>40</v>
      </c>
      <c r="F1894" s="14">
        <f>IF('Boletins Nuppa Site'!I1894&lt;&gt;0,'Boletins Nuppa Site'!I1894,"NULL")</f>
        <v>65</v>
      </c>
      <c r="G1894" s="14" t="str">
        <f>IF('Boletins Nuppa Site'!J1894&lt;&gt;0,'Boletins Nuppa Site'!J1894,"NULL")</f>
        <v>53.75</v>
      </c>
      <c r="H1894" s="14">
        <f>IF('Boletins Nuppa Site'!K1894&lt;&gt;0,'Boletins Nuppa Site'!K1894,"NULL")</f>
        <v>55</v>
      </c>
      <c r="I1894" t="str">
        <f t="shared" si="58"/>
        <v>INSERT INTO COTACAO (cot_id, cot_blt_id, cot_pap_id, cot_prc_comum, cot_prc_min, cot_prc_max, cot_prc_med, cot_prc_mediana) VALUES (1893, 85, 23, NULL, 40, 65, 53.75, 55);</v>
      </c>
      <c r="J1894" t="str">
        <f t="shared" si="59"/>
        <v>UPDATE COTACAO SET cot_id = 1893, cot_blt_id = 85, cot_pap_id = 23, cot_prc_comum = NULL, cot_prc_min = 40, cot_prc_max = 65, cot_prc_med = 53.75, cot_prc_mediana = 55 WHERE cot_id = 1893;</v>
      </c>
    </row>
    <row r="1895" spans="1:10" x14ac:dyDescent="0.3">
      <c r="A1895">
        <v>1894</v>
      </c>
      <c r="B1895">
        <f>IF('Boletins Nuppa Site'!A1895&lt;&gt;0,'Boletins Nuppa Site'!A1895,"NULL")</f>
        <v>85</v>
      </c>
      <c r="C1895">
        <v>24</v>
      </c>
      <c r="D1895" t="str">
        <f>IF('Boletins Nuppa Site'!G1895&lt;&gt;0,'Boletins Nuppa Site'!G1895,"NULL")</f>
        <v>NULL</v>
      </c>
      <c r="E1895" s="14">
        <f>IF('Boletins Nuppa Site'!H1895&lt;&gt;0,'Boletins Nuppa Site'!H1895,"NULL")</f>
        <v>65</v>
      </c>
      <c r="F1895" s="14">
        <f>IF('Boletins Nuppa Site'!I1895&lt;&gt;0,'Boletins Nuppa Site'!I1895,"NULL")</f>
        <v>75</v>
      </c>
      <c r="G1895" s="14">
        <f>IF('Boletins Nuppa Site'!J1895&lt;&gt;0,'Boletins Nuppa Site'!J1895,"NULL")</f>
        <v>70</v>
      </c>
      <c r="H1895" s="14">
        <f>IF('Boletins Nuppa Site'!K1895&lt;&gt;0,'Boletins Nuppa Site'!K1895,"NULL")</f>
        <v>70</v>
      </c>
      <c r="I1895" t="str">
        <f t="shared" si="58"/>
        <v>INSERT INTO COTACAO (cot_id, cot_blt_id, cot_pap_id, cot_prc_comum, cot_prc_min, cot_prc_max, cot_prc_med, cot_prc_mediana) VALUES (1894, 85, 24, NULL, 65, 75, 70, 70);</v>
      </c>
      <c r="J1895" t="str">
        <f t="shared" si="59"/>
        <v>UPDATE COTACAO SET cot_id = 1894, cot_blt_id = 85, cot_pap_id = 24, cot_prc_comum = NULL, cot_prc_min = 65, cot_prc_max = 75, cot_prc_med = 70, cot_prc_mediana = 70 WHERE cot_id = 1894;</v>
      </c>
    </row>
    <row r="1896" spans="1:10" x14ac:dyDescent="0.3">
      <c r="A1896">
        <v>1895</v>
      </c>
      <c r="B1896">
        <f>IF('Boletins Nuppa Site'!A1896&lt;&gt;0,'Boletins Nuppa Site'!A1896,"NULL")</f>
        <v>85</v>
      </c>
      <c r="C1896">
        <v>25</v>
      </c>
      <c r="D1896">
        <f>IF('Boletins Nuppa Site'!G1896&lt;&gt;0,'Boletins Nuppa Site'!G1896,"NULL")</f>
        <v>60</v>
      </c>
      <c r="E1896" s="14">
        <f>IF('Boletins Nuppa Site'!H1896&lt;&gt;0,'Boletins Nuppa Site'!H1896,"NULL")</f>
        <v>50</v>
      </c>
      <c r="F1896" s="14">
        <f>IF('Boletins Nuppa Site'!I1896&lt;&gt;0,'Boletins Nuppa Site'!I1896,"NULL")</f>
        <v>60</v>
      </c>
      <c r="G1896" s="14">
        <f>IF('Boletins Nuppa Site'!J1896&lt;&gt;0,'Boletins Nuppa Site'!J1896,"NULL")</f>
        <v>55</v>
      </c>
      <c r="H1896" s="14">
        <f>IF('Boletins Nuppa Site'!K1896&lt;&gt;0,'Boletins Nuppa Site'!K1896,"NULL")</f>
        <v>55</v>
      </c>
      <c r="I1896" t="str">
        <f t="shared" si="58"/>
        <v>INSERT INTO COTACAO (cot_id, cot_blt_id, cot_pap_id, cot_prc_comum, cot_prc_min, cot_prc_max, cot_prc_med, cot_prc_mediana) VALUES (1895, 85, 25, 60, 50, 60, 55, 55);</v>
      </c>
      <c r="J1896" t="str">
        <f t="shared" si="59"/>
        <v>UPDATE COTACAO SET cot_id = 1895, cot_blt_id = 85, cot_pap_id = 25, cot_prc_comum = 60, cot_prc_min = 50, cot_prc_max = 60, cot_prc_med = 55, cot_prc_mediana = 55 WHERE cot_id = 1895;</v>
      </c>
    </row>
    <row r="1897" spans="1:10" x14ac:dyDescent="0.3">
      <c r="A1897">
        <v>1896</v>
      </c>
      <c r="B1897">
        <f>IF('Boletins Nuppa Site'!A1897&lt;&gt;0,'Boletins Nuppa Site'!A1897,"NULL")</f>
        <v>85</v>
      </c>
      <c r="C1897">
        <v>26</v>
      </c>
      <c r="D1897" t="str">
        <f>IF('Boletins Nuppa Site'!G1897&lt;&gt;0,'Boletins Nuppa Site'!G1897,"NULL")</f>
        <v>NULL</v>
      </c>
      <c r="E1897" s="14">
        <f>IF('Boletins Nuppa Site'!H1897&lt;&gt;0,'Boletins Nuppa Site'!H1897,"NULL")</f>
        <v>60</v>
      </c>
      <c r="F1897" s="14">
        <f>IF('Boletins Nuppa Site'!I1897&lt;&gt;0,'Boletins Nuppa Site'!I1897,"NULL")</f>
        <v>100</v>
      </c>
      <c r="G1897" s="14">
        <f>IF('Boletins Nuppa Site'!J1897&lt;&gt;0,'Boletins Nuppa Site'!J1897,"NULL")</f>
        <v>80</v>
      </c>
      <c r="H1897" s="14">
        <f>IF('Boletins Nuppa Site'!K1897&lt;&gt;0,'Boletins Nuppa Site'!K1897,"NULL")</f>
        <v>80</v>
      </c>
      <c r="I1897" t="str">
        <f t="shared" si="58"/>
        <v>INSERT INTO COTACAO (cot_id, cot_blt_id, cot_pap_id, cot_prc_comum, cot_prc_min, cot_prc_max, cot_prc_med, cot_prc_mediana) VALUES (1896, 85, 26, NULL, 60, 100, 80, 80);</v>
      </c>
      <c r="J1897" t="str">
        <f t="shared" si="59"/>
        <v>UPDATE COTACAO SET cot_id = 1896, cot_blt_id = 85, cot_pap_id = 26, cot_prc_comum = NULL, cot_prc_min = 60, cot_prc_max = 100, cot_prc_med = 80, cot_prc_mediana = 80 WHERE cot_id = 1896;</v>
      </c>
    </row>
    <row r="1898" spans="1:10" x14ac:dyDescent="0.3">
      <c r="A1898">
        <v>1897</v>
      </c>
      <c r="B1898">
        <f>IF('Boletins Nuppa Site'!A1898&lt;&gt;0,'Boletins Nuppa Site'!A1898,"NULL")</f>
        <v>85</v>
      </c>
      <c r="C1898">
        <v>27</v>
      </c>
      <c r="D1898" t="str">
        <f>IF('Boletins Nuppa Site'!G1898&lt;&gt;0,'Boletins Nuppa Site'!G1898,"NULL")</f>
        <v>NULL</v>
      </c>
      <c r="E1898" s="14">
        <f>IF('Boletins Nuppa Site'!H1898&lt;&gt;0,'Boletins Nuppa Site'!H1898,"NULL")</f>
        <v>45</v>
      </c>
      <c r="F1898" s="14">
        <f>IF('Boletins Nuppa Site'!I1898&lt;&gt;0,'Boletins Nuppa Site'!I1898,"NULL")</f>
        <v>90</v>
      </c>
      <c r="G1898" s="14" t="str">
        <f>IF('Boletins Nuppa Site'!J1898&lt;&gt;0,'Boletins Nuppa Site'!J1898,"NULL")</f>
        <v>63.75</v>
      </c>
      <c r="H1898" s="14">
        <f>IF('Boletins Nuppa Site'!K1898&lt;&gt;0,'Boletins Nuppa Site'!K1898,"NULL")</f>
        <v>60</v>
      </c>
      <c r="I1898" t="str">
        <f t="shared" si="58"/>
        <v>INSERT INTO COTACAO (cot_id, cot_blt_id, cot_pap_id, cot_prc_comum, cot_prc_min, cot_prc_max, cot_prc_med, cot_prc_mediana) VALUES (1897, 85, 27, NULL, 45, 90, 63.75, 60);</v>
      </c>
      <c r="J1898" t="str">
        <f t="shared" si="59"/>
        <v>UPDATE COTACAO SET cot_id = 1897, cot_blt_id = 85, cot_pap_id = 27, cot_prc_comum = NULL, cot_prc_min = 45, cot_prc_max = 90, cot_prc_med = 63.75, cot_prc_mediana = 60 WHERE cot_id = 1897;</v>
      </c>
    </row>
    <row r="1899" spans="1:10" x14ac:dyDescent="0.3">
      <c r="A1899">
        <v>1898</v>
      </c>
      <c r="B1899">
        <f>IF('Boletins Nuppa Site'!A1899&lt;&gt;0,'Boletins Nuppa Site'!A1899,"NULL")</f>
        <v>85</v>
      </c>
      <c r="C1899">
        <v>28</v>
      </c>
      <c r="D1899" t="str">
        <f>IF('Boletins Nuppa Site'!G1899&lt;&gt;0,'Boletins Nuppa Site'!G1899,"NULL")</f>
        <v>NULL</v>
      </c>
      <c r="E1899" s="14">
        <f>IF('Boletins Nuppa Site'!H1899&lt;&gt;0,'Boletins Nuppa Site'!H1899,"NULL")</f>
        <v>70</v>
      </c>
      <c r="F1899" s="14">
        <f>IF('Boletins Nuppa Site'!I1899&lt;&gt;0,'Boletins Nuppa Site'!I1899,"NULL")</f>
        <v>100</v>
      </c>
      <c r="G1899" s="14">
        <f>IF('Boletins Nuppa Site'!J1899&lt;&gt;0,'Boletins Nuppa Site'!J1899,"NULL")</f>
        <v>85</v>
      </c>
      <c r="H1899" s="14">
        <f>IF('Boletins Nuppa Site'!K1899&lt;&gt;0,'Boletins Nuppa Site'!K1899,"NULL")</f>
        <v>85</v>
      </c>
      <c r="I1899" t="str">
        <f t="shared" si="58"/>
        <v>INSERT INTO COTACAO (cot_id, cot_blt_id, cot_pap_id, cot_prc_comum, cot_prc_min, cot_prc_max, cot_prc_med, cot_prc_mediana) VALUES (1898, 85, 28, NULL, 70, 100, 85, 85);</v>
      </c>
      <c r="J1899" t="str">
        <f t="shared" si="59"/>
        <v>UPDATE COTACAO SET cot_id = 1898, cot_blt_id = 85, cot_pap_id = 28, cot_prc_comum = NULL, cot_prc_min = 70, cot_prc_max = 100, cot_prc_med = 85, cot_prc_mediana = 85 WHERE cot_id = 1898;</v>
      </c>
    </row>
    <row r="1900" spans="1:10" x14ac:dyDescent="0.3">
      <c r="A1900">
        <v>1899</v>
      </c>
      <c r="B1900">
        <f>IF('Boletins Nuppa Site'!A1900&lt;&gt;0,'Boletins Nuppa Site'!A1900,"NULL")</f>
        <v>85</v>
      </c>
      <c r="C1900">
        <v>29</v>
      </c>
      <c r="D1900" t="str">
        <f>IF('Boletins Nuppa Site'!G1900&lt;&gt;0,'Boletins Nuppa Site'!G1900,"NULL")</f>
        <v>NULL</v>
      </c>
      <c r="E1900" s="14">
        <f>IF('Boletins Nuppa Site'!H1900&lt;&gt;0,'Boletins Nuppa Site'!H1900,"NULL")</f>
        <v>50</v>
      </c>
      <c r="F1900" s="14">
        <f>IF('Boletins Nuppa Site'!I1900&lt;&gt;0,'Boletins Nuppa Site'!I1900,"NULL")</f>
        <v>75</v>
      </c>
      <c r="G1900" s="14" t="str">
        <f>IF('Boletins Nuppa Site'!J1900&lt;&gt;0,'Boletins Nuppa Site'!J1900,"NULL")</f>
        <v>62.5</v>
      </c>
      <c r="H1900" s="14" t="str">
        <f>IF('Boletins Nuppa Site'!K1900&lt;&gt;0,'Boletins Nuppa Site'!K1900,"NULL")</f>
        <v>62.5</v>
      </c>
      <c r="I1900" t="str">
        <f t="shared" si="58"/>
        <v>INSERT INTO COTACAO (cot_id, cot_blt_id, cot_pap_id, cot_prc_comum, cot_prc_min, cot_prc_max, cot_prc_med, cot_prc_mediana) VALUES (1899, 85, 29, NULL, 50, 75, 62.5, 62.5);</v>
      </c>
      <c r="J1900" t="str">
        <f t="shared" si="59"/>
        <v>UPDATE COTACAO SET cot_id = 1899, cot_blt_id = 85, cot_pap_id = 29, cot_prc_comum = NULL, cot_prc_min = 50, cot_prc_max = 75, cot_prc_med = 62.5, cot_prc_mediana = 62.5 WHERE cot_id = 1899;</v>
      </c>
    </row>
    <row r="1901" spans="1:10" x14ac:dyDescent="0.3">
      <c r="A1901">
        <v>1900</v>
      </c>
      <c r="B1901">
        <f>IF('Boletins Nuppa Site'!A1901&lt;&gt;0,'Boletins Nuppa Site'!A1901,"NULL")</f>
        <v>85</v>
      </c>
      <c r="C1901">
        <v>30</v>
      </c>
      <c r="D1901">
        <f>IF('Boletins Nuppa Site'!G1901&lt;&gt;0,'Boletins Nuppa Site'!G1901,"NULL")</f>
        <v>80</v>
      </c>
      <c r="E1901" s="14">
        <f>IF('Boletins Nuppa Site'!H1901&lt;&gt;0,'Boletins Nuppa Site'!H1901,"NULL")</f>
        <v>45</v>
      </c>
      <c r="F1901" s="14">
        <f>IF('Boletins Nuppa Site'!I1901&lt;&gt;0,'Boletins Nuppa Site'!I1901,"NULL")</f>
        <v>80</v>
      </c>
      <c r="G1901" s="14" t="str">
        <f>IF('Boletins Nuppa Site'!J1901&lt;&gt;0,'Boletins Nuppa Site'!J1901,"NULL")</f>
        <v>68.33</v>
      </c>
      <c r="H1901" s="14">
        <f>IF('Boletins Nuppa Site'!K1901&lt;&gt;0,'Boletins Nuppa Site'!K1901,"NULL")</f>
        <v>80</v>
      </c>
      <c r="I1901" t="str">
        <f t="shared" si="58"/>
        <v>INSERT INTO COTACAO (cot_id, cot_blt_id, cot_pap_id, cot_prc_comum, cot_prc_min, cot_prc_max, cot_prc_med, cot_prc_mediana) VALUES (1900, 85, 30, 80, 45, 80, 68.33, 80);</v>
      </c>
      <c r="J1901" t="str">
        <f t="shared" si="59"/>
        <v>UPDATE COTACAO SET cot_id = 1900, cot_blt_id = 85, cot_pap_id = 30, cot_prc_comum = 80, cot_prc_min = 45, cot_prc_max = 80, cot_prc_med = 68.33, cot_prc_mediana = 80 WHERE cot_id = 1900;</v>
      </c>
    </row>
    <row r="1902" spans="1:10" x14ac:dyDescent="0.3">
      <c r="A1902">
        <v>1901</v>
      </c>
      <c r="B1902">
        <f>IF('Boletins Nuppa Site'!A1902&lt;&gt;0,'Boletins Nuppa Site'!A1902,"NULL")</f>
        <v>85</v>
      </c>
      <c r="C1902">
        <v>31</v>
      </c>
      <c r="D1902">
        <f>IF('Boletins Nuppa Site'!G1902&lt;&gt;0,'Boletins Nuppa Site'!G1902,"NULL")</f>
        <v>90</v>
      </c>
      <c r="E1902" s="14">
        <f>IF('Boletins Nuppa Site'!H1902&lt;&gt;0,'Boletins Nuppa Site'!H1902,"NULL")</f>
        <v>80</v>
      </c>
      <c r="F1902" s="14">
        <f>IF('Boletins Nuppa Site'!I1902&lt;&gt;0,'Boletins Nuppa Site'!I1902,"NULL")</f>
        <v>120</v>
      </c>
      <c r="G1902" s="14">
        <f>IF('Boletins Nuppa Site'!J1902&lt;&gt;0,'Boletins Nuppa Site'!J1902,"NULL")</f>
        <v>95</v>
      </c>
      <c r="H1902" s="14">
        <f>IF('Boletins Nuppa Site'!K1902&lt;&gt;0,'Boletins Nuppa Site'!K1902,"NULL")</f>
        <v>90</v>
      </c>
      <c r="I1902" t="str">
        <f t="shared" si="58"/>
        <v>INSERT INTO COTACAO (cot_id, cot_blt_id, cot_pap_id, cot_prc_comum, cot_prc_min, cot_prc_max, cot_prc_med, cot_prc_mediana) VALUES (1901, 85, 31, 90, 80, 120, 95, 90);</v>
      </c>
      <c r="J1902" t="str">
        <f t="shared" si="59"/>
        <v>UPDATE COTACAO SET cot_id = 1901, cot_blt_id = 85, cot_pap_id = 31, cot_prc_comum = 90, cot_prc_min = 80, cot_prc_max = 120, cot_prc_med = 95, cot_prc_mediana = 90 WHERE cot_id = 1901;</v>
      </c>
    </row>
    <row r="1903" spans="1:10" x14ac:dyDescent="0.3">
      <c r="A1903">
        <v>1902</v>
      </c>
      <c r="B1903">
        <f>IF('Boletins Nuppa Site'!A1903&lt;&gt;0,'Boletins Nuppa Site'!A1903,"NULL")</f>
        <v>85</v>
      </c>
      <c r="C1903">
        <v>32</v>
      </c>
      <c r="D1903">
        <f>IF('Boletins Nuppa Site'!G1903&lt;&gt;0,'Boletins Nuppa Site'!G1903,"NULL")</f>
        <v>30</v>
      </c>
      <c r="E1903" s="14">
        <f>IF('Boletins Nuppa Site'!H1903&lt;&gt;0,'Boletins Nuppa Site'!H1903,"NULL")</f>
        <v>20</v>
      </c>
      <c r="F1903" s="14">
        <f>IF('Boletins Nuppa Site'!I1903&lt;&gt;0,'Boletins Nuppa Site'!I1903,"NULL")</f>
        <v>40</v>
      </c>
      <c r="G1903" s="14">
        <f>IF('Boletins Nuppa Site'!J1903&lt;&gt;0,'Boletins Nuppa Site'!J1903,"NULL")</f>
        <v>30</v>
      </c>
      <c r="H1903" s="14">
        <f>IF('Boletins Nuppa Site'!K1903&lt;&gt;0,'Boletins Nuppa Site'!K1903,"NULL")</f>
        <v>30</v>
      </c>
      <c r="I1903" t="str">
        <f t="shared" si="58"/>
        <v>INSERT INTO COTACAO (cot_id, cot_blt_id, cot_pap_id, cot_prc_comum, cot_prc_min, cot_prc_max, cot_prc_med, cot_prc_mediana) VALUES (1902, 85, 32, 30, 20, 40, 30, 30);</v>
      </c>
      <c r="J1903" t="str">
        <f t="shared" si="59"/>
        <v>UPDATE COTACAO SET cot_id = 1902, cot_blt_id = 85, cot_pap_id = 32, cot_prc_comum = 30, cot_prc_min = 20, cot_prc_max = 40, cot_prc_med = 30, cot_prc_mediana = 30 WHERE cot_id = 1902;</v>
      </c>
    </row>
    <row r="1904" spans="1:10" x14ac:dyDescent="0.3">
      <c r="A1904">
        <v>1903</v>
      </c>
      <c r="B1904">
        <f>IF('Boletins Nuppa Site'!A1904&lt;&gt;0,'Boletins Nuppa Site'!A1904,"NULL")</f>
        <v>85</v>
      </c>
      <c r="C1904">
        <v>33</v>
      </c>
      <c r="D1904">
        <f>IF('Boletins Nuppa Site'!G1904&lt;&gt;0,'Boletins Nuppa Site'!G1904,"NULL")</f>
        <v>90</v>
      </c>
      <c r="E1904" s="14">
        <f>IF('Boletins Nuppa Site'!H1904&lt;&gt;0,'Boletins Nuppa Site'!H1904,"NULL")</f>
        <v>50</v>
      </c>
      <c r="F1904" s="14">
        <f>IF('Boletins Nuppa Site'!I1904&lt;&gt;0,'Boletins Nuppa Site'!I1904,"NULL")</f>
        <v>90</v>
      </c>
      <c r="G1904" s="14" t="str">
        <f>IF('Boletins Nuppa Site'!J1904&lt;&gt;0,'Boletins Nuppa Site'!J1904,"NULL")</f>
        <v>78.75</v>
      </c>
      <c r="H1904" s="14" t="str">
        <f>IF('Boletins Nuppa Site'!K1904&lt;&gt;0,'Boletins Nuppa Site'!K1904,"NULL")</f>
        <v>87.5</v>
      </c>
      <c r="I1904" t="str">
        <f t="shared" si="58"/>
        <v>INSERT INTO COTACAO (cot_id, cot_blt_id, cot_pap_id, cot_prc_comum, cot_prc_min, cot_prc_max, cot_prc_med, cot_prc_mediana) VALUES (1903, 85, 33, 90, 50, 90, 78.75, 87.5);</v>
      </c>
      <c r="J1904" t="str">
        <f t="shared" si="59"/>
        <v>UPDATE COTACAO SET cot_id = 1903, cot_blt_id = 85, cot_pap_id = 33, cot_prc_comum = 90, cot_prc_min = 50, cot_prc_max = 90, cot_prc_med = 78.75, cot_prc_mediana = 87.5 WHERE cot_id = 1903;</v>
      </c>
    </row>
    <row r="1905" spans="1:10" x14ac:dyDescent="0.3">
      <c r="A1905">
        <v>1904</v>
      </c>
      <c r="B1905">
        <f>IF('Boletins Nuppa Site'!A1905&lt;&gt;0,'Boletins Nuppa Site'!A1905,"NULL")</f>
        <v>85</v>
      </c>
      <c r="C1905">
        <v>34</v>
      </c>
      <c r="D1905" t="str">
        <f>IF('Boletins Nuppa Site'!G1905&lt;&gt;0,'Boletins Nuppa Site'!G1905,"NULL")</f>
        <v>NULL</v>
      </c>
      <c r="E1905" s="14">
        <f>IF('Boletins Nuppa Site'!H1905&lt;&gt;0,'Boletins Nuppa Site'!H1905,"NULL")</f>
        <v>60</v>
      </c>
      <c r="F1905" s="14">
        <f>IF('Boletins Nuppa Site'!I1905&lt;&gt;0,'Boletins Nuppa Site'!I1905,"NULL")</f>
        <v>120</v>
      </c>
      <c r="G1905" s="14" t="str">
        <f>IF('Boletins Nuppa Site'!J1905&lt;&gt;0,'Boletins Nuppa Site'!J1905,"NULL")</f>
        <v>92.5</v>
      </c>
      <c r="H1905" s="14">
        <f>IF('Boletins Nuppa Site'!K1905&lt;&gt;0,'Boletins Nuppa Site'!K1905,"NULL")</f>
        <v>95</v>
      </c>
      <c r="I1905" t="str">
        <f t="shared" si="58"/>
        <v>INSERT INTO COTACAO (cot_id, cot_blt_id, cot_pap_id, cot_prc_comum, cot_prc_min, cot_prc_max, cot_prc_med, cot_prc_mediana) VALUES (1904, 85, 34, NULL, 60, 120, 92.5, 95);</v>
      </c>
      <c r="J1905" t="str">
        <f t="shared" si="59"/>
        <v>UPDATE COTACAO SET cot_id = 1904, cot_blt_id = 85, cot_pap_id = 34, cot_prc_comum = NULL, cot_prc_min = 60, cot_prc_max = 120, cot_prc_med = 92.5, cot_prc_mediana = 95 WHERE cot_id = 1904;</v>
      </c>
    </row>
    <row r="1906" spans="1:10" x14ac:dyDescent="0.3">
      <c r="A1906">
        <v>1905</v>
      </c>
      <c r="B1906">
        <f>IF('Boletins Nuppa Site'!A1906&lt;&gt;0,'Boletins Nuppa Site'!A1906,"NULL")</f>
        <v>85</v>
      </c>
      <c r="C1906">
        <v>35</v>
      </c>
      <c r="D1906">
        <f>IF('Boletins Nuppa Site'!G1906&lt;&gt;0,'Boletins Nuppa Site'!G1906,"NULL")</f>
        <v>50</v>
      </c>
      <c r="E1906" s="14">
        <f>IF('Boletins Nuppa Site'!H1906&lt;&gt;0,'Boletins Nuppa Site'!H1906,"NULL")</f>
        <v>50</v>
      </c>
      <c r="F1906" s="14">
        <f>IF('Boletins Nuppa Site'!I1906&lt;&gt;0,'Boletins Nuppa Site'!I1906,"NULL")</f>
        <v>70</v>
      </c>
      <c r="G1906" s="14" t="str">
        <f>IF('Boletins Nuppa Site'!J1906&lt;&gt;0,'Boletins Nuppa Site'!J1906,"NULL")</f>
        <v>56.67</v>
      </c>
      <c r="H1906" s="14">
        <f>IF('Boletins Nuppa Site'!K1906&lt;&gt;0,'Boletins Nuppa Site'!K1906,"NULL")</f>
        <v>50</v>
      </c>
      <c r="I1906" t="str">
        <f t="shared" si="58"/>
        <v>INSERT INTO COTACAO (cot_id, cot_blt_id, cot_pap_id, cot_prc_comum, cot_prc_min, cot_prc_max, cot_prc_med, cot_prc_mediana) VALUES (1905, 85, 35, 50, 50, 70, 56.67, 50);</v>
      </c>
      <c r="J1906" t="str">
        <f t="shared" si="59"/>
        <v>UPDATE COTACAO SET cot_id = 1905, cot_blt_id = 85, cot_pap_id = 35, cot_prc_comum = 50, cot_prc_min = 50, cot_prc_max = 70, cot_prc_med = 56.67, cot_prc_mediana = 50 WHERE cot_id = 1905;</v>
      </c>
    </row>
    <row r="1907" spans="1:10" x14ac:dyDescent="0.3">
      <c r="A1907">
        <v>1906</v>
      </c>
      <c r="B1907">
        <f>IF('Boletins Nuppa Site'!A1907&lt;&gt;0,'Boletins Nuppa Site'!A1907,"NULL")</f>
        <v>85</v>
      </c>
      <c r="C1907">
        <v>36</v>
      </c>
      <c r="D1907" t="str">
        <f>IF('Boletins Nuppa Site'!G1907&lt;&gt;0,'Boletins Nuppa Site'!G1907,"NULL")</f>
        <v>NULL</v>
      </c>
      <c r="E1907" s="14" t="str">
        <f>IF('Boletins Nuppa Site'!H1907&lt;&gt;0,'Boletins Nuppa Site'!H1907,"NULL")</f>
        <v>NULL</v>
      </c>
      <c r="F1907" s="14" t="str">
        <f>IF('Boletins Nuppa Site'!I1907&lt;&gt;0,'Boletins Nuppa Site'!I1907,"NULL")</f>
        <v>NULL</v>
      </c>
      <c r="G1907" s="14" t="str">
        <f>IF('Boletins Nuppa Site'!J1907&lt;&gt;0,'Boletins Nuppa Site'!J1907,"NULL")</f>
        <v>NULL</v>
      </c>
      <c r="H1907" s="14" t="str">
        <f>IF('Boletins Nuppa Site'!K1907&lt;&gt;0,'Boletins Nuppa Site'!K1907,"NULL")</f>
        <v>NULL</v>
      </c>
      <c r="I1907" t="str">
        <f t="shared" si="58"/>
        <v>INSERT INTO COTACAO (cot_id, cot_blt_id, cot_pap_id, cot_prc_comum, cot_prc_min, cot_prc_max, cot_prc_med, cot_prc_mediana) VALUES (1906, 85, 36, NULL, NULL, NULL, NULL, NULL);</v>
      </c>
      <c r="J1907" t="str">
        <f t="shared" si="59"/>
        <v>UPDATE COTACAO SET cot_id = 1906, cot_blt_id = 85, cot_pap_id = 36, cot_prc_comum = NULL, cot_prc_min = NULL, cot_prc_max = NULL, cot_prc_med = NULL, cot_prc_mediana = NULL WHERE cot_id = 1906;</v>
      </c>
    </row>
    <row r="1908" spans="1:10" x14ac:dyDescent="0.3">
      <c r="A1908">
        <v>1907</v>
      </c>
      <c r="B1908">
        <f>IF('Boletins Nuppa Site'!A1908&lt;&gt;0,'Boletins Nuppa Site'!A1908,"NULL")</f>
        <v>85</v>
      </c>
      <c r="C1908">
        <v>37</v>
      </c>
      <c r="D1908" t="str">
        <f>IF('Boletins Nuppa Site'!G1908&lt;&gt;0,'Boletins Nuppa Site'!G1908,"NULL")</f>
        <v>NULL</v>
      </c>
      <c r="E1908" s="14" t="str">
        <f>IF('Boletins Nuppa Site'!H1908&lt;&gt;0,'Boletins Nuppa Site'!H1908,"NULL")</f>
        <v>NULL</v>
      </c>
      <c r="F1908" s="14" t="str">
        <f>IF('Boletins Nuppa Site'!I1908&lt;&gt;0,'Boletins Nuppa Site'!I1908,"NULL")</f>
        <v>NULL</v>
      </c>
      <c r="G1908" s="14" t="str">
        <f>IF('Boletins Nuppa Site'!J1908&lt;&gt;0,'Boletins Nuppa Site'!J1908,"NULL")</f>
        <v>NULL</v>
      </c>
      <c r="H1908" s="14" t="str">
        <f>IF('Boletins Nuppa Site'!K1908&lt;&gt;0,'Boletins Nuppa Site'!K1908,"NULL")</f>
        <v>NULL</v>
      </c>
      <c r="I1908" t="str">
        <f t="shared" si="58"/>
        <v>INSERT INTO COTACAO (cot_id, cot_blt_id, cot_pap_id, cot_prc_comum, cot_prc_min, cot_prc_max, cot_prc_med, cot_prc_mediana) VALUES (1907, 85, 37, NULL, NULL, NULL, NULL, NULL);</v>
      </c>
      <c r="J1908" t="str">
        <f t="shared" si="59"/>
        <v>UPDATE COTACAO SET cot_id = 1907, cot_blt_id = 85, cot_pap_id = 37, cot_prc_comum = NULL, cot_prc_min = NULL, cot_prc_max = NULL, cot_prc_med = NULL, cot_prc_mediana = NULL WHERE cot_id = 1907;</v>
      </c>
    </row>
    <row r="1909" spans="1:10" x14ac:dyDescent="0.3">
      <c r="A1909">
        <v>1908</v>
      </c>
      <c r="B1909">
        <f>IF('Boletins Nuppa Site'!A1909&lt;&gt;0,'Boletins Nuppa Site'!A1909,"NULL")</f>
        <v>85</v>
      </c>
      <c r="C1909">
        <v>38</v>
      </c>
      <c r="D1909" t="str">
        <f>IF('Boletins Nuppa Site'!G1909&lt;&gt;0,'Boletins Nuppa Site'!G1909,"NULL")</f>
        <v>NULL</v>
      </c>
      <c r="E1909" s="14" t="str">
        <f>IF('Boletins Nuppa Site'!H1909&lt;&gt;0,'Boletins Nuppa Site'!H1909,"NULL")</f>
        <v>NULL</v>
      </c>
      <c r="F1909" s="14" t="str">
        <f>IF('Boletins Nuppa Site'!I1909&lt;&gt;0,'Boletins Nuppa Site'!I1909,"NULL")</f>
        <v>NULL</v>
      </c>
      <c r="G1909" s="14" t="str">
        <f>IF('Boletins Nuppa Site'!J1909&lt;&gt;0,'Boletins Nuppa Site'!J1909,"NULL")</f>
        <v>NULL</v>
      </c>
      <c r="H1909" s="14" t="str">
        <f>IF('Boletins Nuppa Site'!K1909&lt;&gt;0,'Boletins Nuppa Site'!K1909,"NULL")</f>
        <v>NULL</v>
      </c>
      <c r="I1909" t="str">
        <f t="shared" si="58"/>
        <v>INSERT INTO COTACAO (cot_id, cot_blt_id, cot_pap_id, cot_prc_comum, cot_prc_min, cot_prc_max, cot_prc_med, cot_prc_mediana) VALUES (1908, 85, 38, NULL, NULL, NULL, NULL, NULL);</v>
      </c>
      <c r="J1909" t="str">
        <f t="shared" si="59"/>
        <v>UPDATE COTACAO SET cot_id = 1908, cot_blt_id = 85, cot_pap_id = 38, cot_prc_comum = NULL, cot_prc_min = NULL, cot_prc_max = NULL, cot_prc_med = NULL, cot_prc_mediana = NULL WHERE cot_id = 1908;</v>
      </c>
    </row>
    <row r="1910" spans="1:10" x14ac:dyDescent="0.3">
      <c r="A1910">
        <v>1909</v>
      </c>
      <c r="B1910">
        <f>IF('Boletins Nuppa Site'!A1910&lt;&gt;0,'Boletins Nuppa Site'!A1910,"NULL")</f>
        <v>85</v>
      </c>
      <c r="C1910">
        <v>39</v>
      </c>
      <c r="D1910" t="str">
        <f>IF('Boletins Nuppa Site'!G1910&lt;&gt;0,'Boletins Nuppa Site'!G1910,"NULL")</f>
        <v>NULL</v>
      </c>
      <c r="E1910" s="14" t="str">
        <f>IF('Boletins Nuppa Site'!H1910&lt;&gt;0,'Boletins Nuppa Site'!H1910,"NULL")</f>
        <v>NULL</v>
      </c>
      <c r="F1910" s="14" t="str">
        <f>IF('Boletins Nuppa Site'!I1910&lt;&gt;0,'Boletins Nuppa Site'!I1910,"NULL")</f>
        <v>NULL</v>
      </c>
      <c r="G1910" s="14" t="str">
        <f>IF('Boletins Nuppa Site'!J1910&lt;&gt;0,'Boletins Nuppa Site'!J1910,"NULL")</f>
        <v>NULL</v>
      </c>
      <c r="H1910" s="14" t="str">
        <f>IF('Boletins Nuppa Site'!K1910&lt;&gt;0,'Boletins Nuppa Site'!K1910,"NULL")</f>
        <v>NULL</v>
      </c>
      <c r="I1910" t="str">
        <f t="shared" si="58"/>
        <v>INSERT INTO COTACAO (cot_id, cot_blt_id, cot_pap_id, cot_prc_comum, cot_prc_min, cot_prc_max, cot_prc_med, cot_prc_mediana) VALUES (1909, 85, 39, NULL, NULL, NULL, NULL, NULL);</v>
      </c>
      <c r="J1910" t="str">
        <f t="shared" si="59"/>
        <v>UPDATE COTACAO SET cot_id = 1909, cot_blt_id = 85, cot_pap_id = 39, cot_prc_comum = NULL, cot_prc_min = NULL, cot_prc_max = NULL, cot_prc_med = NULL, cot_prc_mediana = NULL WHERE cot_id = 1909;</v>
      </c>
    </row>
    <row r="1911" spans="1:10" x14ac:dyDescent="0.3">
      <c r="A1911">
        <v>1910</v>
      </c>
      <c r="B1911">
        <f>IF('Boletins Nuppa Site'!A1911&lt;&gt;0,'Boletins Nuppa Site'!A1911,"NULL")</f>
        <v>85</v>
      </c>
      <c r="C1911">
        <v>40</v>
      </c>
      <c r="D1911" t="str">
        <f>IF('Boletins Nuppa Site'!G1911&lt;&gt;0,'Boletins Nuppa Site'!G1911,"NULL")</f>
        <v>NULL</v>
      </c>
      <c r="E1911" s="14" t="str">
        <f>IF('Boletins Nuppa Site'!H1911&lt;&gt;0,'Boletins Nuppa Site'!H1911,"NULL")</f>
        <v>NULL</v>
      </c>
      <c r="F1911" s="14" t="str">
        <f>IF('Boletins Nuppa Site'!I1911&lt;&gt;0,'Boletins Nuppa Site'!I1911,"NULL")</f>
        <v>NULL</v>
      </c>
      <c r="G1911" s="14" t="str">
        <f>IF('Boletins Nuppa Site'!J1911&lt;&gt;0,'Boletins Nuppa Site'!J1911,"NULL")</f>
        <v>NULL</v>
      </c>
      <c r="H1911" s="14" t="str">
        <f>IF('Boletins Nuppa Site'!K1911&lt;&gt;0,'Boletins Nuppa Site'!K1911,"NULL")</f>
        <v>NULL</v>
      </c>
      <c r="I1911" t="str">
        <f t="shared" si="58"/>
        <v>INSERT INTO COTACAO (cot_id, cot_blt_id, cot_pap_id, cot_prc_comum, cot_prc_min, cot_prc_max, cot_prc_med, cot_prc_mediana) VALUES (1910, 85, 40, NULL, NULL, NULL, NULL, NULL);</v>
      </c>
      <c r="J1911" t="str">
        <f t="shared" si="59"/>
        <v>UPDATE COTACAO SET cot_id = 1910, cot_blt_id = 85, cot_pap_id = 40, cot_prc_comum = NULL, cot_prc_min = NULL, cot_prc_max = NULL, cot_prc_med = NULL, cot_prc_mediana = NULL WHERE cot_id = 1910;</v>
      </c>
    </row>
    <row r="1912" spans="1:10" x14ac:dyDescent="0.3">
      <c r="A1912">
        <v>1911</v>
      </c>
      <c r="B1912">
        <f>IF('Boletins Nuppa Site'!A1912&lt;&gt;0,'Boletins Nuppa Site'!A1912,"NULL")</f>
        <v>86</v>
      </c>
      <c r="C1912">
        <v>1</v>
      </c>
      <c r="D1912" t="str">
        <f>IF('Boletins Nuppa Site'!G1912&lt;&gt;0,'Boletins Nuppa Site'!G1912,"NULL")</f>
        <v xml:space="preserve"> 36.00</v>
      </c>
      <c r="E1912" s="14" t="str">
        <f>IF('Boletins Nuppa Site'!H1912&lt;&gt;0,'Boletins Nuppa Site'!H1912,"NULL")</f>
        <v xml:space="preserve"> 72.00</v>
      </c>
      <c r="F1912" s="14" t="str">
        <f>IF('Boletins Nuppa Site'!I1912&lt;&gt;0,'Boletins Nuppa Site'!I1912,"NULL")</f>
        <v xml:space="preserve"> 72.00</v>
      </c>
      <c r="G1912" s="14" t="str">
        <f>IF('Boletins Nuppa Site'!J1912&lt;&gt;0,'Boletins Nuppa Site'!J1912,"NULL")</f>
        <v xml:space="preserve"> 60.00</v>
      </c>
      <c r="H1912" s="14" t="str">
        <f>IF('Boletins Nuppa Site'!K1912&lt;&gt;0,'Boletins Nuppa Site'!K1912,"NULL")</f>
        <v xml:space="preserve"> 57.00</v>
      </c>
      <c r="I1912" t="str">
        <f t="shared" si="58"/>
        <v>INSERT INTO COTACAO (cot_id, cot_blt_id, cot_pap_id, cot_prc_comum, cot_prc_min, cot_prc_max, cot_prc_med, cot_prc_mediana) VALUES (1911, 86, 1,  36.00,  72.00,  72.00,  60.00,  57.00);</v>
      </c>
      <c r="J1912" t="str">
        <f t="shared" si="59"/>
        <v>UPDATE COTACAO SET cot_id = 1911, cot_blt_id = 86, cot_pap_id = 1, cot_prc_comum =  36.00, cot_prc_min =  72.00, cot_prc_max =  72.00, cot_prc_med =  60.00, cot_prc_mediana =  57.00 WHERE cot_id = 1911;</v>
      </c>
    </row>
    <row r="1913" spans="1:10" x14ac:dyDescent="0.3">
      <c r="A1913">
        <v>1912</v>
      </c>
      <c r="B1913">
        <f>IF('Boletins Nuppa Site'!A1913&lt;&gt;0,'Boletins Nuppa Site'!A1913,"NULL")</f>
        <v>86</v>
      </c>
      <c r="C1913">
        <v>2</v>
      </c>
      <c r="D1913" t="str">
        <f>IF('Boletins Nuppa Site'!G1913&lt;&gt;0,'Boletins Nuppa Site'!G1913,"NULL")</f>
        <v xml:space="preserve"> 84.00</v>
      </c>
      <c r="E1913" s="14" t="str">
        <f>IF('Boletins Nuppa Site'!H1913&lt;&gt;0,'Boletins Nuppa Site'!H1913,"NULL")</f>
        <v xml:space="preserve"> 84.00</v>
      </c>
      <c r="F1913" s="14" t="str">
        <f>IF('Boletins Nuppa Site'!I1913&lt;&gt;0,'Boletins Nuppa Site'!I1913,"NULL")</f>
        <v xml:space="preserve"> 96.00</v>
      </c>
      <c r="G1913" s="14" t="str">
        <f>IF('Boletins Nuppa Site'!J1913&lt;&gt;0,'Boletins Nuppa Site'!J1913,"NULL")</f>
        <v xml:space="preserve"> 84.00</v>
      </c>
      <c r="H1913" s="14" t="str">
        <f>IF('Boletins Nuppa Site'!K1913&lt;&gt;0,'Boletins Nuppa Site'!K1913,"NULL")</f>
        <v xml:space="preserve"> 87.00</v>
      </c>
      <c r="I1913" t="str">
        <f t="shared" si="58"/>
        <v>INSERT INTO COTACAO (cot_id, cot_blt_id, cot_pap_id, cot_prc_comum, cot_prc_min, cot_prc_max, cot_prc_med, cot_prc_mediana) VALUES (1912, 86, 2,  84.00,  84.00,  96.00,  84.00,  87.00);</v>
      </c>
      <c r="J1913" t="str">
        <f t="shared" si="59"/>
        <v>UPDATE COTACAO SET cot_id = 1912, cot_blt_id = 86, cot_pap_id = 2, cot_prc_comum =  84.00, cot_prc_min =  84.00, cot_prc_max =  96.00, cot_prc_med =  84.00, cot_prc_mediana =  87.00 WHERE cot_id = 1912;</v>
      </c>
    </row>
    <row r="1914" spans="1:10" x14ac:dyDescent="0.3">
      <c r="A1914">
        <v>1913</v>
      </c>
      <c r="B1914">
        <f>IF('Boletins Nuppa Site'!A1914&lt;&gt;0,'Boletins Nuppa Site'!A1914,"NULL")</f>
        <v>86</v>
      </c>
      <c r="C1914">
        <v>3</v>
      </c>
      <c r="D1914" t="str">
        <f>IF('Boletins Nuppa Site'!G1914&lt;&gt;0,'Boletins Nuppa Site'!G1914,"NULL")</f>
        <v xml:space="preserve"> 45.00</v>
      </c>
      <c r="E1914" s="14" t="str">
        <f>IF('Boletins Nuppa Site'!H1914&lt;&gt;0,'Boletins Nuppa Site'!H1914,"NULL")</f>
        <v xml:space="preserve"> 36.00</v>
      </c>
      <c r="F1914" s="14" t="str">
        <f>IF('Boletins Nuppa Site'!I1914&lt;&gt;0,'Boletins Nuppa Site'!I1914,"NULL")</f>
        <v xml:space="preserve"> 60.00</v>
      </c>
      <c r="G1914" s="14" t="str">
        <f>IF('Boletins Nuppa Site'!J1914&lt;&gt;0,'Boletins Nuppa Site'!J1914,"NULL")</f>
        <v xml:space="preserve"> 45.60</v>
      </c>
      <c r="H1914" s="14" t="str">
        <f>IF('Boletins Nuppa Site'!K1914&lt;&gt;0,'Boletins Nuppa Site'!K1914,"NULL")</f>
        <v xml:space="preserve"> 45.00</v>
      </c>
      <c r="I1914" t="str">
        <f t="shared" si="58"/>
        <v>INSERT INTO COTACAO (cot_id, cot_blt_id, cot_pap_id, cot_prc_comum, cot_prc_min, cot_prc_max, cot_prc_med, cot_prc_mediana) VALUES (1913, 86, 3,  45.00,  36.00,  60.00,  45.60,  45.00);</v>
      </c>
      <c r="J1914" t="str">
        <f t="shared" si="59"/>
        <v>UPDATE COTACAO SET cot_id = 1913, cot_blt_id = 86, cot_pap_id = 3, cot_prc_comum =  45.00, cot_prc_min =  36.00, cot_prc_max =  60.00, cot_prc_med =  45.60, cot_prc_mediana =  45.00 WHERE cot_id = 1913;</v>
      </c>
    </row>
    <row r="1915" spans="1:10" x14ac:dyDescent="0.3">
      <c r="A1915">
        <v>1914</v>
      </c>
      <c r="B1915">
        <f>IF('Boletins Nuppa Site'!A1915&lt;&gt;0,'Boletins Nuppa Site'!A1915,"NULL")</f>
        <v>86</v>
      </c>
      <c r="C1915">
        <v>4</v>
      </c>
      <c r="D1915" t="str">
        <f>IF('Boletins Nuppa Site'!G1915&lt;&gt;0,'Boletins Nuppa Site'!G1915,"NULL")</f>
        <v xml:space="preserve"> 30.00</v>
      </c>
      <c r="E1915" s="14" t="str">
        <f>IF('Boletins Nuppa Site'!H1915&lt;&gt;0,'Boletins Nuppa Site'!H1915,"NULL")</f>
        <v xml:space="preserve"> 24.00</v>
      </c>
      <c r="F1915" s="14" t="str">
        <f>IF('Boletins Nuppa Site'!I1915&lt;&gt;0,'Boletins Nuppa Site'!I1915,"NULL")</f>
        <v xml:space="preserve"> 48.00</v>
      </c>
      <c r="G1915" s="14" t="str">
        <f>IF('Boletins Nuppa Site'!J1915&lt;&gt;0,'Boletins Nuppa Site'!J1915,"NULL")</f>
        <v xml:space="preserve"> 31.40</v>
      </c>
      <c r="H1915" s="14" t="str">
        <f>IF('Boletins Nuppa Site'!K1915&lt;&gt;0,'Boletins Nuppa Site'!K1915,"NULL")</f>
        <v xml:space="preserve"> 30.00</v>
      </c>
      <c r="I1915" t="str">
        <f t="shared" si="58"/>
        <v>INSERT INTO COTACAO (cot_id, cot_blt_id, cot_pap_id, cot_prc_comum, cot_prc_min, cot_prc_max, cot_prc_med, cot_prc_mediana) VALUES (1914, 86, 4,  30.00,  24.00,  48.00,  31.40,  30.00);</v>
      </c>
      <c r="J1915" t="str">
        <f t="shared" si="59"/>
        <v>UPDATE COTACAO SET cot_id = 1914, cot_blt_id = 86, cot_pap_id = 4, cot_prc_comum =  30.00, cot_prc_min =  24.00, cot_prc_max =  48.00, cot_prc_med =  31.40, cot_prc_mediana =  30.00 WHERE cot_id = 1914;</v>
      </c>
    </row>
    <row r="1916" spans="1:10" x14ac:dyDescent="0.3">
      <c r="A1916">
        <v>1915</v>
      </c>
      <c r="B1916">
        <f>IF('Boletins Nuppa Site'!A1916&lt;&gt;0,'Boletins Nuppa Site'!A1916,"NULL")</f>
        <v>86</v>
      </c>
      <c r="C1916">
        <v>5</v>
      </c>
      <c r="D1916" t="str">
        <f>IF('Boletins Nuppa Site'!G1916&lt;&gt;0,'Boletins Nuppa Site'!G1916,"NULL")</f>
        <v>NULL</v>
      </c>
      <c r="E1916" s="14" t="str">
        <f>IF('Boletins Nuppa Site'!H1916&lt;&gt;0,'Boletins Nuppa Site'!H1916,"NULL")</f>
        <v xml:space="preserve"> 24.00</v>
      </c>
      <c r="F1916" s="14" t="str">
        <f>IF('Boletins Nuppa Site'!I1916&lt;&gt;0,'Boletins Nuppa Site'!I1916,"NULL")</f>
        <v xml:space="preserve"> 48.00</v>
      </c>
      <c r="G1916" s="14" t="str">
        <f>IF('Boletins Nuppa Site'!J1916&lt;&gt;0,'Boletins Nuppa Site'!J1916,"NULL")</f>
        <v xml:space="preserve"> 31.75</v>
      </c>
      <c r="H1916" s="14" t="str">
        <f>IF('Boletins Nuppa Site'!K1916&lt;&gt;0,'Boletins Nuppa Site'!K1916,"NULL")</f>
        <v xml:space="preserve"> 27.50</v>
      </c>
      <c r="I1916" t="str">
        <f t="shared" si="58"/>
        <v>INSERT INTO COTACAO (cot_id, cot_blt_id, cot_pap_id, cot_prc_comum, cot_prc_min, cot_prc_max, cot_prc_med, cot_prc_mediana) VALUES (1915, 86, 5, NULL,  24.00,  48.00,  31.75,  27.50);</v>
      </c>
      <c r="J1916" t="str">
        <f t="shared" si="59"/>
        <v>UPDATE COTACAO SET cot_id = 1915, cot_blt_id = 86, cot_pap_id = 5, cot_prc_comum = NULL, cot_prc_min =  24.00, cot_prc_max =  48.00, cot_prc_med =  31.75, cot_prc_mediana =  27.50 WHERE cot_id = 1915;</v>
      </c>
    </row>
    <row r="1917" spans="1:10" x14ac:dyDescent="0.3">
      <c r="A1917">
        <v>1916</v>
      </c>
      <c r="B1917">
        <f>IF('Boletins Nuppa Site'!A1917&lt;&gt;0,'Boletins Nuppa Site'!A1917,"NULL")</f>
        <v>86</v>
      </c>
      <c r="C1917">
        <v>6</v>
      </c>
      <c r="D1917" t="str">
        <f>IF('Boletins Nuppa Site'!G1917&lt;&gt;0,'Boletins Nuppa Site'!G1917,"NULL")</f>
        <v xml:space="preserve"> 60.00</v>
      </c>
      <c r="E1917" s="14" t="str">
        <f>IF('Boletins Nuppa Site'!H1917&lt;&gt;0,'Boletins Nuppa Site'!H1917,"NULL")</f>
        <v xml:space="preserve"> 60.00</v>
      </c>
      <c r="F1917" s="14" t="str">
        <f>IF('Boletins Nuppa Site'!I1917&lt;&gt;0,'Boletins Nuppa Site'!I1917,"NULL")</f>
        <v xml:space="preserve"> 66.00</v>
      </c>
      <c r="G1917" s="14" t="str">
        <f>IF('Boletins Nuppa Site'!J1917&lt;&gt;0,'Boletins Nuppa Site'!J1917,"NULL")</f>
        <v xml:space="preserve"> 61.50</v>
      </c>
      <c r="H1917" s="14" t="str">
        <f>IF('Boletins Nuppa Site'!K1917&lt;&gt;0,'Boletins Nuppa Site'!K1917,"NULL")</f>
        <v xml:space="preserve"> 60.00</v>
      </c>
      <c r="I1917" t="str">
        <f t="shared" si="58"/>
        <v>INSERT INTO COTACAO (cot_id, cot_blt_id, cot_pap_id, cot_prc_comum, cot_prc_min, cot_prc_max, cot_prc_med, cot_prc_mediana) VALUES (1916, 86, 6,  60.00,  60.00,  66.00,  61.50,  60.00);</v>
      </c>
      <c r="J1917" t="str">
        <f t="shared" si="59"/>
        <v>UPDATE COTACAO SET cot_id = 1916, cot_blt_id = 86, cot_pap_id = 6, cot_prc_comum =  60.00, cot_prc_min =  60.00, cot_prc_max =  66.00, cot_prc_med =  61.50, cot_prc_mediana =  60.00 WHERE cot_id = 1916;</v>
      </c>
    </row>
    <row r="1918" spans="1:10" x14ac:dyDescent="0.3">
      <c r="A1918">
        <v>1917</v>
      </c>
      <c r="B1918">
        <f>IF('Boletins Nuppa Site'!A1918&lt;&gt;0,'Boletins Nuppa Site'!A1918,"NULL")</f>
        <v>86</v>
      </c>
      <c r="C1918">
        <v>7</v>
      </c>
      <c r="D1918" t="str">
        <f>IF('Boletins Nuppa Site'!G1918&lt;&gt;0,'Boletins Nuppa Site'!G1918,"NULL")</f>
        <v>NULL</v>
      </c>
      <c r="E1918" s="14" t="str">
        <f>IF('Boletins Nuppa Site'!H1918&lt;&gt;0,'Boletins Nuppa Site'!H1918,"NULL")</f>
        <v xml:space="preserve"> 48.00</v>
      </c>
      <c r="F1918" s="14" t="str">
        <f>IF('Boletins Nuppa Site'!I1918&lt;&gt;0,'Boletins Nuppa Site'!I1918,"NULL")</f>
        <v xml:space="preserve"> 78.00</v>
      </c>
      <c r="G1918" s="14" t="str">
        <f>IF('Boletins Nuppa Site'!J1918&lt;&gt;0,'Boletins Nuppa Site'!J1918,"NULL")</f>
        <v xml:space="preserve"> 61.50</v>
      </c>
      <c r="H1918" s="14" t="str">
        <f>IF('Boletins Nuppa Site'!K1918&lt;&gt;0,'Boletins Nuppa Site'!K1918,"NULL")</f>
        <v xml:space="preserve"> 60.00</v>
      </c>
      <c r="I1918" t="str">
        <f t="shared" si="58"/>
        <v>INSERT INTO COTACAO (cot_id, cot_blt_id, cot_pap_id, cot_prc_comum, cot_prc_min, cot_prc_max, cot_prc_med, cot_prc_mediana) VALUES (1917, 86, 7, NULL,  48.00,  78.00,  61.50,  60.00);</v>
      </c>
      <c r="J1918" t="str">
        <f t="shared" si="59"/>
        <v>UPDATE COTACAO SET cot_id = 1917, cot_blt_id = 86, cot_pap_id = 7, cot_prc_comum = NULL, cot_prc_min =  48.00, cot_prc_max =  78.00, cot_prc_med =  61.50, cot_prc_mediana =  60.00 WHERE cot_id = 1917;</v>
      </c>
    </row>
    <row r="1919" spans="1:10" x14ac:dyDescent="0.3">
      <c r="A1919">
        <v>1918</v>
      </c>
      <c r="B1919">
        <f>IF('Boletins Nuppa Site'!A1919&lt;&gt;0,'Boletins Nuppa Site'!A1919,"NULL")</f>
        <v>86</v>
      </c>
      <c r="C1919">
        <v>8</v>
      </c>
      <c r="D1919" t="str">
        <f>IF('Boletins Nuppa Site'!G1919&lt;&gt;0,'Boletins Nuppa Site'!G1919,"NULL")</f>
        <v xml:space="preserve"> 30.00</v>
      </c>
      <c r="E1919" s="14" t="str">
        <f>IF('Boletins Nuppa Site'!H1919&lt;&gt;0,'Boletins Nuppa Site'!H1919,"NULL")</f>
        <v xml:space="preserve"> 72.00</v>
      </c>
      <c r="F1919" s="14" t="str">
        <f>IF('Boletins Nuppa Site'!I1919&lt;&gt;0,'Boletins Nuppa Site'!I1919,"NULL")</f>
        <v xml:space="preserve"> 84.00</v>
      </c>
      <c r="G1919" s="14" t="str">
        <f>IF('Boletins Nuppa Site'!J1919&lt;&gt;0,'Boletins Nuppa Site'!J1919,"NULL")</f>
        <v xml:space="preserve"> 72.00</v>
      </c>
      <c r="H1919" s="14" t="str">
        <f>IF('Boletins Nuppa Site'!K1919&lt;&gt;0,'Boletins Nuppa Site'!K1919,"NULL")</f>
        <v xml:space="preserve"> 67.20</v>
      </c>
      <c r="I1919" t="str">
        <f t="shared" si="58"/>
        <v>INSERT INTO COTACAO (cot_id, cot_blt_id, cot_pap_id, cot_prc_comum, cot_prc_min, cot_prc_max, cot_prc_med, cot_prc_mediana) VALUES (1918, 86, 8,  30.00,  72.00,  84.00,  72.00,  67.20);</v>
      </c>
      <c r="J1919" t="str">
        <f t="shared" si="59"/>
        <v>UPDATE COTACAO SET cot_id = 1918, cot_blt_id = 86, cot_pap_id = 8, cot_prc_comum =  30.00, cot_prc_min =  72.00, cot_prc_max =  84.00, cot_prc_med =  72.00, cot_prc_mediana =  67.20 WHERE cot_id = 1918;</v>
      </c>
    </row>
    <row r="1920" spans="1:10" x14ac:dyDescent="0.3">
      <c r="A1920">
        <v>1919</v>
      </c>
      <c r="B1920">
        <f>IF('Boletins Nuppa Site'!A1920&lt;&gt;0,'Boletins Nuppa Site'!A1920,"NULL")</f>
        <v>86</v>
      </c>
      <c r="C1920">
        <v>9</v>
      </c>
      <c r="D1920" t="str">
        <f>IF('Boletins Nuppa Site'!G1920&lt;&gt;0,'Boletins Nuppa Site'!G1920,"NULL")</f>
        <v xml:space="preserve"> 24.00</v>
      </c>
      <c r="E1920" s="14" t="str">
        <f>IF('Boletins Nuppa Site'!H1920&lt;&gt;0,'Boletins Nuppa Site'!H1920,"NULL")</f>
        <v xml:space="preserve"> 24.00</v>
      </c>
      <c r="F1920" s="14" t="str">
        <f>IF('Boletins Nuppa Site'!I1920&lt;&gt;0,'Boletins Nuppa Site'!I1920,"NULL")</f>
        <v xml:space="preserve"> 30.00</v>
      </c>
      <c r="G1920" s="14" t="str">
        <f>IF('Boletins Nuppa Site'!J1920&lt;&gt;0,'Boletins Nuppa Site'!J1920,"NULL")</f>
        <v xml:space="preserve"> 26.40</v>
      </c>
      <c r="H1920" s="14" t="str">
        <f>IF('Boletins Nuppa Site'!K1920&lt;&gt;0,'Boletins Nuppa Site'!K1920,"NULL")</f>
        <v xml:space="preserve"> 24.00</v>
      </c>
      <c r="I1920" t="str">
        <f t="shared" si="58"/>
        <v>INSERT INTO COTACAO (cot_id, cot_blt_id, cot_pap_id, cot_prc_comum, cot_prc_min, cot_prc_max, cot_prc_med, cot_prc_mediana) VALUES (1919, 86, 9,  24.00,  24.00,  30.00,  26.40,  24.00);</v>
      </c>
      <c r="J1920" t="str">
        <f t="shared" si="59"/>
        <v>UPDATE COTACAO SET cot_id = 1919, cot_blt_id = 86, cot_pap_id = 9, cot_prc_comum =  24.00, cot_prc_min =  24.00, cot_prc_max =  30.00, cot_prc_med =  26.40, cot_prc_mediana =  24.00 WHERE cot_id = 1919;</v>
      </c>
    </row>
    <row r="1921" spans="1:10" x14ac:dyDescent="0.3">
      <c r="A1921">
        <v>1920</v>
      </c>
      <c r="B1921">
        <f>IF('Boletins Nuppa Site'!A1921&lt;&gt;0,'Boletins Nuppa Site'!A1921,"NULL")</f>
        <v>86</v>
      </c>
      <c r="C1921">
        <v>10</v>
      </c>
      <c r="D1921" t="str">
        <f>IF('Boletins Nuppa Site'!G1921&lt;&gt;0,'Boletins Nuppa Site'!G1921,"NULL")</f>
        <v xml:space="preserve"> 84.00</v>
      </c>
      <c r="E1921" s="14" t="str">
        <f>IF('Boletins Nuppa Site'!H1921&lt;&gt;0,'Boletins Nuppa Site'!H1921,"NULL")</f>
        <v xml:space="preserve"> 72.00</v>
      </c>
      <c r="F1921" s="14" t="str">
        <f>IF('Boletins Nuppa Site'!I1921&lt;&gt;0,'Boletins Nuppa Site'!I1921,"NULL")</f>
        <v xml:space="preserve"> 96.00</v>
      </c>
      <c r="G1921" s="14" t="str">
        <f>IF('Boletins Nuppa Site'!J1921&lt;&gt;0,'Boletins Nuppa Site'!J1921,"NULL")</f>
        <v xml:space="preserve"> 84.00</v>
      </c>
      <c r="H1921" s="14" t="str">
        <f>IF('Boletins Nuppa Site'!K1921&lt;&gt;0,'Boletins Nuppa Site'!K1921,"NULL")</f>
        <v xml:space="preserve"> 84.00</v>
      </c>
      <c r="I1921" t="str">
        <f t="shared" si="58"/>
        <v>INSERT INTO COTACAO (cot_id, cot_blt_id, cot_pap_id, cot_prc_comum, cot_prc_min, cot_prc_max, cot_prc_med, cot_prc_mediana) VALUES (1920, 86, 10,  84.00,  72.00,  96.00,  84.00,  84.00);</v>
      </c>
      <c r="J1921" t="str">
        <f t="shared" si="59"/>
        <v>UPDATE COTACAO SET cot_id = 1920, cot_blt_id = 86, cot_pap_id = 10, cot_prc_comum =  84.00, cot_prc_min =  72.00, cot_prc_max =  96.00, cot_prc_med =  84.00, cot_prc_mediana =  84.00 WHERE cot_id = 1920;</v>
      </c>
    </row>
    <row r="1922" spans="1:10" x14ac:dyDescent="0.3">
      <c r="A1922">
        <v>1921</v>
      </c>
      <c r="B1922">
        <f>IF('Boletins Nuppa Site'!A1922&lt;&gt;0,'Boletins Nuppa Site'!A1922,"NULL")</f>
        <v>86</v>
      </c>
      <c r="C1922">
        <v>11</v>
      </c>
      <c r="D1922" t="str">
        <f>IF('Boletins Nuppa Site'!G1922&lt;&gt;0,'Boletins Nuppa Site'!G1922,"NULL")</f>
        <v>NULL</v>
      </c>
      <c r="E1922" s="14" t="str">
        <f>IF('Boletins Nuppa Site'!H1922&lt;&gt;0,'Boletins Nuppa Site'!H1922,"NULL")</f>
        <v xml:space="preserve"> 24.00</v>
      </c>
      <c r="F1922" s="14" t="str">
        <f>IF('Boletins Nuppa Site'!I1922&lt;&gt;0,'Boletins Nuppa Site'!I1922,"NULL")</f>
        <v xml:space="preserve"> 60.00</v>
      </c>
      <c r="G1922" s="14" t="str">
        <f>IF('Boletins Nuppa Site'!J1922&lt;&gt;0,'Boletins Nuppa Site'!J1922,"NULL")</f>
        <v xml:space="preserve"> 30.00</v>
      </c>
      <c r="H1922" s="14" t="str">
        <f>IF('Boletins Nuppa Site'!K1922&lt;&gt;0,'Boletins Nuppa Site'!K1922,"NULL")</f>
        <v xml:space="preserve"> 35.00</v>
      </c>
      <c r="I1922" t="str">
        <f t="shared" si="58"/>
        <v>INSERT INTO COTACAO (cot_id, cot_blt_id, cot_pap_id, cot_prc_comum, cot_prc_min, cot_prc_max, cot_prc_med, cot_prc_mediana) VALUES (1921, 86, 11, NULL,  24.00,  60.00,  30.00,  35.00);</v>
      </c>
      <c r="J1922" t="str">
        <f t="shared" si="59"/>
        <v>UPDATE COTACAO SET cot_id = 1921, cot_blt_id = 86, cot_pap_id = 11, cot_prc_comum = NULL, cot_prc_min =  24.00, cot_prc_max =  60.00, cot_prc_med =  30.00, cot_prc_mediana =  35.00 WHERE cot_id = 1921;</v>
      </c>
    </row>
    <row r="1923" spans="1:10" x14ac:dyDescent="0.3">
      <c r="A1923">
        <v>1922</v>
      </c>
      <c r="B1923">
        <f>IF('Boletins Nuppa Site'!A1923&lt;&gt;0,'Boletins Nuppa Site'!A1923,"NULL")</f>
        <v>86</v>
      </c>
      <c r="C1923">
        <v>12</v>
      </c>
      <c r="D1923" t="str">
        <f>IF('Boletins Nuppa Site'!G1923&lt;&gt;0,'Boletins Nuppa Site'!G1923,"NULL")</f>
        <v xml:space="preserve"> 72.00</v>
      </c>
      <c r="E1923" s="14" t="str">
        <f>IF('Boletins Nuppa Site'!H1923&lt;&gt;0,'Boletins Nuppa Site'!H1923,"NULL")</f>
        <v xml:space="preserve"> 60.00</v>
      </c>
      <c r="F1923" s="14" t="str">
        <f>IF('Boletins Nuppa Site'!I1923&lt;&gt;0,'Boletins Nuppa Site'!I1923,"NULL")</f>
        <v xml:space="preserve"> 84.00</v>
      </c>
      <c r="G1923" s="14" t="str">
        <f>IF('Boletins Nuppa Site'!J1923&lt;&gt;0,'Boletins Nuppa Site'!J1923,"NULL")</f>
        <v xml:space="preserve"> 72.00</v>
      </c>
      <c r="H1923" s="14" t="str">
        <f>IF('Boletins Nuppa Site'!K1923&lt;&gt;0,'Boletins Nuppa Site'!K1923,"NULL")</f>
        <v xml:space="preserve"> 72.00</v>
      </c>
      <c r="I1923" t="str">
        <f t="shared" ref="I1923:I1986" si="60">"INSERT INTO COTACAO (cot_id, cot_blt_id, cot_pap_id, cot_prc_comum, cot_prc_min, cot_prc_max, cot_prc_med, cot_prc_mediana) VALUES ("&amp;A1923&amp;", "&amp;B1923&amp;", "&amp;C1923&amp;", "&amp;D1923&amp;", "&amp;E1923&amp;", "&amp;F1923&amp;", "&amp;G1923&amp;", "&amp;H1923&amp;");"</f>
        <v>INSERT INTO COTACAO (cot_id, cot_blt_id, cot_pap_id, cot_prc_comum, cot_prc_min, cot_prc_max, cot_prc_med, cot_prc_mediana) VALUES (1922, 86, 12,  72.00,  60.00,  84.00,  72.00,  72.00);</v>
      </c>
      <c r="J1923" t="str">
        <f t="shared" ref="J1923:J1986" si="61">"UPDATE COTACAO SET cot_id = "&amp;A1923&amp;", cot_blt_id = "&amp;B1923&amp;", cot_pap_id = "&amp;C1923&amp;", cot_prc_comum = "&amp;D1923&amp;", cot_prc_min = "&amp;E1923&amp;", cot_prc_max = "&amp;F1923&amp;", cot_prc_med = "&amp;G1923&amp;", cot_prc_mediana = "&amp;H1923&amp;" WHERE cot_id = "&amp;A1923&amp;";"</f>
        <v>UPDATE COTACAO SET cot_id = 1922, cot_blt_id = 86, cot_pap_id = 12, cot_prc_comum =  72.00, cot_prc_min =  60.00, cot_prc_max =  84.00, cot_prc_med =  72.00, cot_prc_mediana =  72.00 WHERE cot_id = 1922;</v>
      </c>
    </row>
    <row r="1924" spans="1:10" x14ac:dyDescent="0.3">
      <c r="A1924">
        <v>1923</v>
      </c>
      <c r="B1924">
        <f>IF('Boletins Nuppa Site'!A1924&lt;&gt;0,'Boletins Nuppa Site'!A1924,"NULL")</f>
        <v>86</v>
      </c>
      <c r="C1924">
        <v>13</v>
      </c>
      <c r="D1924" t="str">
        <f>IF('Boletins Nuppa Site'!G1924&lt;&gt;0,'Boletins Nuppa Site'!G1924,"NULL")</f>
        <v xml:space="preserve"> 48.00</v>
      </c>
      <c r="E1924" s="14" t="str">
        <f>IF('Boletins Nuppa Site'!H1924&lt;&gt;0,'Boletins Nuppa Site'!H1924,"NULL")</f>
        <v xml:space="preserve"> 72.00</v>
      </c>
      <c r="F1924" s="14" t="str">
        <f>IF('Boletins Nuppa Site'!I1924&lt;&gt;0,'Boletins Nuppa Site'!I1924,"NULL")</f>
        <v xml:space="preserve"> 72.00</v>
      </c>
      <c r="G1924" s="14" t="str">
        <f>IF('Boletins Nuppa Site'!J1924&lt;&gt;0,'Boletins Nuppa Site'!J1924,"NULL")</f>
        <v xml:space="preserve"> 62.40</v>
      </c>
      <c r="H1924" s="14" t="str">
        <f>IF('Boletins Nuppa Site'!K1924&lt;&gt;0,'Boletins Nuppa Site'!K1924,"NULL")</f>
        <v xml:space="preserve"> 60.00</v>
      </c>
      <c r="I1924" t="str">
        <f t="shared" si="60"/>
        <v>INSERT INTO COTACAO (cot_id, cot_blt_id, cot_pap_id, cot_prc_comum, cot_prc_min, cot_prc_max, cot_prc_med, cot_prc_mediana) VALUES (1923, 86, 13,  48.00,  72.00,  72.00,  62.40,  60.00);</v>
      </c>
      <c r="J1924" t="str">
        <f t="shared" si="61"/>
        <v>UPDATE COTACAO SET cot_id = 1923, cot_blt_id = 86, cot_pap_id = 13, cot_prc_comum =  48.00, cot_prc_min =  72.00, cot_prc_max =  72.00, cot_prc_med =  62.40, cot_prc_mediana =  60.00 WHERE cot_id = 1923;</v>
      </c>
    </row>
    <row r="1925" spans="1:10" x14ac:dyDescent="0.3">
      <c r="A1925">
        <v>1924</v>
      </c>
      <c r="B1925">
        <f>IF('Boletins Nuppa Site'!A1925&lt;&gt;0,'Boletins Nuppa Site'!A1925,"NULL")</f>
        <v>86</v>
      </c>
      <c r="C1925">
        <v>14</v>
      </c>
      <c r="D1925" t="str">
        <f>IF('Boletins Nuppa Site'!G1925&lt;&gt;0,'Boletins Nuppa Site'!G1925,"NULL")</f>
        <v xml:space="preserve"> 50.00</v>
      </c>
      <c r="E1925" s="14" t="str">
        <f>IF('Boletins Nuppa Site'!H1925&lt;&gt;0,'Boletins Nuppa Site'!H1925,"NULL")</f>
        <v xml:space="preserve"> 60.00</v>
      </c>
      <c r="F1925" s="14" t="str">
        <f>IF('Boletins Nuppa Site'!I1925&lt;&gt;0,'Boletins Nuppa Site'!I1925,"NULL")</f>
        <v xml:space="preserve"> 72.00</v>
      </c>
      <c r="G1925" s="14" t="str">
        <f>IF('Boletins Nuppa Site'!J1925&lt;&gt;0,'Boletins Nuppa Site'!J1925,"NULL")</f>
        <v xml:space="preserve"> 50.00</v>
      </c>
      <c r="H1925" s="14" t="str">
        <f>IF('Boletins Nuppa Site'!K1925&lt;&gt;0,'Boletins Nuppa Site'!K1925,"NULL")</f>
        <v xml:space="preserve"> 60.50</v>
      </c>
      <c r="I1925" t="str">
        <f t="shared" si="60"/>
        <v>INSERT INTO COTACAO (cot_id, cot_blt_id, cot_pap_id, cot_prc_comum, cot_prc_min, cot_prc_max, cot_prc_med, cot_prc_mediana) VALUES (1924, 86, 14,  50.00,  60.00,  72.00,  50.00,  60.50);</v>
      </c>
      <c r="J1925" t="str">
        <f t="shared" si="61"/>
        <v>UPDATE COTACAO SET cot_id = 1924, cot_blt_id = 86, cot_pap_id = 14, cot_prc_comum =  50.00, cot_prc_min =  60.00, cot_prc_max =  72.00, cot_prc_med =  50.00, cot_prc_mediana =  60.50 WHERE cot_id = 1924;</v>
      </c>
    </row>
    <row r="1926" spans="1:10" x14ac:dyDescent="0.3">
      <c r="A1926">
        <v>1925</v>
      </c>
      <c r="B1926">
        <f>IF('Boletins Nuppa Site'!A1926&lt;&gt;0,'Boletins Nuppa Site'!A1926,"NULL")</f>
        <v>86</v>
      </c>
      <c r="C1926">
        <v>15</v>
      </c>
      <c r="D1926" t="str">
        <f>IF('Boletins Nuppa Site'!G1926&lt;&gt;0,'Boletins Nuppa Site'!G1926,"NULL")</f>
        <v xml:space="preserve"> 45.00</v>
      </c>
      <c r="E1926" s="14" t="str">
        <f>IF('Boletins Nuppa Site'!H1926&lt;&gt;0,'Boletins Nuppa Site'!H1926,"NULL")</f>
        <v xml:space="preserve"> 36.00</v>
      </c>
      <c r="F1926" s="14" t="str">
        <f>IF('Boletins Nuppa Site'!I1926&lt;&gt;0,'Boletins Nuppa Site'!I1926,"NULL")</f>
        <v xml:space="preserve"> 48.00</v>
      </c>
      <c r="G1926" s="14" t="str">
        <f>IF('Boletins Nuppa Site'!J1926&lt;&gt;0,'Boletins Nuppa Site'!J1926,"NULL")</f>
        <v xml:space="preserve"> 42.00</v>
      </c>
      <c r="H1926" s="14" t="str">
        <f>IF('Boletins Nuppa Site'!K1926&lt;&gt;0,'Boletins Nuppa Site'!K1926,"NULL")</f>
        <v xml:space="preserve"> 45.00</v>
      </c>
      <c r="I1926" t="str">
        <f t="shared" si="60"/>
        <v>INSERT INTO COTACAO (cot_id, cot_blt_id, cot_pap_id, cot_prc_comum, cot_prc_min, cot_prc_max, cot_prc_med, cot_prc_mediana) VALUES (1925, 86, 15,  45.00,  36.00,  48.00,  42.00,  45.00);</v>
      </c>
      <c r="J1926" t="str">
        <f t="shared" si="61"/>
        <v>UPDATE COTACAO SET cot_id = 1925, cot_blt_id = 86, cot_pap_id = 15, cot_prc_comum =  45.00, cot_prc_min =  36.00, cot_prc_max =  48.00, cot_prc_med =  42.00, cot_prc_mediana =  45.00 WHERE cot_id = 1925;</v>
      </c>
    </row>
    <row r="1927" spans="1:10" x14ac:dyDescent="0.3">
      <c r="A1927">
        <v>1926</v>
      </c>
      <c r="B1927">
        <f>IF('Boletins Nuppa Site'!A1927&lt;&gt;0,'Boletins Nuppa Site'!A1927,"NULL")</f>
        <v>86</v>
      </c>
      <c r="C1927">
        <v>16</v>
      </c>
      <c r="D1927" t="str">
        <f>IF('Boletins Nuppa Site'!G1927&lt;&gt;0,'Boletins Nuppa Site'!G1927,"NULL")</f>
        <v xml:space="preserve"> 48.00</v>
      </c>
      <c r="E1927" s="14" t="str">
        <f>IF('Boletins Nuppa Site'!H1927&lt;&gt;0,'Boletins Nuppa Site'!H1927,"NULL")</f>
        <v xml:space="preserve"> 54.00</v>
      </c>
      <c r="F1927" s="14" t="str">
        <f>IF('Boletins Nuppa Site'!I1927&lt;&gt;0,'Boletins Nuppa Site'!I1927,"NULL")</f>
        <v xml:space="preserve"> 60.00</v>
      </c>
      <c r="G1927" s="14" t="str">
        <f>IF('Boletins Nuppa Site'!J1927&lt;&gt;0,'Boletins Nuppa Site'!J1927,"NULL")</f>
        <v xml:space="preserve"> 55.20</v>
      </c>
      <c r="H1927" s="14" t="str">
        <f>IF('Boletins Nuppa Site'!K1927&lt;&gt;0,'Boletins Nuppa Site'!K1927,"NULL")</f>
        <v xml:space="preserve"> 54.00</v>
      </c>
      <c r="I1927" t="str">
        <f t="shared" si="60"/>
        <v>INSERT INTO COTACAO (cot_id, cot_blt_id, cot_pap_id, cot_prc_comum, cot_prc_min, cot_prc_max, cot_prc_med, cot_prc_mediana) VALUES (1926, 86, 16,  48.00,  54.00,  60.00,  55.20,  54.00);</v>
      </c>
      <c r="J1927" t="str">
        <f t="shared" si="61"/>
        <v>UPDATE COTACAO SET cot_id = 1926, cot_blt_id = 86, cot_pap_id = 16, cot_prc_comum =  48.00, cot_prc_min =  54.00, cot_prc_max =  60.00, cot_prc_med =  55.20, cot_prc_mediana =  54.00 WHERE cot_id = 1926;</v>
      </c>
    </row>
    <row r="1928" spans="1:10" x14ac:dyDescent="0.3">
      <c r="A1928">
        <v>1927</v>
      </c>
      <c r="B1928">
        <f>IF('Boletins Nuppa Site'!A1928&lt;&gt;0,'Boletins Nuppa Site'!A1928,"NULL")</f>
        <v>86</v>
      </c>
      <c r="C1928">
        <v>17</v>
      </c>
      <c r="D1928" t="str">
        <f>IF('Boletins Nuppa Site'!G1928&lt;&gt;0,'Boletins Nuppa Site'!G1928,"NULL")</f>
        <v xml:space="preserve"> 4.00</v>
      </c>
      <c r="E1928" s="14" t="str">
        <f>IF('Boletins Nuppa Site'!H1928&lt;&gt;0,'Boletins Nuppa Site'!H1928,"NULL")</f>
        <v xml:space="preserve"> 5.00</v>
      </c>
      <c r="F1928" s="14" t="str">
        <f>IF('Boletins Nuppa Site'!I1928&lt;&gt;0,'Boletins Nuppa Site'!I1928,"NULL")</f>
        <v xml:space="preserve"> 5.00</v>
      </c>
      <c r="G1928" s="14" t="str">
        <f>IF('Boletins Nuppa Site'!J1928&lt;&gt;0,'Boletins Nuppa Site'!J1928,"NULL")</f>
        <v xml:space="preserve"> 5.00</v>
      </c>
      <c r="H1928" s="14" t="str">
        <f>IF('Boletins Nuppa Site'!K1928&lt;&gt;0,'Boletins Nuppa Site'!K1928,"NULL")</f>
        <v xml:space="preserve"> 4.80</v>
      </c>
      <c r="I1928" t="str">
        <f t="shared" si="60"/>
        <v>INSERT INTO COTACAO (cot_id, cot_blt_id, cot_pap_id, cot_prc_comum, cot_prc_min, cot_prc_max, cot_prc_med, cot_prc_mediana) VALUES (1927, 86, 17,  4.00,  5.00,  5.00,  5.00,  4.80);</v>
      </c>
      <c r="J1928" t="str">
        <f t="shared" si="61"/>
        <v>UPDATE COTACAO SET cot_id = 1927, cot_blt_id = 86, cot_pap_id = 17, cot_prc_comum =  4.00, cot_prc_min =  5.00, cot_prc_max =  5.00, cot_prc_med =  5.00, cot_prc_mediana =  4.80 WHERE cot_id = 1927;</v>
      </c>
    </row>
    <row r="1929" spans="1:10" x14ac:dyDescent="0.3">
      <c r="A1929">
        <v>1928</v>
      </c>
      <c r="B1929">
        <f>IF('Boletins Nuppa Site'!A1929&lt;&gt;0,'Boletins Nuppa Site'!A1929,"NULL")</f>
        <v>86</v>
      </c>
      <c r="C1929">
        <v>18</v>
      </c>
      <c r="D1929" t="str">
        <f>IF('Boletins Nuppa Site'!G1929&lt;&gt;0,'Boletins Nuppa Site'!G1929,"NULL")</f>
        <v xml:space="preserve"> 20.00</v>
      </c>
      <c r="E1929" s="14" t="str">
        <f>IF('Boletins Nuppa Site'!H1929&lt;&gt;0,'Boletins Nuppa Site'!H1929,"NULL")</f>
        <v xml:space="preserve"> 20.00</v>
      </c>
      <c r="F1929" s="14" t="str">
        <f>IF('Boletins Nuppa Site'!I1929&lt;&gt;0,'Boletins Nuppa Site'!I1929,"NULL")</f>
        <v xml:space="preserve"> 25.00</v>
      </c>
      <c r="G1929" s="14" t="str">
        <f>IF('Boletins Nuppa Site'!J1929&lt;&gt;0,'Boletins Nuppa Site'!J1929,"NULL")</f>
        <v xml:space="preserve"> 22.00</v>
      </c>
      <c r="H1929" s="14" t="str">
        <f>IF('Boletins Nuppa Site'!K1929&lt;&gt;0,'Boletins Nuppa Site'!K1929,"NULL")</f>
        <v xml:space="preserve"> 20.00</v>
      </c>
      <c r="I1929" t="str">
        <f t="shared" si="60"/>
        <v>INSERT INTO COTACAO (cot_id, cot_blt_id, cot_pap_id, cot_prc_comum, cot_prc_min, cot_prc_max, cot_prc_med, cot_prc_mediana) VALUES (1928, 86, 18,  20.00,  20.00,  25.00,  22.00,  20.00);</v>
      </c>
      <c r="J1929" t="str">
        <f t="shared" si="61"/>
        <v>UPDATE COTACAO SET cot_id = 1928, cot_blt_id = 86, cot_pap_id = 18, cot_prc_comum =  20.00, cot_prc_min =  20.00, cot_prc_max =  25.00, cot_prc_med =  22.00, cot_prc_mediana =  20.00 WHERE cot_id = 1928;</v>
      </c>
    </row>
    <row r="1930" spans="1:10" x14ac:dyDescent="0.3">
      <c r="A1930">
        <v>1929</v>
      </c>
      <c r="B1930">
        <f>IF('Boletins Nuppa Site'!A1930&lt;&gt;0,'Boletins Nuppa Site'!A1930,"NULL")</f>
        <v>86</v>
      </c>
      <c r="C1930">
        <v>19</v>
      </c>
      <c r="D1930" t="str">
        <f>IF('Boletins Nuppa Site'!G1930&lt;&gt;0,'Boletins Nuppa Site'!G1930,"NULL")</f>
        <v xml:space="preserve"> 25.00</v>
      </c>
      <c r="E1930" s="14" t="str">
        <f>IF('Boletins Nuppa Site'!H1930&lt;&gt;0,'Boletins Nuppa Site'!H1930,"NULL")</f>
        <v xml:space="preserve"> 30.00</v>
      </c>
      <c r="F1930" s="14" t="str">
        <f>IF('Boletins Nuppa Site'!I1930&lt;&gt;0,'Boletins Nuppa Site'!I1930,"NULL")</f>
        <v xml:space="preserve"> 30.00</v>
      </c>
      <c r="G1930" s="14" t="str">
        <f>IF('Boletins Nuppa Site'!J1930&lt;&gt;0,'Boletins Nuppa Site'!J1930,"NULL")</f>
        <v xml:space="preserve"> 30.00</v>
      </c>
      <c r="H1930" s="14" t="str">
        <f>IF('Boletins Nuppa Site'!K1930&lt;&gt;0,'Boletins Nuppa Site'!K1930,"NULL")</f>
        <v xml:space="preserve"> 28.00</v>
      </c>
      <c r="I1930" t="str">
        <f t="shared" si="60"/>
        <v>INSERT INTO COTACAO (cot_id, cot_blt_id, cot_pap_id, cot_prc_comum, cot_prc_min, cot_prc_max, cot_prc_med, cot_prc_mediana) VALUES (1929, 86, 19,  25.00,  30.00,  30.00,  30.00,  28.00);</v>
      </c>
      <c r="J1930" t="str">
        <f t="shared" si="61"/>
        <v>UPDATE COTACAO SET cot_id = 1929, cot_blt_id = 86, cot_pap_id = 19, cot_prc_comum =  25.00, cot_prc_min =  30.00, cot_prc_max =  30.00, cot_prc_med =  30.00, cot_prc_mediana =  28.00 WHERE cot_id = 1929;</v>
      </c>
    </row>
    <row r="1931" spans="1:10" x14ac:dyDescent="0.3">
      <c r="A1931">
        <v>1930</v>
      </c>
      <c r="B1931">
        <f>IF('Boletins Nuppa Site'!A1931&lt;&gt;0,'Boletins Nuppa Site'!A1931,"NULL")</f>
        <v>86</v>
      </c>
      <c r="C1931">
        <v>20</v>
      </c>
      <c r="D1931" t="str">
        <f>IF('Boletins Nuppa Site'!G1931&lt;&gt;0,'Boletins Nuppa Site'!G1931,"NULL")</f>
        <v xml:space="preserve"> 70.00</v>
      </c>
      <c r="E1931" s="14" t="str">
        <f>IF('Boletins Nuppa Site'!H1931&lt;&gt;0,'Boletins Nuppa Site'!H1931,"NULL")</f>
        <v xml:space="preserve"> 70.00</v>
      </c>
      <c r="F1931" s="14" t="str">
        <f>IF('Boletins Nuppa Site'!I1931&lt;&gt;0,'Boletins Nuppa Site'!I1931,"NULL")</f>
        <v xml:space="preserve"> 70.00</v>
      </c>
      <c r="G1931" s="14" t="str">
        <f>IF('Boletins Nuppa Site'!J1931&lt;&gt;0,'Boletins Nuppa Site'!J1931,"NULL")</f>
        <v xml:space="preserve"> 70.00</v>
      </c>
      <c r="H1931" s="14" t="str">
        <f>IF('Boletins Nuppa Site'!K1931&lt;&gt;0,'Boletins Nuppa Site'!K1931,"NULL")</f>
        <v xml:space="preserve"> 70.00</v>
      </c>
      <c r="I1931" t="str">
        <f t="shared" si="60"/>
        <v>INSERT INTO COTACAO (cot_id, cot_blt_id, cot_pap_id, cot_prc_comum, cot_prc_min, cot_prc_max, cot_prc_med, cot_prc_mediana) VALUES (1930, 86, 20,  70.00,  70.00,  70.00,  70.00,  70.00);</v>
      </c>
      <c r="J1931" t="str">
        <f t="shared" si="61"/>
        <v>UPDATE COTACAO SET cot_id = 1930, cot_blt_id = 86, cot_pap_id = 20, cot_prc_comum =  70.00, cot_prc_min =  70.00, cot_prc_max =  70.00, cot_prc_med =  70.00, cot_prc_mediana =  70.00 WHERE cot_id = 1930;</v>
      </c>
    </row>
    <row r="1932" spans="1:10" x14ac:dyDescent="0.3">
      <c r="A1932">
        <v>1931</v>
      </c>
      <c r="B1932">
        <f>IF('Boletins Nuppa Site'!A1932&lt;&gt;0,'Boletins Nuppa Site'!A1932,"NULL")</f>
        <v>86</v>
      </c>
      <c r="C1932">
        <v>21</v>
      </c>
      <c r="D1932" t="str">
        <f>IF('Boletins Nuppa Site'!G1932&lt;&gt;0,'Boletins Nuppa Site'!G1932,"NULL")</f>
        <v xml:space="preserve"> 90.00</v>
      </c>
      <c r="E1932" s="14" t="str">
        <f>IF('Boletins Nuppa Site'!H1932&lt;&gt;0,'Boletins Nuppa Site'!H1932,"NULL")</f>
        <v xml:space="preserve"> 100.00</v>
      </c>
      <c r="F1932" s="14" t="str">
        <f>IF('Boletins Nuppa Site'!I1932&lt;&gt;0,'Boletins Nuppa Site'!I1932,"NULL")</f>
        <v xml:space="preserve"> 100.00</v>
      </c>
      <c r="G1932" s="14" t="str">
        <f>IF('Boletins Nuppa Site'!J1932&lt;&gt;0,'Boletins Nuppa Site'!J1932,"NULL")</f>
        <v xml:space="preserve"> 100.00</v>
      </c>
      <c r="H1932" s="14" t="str">
        <f>IF('Boletins Nuppa Site'!K1932&lt;&gt;0,'Boletins Nuppa Site'!K1932,"NULL")</f>
        <v xml:space="preserve"> 97.50</v>
      </c>
      <c r="I1932" t="str">
        <f t="shared" si="60"/>
        <v>INSERT INTO COTACAO (cot_id, cot_blt_id, cot_pap_id, cot_prc_comum, cot_prc_min, cot_prc_max, cot_prc_med, cot_prc_mediana) VALUES (1931, 86, 21,  90.00,  100.00,  100.00,  100.00,  97.50);</v>
      </c>
      <c r="J1932" t="str">
        <f t="shared" si="61"/>
        <v>UPDATE COTACAO SET cot_id = 1931, cot_blt_id = 86, cot_pap_id = 21, cot_prc_comum =  90.00, cot_prc_min =  100.00, cot_prc_max =  100.00, cot_prc_med =  100.00, cot_prc_mediana =  97.50 WHERE cot_id = 1931;</v>
      </c>
    </row>
    <row r="1933" spans="1:10" x14ac:dyDescent="0.3">
      <c r="A1933">
        <v>1932</v>
      </c>
      <c r="B1933">
        <f>IF('Boletins Nuppa Site'!A1933&lt;&gt;0,'Boletins Nuppa Site'!A1933,"NULL")</f>
        <v>86</v>
      </c>
      <c r="C1933">
        <v>22</v>
      </c>
      <c r="D1933" t="str">
        <f>IF('Boletins Nuppa Site'!G1933&lt;&gt;0,'Boletins Nuppa Site'!G1933,"NULL")</f>
        <v>NULL</v>
      </c>
      <c r="E1933" s="14" t="str">
        <f>IF('Boletins Nuppa Site'!H1933&lt;&gt;0,'Boletins Nuppa Site'!H1933,"NULL")</f>
        <v xml:space="preserve"> 45.00</v>
      </c>
      <c r="F1933" s="14" t="str">
        <f>IF('Boletins Nuppa Site'!I1933&lt;&gt;0,'Boletins Nuppa Site'!I1933,"NULL")</f>
        <v xml:space="preserve"> 70.00</v>
      </c>
      <c r="G1933" s="14" t="str">
        <f>IF('Boletins Nuppa Site'!J1933&lt;&gt;0,'Boletins Nuppa Site'!J1933,"NULL")</f>
        <v xml:space="preserve"> 57.50</v>
      </c>
      <c r="H1933" s="14" t="str">
        <f>IF('Boletins Nuppa Site'!K1933&lt;&gt;0,'Boletins Nuppa Site'!K1933,"NULL")</f>
        <v xml:space="preserve"> 57.50</v>
      </c>
      <c r="I1933" t="str">
        <f t="shared" si="60"/>
        <v>INSERT INTO COTACAO (cot_id, cot_blt_id, cot_pap_id, cot_prc_comum, cot_prc_min, cot_prc_max, cot_prc_med, cot_prc_mediana) VALUES (1932, 86, 22, NULL,  45.00,  70.00,  57.50,  57.50);</v>
      </c>
      <c r="J1933" t="str">
        <f t="shared" si="61"/>
        <v>UPDATE COTACAO SET cot_id = 1932, cot_blt_id = 86, cot_pap_id = 22, cot_prc_comum = NULL, cot_prc_min =  45.00, cot_prc_max =  70.00, cot_prc_med =  57.50, cot_prc_mediana =  57.50 WHERE cot_id = 1932;</v>
      </c>
    </row>
    <row r="1934" spans="1:10" x14ac:dyDescent="0.3">
      <c r="A1934">
        <v>1933</v>
      </c>
      <c r="B1934">
        <f>IF('Boletins Nuppa Site'!A1934&lt;&gt;0,'Boletins Nuppa Site'!A1934,"NULL")</f>
        <v>86</v>
      </c>
      <c r="C1934">
        <v>23</v>
      </c>
      <c r="D1934" t="str">
        <f>IF('Boletins Nuppa Site'!G1934&lt;&gt;0,'Boletins Nuppa Site'!G1934,"NULL")</f>
        <v xml:space="preserve"> 50.00</v>
      </c>
      <c r="E1934" s="14" t="str">
        <f>IF('Boletins Nuppa Site'!H1934&lt;&gt;0,'Boletins Nuppa Site'!H1934,"NULL")</f>
        <v xml:space="preserve"> 40.00</v>
      </c>
      <c r="F1934" s="14" t="str">
        <f>IF('Boletins Nuppa Site'!I1934&lt;&gt;0,'Boletins Nuppa Site'!I1934,"NULL")</f>
        <v xml:space="preserve"> 50.00</v>
      </c>
      <c r="G1934" s="14" t="str">
        <f>IF('Boletins Nuppa Site'!J1934&lt;&gt;0,'Boletins Nuppa Site'!J1934,"NULL")</f>
        <v xml:space="preserve"> 47.50</v>
      </c>
      <c r="H1934" s="14" t="str">
        <f>IF('Boletins Nuppa Site'!K1934&lt;&gt;0,'Boletins Nuppa Site'!K1934,"NULL")</f>
        <v xml:space="preserve"> 50.00</v>
      </c>
      <c r="I1934" t="str">
        <f t="shared" si="60"/>
        <v>INSERT INTO COTACAO (cot_id, cot_blt_id, cot_pap_id, cot_prc_comum, cot_prc_min, cot_prc_max, cot_prc_med, cot_prc_mediana) VALUES (1933, 86, 23,  50.00,  40.00,  50.00,  47.50,  50.00);</v>
      </c>
      <c r="J1934" t="str">
        <f t="shared" si="61"/>
        <v>UPDATE COTACAO SET cot_id = 1933, cot_blt_id = 86, cot_pap_id = 23, cot_prc_comum =  50.00, cot_prc_min =  40.00, cot_prc_max =  50.00, cot_prc_med =  47.50, cot_prc_mediana =  50.00 WHERE cot_id = 1933;</v>
      </c>
    </row>
    <row r="1935" spans="1:10" x14ac:dyDescent="0.3">
      <c r="A1935">
        <v>1934</v>
      </c>
      <c r="B1935">
        <f>IF('Boletins Nuppa Site'!A1935&lt;&gt;0,'Boletins Nuppa Site'!A1935,"NULL")</f>
        <v>86</v>
      </c>
      <c r="C1935">
        <v>24</v>
      </c>
      <c r="D1935" t="str">
        <f>IF('Boletins Nuppa Site'!G1935&lt;&gt;0,'Boletins Nuppa Site'!G1935,"NULL")</f>
        <v>NULL</v>
      </c>
      <c r="E1935" s="14" t="str">
        <f>IF('Boletins Nuppa Site'!H1935&lt;&gt;0,'Boletins Nuppa Site'!H1935,"NULL")</f>
        <v>NULL</v>
      </c>
      <c r="F1935" s="14" t="str">
        <f>IF('Boletins Nuppa Site'!I1935&lt;&gt;0,'Boletins Nuppa Site'!I1935,"NULL")</f>
        <v>NULL</v>
      </c>
      <c r="G1935" s="14" t="str">
        <f>IF('Boletins Nuppa Site'!J1935&lt;&gt;0,'Boletins Nuppa Site'!J1935,"NULL")</f>
        <v>NULL</v>
      </c>
      <c r="H1935" s="14" t="str">
        <f>IF('Boletins Nuppa Site'!K1935&lt;&gt;0,'Boletins Nuppa Site'!K1935,"NULL")</f>
        <v>NULL</v>
      </c>
      <c r="I1935" t="str">
        <f t="shared" si="60"/>
        <v>INSERT INTO COTACAO (cot_id, cot_blt_id, cot_pap_id, cot_prc_comum, cot_prc_min, cot_prc_max, cot_prc_med, cot_prc_mediana) VALUES (1934, 86, 24, NULL, NULL, NULL, NULL, NULL);</v>
      </c>
      <c r="J1935" t="str">
        <f t="shared" si="61"/>
        <v>UPDATE COTACAO SET cot_id = 1934, cot_blt_id = 86, cot_pap_id = 24, cot_prc_comum = NULL, cot_prc_min = NULL, cot_prc_max = NULL, cot_prc_med = NULL, cot_prc_mediana = NULL WHERE cot_id = 1934;</v>
      </c>
    </row>
    <row r="1936" spans="1:10" x14ac:dyDescent="0.3">
      <c r="A1936">
        <v>1935</v>
      </c>
      <c r="B1936">
        <f>IF('Boletins Nuppa Site'!A1936&lt;&gt;0,'Boletins Nuppa Site'!A1936,"NULL")</f>
        <v>86</v>
      </c>
      <c r="C1936">
        <v>25</v>
      </c>
      <c r="D1936" t="str">
        <f>IF('Boletins Nuppa Site'!G1936&lt;&gt;0,'Boletins Nuppa Site'!G1936,"NULL")</f>
        <v xml:space="preserve"> 50.00</v>
      </c>
      <c r="E1936" s="14" t="str">
        <f>IF('Boletins Nuppa Site'!H1936&lt;&gt;0,'Boletins Nuppa Site'!H1936,"NULL")</f>
        <v xml:space="preserve"> 70.00</v>
      </c>
      <c r="F1936" s="14" t="str">
        <f>IF('Boletins Nuppa Site'!I1936&lt;&gt;0,'Boletins Nuppa Site'!I1936,"NULL")</f>
        <v xml:space="preserve"> 70.00</v>
      </c>
      <c r="G1936" s="14" t="str">
        <f>IF('Boletins Nuppa Site'!J1936&lt;&gt;0,'Boletins Nuppa Site'!J1936,"NULL")</f>
        <v xml:space="preserve"> 65.00</v>
      </c>
      <c r="H1936" s="14" t="str">
        <f>IF('Boletins Nuppa Site'!K1936&lt;&gt;0,'Boletins Nuppa Site'!K1936,"NULL")</f>
        <v xml:space="preserve"> 62.50</v>
      </c>
      <c r="I1936" t="str">
        <f t="shared" si="60"/>
        <v>INSERT INTO COTACAO (cot_id, cot_blt_id, cot_pap_id, cot_prc_comum, cot_prc_min, cot_prc_max, cot_prc_med, cot_prc_mediana) VALUES (1935, 86, 25,  50.00,  70.00,  70.00,  65.00,  62.50);</v>
      </c>
      <c r="J1936" t="str">
        <f t="shared" si="61"/>
        <v>UPDATE COTACAO SET cot_id = 1935, cot_blt_id = 86, cot_pap_id = 25, cot_prc_comum =  50.00, cot_prc_min =  70.00, cot_prc_max =  70.00, cot_prc_med =  65.00, cot_prc_mediana =  62.50 WHERE cot_id = 1935;</v>
      </c>
    </row>
    <row r="1937" spans="1:10" x14ac:dyDescent="0.3">
      <c r="A1937">
        <v>1936</v>
      </c>
      <c r="B1937">
        <f>IF('Boletins Nuppa Site'!A1937&lt;&gt;0,'Boletins Nuppa Site'!A1937,"NULL")</f>
        <v>86</v>
      </c>
      <c r="C1937">
        <v>26</v>
      </c>
      <c r="D1937" t="str">
        <f>IF('Boletins Nuppa Site'!G1937&lt;&gt;0,'Boletins Nuppa Site'!G1937,"NULL")</f>
        <v>NULL</v>
      </c>
      <c r="E1937" s="14" t="str">
        <f>IF('Boletins Nuppa Site'!H1937&lt;&gt;0,'Boletins Nuppa Site'!H1937,"NULL")</f>
        <v xml:space="preserve"> 60.00</v>
      </c>
      <c r="F1937" s="14" t="str">
        <f>IF('Boletins Nuppa Site'!I1937&lt;&gt;0,'Boletins Nuppa Site'!I1937,"NULL")</f>
        <v xml:space="preserve"> 105.00</v>
      </c>
      <c r="G1937" s="14" t="str">
        <f>IF('Boletins Nuppa Site'!J1937&lt;&gt;0,'Boletins Nuppa Site'!J1937,"NULL")</f>
        <v xml:space="preserve"> 77.50</v>
      </c>
      <c r="H1937" s="14" t="str">
        <f>IF('Boletins Nuppa Site'!K1937&lt;&gt;0,'Boletins Nuppa Site'!K1937,"NULL")</f>
        <v xml:space="preserve"> 72.50</v>
      </c>
      <c r="I1937" t="str">
        <f t="shared" si="60"/>
        <v>INSERT INTO COTACAO (cot_id, cot_blt_id, cot_pap_id, cot_prc_comum, cot_prc_min, cot_prc_max, cot_prc_med, cot_prc_mediana) VALUES (1936, 86, 26, NULL,  60.00,  105.00,  77.50,  72.50);</v>
      </c>
      <c r="J1937" t="str">
        <f t="shared" si="61"/>
        <v>UPDATE COTACAO SET cot_id = 1936, cot_blt_id = 86, cot_pap_id = 26, cot_prc_comum = NULL, cot_prc_min =  60.00, cot_prc_max =  105.00, cot_prc_med =  77.50, cot_prc_mediana =  72.50 WHERE cot_id = 1936;</v>
      </c>
    </row>
    <row r="1938" spans="1:10" x14ac:dyDescent="0.3">
      <c r="A1938">
        <v>1937</v>
      </c>
      <c r="B1938">
        <f>IF('Boletins Nuppa Site'!A1938&lt;&gt;0,'Boletins Nuppa Site'!A1938,"NULL")</f>
        <v>86</v>
      </c>
      <c r="C1938">
        <v>27</v>
      </c>
      <c r="D1938" t="str">
        <f>IF('Boletins Nuppa Site'!G1938&lt;&gt;0,'Boletins Nuppa Site'!G1938,"NULL")</f>
        <v xml:space="preserve"> 60.00</v>
      </c>
      <c r="E1938" s="14" t="str">
        <f>IF('Boletins Nuppa Site'!H1938&lt;&gt;0,'Boletins Nuppa Site'!H1938,"NULL")</f>
        <v xml:space="preserve"> 50.00</v>
      </c>
      <c r="F1938" s="14" t="str">
        <f>IF('Boletins Nuppa Site'!I1938&lt;&gt;0,'Boletins Nuppa Site'!I1938,"NULL")</f>
        <v xml:space="preserve"> 70.00</v>
      </c>
      <c r="G1938" s="14" t="str">
        <f>IF('Boletins Nuppa Site'!J1938&lt;&gt;0,'Boletins Nuppa Site'!J1938,"NULL")</f>
        <v xml:space="preserve"> 60.00</v>
      </c>
      <c r="H1938" s="14" t="str">
        <f>IF('Boletins Nuppa Site'!K1938&lt;&gt;0,'Boletins Nuppa Site'!K1938,"NULL")</f>
        <v xml:space="preserve"> 60.00</v>
      </c>
      <c r="I1938" t="str">
        <f t="shared" si="60"/>
        <v>INSERT INTO COTACAO (cot_id, cot_blt_id, cot_pap_id, cot_prc_comum, cot_prc_min, cot_prc_max, cot_prc_med, cot_prc_mediana) VALUES (1937, 86, 27,  60.00,  50.00,  70.00,  60.00,  60.00);</v>
      </c>
      <c r="J1938" t="str">
        <f t="shared" si="61"/>
        <v>UPDATE COTACAO SET cot_id = 1937, cot_blt_id = 86, cot_pap_id = 27, cot_prc_comum =  60.00, cot_prc_min =  50.00, cot_prc_max =  70.00, cot_prc_med =  60.00, cot_prc_mediana =  60.00 WHERE cot_id = 1937;</v>
      </c>
    </row>
    <row r="1939" spans="1:10" x14ac:dyDescent="0.3">
      <c r="A1939">
        <v>1938</v>
      </c>
      <c r="B1939">
        <f>IF('Boletins Nuppa Site'!A1939&lt;&gt;0,'Boletins Nuppa Site'!A1939,"NULL")</f>
        <v>86</v>
      </c>
      <c r="C1939">
        <v>28</v>
      </c>
      <c r="D1939" t="str">
        <f>IF('Boletins Nuppa Site'!G1939&lt;&gt;0,'Boletins Nuppa Site'!G1939,"NULL")</f>
        <v xml:space="preserve"> 60.00</v>
      </c>
      <c r="E1939" s="14" t="str">
        <f>IF('Boletins Nuppa Site'!H1939&lt;&gt;0,'Boletins Nuppa Site'!H1939,"NULL")</f>
        <v xml:space="preserve"> 60.00</v>
      </c>
      <c r="F1939" s="14" t="str">
        <f>IF('Boletins Nuppa Site'!I1939&lt;&gt;0,'Boletins Nuppa Site'!I1939,"NULL")</f>
        <v xml:space="preserve"> 80.00</v>
      </c>
      <c r="G1939" s="14" t="str">
        <f>IF('Boletins Nuppa Site'!J1939&lt;&gt;0,'Boletins Nuppa Site'!J1939,"NULL")</f>
        <v xml:space="preserve"> 60.00</v>
      </c>
      <c r="H1939" s="14" t="str">
        <f>IF('Boletins Nuppa Site'!K1939&lt;&gt;0,'Boletins Nuppa Site'!K1939,"NULL")</f>
        <v xml:space="preserve"> 66.67</v>
      </c>
      <c r="I1939" t="str">
        <f t="shared" si="60"/>
        <v>INSERT INTO COTACAO (cot_id, cot_blt_id, cot_pap_id, cot_prc_comum, cot_prc_min, cot_prc_max, cot_prc_med, cot_prc_mediana) VALUES (1938, 86, 28,  60.00,  60.00,  80.00,  60.00,  66.67);</v>
      </c>
      <c r="J1939" t="str">
        <f t="shared" si="61"/>
        <v>UPDATE COTACAO SET cot_id = 1938, cot_blt_id = 86, cot_pap_id = 28, cot_prc_comum =  60.00, cot_prc_min =  60.00, cot_prc_max =  80.00, cot_prc_med =  60.00, cot_prc_mediana =  66.67 WHERE cot_id = 1938;</v>
      </c>
    </row>
    <row r="1940" spans="1:10" x14ac:dyDescent="0.3">
      <c r="A1940">
        <v>1939</v>
      </c>
      <c r="B1940">
        <f>IF('Boletins Nuppa Site'!A1940&lt;&gt;0,'Boletins Nuppa Site'!A1940,"NULL")</f>
        <v>86</v>
      </c>
      <c r="C1940">
        <v>29</v>
      </c>
      <c r="D1940" t="str">
        <f>IF('Boletins Nuppa Site'!G1940&lt;&gt;0,'Boletins Nuppa Site'!G1940,"NULL")</f>
        <v>NULL</v>
      </c>
      <c r="E1940" s="14" t="str">
        <f>IF('Boletins Nuppa Site'!H1940&lt;&gt;0,'Boletins Nuppa Site'!H1940,"NULL")</f>
        <v xml:space="preserve"> 60.00</v>
      </c>
      <c r="F1940" s="14" t="str">
        <f>IF('Boletins Nuppa Site'!I1940&lt;&gt;0,'Boletins Nuppa Site'!I1940,"NULL")</f>
        <v xml:space="preserve"> 60.00</v>
      </c>
      <c r="G1940" s="14" t="str">
        <f>IF('Boletins Nuppa Site'!J1940&lt;&gt;0,'Boletins Nuppa Site'!J1940,"NULL")</f>
        <v xml:space="preserve"> 60.00</v>
      </c>
      <c r="H1940" s="14" t="str">
        <f>IF('Boletins Nuppa Site'!K1940&lt;&gt;0,'Boletins Nuppa Site'!K1940,"NULL")</f>
        <v xml:space="preserve"> 60.00</v>
      </c>
      <c r="I1940" t="str">
        <f t="shared" si="60"/>
        <v>INSERT INTO COTACAO (cot_id, cot_blt_id, cot_pap_id, cot_prc_comum, cot_prc_min, cot_prc_max, cot_prc_med, cot_prc_mediana) VALUES (1939, 86, 29, NULL,  60.00,  60.00,  60.00,  60.00);</v>
      </c>
      <c r="J1940" t="str">
        <f t="shared" si="61"/>
        <v>UPDATE COTACAO SET cot_id = 1939, cot_blt_id = 86, cot_pap_id = 29, cot_prc_comum = NULL, cot_prc_min =  60.00, cot_prc_max =  60.00, cot_prc_med =  60.00, cot_prc_mediana =  60.00 WHERE cot_id = 1939;</v>
      </c>
    </row>
    <row r="1941" spans="1:10" x14ac:dyDescent="0.3">
      <c r="A1941">
        <v>1940</v>
      </c>
      <c r="B1941">
        <f>IF('Boletins Nuppa Site'!A1941&lt;&gt;0,'Boletins Nuppa Site'!A1941,"NULL")</f>
        <v>86</v>
      </c>
      <c r="C1941">
        <v>30</v>
      </c>
      <c r="D1941" t="str">
        <f>IF('Boletins Nuppa Site'!G1941&lt;&gt;0,'Boletins Nuppa Site'!G1941,"NULL")</f>
        <v xml:space="preserve"> 70.00</v>
      </c>
      <c r="E1941" s="14" t="str">
        <f>IF('Boletins Nuppa Site'!H1941&lt;&gt;0,'Boletins Nuppa Site'!H1941,"NULL")</f>
        <v xml:space="preserve"> 90.00</v>
      </c>
      <c r="F1941" s="14" t="str">
        <f>IF('Boletins Nuppa Site'!I1941&lt;&gt;0,'Boletins Nuppa Site'!I1941,"NULL")</f>
        <v xml:space="preserve"> 80.00</v>
      </c>
      <c r="G1941" s="14" t="str">
        <f>IF('Boletins Nuppa Site'!J1941&lt;&gt;0,'Boletins Nuppa Site'!J1941,"NULL")</f>
        <v xml:space="preserve"> 90.00</v>
      </c>
      <c r="H1941" s="14" t="str">
        <f>IF('Boletins Nuppa Site'!K1941&lt;&gt;0,'Boletins Nuppa Site'!K1941,"NULL")</f>
        <v xml:space="preserve"> 85.00</v>
      </c>
      <c r="I1941" t="str">
        <f t="shared" si="60"/>
        <v>INSERT INTO COTACAO (cot_id, cot_blt_id, cot_pap_id, cot_prc_comum, cot_prc_min, cot_prc_max, cot_prc_med, cot_prc_mediana) VALUES (1940, 86, 30,  70.00,  90.00,  80.00,  90.00,  85.00);</v>
      </c>
      <c r="J1941" t="str">
        <f t="shared" si="61"/>
        <v>UPDATE COTACAO SET cot_id = 1940, cot_blt_id = 86, cot_pap_id = 30, cot_prc_comum =  70.00, cot_prc_min =  90.00, cot_prc_max =  80.00, cot_prc_med =  90.00, cot_prc_mediana =  85.00 WHERE cot_id = 1940;</v>
      </c>
    </row>
    <row r="1942" spans="1:10" x14ac:dyDescent="0.3">
      <c r="A1942">
        <v>1941</v>
      </c>
      <c r="B1942">
        <f>IF('Boletins Nuppa Site'!A1942&lt;&gt;0,'Boletins Nuppa Site'!A1942,"NULL")</f>
        <v>86</v>
      </c>
      <c r="C1942">
        <v>31</v>
      </c>
      <c r="D1942" t="str">
        <f>IF('Boletins Nuppa Site'!G1942&lt;&gt;0,'Boletins Nuppa Site'!G1942,"NULL")</f>
        <v>NULL</v>
      </c>
      <c r="E1942" s="14" t="str">
        <f>IF('Boletins Nuppa Site'!H1942&lt;&gt;0,'Boletins Nuppa Site'!H1942,"NULL")</f>
        <v xml:space="preserve"> 90.00</v>
      </c>
      <c r="F1942" s="14" t="str">
        <f>IF('Boletins Nuppa Site'!I1942&lt;&gt;0,'Boletins Nuppa Site'!I1942,"NULL")</f>
        <v xml:space="preserve"> 90.00</v>
      </c>
      <c r="G1942" s="14" t="str">
        <f>IF('Boletins Nuppa Site'!J1942&lt;&gt;0,'Boletins Nuppa Site'!J1942,"NULL")</f>
        <v xml:space="preserve"> 90.00</v>
      </c>
      <c r="H1942" s="14" t="str">
        <f>IF('Boletins Nuppa Site'!K1942&lt;&gt;0,'Boletins Nuppa Site'!K1942,"NULL")</f>
        <v xml:space="preserve"> 90.00</v>
      </c>
      <c r="I1942" t="str">
        <f t="shared" si="60"/>
        <v>INSERT INTO COTACAO (cot_id, cot_blt_id, cot_pap_id, cot_prc_comum, cot_prc_min, cot_prc_max, cot_prc_med, cot_prc_mediana) VALUES (1941, 86, 31, NULL,  90.00,  90.00,  90.00,  90.00);</v>
      </c>
      <c r="J1942" t="str">
        <f t="shared" si="61"/>
        <v>UPDATE COTACAO SET cot_id = 1941, cot_blt_id = 86, cot_pap_id = 31, cot_prc_comum = NULL, cot_prc_min =  90.00, cot_prc_max =  90.00, cot_prc_med =  90.00, cot_prc_mediana =  90.00 WHERE cot_id = 1941;</v>
      </c>
    </row>
    <row r="1943" spans="1:10" x14ac:dyDescent="0.3">
      <c r="A1943">
        <v>1942</v>
      </c>
      <c r="B1943">
        <f>IF('Boletins Nuppa Site'!A1943&lt;&gt;0,'Boletins Nuppa Site'!A1943,"NULL")</f>
        <v>86</v>
      </c>
      <c r="C1943">
        <v>32</v>
      </c>
      <c r="D1943" t="str">
        <f>IF('Boletins Nuppa Site'!G1943&lt;&gt;0,'Boletins Nuppa Site'!G1943,"NULL")</f>
        <v xml:space="preserve"> 30.00</v>
      </c>
      <c r="E1943" s="14" t="str">
        <f>IF('Boletins Nuppa Site'!H1943&lt;&gt;0,'Boletins Nuppa Site'!H1943,"NULL")</f>
        <v xml:space="preserve"> 30.00</v>
      </c>
      <c r="F1943" s="14" t="str">
        <f>IF('Boletins Nuppa Site'!I1943&lt;&gt;0,'Boletins Nuppa Site'!I1943,"NULL")</f>
        <v xml:space="preserve"> 45.00</v>
      </c>
      <c r="G1943" s="14" t="str">
        <f>IF('Boletins Nuppa Site'!J1943&lt;&gt;0,'Boletins Nuppa Site'!J1943,"NULL")</f>
        <v xml:space="preserve"> 36.25</v>
      </c>
      <c r="H1943" s="14" t="str">
        <f>IF('Boletins Nuppa Site'!K1943&lt;&gt;0,'Boletins Nuppa Site'!K1943,"NULL")</f>
        <v xml:space="preserve"> 35.00</v>
      </c>
      <c r="I1943" t="str">
        <f t="shared" si="60"/>
        <v>INSERT INTO COTACAO (cot_id, cot_blt_id, cot_pap_id, cot_prc_comum, cot_prc_min, cot_prc_max, cot_prc_med, cot_prc_mediana) VALUES (1942, 86, 32,  30.00,  30.00,  45.00,  36.25,  35.00);</v>
      </c>
      <c r="J1943" t="str">
        <f t="shared" si="61"/>
        <v>UPDATE COTACAO SET cot_id = 1942, cot_blt_id = 86, cot_pap_id = 32, cot_prc_comum =  30.00, cot_prc_min =  30.00, cot_prc_max =  45.00, cot_prc_med =  36.25, cot_prc_mediana =  35.00 WHERE cot_id = 1942;</v>
      </c>
    </row>
    <row r="1944" spans="1:10" x14ac:dyDescent="0.3">
      <c r="A1944">
        <v>1943</v>
      </c>
      <c r="B1944">
        <f>IF('Boletins Nuppa Site'!A1944&lt;&gt;0,'Boletins Nuppa Site'!A1944,"NULL")</f>
        <v>86</v>
      </c>
      <c r="C1944">
        <v>33</v>
      </c>
      <c r="D1944" t="str">
        <f>IF('Boletins Nuppa Site'!G1944&lt;&gt;0,'Boletins Nuppa Site'!G1944,"NULL")</f>
        <v xml:space="preserve"> 100.00</v>
      </c>
      <c r="E1944" s="14" t="str">
        <f>IF('Boletins Nuppa Site'!H1944&lt;&gt;0,'Boletins Nuppa Site'!H1944,"NULL")</f>
        <v xml:space="preserve"> 75.00</v>
      </c>
      <c r="F1944" s="14" t="str">
        <f>IF('Boletins Nuppa Site'!I1944&lt;&gt;0,'Boletins Nuppa Site'!I1944,"NULL")</f>
        <v xml:space="preserve"> 100.00</v>
      </c>
      <c r="G1944" s="14" t="str">
        <f>IF('Boletins Nuppa Site'!J1944&lt;&gt;0,'Boletins Nuppa Site'!J1944,"NULL")</f>
        <v xml:space="preserve"> 90.00</v>
      </c>
      <c r="H1944" s="14" t="str">
        <f>IF('Boletins Nuppa Site'!K1944&lt;&gt;0,'Boletins Nuppa Site'!K1944,"NULL")</f>
        <v xml:space="preserve"> 88.75</v>
      </c>
      <c r="I1944" t="str">
        <f t="shared" si="60"/>
        <v>INSERT INTO COTACAO (cot_id, cot_blt_id, cot_pap_id, cot_prc_comum, cot_prc_min, cot_prc_max, cot_prc_med, cot_prc_mediana) VALUES (1943, 86, 33,  100.00,  75.00,  100.00,  90.00,  88.75);</v>
      </c>
      <c r="J1944" t="str">
        <f t="shared" si="61"/>
        <v>UPDATE COTACAO SET cot_id = 1943, cot_blt_id = 86, cot_pap_id = 33, cot_prc_comum =  100.00, cot_prc_min =  75.00, cot_prc_max =  100.00, cot_prc_med =  90.00, cot_prc_mediana =  88.75 WHERE cot_id = 1943;</v>
      </c>
    </row>
    <row r="1945" spans="1:10" x14ac:dyDescent="0.3">
      <c r="A1945">
        <v>1944</v>
      </c>
      <c r="B1945">
        <f>IF('Boletins Nuppa Site'!A1945&lt;&gt;0,'Boletins Nuppa Site'!A1945,"NULL")</f>
        <v>86</v>
      </c>
      <c r="C1945">
        <v>34</v>
      </c>
      <c r="D1945" t="str">
        <f>IF('Boletins Nuppa Site'!G1945&lt;&gt;0,'Boletins Nuppa Site'!G1945,"NULL")</f>
        <v xml:space="preserve"> 70.00</v>
      </c>
      <c r="E1945" s="14" t="str">
        <f>IF('Boletins Nuppa Site'!H1945&lt;&gt;0,'Boletins Nuppa Site'!H1945,"NULL")</f>
        <v xml:space="preserve"> 50.00</v>
      </c>
      <c r="F1945" s="14" t="str">
        <f>IF('Boletins Nuppa Site'!I1945&lt;&gt;0,'Boletins Nuppa Site'!I1945,"NULL")</f>
        <v xml:space="preserve"> 70.00</v>
      </c>
      <c r="G1945" s="14" t="str">
        <f>IF('Boletins Nuppa Site'!J1945&lt;&gt;0,'Boletins Nuppa Site'!J1945,"NULL")</f>
        <v xml:space="preserve"> 62.50</v>
      </c>
      <c r="H1945" s="14" t="str">
        <f>IF('Boletins Nuppa Site'!K1945&lt;&gt;0,'Boletins Nuppa Site'!K1945,"NULL")</f>
        <v xml:space="preserve"> 65.00</v>
      </c>
      <c r="I1945" t="str">
        <f t="shared" si="60"/>
        <v>INSERT INTO COTACAO (cot_id, cot_blt_id, cot_pap_id, cot_prc_comum, cot_prc_min, cot_prc_max, cot_prc_med, cot_prc_mediana) VALUES (1944, 86, 34,  70.00,  50.00,  70.00,  62.50,  65.00);</v>
      </c>
      <c r="J1945" t="str">
        <f t="shared" si="61"/>
        <v>UPDATE COTACAO SET cot_id = 1944, cot_blt_id = 86, cot_pap_id = 34, cot_prc_comum =  70.00, cot_prc_min =  50.00, cot_prc_max =  70.00, cot_prc_med =  62.50, cot_prc_mediana =  65.00 WHERE cot_id = 1944;</v>
      </c>
    </row>
    <row r="1946" spans="1:10" x14ac:dyDescent="0.3">
      <c r="A1946">
        <v>1945</v>
      </c>
      <c r="B1946">
        <f>IF('Boletins Nuppa Site'!A1946&lt;&gt;0,'Boletins Nuppa Site'!A1946,"NULL")</f>
        <v>86</v>
      </c>
      <c r="C1946">
        <v>35</v>
      </c>
      <c r="D1946" t="str">
        <f>IF('Boletins Nuppa Site'!G1946&lt;&gt;0,'Boletins Nuppa Site'!G1946,"NULL")</f>
        <v>NULL</v>
      </c>
      <c r="E1946" s="14" t="str">
        <f>IF('Boletins Nuppa Site'!H1946&lt;&gt;0,'Boletins Nuppa Site'!H1946,"NULL")</f>
        <v xml:space="preserve"> 50.00</v>
      </c>
      <c r="F1946" s="14" t="str">
        <f>IF('Boletins Nuppa Site'!I1946&lt;&gt;0,'Boletins Nuppa Site'!I1946,"NULL")</f>
        <v xml:space="preserve"> 80.00</v>
      </c>
      <c r="G1946" s="14" t="str">
        <f>IF('Boletins Nuppa Site'!J1946&lt;&gt;0,'Boletins Nuppa Site'!J1946,"NULL")</f>
        <v xml:space="preserve"> 66.67</v>
      </c>
      <c r="H1946" s="14" t="str">
        <f>IF('Boletins Nuppa Site'!K1946&lt;&gt;0,'Boletins Nuppa Site'!K1946,"NULL")</f>
        <v xml:space="preserve"> 70.00</v>
      </c>
      <c r="I1946" t="str">
        <f t="shared" si="60"/>
        <v>INSERT INTO COTACAO (cot_id, cot_blt_id, cot_pap_id, cot_prc_comum, cot_prc_min, cot_prc_max, cot_prc_med, cot_prc_mediana) VALUES (1945, 86, 35, NULL,  50.00,  80.00,  66.67,  70.00);</v>
      </c>
      <c r="J1946" t="str">
        <f t="shared" si="61"/>
        <v>UPDATE COTACAO SET cot_id = 1945, cot_blt_id = 86, cot_pap_id = 35, cot_prc_comum = NULL, cot_prc_min =  50.00, cot_prc_max =  80.00, cot_prc_med =  66.67, cot_prc_mediana =  70.00 WHERE cot_id = 1945;</v>
      </c>
    </row>
    <row r="1947" spans="1:10" x14ac:dyDescent="0.3">
      <c r="A1947">
        <v>1946</v>
      </c>
      <c r="B1947">
        <f>IF('Boletins Nuppa Site'!A1947&lt;&gt;0,'Boletins Nuppa Site'!A1947,"NULL")</f>
        <v>86</v>
      </c>
      <c r="C1947">
        <v>36</v>
      </c>
      <c r="D1947" t="str">
        <f>IF('Boletins Nuppa Site'!G1947&lt;&gt;0,'Boletins Nuppa Site'!G1947,"NULL")</f>
        <v>NULL</v>
      </c>
      <c r="E1947" s="14" t="str">
        <f>IF('Boletins Nuppa Site'!H1947&lt;&gt;0,'Boletins Nuppa Site'!H1947,"NULL")</f>
        <v>NULL</v>
      </c>
      <c r="F1947" s="14" t="str">
        <f>IF('Boletins Nuppa Site'!I1947&lt;&gt;0,'Boletins Nuppa Site'!I1947,"NULL")</f>
        <v>NULL</v>
      </c>
      <c r="G1947" s="14" t="str">
        <f>IF('Boletins Nuppa Site'!J1947&lt;&gt;0,'Boletins Nuppa Site'!J1947,"NULL")</f>
        <v>NULL</v>
      </c>
      <c r="H1947" s="14" t="str">
        <f>IF('Boletins Nuppa Site'!K1947&lt;&gt;0,'Boletins Nuppa Site'!K1947,"NULL")</f>
        <v>NULL</v>
      </c>
      <c r="I1947" t="str">
        <f t="shared" si="60"/>
        <v>INSERT INTO COTACAO (cot_id, cot_blt_id, cot_pap_id, cot_prc_comum, cot_prc_min, cot_prc_max, cot_prc_med, cot_prc_mediana) VALUES (1946, 86, 36, NULL, NULL, NULL, NULL, NULL);</v>
      </c>
      <c r="J1947" t="str">
        <f t="shared" si="61"/>
        <v>UPDATE COTACAO SET cot_id = 1946, cot_blt_id = 86, cot_pap_id = 36, cot_prc_comum = NULL, cot_prc_min = NULL, cot_prc_max = NULL, cot_prc_med = NULL, cot_prc_mediana = NULL WHERE cot_id = 1946;</v>
      </c>
    </row>
    <row r="1948" spans="1:10" x14ac:dyDescent="0.3">
      <c r="A1948">
        <v>1947</v>
      </c>
      <c r="B1948">
        <f>IF('Boletins Nuppa Site'!A1948&lt;&gt;0,'Boletins Nuppa Site'!A1948,"NULL")</f>
        <v>86</v>
      </c>
      <c r="C1948">
        <v>37</v>
      </c>
      <c r="D1948" t="str">
        <f>IF('Boletins Nuppa Site'!G1948&lt;&gt;0,'Boletins Nuppa Site'!G1948,"NULL")</f>
        <v>NULL</v>
      </c>
      <c r="E1948" s="14" t="str">
        <f>IF('Boletins Nuppa Site'!H1948&lt;&gt;0,'Boletins Nuppa Site'!H1948,"NULL")</f>
        <v>NULL</v>
      </c>
      <c r="F1948" s="14" t="str">
        <f>IF('Boletins Nuppa Site'!I1948&lt;&gt;0,'Boletins Nuppa Site'!I1948,"NULL")</f>
        <v>NULL</v>
      </c>
      <c r="G1948" s="14" t="str">
        <f>IF('Boletins Nuppa Site'!J1948&lt;&gt;0,'Boletins Nuppa Site'!J1948,"NULL")</f>
        <v>NULL</v>
      </c>
      <c r="H1948" s="14" t="str">
        <f>IF('Boletins Nuppa Site'!K1948&lt;&gt;0,'Boletins Nuppa Site'!K1948,"NULL")</f>
        <v>NULL</v>
      </c>
      <c r="I1948" t="str">
        <f t="shared" si="60"/>
        <v>INSERT INTO COTACAO (cot_id, cot_blt_id, cot_pap_id, cot_prc_comum, cot_prc_min, cot_prc_max, cot_prc_med, cot_prc_mediana) VALUES (1947, 86, 37, NULL, NULL, NULL, NULL, NULL);</v>
      </c>
      <c r="J1948" t="str">
        <f t="shared" si="61"/>
        <v>UPDATE COTACAO SET cot_id = 1947, cot_blt_id = 86, cot_pap_id = 37, cot_prc_comum = NULL, cot_prc_min = NULL, cot_prc_max = NULL, cot_prc_med = NULL, cot_prc_mediana = NULL WHERE cot_id = 1947;</v>
      </c>
    </row>
    <row r="1949" spans="1:10" x14ac:dyDescent="0.3">
      <c r="A1949">
        <v>1948</v>
      </c>
      <c r="B1949">
        <f>IF('Boletins Nuppa Site'!A1949&lt;&gt;0,'Boletins Nuppa Site'!A1949,"NULL")</f>
        <v>86</v>
      </c>
      <c r="C1949">
        <v>38</v>
      </c>
      <c r="D1949" t="str">
        <f>IF('Boletins Nuppa Site'!G1949&lt;&gt;0,'Boletins Nuppa Site'!G1949,"NULL")</f>
        <v>NULL</v>
      </c>
      <c r="E1949" s="14" t="str">
        <f>IF('Boletins Nuppa Site'!H1949&lt;&gt;0,'Boletins Nuppa Site'!H1949,"NULL")</f>
        <v>NULL</v>
      </c>
      <c r="F1949" s="14" t="str">
        <f>IF('Boletins Nuppa Site'!I1949&lt;&gt;0,'Boletins Nuppa Site'!I1949,"NULL")</f>
        <v>NULL</v>
      </c>
      <c r="G1949" s="14" t="str">
        <f>IF('Boletins Nuppa Site'!J1949&lt;&gt;0,'Boletins Nuppa Site'!J1949,"NULL")</f>
        <v>NULL</v>
      </c>
      <c r="H1949" s="14" t="str">
        <f>IF('Boletins Nuppa Site'!K1949&lt;&gt;0,'Boletins Nuppa Site'!K1949,"NULL")</f>
        <v>NULL</v>
      </c>
      <c r="I1949" t="str">
        <f t="shared" si="60"/>
        <v>INSERT INTO COTACAO (cot_id, cot_blt_id, cot_pap_id, cot_prc_comum, cot_prc_min, cot_prc_max, cot_prc_med, cot_prc_mediana) VALUES (1948, 86, 38, NULL, NULL, NULL, NULL, NULL);</v>
      </c>
      <c r="J1949" t="str">
        <f t="shared" si="61"/>
        <v>UPDATE COTACAO SET cot_id = 1948, cot_blt_id = 86, cot_pap_id = 38, cot_prc_comum = NULL, cot_prc_min = NULL, cot_prc_max = NULL, cot_prc_med = NULL, cot_prc_mediana = NULL WHERE cot_id = 1948;</v>
      </c>
    </row>
    <row r="1950" spans="1:10" x14ac:dyDescent="0.3">
      <c r="A1950">
        <v>1949</v>
      </c>
      <c r="B1950">
        <f>IF('Boletins Nuppa Site'!A1950&lt;&gt;0,'Boletins Nuppa Site'!A1950,"NULL")</f>
        <v>86</v>
      </c>
      <c r="C1950">
        <v>39</v>
      </c>
      <c r="D1950" t="str">
        <f>IF('Boletins Nuppa Site'!G1950&lt;&gt;0,'Boletins Nuppa Site'!G1950,"NULL")</f>
        <v>NULL</v>
      </c>
      <c r="E1950" s="14" t="str">
        <f>IF('Boletins Nuppa Site'!H1950&lt;&gt;0,'Boletins Nuppa Site'!H1950,"NULL")</f>
        <v>NULL</v>
      </c>
      <c r="F1950" s="14" t="str">
        <f>IF('Boletins Nuppa Site'!I1950&lt;&gt;0,'Boletins Nuppa Site'!I1950,"NULL")</f>
        <v>NULL</v>
      </c>
      <c r="G1950" s="14" t="str">
        <f>IF('Boletins Nuppa Site'!J1950&lt;&gt;0,'Boletins Nuppa Site'!J1950,"NULL")</f>
        <v>NULL</v>
      </c>
      <c r="H1950" s="14" t="str">
        <f>IF('Boletins Nuppa Site'!K1950&lt;&gt;0,'Boletins Nuppa Site'!K1950,"NULL")</f>
        <v>NULL</v>
      </c>
      <c r="I1950" t="str">
        <f t="shared" si="60"/>
        <v>INSERT INTO COTACAO (cot_id, cot_blt_id, cot_pap_id, cot_prc_comum, cot_prc_min, cot_prc_max, cot_prc_med, cot_prc_mediana) VALUES (1949, 86, 39, NULL, NULL, NULL, NULL, NULL);</v>
      </c>
      <c r="J1950" t="str">
        <f t="shared" si="61"/>
        <v>UPDATE COTACAO SET cot_id = 1949, cot_blt_id = 86, cot_pap_id = 39, cot_prc_comum = NULL, cot_prc_min = NULL, cot_prc_max = NULL, cot_prc_med = NULL, cot_prc_mediana = NULL WHERE cot_id = 1949;</v>
      </c>
    </row>
    <row r="1951" spans="1:10" x14ac:dyDescent="0.3">
      <c r="A1951">
        <v>1950</v>
      </c>
      <c r="B1951">
        <f>IF('Boletins Nuppa Site'!A1951&lt;&gt;0,'Boletins Nuppa Site'!A1951,"NULL")</f>
        <v>86</v>
      </c>
      <c r="C1951">
        <v>40</v>
      </c>
      <c r="D1951" t="str">
        <f>IF('Boletins Nuppa Site'!G1951&lt;&gt;0,'Boletins Nuppa Site'!G1951,"NULL")</f>
        <v>NULL</v>
      </c>
      <c r="E1951" s="14" t="str">
        <f>IF('Boletins Nuppa Site'!H1951&lt;&gt;0,'Boletins Nuppa Site'!H1951,"NULL")</f>
        <v>NULL</v>
      </c>
      <c r="F1951" s="14" t="str">
        <f>IF('Boletins Nuppa Site'!I1951&lt;&gt;0,'Boletins Nuppa Site'!I1951,"NULL")</f>
        <v>NULL</v>
      </c>
      <c r="G1951" s="14" t="str">
        <f>IF('Boletins Nuppa Site'!J1951&lt;&gt;0,'Boletins Nuppa Site'!J1951,"NULL")</f>
        <v>NULL</v>
      </c>
      <c r="H1951" s="14" t="str">
        <f>IF('Boletins Nuppa Site'!K1951&lt;&gt;0,'Boletins Nuppa Site'!K1951,"NULL")</f>
        <v>NULL</v>
      </c>
      <c r="I1951" t="str">
        <f t="shared" si="60"/>
        <v>INSERT INTO COTACAO (cot_id, cot_blt_id, cot_pap_id, cot_prc_comum, cot_prc_min, cot_prc_max, cot_prc_med, cot_prc_mediana) VALUES (1950, 86, 40, NULL, NULL, NULL, NULL, NULL);</v>
      </c>
      <c r="J1951" t="str">
        <f t="shared" si="61"/>
        <v>UPDATE COTACAO SET cot_id = 1950, cot_blt_id = 86, cot_pap_id = 40, cot_prc_comum = NULL, cot_prc_min = NULL, cot_prc_max = NULL, cot_prc_med = NULL, cot_prc_mediana = NULL WHERE cot_id = 1950;</v>
      </c>
    </row>
    <row r="1952" spans="1:10" x14ac:dyDescent="0.3">
      <c r="A1952">
        <v>1951</v>
      </c>
      <c r="B1952">
        <f>IF('Boletins Nuppa Site'!A1952&lt;&gt;0,'Boletins Nuppa Site'!A1952,"NULL")</f>
        <v>87</v>
      </c>
      <c r="C1952">
        <v>1</v>
      </c>
      <c r="D1952" t="str">
        <f>IF('Boletins Nuppa Site'!G1952&lt;&gt;0,'Boletins Nuppa Site'!G1952,"NULL")</f>
        <v>NULL</v>
      </c>
      <c r="E1952" s="14" t="str">
        <f>IF('Boletins Nuppa Site'!H1952&lt;&gt;0,'Boletins Nuppa Site'!H1952,"NULL")</f>
        <v xml:space="preserve"> 36.00</v>
      </c>
      <c r="F1952" s="14" t="str">
        <f>IF('Boletins Nuppa Site'!I1952&lt;&gt;0,'Boletins Nuppa Site'!I1952,"NULL")</f>
        <v xml:space="preserve"> 72.00</v>
      </c>
      <c r="G1952" s="14" t="str">
        <f>IF('Boletins Nuppa Site'!J1952&lt;&gt;0,'Boletins Nuppa Site'!J1952,"NULL")</f>
        <v xml:space="preserve"> 54.00</v>
      </c>
      <c r="H1952" s="14" t="str">
        <f>IF('Boletins Nuppa Site'!K1952&lt;&gt;0,'Boletins Nuppa Site'!K1952,"NULL")</f>
        <v xml:space="preserve"> 54.00</v>
      </c>
      <c r="I1952" t="str">
        <f t="shared" si="60"/>
        <v>INSERT INTO COTACAO (cot_id, cot_blt_id, cot_pap_id, cot_prc_comum, cot_prc_min, cot_prc_max, cot_prc_med, cot_prc_mediana) VALUES (1951, 87, 1, NULL,  36.00,  72.00,  54.00,  54.00);</v>
      </c>
      <c r="J1952" t="str">
        <f t="shared" si="61"/>
        <v>UPDATE COTACAO SET cot_id = 1951, cot_blt_id = 87, cot_pap_id = 1, cot_prc_comum = NULL, cot_prc_min =  36.00, cot_prc_max =  72.00, cot_prc_med =  54.00, cot_prc_mediana =  54.00 WHERE cot_id = 1951;</v>
      </c>
    </row>
    <row r="1953" spans="1:10" x14ac:dyDescent="0.3">
      <c r="A1953">
        <v>1952</v>
      </c>
      <c r="B1953">
        <f>IF('Boletins Nuppa Site'!A1953&lt;&gt;0,'Boletins Nuppa Site'!A1953,"NULL")</f>
        <v>87</v>
      </c>
      <c r="C1953">
        <v>2</v>
      </c>
      <c r="D1953" t="str">
        <f>IF('Boletins Nuppa Site'!G1953&lt;&gt;0,'Boletins Nuppa Site'!G1953,"NULL")</f>
        <v xml:space="preserve"> 96.00</v>
      </c>
      <c r="E1953" s="14" t="str">
        <f>IF('Boletins Nuppa Site'!H1953&lt;&gt;0,'Boletins Nuppa Site'!H1953,"NULL")</f>
        <v xml:space="preserve"> 54.00</v>
      </c>
      <c r="F1953" s="14" t="str">
        <f>IF('Boletins Nuppa Site'!I1953&lt;&gt;0,'Boletins Nuppa Site'!I1953,"NULL")</f>
        <v xml:space="preserve"> 120.00</v>
      </c>
      <c r="G1953" s="14" t="str">
        <f>IF('Boletins Nuppa Site'!J1953&lt;&gt;0,'Boletins Nuppa Site'!J1953,"NULL")</f>
        <v xml:space="preserve"> 91.50</v>
      </c>
      <c r="H1953" s="14" t="str">
        <f>IF('Boletins Nuppa Site'!K1953&lt;&gt;0,'Boletins Nuppa Site'!K1953,"NULL")</f>
        <v xml:space="preserve"> 96.00</v>
      </c>
      <c r="I1953" t="str">
        <f t="shared" si="60"/>
        <v>INSERT INTO COTACAO (cot_id, cot_blt_id, cot_pap_id, cot_prc_comum, cot_prc_min, cot_prc_max, cot_prc_med, cot_prc_mediana) VALUES (1952, 87, 2,  96.00,  54.00,  120.00,  91.50,  96.00);</v>
      </c>
      <c r="J1953" t="str">
        <f t="shared" si="61"/>
        <v>UPDATE COTACAO SET cot_id = 1952, cot_blt_id = 87, cot_pap_id = 2, cot_prc_comum =  96.00, cot_prc_min =  54.00, cot_prc_max =  120.00, cot_prc_med =  91.50, cot_prc_mediana =  96.00 WHERE cot_id = 1952;</v>
      </c>
    </row>
    <row r="1954" spans="1:10" x14ac:dyDescent="0.3">
      <c r="A1954">
        <v>1953</v>
      </c>
      <c r="B1954">
        <f>IF('Boletins Nuppa Site'!A1954&lt;&gt;0,'Boletins Nuppa Site'!A1954,"NULL")</f>
        <v>87</v>
      </c>
      <c r="C1954">
        <v>3</v>
      </c>
      <c r="D1954" t="str">
        <f>IF('Boletins Nuppa Site'!G1954&lt;&gt;0,'Boletins Nuppa Site'!G1954,"NULL")</f>
        <v xml:space="preserve"> 48.00</v>
      </c>
      <c r="E1954" s="14" t="str">
        <f>IF('Boletins Nuppa Site'!H1954&lt;&gt;0,'Boletins Nuppa Site'!H1954,"NULL")</f>
        <v xml:space="preserve"> 42.00</v>
      </c>
      <c r="F1954" s="14" t="str">
        <f>IF('Boletins Nuppa Site'!I1954&lt;&gt;0,'Boletins Nuppa Site'!I1954,"NULL")</f>
        <v xml:space="preserve"> 60.00</v>
      </c>
      <c r="G1954" s="14" t="str">
        <f>IF('Boletins Nuppa Site'!J1954&lt;&gt;0,'Boletins Nuppa Site'!J1954,"NULL")</f>
        <v xml:space="preserve"> 49.20</v>
      </c>
      <c r="H1954" s="14" t="str">
        <f>IF('Boletins Nuppa Site'!K1954&lt;&gt;0,'Boletins Nuppa Site'!K1954,"NULL")</f>
        <v xml:space="preserve"> 48.00</v>
      </c>
      <c r="I1954" t="str">
        <f t="shared" si="60"/>
        <v>INSERT INTO COTACAO (cot_id, cot_blt_id, cot_pap_id, cot_prc_comum, cot_prc_min, cot_prc_max, cot_prc_med, cot_prc_mediana) VALUES (1953, 87, 3,  48.00,  42.00,  60.00,  49.20,  48.00);</v>
      </c>
      <c r="J1954" t="str">
        <f t="shared" si="61"/>
        <v>UPDATE COTACAO SET cot_id = 1953, cot_blt_id = 87, cot_pap_id = 3, cot_prc_comum =  48.00, cot_prc_min =  42.00, cot_prc_max =  60.00, cot_prc_med =  49.20, cot_prc_mediana =  48.00 WHERE cot_id = 1953;</v>
      </c>
    </row>
    <row r="1955" spans="1:10" x14ac:dyDescent="0.3">
      <c r="A1955">
        <v>1954</v>
      </c>
      <c r="B1955">
        <f>IF('Boletins Nuppa Site'!A1955&lt;&gt;0,'Boletins Nuppa Site'!A1955,"NULL")</f>
        <v>87</v>
      </c>
      <c r="C1955">
        <v>4</v>
      </c>
      <c r="D1955" t="str">
        <f>IF('Boletins Nuppa Site'!G1955&lt;&gt;0,'Boletins Nuppa Site'!G1955,"NULL")</f>
        <v xml:space="preserve"> 24.00</v>
      </c>
      <c r="E1955" s="14" t="str">
        <f>IF('Boletins Nuppa Site'!H1955&lt;&gt;0,'Boletins Nuppa Site'!H1955,"NULL")</f>
        <v xml:space="preserve"> 50.00</v>
      </c>
      <c r="F1955" s="14" t="str">
        <f>IF('Boletins Nuppa Site'!I1955&lt;&gt;0,'Boletins Nuppa Site'!I1955,"NULL")</f>
        <v xml:space="preserve"> 24.00</v>
      </c>
      <c r="G1955" s="14" t="str">
        <f>IF('Boletins Nuppa Site'!J1955&lt;&gt;0,'Boletins Nuppa Site'!J1955,"NULL")</f>
        <v xml:space="preserve"> 31.60</v>
      </c>
      <c r="H1955" s="14" t="str">
        <f>IF('Boletins Nuppa Site'!K1955&lt;&gt;0,'Boletins Nuppa Site'!K1955,"NULL")</f>
        <v xml:space="preserve"> 30.00</v>
      </c>
      <c r="I1955" t="str">
        <f t="shared" si="60"/>
        <v>INSERT INTO COTACAO (cot_id, cot_blt_id, cot_pap_id, cot_prc_comum, cot_prc_min, cot_prc_max, cot_prc_med, cot_prc_mediana) VALUES (1954, 87, 4,  24.00,  50.00,  24.00,  31.60,  30.00);</v>
      </c>
      <c r="J1955" t="str">
        <f t="shared" si="61"/>
        <v>UPDATE COTACAO SET cot_id = 1954, cot_blt_id = 87, cot_pap_id = 4, cot_prc_comum =  24.00, cot_prc_min =  50.00, cot_prc_max =  24.00, cot_prc_med =  31.60, cot_prc_mediana =  30.00 WHERE cot_id = 1954;</v>
      </c>
    </row>
    <row r="1956" spans="1:10" x14ac:dyDescent="0.3">
      <c r="A1956">
        <v>1955</v>
      </c>
      <c r="B1956">
        <f>IF('Boletins Nuppa Site'!A1956&lt;&gt;0,'Boletins Nuppa Site'!A1956,"NULL")</f>
        <v>87</v>
      </c>
      <c r="C1956">
        <v>5</v>
      </c>
      <c r="D1956" t="str">
        <f>IF('Boletins Nuppa Site'!G1956&lt;&gt;0,'Boletins Nuppa Site'!G1956,"NULL")</f>
        <v xml:space="preserve"> 30.00</v>
      </c>
      <c r="E1956" s="14" t="str">
        <f>IF('Boletins Nuppa Site'!H1956&lt;&gt;0,'Boletins Nuppa Site'!H1956,"NULL")</f>
        <v xml:space="preserve"> 30.00</v>
      </c>
      <c r="F1956" s="14" t="str">
        <f>IF('Boletins Nuppa Site'!I1956&lt;&gt;0,'Boletins Nuppa Site'!I1956,"NULL")</f>
        <v xml:space="preserve"> 24.00</v>
      </c>
      <c r="G1956" s="14" t="str">
        <f>IF('Boletins Nuppa Site'!J1956&lt;&gt;0,'Boletins Nuppa Site'!J1956,"NULL")</f>
        <v xml:space="preserve"> 27.60</v>
      </c>
      <c r="H1956" s="14" t="str">
        <f>IF('Boletins Nuppa Site'!K1956&lt;&gt;0,'Boletins Nuppa Site'!K1956,"NULL")</f>
        <v xml:space="preserve"> 30.00</v>
      </c>
      <c r="I1956" t="str">
        <f t="shared" si="60"/>
        <v>INSERT INTO COTACAO (cot_id, cot_blt_id, cot_pap_id, cot_prc_comum, cot_prc_min, cot_prc_max, cot_prc_med, cot_prc_mediana) VALUES (1955, 87, 5,  30.00,  30.00,  24.00,  27.60,  30.00);</v>
      </c>
      <c r="J1956" t="str">
        <f t="shared" si="61"/>
        <v>UPDATE COTACAO SET cot_id = 1955, cot_blt_id = 87, cot_pap_id = 5, cot_prc_comum =  30.00, cot_prc_min =  30.00, cot_prc_max =  24.00, cot_prc_med =  27.60, cot_prc_mediana =  30.00 WHERE cot_id = 1955;</v>
      </c>
    </row>
    <row r="1957" spans="1:10" x14ac:dyDescent="0.3">
      <c r="A1957">
        <v>1956</v>
      </c>
      <c r="B1957">
        <f>IF('Boletins Nuppa Site'!A1957&lt;&gt;0,'Boletins Nuppa Site'!A1957,"NULL")</f>
        <v>87</v>
      </c>
      <c r="C1957">
        <v>6</v>
      </c>
      <c r="D1957" t="str">
        <f>IF('Boletins Nuppa Site'!G1957&lt;&gt;0,'Boletins Nuppa Site'!G1957,"NULL")</f>
        <v xml:space="preserve"> 60.00</v>
      </c>
      <c r="E1957" s="14" t="str">
        <f>IF('Boletins Nuppa Site'!H1957&lt;&gt;0,'Boletins Nuppa Site'!H1957,"NULL")</f>
        <v xml:space="preserve"> 60.00</v>
      </c>
      <c r="F1957" s="14" t="str">
        <f>IF('Boletins Nuppa Site'!I1957&lt;&gt;0,'Boletins Nuppa Site'!I1957,"NULL")</f>
        <v xml:space="preserve"> 66.00</v>
      </c>
      <c r="G1957" s="14" t="str">
        <f>IF('Boletins Nuppa Site'!J1957&lt;&gt;0,'Boletins Nuppa Site'!J1957,"NULL")</f>
        <v xml:space="preserve"> 61.50</v>
      </c>
      <c r="H1957" s="14" t="str">
        <f>IF('Boletins Nuppa Site'!K1957&lt;&gt;0,'Boletins Nuppa Site'!K1957,"NULL")</f>
        <v xml:space="preserve"> 60.00</v>
      </c>
      <c r="I1957" t="str">
        <f t="shared" si="60"/>
        <v>INSERT INTO COTACAO (cot_id, cot_blt_id, cot_pap_id, cot_prc_comum, cot_prc_min, cot_prc_max, cot_prc_med, cot_prc_mediana) VALUES (1956, 87, 6,  60.00,  60.00,  66.00,  61.50,  60.00);</v>
      </c>
      <c r="J1957" t="str">
        <f t="shared" si="61"/>
        <v>UPDATE COTACAO SET cot_id = 1956, cot_blt_id = 87, cot_pap_id = 6, cot_prc_comum =  60.00, cot_prc_min =  60.00, cot_prc_max =  66.00, cot_prc_med =  61.50, cot_prc_mediana =  60.00 WHERE cot_id = 1956;</v>
      </c>
    </row>
    <row r="1958" spans="1:10" x14ac:dyDescent="0.3">
      <c r="A1958">
        <v>1957</v>
      </c>
      <c r="B1958">
        <f>IF('Boletins Nuppa Site'!A1958&lt;&gt;0,'Boletins Nuppa Site'!A1958,"NULL")</f>
        <v>87</v>
      </c>
      <c r="C1958">
        <v>7</v>
      </c>
      <c r="D1958" t="str">
        <f>IF('Boletins Nuppa Site'!G1958&lt;&gt;0,'Boletins Nuppa Site'!G1958,"NULL")</f>
        <v xml:space="preserve"> 60.00</v>
      </c>
      <c r="E1958" s="14" t="str">
        <f>IF('Boletins Nuppa Site'!H1958&lt;&gt;0,'Boletins Nuppa Site'!H1958,"NULL")</f>
        <v xml:space="preserve"> 60.00</v>
      </c>
      <c r="F1958" s="14" t="str">
        <f>IF('Boletins Nuppa Site'!I1958&lt;&gt;0,'Boletins Nuppa Site'!I1958,"NULL")</f>
        <v xml:space="preserve"> 72.00</v>
      </c>
      <c r="G1958" s="14" t="str">
        <f>IF('Boletins Nuppa Site'!J1958&lt;&gt;0,'Boletins Nuppa Site'!J1958,"NULL")</f>
        <v xml:space="preserve"> 66.00</v>
      </c>
      <c r="H1958" s="14" t="str">
        <f>IF('Boletins Nuppa Site'!K1958&lt;&gt;0,'Boletins Nuppa Site'!K1958,"NULL")</f>
        <v xml:space="preserve"> 66.00</v>
      </c>
      <c r="I1958" t="str">
        <f t="shared" si="60"/>
        <v>INSERT INTO COTACAO (cot_id, cot_blt_id, cot_pap_id, cot_prc_comum, cot_prc_min, cot_prc_max, cot_prc_med, cot_prc_mediana) VALUES (1957, 87, 7,  60.00,  60.00,  72.00,  66.00,  66.00);</v>
      </c>
      <c r="J1958" t="str">
        <f t="shared" si="61"/>
        <v>UPDATE COTACAO SET cot_id = 1957, cot_blt_id = 87, cot_pap_id = 7, cot_prc_comum =  60.00, cot_prc_min =  60.00, cot_prc_max =  72.00, cot_prc_med =  66.00, cot_prc_mediana =  66.00 WHERE cot_id = 1957;</v>
      </c>
    </row>
    <row r="1959" spans="1:10" x14ac:dyDescent="0.3">
      <c r="A1959">
        <v>1958</v>
      </c>
      <c r="B1959">
        <f>IF('Boletins Nuppa Site'!A1959&lt;&gt;0,'Boletins Nuppa Site'!A1959,"NULL")</f>
        <v>87</v>
      </c>
      <c r="C1959">
        <v>8</v>
      </c>
      <c r="D1959" t="str">
        <f>IF('Boletins Nuppa Site'!G1959&lt;&gt;0,'Boletins Nuppa Site'!G1959,"NULL")</f>
        <v xml:space="preserve"> 84.00</v>
      </c>
      <c r="E1959" s="14" t="str">
        <f>IF('Boletins Nuppa Site'!H1959&lt;&gt;0,'Boletins Nuppa Site'!H1959,"NULL")</f>
        <v xml:space="preserve"> 96.00</v>
      </c>
      <c r="F1959" s="14" t="str">
        <f>IF('Boletins Nuppa Site'!I1959&lt;&gt;0,'Boletins Nuppa Site'!I1959,"NULL")</f>
        <v xml:space="preserve"> 72.00</v>
      </c>
      <c r="G1959" s="14" t="str">
        <f>IF('Boletins Nuppa Site'!J1959&lt;&gt;0,'Boletins Nuppa Site'!J1959,"NULL")</f>
        <v xml:space="preserve"> 86.40</v>
      </c>
      <c r="H1959" s="14" t="str">
        <f>IF('Boletins Nuppa Site'!K1959&lt;&gt;0,'Boletins Nuppa Site'!K1959,"NULL")</f>
        <v xml:space="preserve"> 84.00</v>
      </c>
      <c r="I1959" t="str">
        <f t="shared" si="60"/>
        <v>INSERT INTO COTACAO (cot_id, cot_blt_id, cot_pap_id, cot_prc_comum, cot_prc_min, cot_prc_max, cot_prc_med, cot_prc_mediana) VALUES (1958, 87, 8,  84.00,  96.00,  72.00,  86.40,  84.00);</v>
      </c>
      <c r="J1959" t="str">
        <f t="shared" si="61"/>
        <v>UPDATE COTACAO SET cot_id = 1958, cot_blt_id = 87, cot_pap_id = 8, cot_prc_comum =  84.00, cot_prc_min =  96.00, cot_prc_max =  72.00, cot_prc_med =  86.40, cot_prc_mediana =  84.00 WHERE cot_id = 1958;</v>
      </c>
    </row>
    <row r="1960" spans="1:10" x14ac:dyDescent="0.3">
      <c r="A1960">
        <v>1959</v>
      </c>
      <c r="B1960">
        <f>IF('Boletins Nuppa Site'!A1960&lt;&gt;0,'Boletins Nuppa Site'!A1960,"NULL")</f>
        <v>87</v>
      </c>
      <c r="C1960">
        <v>9</v>
      </c>
      <c r="D1960" t="str">
        <f>IF('Boletins Nuppa Site'!G1960&lt;&gt;0,'Boletins Nuppa Site'!G1960,"NULL")</f>
        <v xml:space="preserve"> 24.00</v>
      </c>
      <c r="E1960" s="14" t="str">
        <f>IF('Boletins Nuppa Site'!H1960&lt;&gt;0,'Boletins Nuppa Site'!H1960,"NULL")</f>
        <v xml:space="preserve"> 20.00</v>
      </c>
      <c r="F1960" s="14" t="str">
        <f>IF('Boletins Nuppa Site'!I1960&lt;&gt;0,'Boletins Nuppa Site'!I1960,"NULL")</f>
        <v xml:space="preserve"> 30.00</v>
      </c>
      <c r="G1960" s="14" t="str">
        <f>IF('Boletins Nuppa Site'!J1960&lt;&gt;0,'Boletins Nuppa Site'!J1960,"NULL")</f>
        <v xml:space="preserve"> 24.40</v>
      </c>
      <c r="H1960" s="14" t="str">
        <f>IF('Boletins Nuppa Site'!K1960&lt;&gt;0,'Boletins Nuppa Site'!K1960,"NULL")</f>
        <v xml:space="preserve"> 24.00</v>
      </c>
      <c r="I1960" t="str">
        <f t="shared" si="60"/>
        <v>INSERT INTO COTACAO (cot_id, cot_blt_id, cot_pap_id, cot_prc_comum, cot_prc_min, cot_prc_max, cot_prc_med, cot_prc_mediana) VALUES (1959, 87, 9,  24.00,  20.00,  30.00,  24.40,  24.00);</v>
      </c>
      <c r="J1960" t="str">
        <f t="shared" si="61"/>
        <v>UPDATE COTACAO SET cot_id = 1959, cot_blt_id = 87, cot_pap_id = 9, cot_prc_comum =  24.00, cot_prc_min =  20.00, cot_prc_max =  30.00, cot_prc_med =  24.40, cot_prc_mediana =  24.00 WHERE cot_id = 1959;</v>
      </c>
    </row>
    <row r="1961" spans="1:10" x14ac:dyDescent="0.3">
      <c r="A1961">
        <v>1960</v>
      </c>
      <c r="B1961">
        <f>IF('Boletins Nuppa Site'!A1961&lt;&gt;0,'Boletins Nuppa Site'!A1961,"NULL")</f>
        <v>87</v>
      </c>
      <c r="C1961">
        <v>10</v>
      </c>
      <c r="D1961" t="str">
        <f>IF('Boletins Nuppa Site'!G1961&lt;&gt;0,'Boletins Nuppa Site'!G1961,"NULL")</f>
        <v xml:space="preserve"> 96.00</v>
      </c>
      <c r="E1961" s="14" t="str">
        <f>IF('Boletins Nuppa Site'!H1961&lt;&gt;0,'Boletins Nuppa Site'!H1961,"NULL")</f>
        <v xml:space="preserve"> 90.00</v>
      </c>
      <c r="F1961" s="14" t="str">
        <f>IF('Boletins Nuppa Site'!I1961&lt;&gt;0,'Boletins Nuppa Site'!I1961,"NULL")</f>
        <v xml:space="preserve"> 100.00</v>
      </c>
      <c r="G1961" s="14" t="str">
        <f>IF('Boletins Nuppa Site'!J1961&lt;&gt;0,'Boletins Nuppa Site'!J1961,"NULL")</f>
        <v xml:space="preserve"> 95.50</v>
      </c>
      <c r="H1961" s="14" t="str">
        <f>IF('Boletins Nuppa Site'!K1961&lt;&gt;0,'Boletins Nuppa Site'!K1961,"NULL")</f>
        <v xml:space="preserve"> 96.00</v>
      </c>
      <c r="I1961" t="str">
        <f t="shared" si="60"/>
        <v>INSERT INTO COTACAO (cot_id, cot_blt_id, cot_pap_id, cot_prc_comum, cot_prc_min, cot_prc_max, cot_prc_med, cot_prc_mediana) VALUES (1960, 87, 10,  96.00,  90.00,  100.00,  95.50,  96.00);</v>
      </c>
      <c r="J1961" t="str">
        <f t="shared" si="61"/>
        <v>UPDATE COTACAO SET cot_id = 1960, cot_blt_id = 87, cot_pap_id = 10, cot_prc_comum =  96.00, cot_prc_min =  90.00, cot_prc_max =  100.00, cot_prc_med =  95.50, cot_prc_mediana =  96.00 WHERE cot_id = 1960;</v>
      </c>
    </row>
    <row r="1962" spans="1:10" x14ac:dyDescent="0.3">
      <c r="A1962">
        <v>1961</v>
      </c>
      <c r="B1962">
        <f>IF('Boletins Nuppa Site'!A1962&lt;&gt;0,'Boletins Nuppa Site'!A1962,"NULL")</f>
        <v>87</v>
      </c>
      <c r="C1962">
        <v>11</v>
      </c>
      <c r="D1962" t="str">
        <f>IF('Boletins Nuppa Site'!G1962&lt;&gt;0,'Boletins Nuppa Site'!G1962,"NULL")</f>
        <v xml:space="preserve"> 24.00</v>
      </c>
      <c r="E1962" s="14" t="str">
        <f>IF('Boletins Nuppa Site'!H1962&lt;&gt;0,'Boletins Nuppa Site'!H1962,"NULL")</f>
        <v xml:space="preserve"> 50.00</v>
      </c>
      <c r="F1962" s="14" t="str">
        <f>IF('Boletins Nuppa Site'!I1962&lt;&gt;0,'Boletins Nuppa Site'!I1962,"NULL")</f>
        <v xml:space="preserve"> 24.00</v>
      </c>
      <c r="G1962" s="14" t="str">
        <f>IF('Boletins Nuppa Site'!J1962&lt;&gt;0,'Boletins Nuppa Site'!J1962,"NULL")</f>
        <v xml:space="preserve"> 31.60</v>
      </c>
      <c r="H1962" s="14" t="str">
        <f>IF('Boletins Nuppa Site'!K1962&lt;&gt;0,'Boletins Nuppa Site'!K1962,"NULL")</f>
        <v xml:space="preserve"> 30.00</v>
      </c>
      <c r="I1962" t="str">
        <f t="shared" si="60"/>
        <v>INSERT INTO COTACAO (cot_id, cot_blt_id, cot_pap_id, cot_prc_comum, cot_prc_min, cot_prc_max, cot_prc_med, cot_prc_mediana) VALUES (1961, 87, 11,  24.00,  50.00,  24.00,  31.60,  30.00);</v>
      </c>
      <c r="J1962" t="str">
        <f t="shared" si="61"/>
        <v>UPDATE COTACAO SET cot_id = 1961, cot_blt_id = 87, cot_pap_id = 11, cot_prc_comum =  24.00, cot_prc_min =  50.00, cot_prc_max =  24.00, cot_prc_med =  31.60, cot_prc_mediana =  30.00 WHERE cot_id = 1961;</v>
      </c>
    </row>
    <row r="1963" spans="1:10" x14ac:dyDescent="0.3">
      <c r="A1963">
        <v>1962</v>
      </c>
      <c r="B1963">
        <f>IF('Boletins Nuppa Site'!A1963&lt;&gt;0,'Boletins Nuppa Site'!A1963,"NULL")</f>
        <v>87</v>
      </c>
      <c r="C1963">
        <v>12</v>
      </c>
      <c r="D1963" t="str">
        <f>IF('Boletins Nuppa Site'!G1963&lt;&gt;0,'Boletins Nuppa Site'!G1963,"NULL")</f>
        <v xml:space="preserve"> 60.00</v>
      </c>
      <c r="E1963" s="14" t="str">
        <f>IF('Boletins Nuppa Site'!H1963&lt;&gt;0,'Boletins Nuppa Site'!H1963,"NULL")</f>
        <v xml:space="preserve"> 60.00</v>
      </c>
      <c r="F1963" s="14" t="str">
        <f>IF('Boletins Nuppa Site'!I1963&lt;&gt;0,'Boletins Nuppa Site'!I1963,"NULL")</f>
        <v xml:space="preserve"> 96.00</v>
      </c>
      <c r="G1963" s="14" t="str">
        <f>IF('Boletins Nuppa Site'!J1963&lt;&gt;0,'Boletins Nuppa Site'!J1963,"NULL")</f>
        <v xml:space="preserve"> 72.00</v>
      </c>
      <c r="H1963" s="14" t="str">
        <f>IF('Boletins Nuppa Site'!K1963&lt;&gt;0,'Boletins Nuppa Site'!K1963,"NULL")</f>
        <v xml:space="preserve"> 66.00</v>
      </c>
      <c r="I1963" t="str">
        <f t="shared" si="60"/>
        <v>INSERT INTO COTACAO (cot_id, cot_blt_id, cot_pap_id, cot_prc_comum, cot_prc_min, cot_prc_max, cot_prc_med, cot_prc_mediana) VALUES (1962, 87, 12,  60.00,  60.00,  96.00,  72.00,  66.00);</v>
      </c>
      <c r="J1963" t="str">
        <f t="shared" si="61"/>
        <v>UPDATE COTACAO SET cot_id = 1962, cot_blt_id = 87, cot_pap_id = 12, cot_prc_comum =  60.00, cot_prc_min =  60.00, cot_prc_max =  96.00, cot_prc_med =  72.00, cot_prc_mediana =  66.00 WHERE cot_id = 1962;</v>
      </c>
    </row>
    <row r="1964" spans="1:10" x14ac:dyDescent="0.3">
      <c r="A1964">
        <v>1963</v>
      </c>
      <c r="B1964">
        <f>IF('Boletins Nuppa Site'!A1964&lt;&gt;0,'Boletins Nuppa Site'!A1964,"NULL")</f>
        <v>87</v>
      </c>
      <c r="C1964">
        <v>13</v>
      </c>
      <c r="D1964" t="str">
        <f>IF('Boletins Nuppa Site'!G1964&lt;&gt;0,'Boletins Nuppa Site'!G1964,"NULL")</f>
        <v xml:space="preserve"> 60.00</v>
      </c>
      <c r="E1964" s="14" t="str">
        <f>IF('Boletins Nuppa Site'!H1964&lt;&gt;0,'Boletins Nuppa Site'!H1964,"NULL")</f>
        <v xml:space="preserve"> 48.00</v>
      </c>
      <c r="F1964" s="14" t="str">
        <f>IF('Boletins Nuppa Site'!I1964&lt;&gt;0,'Boletins Nuppa Site'!I1964,"NULL")</f>
        <v xml:space="preserve"> 72.00</v>
      </c>
      <c r="G1964" s="14" t="str">
        <f>IF('Boletins Nuppa Site'!J1964&lt;&gt;0,'Boletins Nuppa Site'!J1964,"NULL")</f>
        <v xml:space="preserve"> 57.60</v>
      </c>
      <c r="H1964" s="14" t="str">
        <f>IF('Boletins Nuppa Site'!K1964&lt;&gt;0,'Boletins Nuppa Site'!K1964,"NULL")</f>
        <v xml:space="preserve"> 60.00</v>
      </c>
      <c r="I1964" t="str">
        <f t="shared" si="60"/>
        <v>INSERT INTO COTACAO (cot_id, cot_blt_id, cot_pap_id, cot_prc_comum, cot_prc_min, cot_prc_max, cot_prc_med, cot_prc_mediana) VALUES (1963, 87, 13,  60.00,  48.00,  72.00,  57.60,  60.00);</v>
      </c>
      <c r="J1964" t="str">
        <f t="shared" si="61"/>
        <v>UPDATE COTACAO SET cot_id = 1963, cot_blt_id = 87, cot_pap_id = 13, cot_prc_comum =  60.00, cot_prc_min =  48.00, cot_prc_max =  72.00, cot_prc_med =  57.60, cot_prc_mediana =  60.00 WHERE cot_id = 1963;</v>
      </c>
    </row>
    <row r="1965" spans="1:10" x14ac:dyDescent="0.3">
      <c r="A1965">
        <v>1964</v>
      </c>
      <c r="B1965">
        <f>IF('Boletins Nuppa Site'!A1965&lt;&gt;0,'Boletins Nuppa Site'!A1965,"NULL")</f>
        <v>87</v>
      </c>
      <c r="C1965">
        <v>14</v>
      </c>
      <c r="D1965" t="str">
        <f>IF('Boletins Nuppa Site'!G1965&lt;&gt;0,'Boletins Nuppa Site'!G1965,"NULL")</f>
        <v>NULL</v>
      </c>
      <c r="E1965" s="14" t="str">
        <f>IF('Boletins Nuppa Site'!H1965&lt;&gt;0,'Boletins Nuppa Site'!H1965,"NULL")</f>
        <v xml:space="preserve"> 48.00</v>
      </c>
      <c r="F1965" s="14" t="str">
        <f>IF('Boletins Nuppa Site'!I1965&lt;&gt;0,'Boletins Nuppa Site'!I1965,"NULL")</f>
        <v xml:space="preserve"> 75.00</v>
      </c>
      <c r="G1965" s="14" t="str">
        <f>IF('Boletins Nuppa Site'!J1965&lt;&gt;0,'Boletins Nuppa Site'!J1965,"NULL")</f>
        <v xml:space="preserve"> 56.75</v>
      </c>
      <c r="H1965" s="14" t="str">
        <f>IF('Boletins Nuppa Site'!K1965&lt;&gt;0,'Boletins Nuppa Site'!K1965,"NULL")</f>
        <v xml:space="preserve"> 52.00</v>
      </c>
      <c r="I1965" t="str">
        <f t="shared" si="60"/>
        <v>INSERT INTO COTACAO (cot_id, cot_blt_id, cot_pap_id, cot_prc_comum, cot_prc_min, cot_prc_max, cot_prc_med, cot_prc_mediana) VALUES (1964, 87, 14, NULL,  48.00,  75.00,  56.75,  52.00);</v>
      </c>
      <c r="J1965" t="str">
        <f t="shared" si="61"/>
        <v>UPDATE COTACAO SET cot_id = 1964, cot_blt_id = 87, cot_pap_id = 14, cot_prc_comum = NULL, cot_prc_min =  48.00, cot_prc_max =  75.00, cot_prc_med =  56.75, cot_prc_mediana =  52.00 WHERE cot_id = 1964;</v>
      </c>
    </row>
    <row r="1966" spans="1:10" x14ac:dyDescent="0.3">
      <c r="A1966">
        <v>1965</v>
      </c>
      <c r="B1966">
        <f>IF('Boletins Nuppa Site'!A1966&lt;&gt;0,'Boletins Nuppa Site'!A1966,"NULL")</f>
        <v>87</v>
      </c>
      <c r="C1966">
        <v>15</v>
      </c>
      <c r="D1966" t="str">
        <f>IF('Boletins Nuppa Site'!G1966&lt;&gt;0,'Boletins Nuppa Site'!G1966,"NULL")</f>
        <v xml:space="preserve"> 42.00</v>
      </c>
      <c r="E1966" s="14" t="str">
        <f>IF('Boletins Nuppa Site'!H1966&lt;&gt;0,'Boletins Nuppa Site'!H1966,"NULL")</f>
        <v xml:space="preserve"> 48.00</v>
      </c>
      <c r="F1966" s="14" t="str">
        <f>IF('Boletins Nuppa Site'!I1966&lt;&gt;0,'Boletins Nuppa Site'!I1966,"NULL")</f>
        <v xml:space="preserve"> 36.00</v>
      </c>
      <c r="G1966" s="14" t="str">
        <f>IF('Boletins Nuppa Site'!J1966&lt;&gt;0,'Boletins Nuppa Site'!J1966,"NULL")</f>
        <v xml:space="preserve"> 41.60</v>
      </c>
      <c r="H1966" s="14" t="str">
        <f>IF('Boletins Nuppa Site'!K1966&lt;&gt;0,'Boletins Nuppa Site'!K1966,"NULL")</f>
        <v xml:space="preserve"> 42.00</v>
      </c>
      <c r="I1966" t="str">
        <f t="shared" si="60"/>
        <v>INSERT INTO COTACAO (cot_id, cot_blt_id, cot_pap_id, cot_prc_comum, cot_prc_min, cot_prc_max, cot_prc_med, cot_prc_mediana) VALUES (1965, 87, 15,  42.00,  48.00,  36.00,  41.60,  42.00);</v>
      </c>
      <c r="J1966" t="str">
        <f t="shared" si="61"/>
        <v>UPDATE COTACAO SET cot_id = 1965, cot_blt_id = 87, cot_pap_id = 15, cot_prc_comum =  42.00, cot_prc_min =  48.00, cot_prc_max =  36.00, cot_prc_med =  41.60, cot_prc_mediana =  42.00 WHERE cot_id = 1965;</v>
      </c>
    </row>
    <row r="1967" spans="1:10" x14ac:dyDescent="0.3">
      <c r="A1967">
        <v>1966</v>
      </c>
      <c r="B1967">
        <f>IF('Boletins Nuppa Site'!A1967&lt;&gt;0,'Boletins Nuppa Site'!A1967,"NULL")</f>
        <v>87</v>
      </c>
      <c r="C1967">
        <v>16</v>
      </c>
      <c r="D1967" t="str">
        <f>IF('Boletins Nuppa Site'!G1967&lt;&gt;0,'Boletins Nuppa Site'!G1967,"NULL")</f>
        <v xml:space="preserve"> 60.00</v>
      </c>
      <c r="E1967" s="14" t="str">
        <f>IF('Boletins Nuppa Site'!H1967&lt;&gt;0,'Boletins Nuppa Site'!H1967,"NULL")</f>
        <v xml:space="preserve"> 60.00</v>
      </c>
      <c r="F1967" s="14" t="str">
        <f>IF('Boletins Nuppa Site'!I1967&lt;&gt;0,'Boletins Nuppa Site'!I1967,"NULL")</f>
        <v xml:space="preserve"> 48.00</v>
      </c>
      <c r="G1967" s="14" t="str">
        <f>IF('Boletins Nuppa Site'!J1967&lt;&gt;0,'Boletins Nuppa Site'!J1967,"NULL")</f>
        <v xml:space="preserve"> 55.50</v>
      </c>
      <c r="H1967" s="14" t="str">
        <f>IF('Boletins Nuppa Site'!K1967&lt;&gt;0,'Boletins Nuppa Site'!K1967,"NULL")</f>
        <v xml:space="preserve"> 57.00</v>
      </c>
      <c r="I1967" t="str">
        <f t="shared" si="60"/>
        <v>INSERT INTO COTACAO (cot_id, cot_blt_id, cot_pap_id, cot_prc_comum, cot_prc_min, cot_prc_max, cot_prc_med, cot_prc_mediana) VALUES (1966, 87, 16,  60.00,  60.00,  48.00,  55.50,  57.00);</v>
      </c>
      <c r="J1967" t="str">
        <f t="shared" si="61"/>
        <v>UPDATE COTACAO SET cot_id = 1966, cot_blt_id = 87, cot_pap_id = 16, cot_prc_comum =  60.00, cot_prc_min =  60.00, cot_prc_max =  48.00, cot_prc_med =  55.50, cot_prc_mediana =  57.00 WHERE cot_id = 1966;</v>
      </c>
    </row>
    <row r="1968" spans="1:10" x14ac:dyDescent="0.3">
      <c r="A1968">
        <v>1967</v>
      </c>
      <c r="B1968">
        <f>IF('Boletins Nuppa Site'!A1968&lt;&gt;0,'Boletins Nuppa Site'!A1968,"NULL")</f>
        <v>87</v>
      </c>
      <c r="C1968">
        <v>17</v>
      </c>
      <c r="D1968" t="str">
        <f>IF('Boletins Nuppa Site'!G1968&lt;&gt;0,'Boletins Nuppa Site'!G1968,"NULL")</f>
        <v xml:space="preserve"> 5.00</v>
      </c>
      <c r="E1968" s="14" t="str">
        <f>IF('Boletins Nuppa Site'!H1968&lt;&gt;0,'Boletins Nuppa Site'!H1968,"NULL")</f>
        <v xml:space="preserve"> 4.00</v>
      </c>
      <c r="F1968" s="14" t="str">
        <f>IF('Boletins Nuppa Site'!I1968&lt;&gt;0,'Boletins Nuppa Site'!I1968,"NULL")</f>
        <v xml:space="preserve"> 5.00</v>
      </c>
      <c r="G1968" s="14" t="str">
        <f>IF('Boletins Nuppa Site'!J1968&lt;&gt;0,'Boletins Nuppa Site'!J1968,"NULL")</f>
        <v xml:space="preserve"> 4.80</v>
      </c>
      <c r="H1968" s="14" t="str">
        <f>IF('Boletins Nuppa Site'!K1968&lt;&gt;0,'Boletins Nuppa Site'!K1968,"NULL")</f>
        <v xml:space="preserve"> 5.00</v>
      </c>
      <c r="I1968" t="str">
        <f t="shared" si="60"/>
        <v>INSERT INTO COTACAO (cot_id, cot_blt_id, cot_pap_id, cot_prc_comum, cot_prc_min, cot_prc_max, cot_prc_med, cot_prc_mediana) VALUES (1967, 87, 17,  5.00,  4.00,  5.00,  4.80,  5.00);</v>
      </c>
      <c r="J1968" t="str">
        <f t="shared" si="61"/>
        <v>UPDATE COTACAO SET cot_id = 1967, cot_blt_id = 87, cot_pap_id = 17, cot_prc_comum =  5.00, cot_prc_min =  4.00, cot_prc_max =  5.00, cot_prc_med =  4.80, cot_prc_mediana =  5.00 WHERE cot_id = 1967;</v>
      </c>
    </row>
    <row r="1969" spans="1:10" x14ac:dyDescent="0.3">
      <c r="A1969">
        <v>1968</v>
      </c>
      <c r="B1969">
        <f>IF('Boletins Nuppa Site'!A1969&lt;&gt;0,'Boletins Nuppa Site'!A1969,"NULL")</f>
        <v>87</v>
      </c>
      <c r="C1969">
        <v>18</v>
      </c>
      <c r="D1969" t="str">
        <f>IF('Boletins Nuppa Site'!G1969&lt;&gt;0,'Boletins Nuppa Site'!G1969,"NULL")</f>
        <v xml:space="preserve"> 25.00</v>
      </c>
      <c r="E1969" s="14" t="str">
        <f>IF('Boletins Nuppa Site'!H1969&lt;&gt;0,'Boletins Nuppa Site'!H1969,"NULL")</f>
        <v xml:space="preserve"> 20.00</v>
      </c>
      <c r="F1969" s="14" t="str">
        <f>IF('Boletins Nuppa Site'!I1969&lt;&gt;0,'Boletins Nuppa Site'!I1969,"NULL")</f>
        <v xml:space="preserve"> 25.00</v>
      </c>
      <c r="G1969" s="14" t="str">
        <f>IF('Boletins Nuppa Site'!J1969&lt;&gt;0,'Boletins Nuppa Site'!J1969,"NULL")</f>
        <v xml:space="preserve"> 23.00</v>
      </c>
      <c r="H1969" s="14" t="str">
        <f>IF('Boletins Nuppa Site'!K1969&lt;&gt;0,'Boletins Nuppa Site'!K1969,"NULL")</f>
        <v xml:space="preserve"> 25.00</v>
      </c>
      <c r="I1969" t="str">
        <f t="shared" si="60"/>
        <v>INSERT INTO COTACAO (cot_id, cot_blt_id, cot_pap_id, cot_prc_comum, cot_prc_min, cot_prc_max, cot_prc_med, cot_prc_mediana) VALUES (1968, 87, 18,  25.00,  20.00,  25.00,  23.00,  25.00);</v>
      </c>
      <c r="J1969" t="str">
        <f t="shared" si="61"/>
        <v>UPDATE COTACAO SET cot_id = 1968, cot_blt_id = 87, cot_pap_id = 18, cot_prc_comum =  25.00, cot_prc_min =  20.00, cot_prc_max =  25.00, cot_prc_med =  23.00, cot_prc_mediana =  25.00 WHERE cot_id = 1968;</v>
      </c>
    </row>
    <row r="1970" spans="1:10" x14ac:dyDescent="0.3">
      <c r="A1970">
        <v>1969</v>
      </c>
      <c r="B1970">
        <f>IF('Boletins Nuppa Site'!A1970&lt;&gt;0,'Boletins Nuppa Site'!A1970,"NULL")</f>
        <v>87</v>
      </c>
      <c r="C1970">
        <v>19</v>
      </c>
      <c r="D1970" t="str">
        <f>IF('Boletins Nuppa Site'!G1970&lt;&gt;0,'Boletins Nuppa Site'!G1970,"NULL")</f>
        <v xml:space="preserve"> 25.00</v>
      </c>
      <c r="E1970" s="14" t="str">
        <f>IF('Boletins Nuppa Site'!H1970&lt;&gt;0,'Boletins Nuppa Site'!H1970,"NULL")</f>
        <v xml:space="preserve"> 20.00</v>
      </c>
      <c r="F1970" s="14" t="str">
        <f>IF('Boletins Nuppa Site'!I1970&lt;&gt;0,'Boletins Nuppa Site'!I1970,"NULL")</f>
        <v xml:space="preserve"> 30.00</v>
      </c>
      <c r="G1970" s="14" t="str">
        <f>IF('Boletins Nuppa Site'!J1970&lt;&gt;0,'Boletins Nuppa Site'!J1970,"NULL")</f>
        <v xml:space="preserve"> 25.00</v>
      </c>
      <c r="H1970" s="14" t="str">
        <f>IF('Boletins Nuppa Site'!K1970&lt;&gt;0,'Boletins Nuppa Site'!K1970,"NULL")</f>
        <v xml:space="preserve"> 25.00</v>
      </c>
      <c r="I1970" t="str">
        <f t="shared" si="60"/>
        <v>INSERT INTO COTACAO (cot_id, cot_blt_id, cot_pap_id, cot_prc_comum, cot_prc_min, cot_prc_max, cot_prc_med, cot_prc_mediana) VALUES (1969, 87, 19,  25.00,  20.00,  30.00,  25.00,  25.00);</v>
      </c>
      <c r="J1970" t="str">
        <f t="shared" si="61"/>
        <v>UPDATE COTACAO SET cot_id = 1969, cot_blt_id = 87, cot_pap_id = 19, cot_prc_comum =  25.00, cot_prc_min =  20.00, cot_prc_max =  30.00, cot_prc_med =  25.00, cot_prc_mediana =  25.00 WHERE cot_id = 1969;</v>
      </c>
    </row>
    <row r="1971" spans="1:10" x14ac:dyDescent="0.3">
      <c r="A1971">
        <v>1970</v>
      </c>
      <c r="B1971">
        <f>IF('Boletins Nuppa Site'!A1971&lt;&gt;0,'Boletins Nuppa Site'!A1971,"NULL")</f>
        <v>87</v>
      </c>
      <c r="C1971">
        <v>20</v>
      </c>
      <c r="D1971" t="str">
        <f>IF('Boletins Nuppa Site'!G1971&lt;&gt;0,'Boletins Nuppa Site'!G1971,"NULL")</f>
        <v>NULL</v>
      </c>
      <c r="E1971" s="14" t="str">
        <f>IF('Boletins Nuppa Site'!H1971&lt;&gt;0,'Boletins Nuppa Site'!H1971,"NULL")</f>
        <v xml:space="preserve"> 70.00</v>
      </c>
      <c r="F1971" s="14" t="str">
        <f>IF('Boletins Nuppa Site'!I1971&lt;&gt;0,'Boletins Nuppa Site'!I1971,"NULL")</f>
        <v xml:space="preserve"> 70.00</v>
      </c>
      <c r="G1971" s="14" t="str">
        <f>IF('Boletins Nuppa Site'!J1971&lt;&gt;0,'Boletins Nuppa Site'!J1971,"NULL")</f>
        <v xml:space="preserve"> 70.00</v>
      </c>
      <c r="H1971" s="14" t="str">
        <f>IF('Boletins Nuppa Site'!K1971&lt;&gt;0,'Boletins Nuppa Site'!K1971,"NULL")</f>
        <v xml:space="preserve"> 70.00</v>
      </c>
      <c r="I1971" t="str">
        <f t="shared" si="60"/>
        <v>INSERT INTO COTACAO (cot_id, cot_blt_id, cot_pap_id, cot_prc_comum, cot_prc_min, cot_prc_max, cot_prc_med, cot_prc_mediana) VALUES (1970, 87, 20, NULL,  70.00,  70.00,  70.00,  70.00);</v>
      </c>
      <c r="J1971" t="str">
        <f t="shared" si="61"/>
        <v>UPDATE COTACAO SET cot_id = 1970, cot_blt_id = 87, cot_pap_id = 20, cot_prc_comum = NULL, cot_prc_min =  70.00, cot_prc_max =  70.00, cot_prc_med =  70.00, cot_prc_mediana =  70.00 WHERE cot_id = 1970;</v>
      </c>
    </row>
    <row r="1972" spans="1:10" x14ac:dyDescent="0.3">
      <c r="A1972">
        <v>1971</v>
      </c>
      <c r="B1972">
        <f>IF('Boletins Nuppa Site'!A1972&lt;&gt;0,'Boletins Nuppa Site'!A1972,"NULL")</f>
        <v>87</v>
      </c>
      <c r="C1972">
        <v>21</v>
      </c>
      <c r="D1972" t="str">
        <f>IF('Boletins Nuppa Site'!G1972&lt;&gt;0,'Boletins Nuppa Site'!G1972,"NULL")</f>
        <v>NULL</v>
      </c>
      <c r="E1972" s="14" t="str">
        <f>IF('Boletins Nuppa Site'!H1972&lt;&gt;0,'Boletins Nuppa Site'!H1972,"NULL")</f>
        <v xml:space="preserve"> 70.00</v>
      </c>
      <c r="F1972" s="14" t="str">
        <f>IF('Boletins Nuppa Site'!I1972&lt;&gt;0,'Boletins Nuppa Site'!I1972,"NULL")</f>
        <v xml:space="preserve"> 90.00</v>
      </c>
      <c r="G1972" s="14" t="str">
        <f>IF('Boletins Nuppa Site'!J1972&lt;&gt;0,'Boletins Nuppa Site'!J1972,"NULL")</f>
        <v xml:space="preserve"> 80.00</v>
      </c>
      <c r="H1972" s="14" t="str">
        <f>IF('Boletins Nuppa Site'!K1972&lt;&gt;0,'Boletins Nuppa Site'!K1972,"NULL")</f>
        <v xml:space="preserve"> 80.00</v>
      </c>
      <c r="I1972" t="str">
        <f t="shared" si="60"/>
        <v>INSERT INTO COTACAO (cot_id, cot_blt_id, cot_pap_id, cot_prc_comum, cot_prc_min, cot_prc_max, cot_prc_med, cot_prc_mediana) VALUES (1971, 87, 21, NULL,  70.00,  90.00,  80.00,  80.00);</v>
      </c>
      <c r="J1972" t="str">
        <f t="shared" si="61"/>
        <v>UPDATE COTACAO SET cot_id = 1971, cot_blt_id = 87, cot_pap_id = 21, cot_prc_comum = NULL, cot_prc_min =  70.00, cot_prc_max =  90.00, cot_prc_med =  80.00, cot_prc_mediana =  80.00 WHERE cot_id = 1971;</v>
      </c>
    </row>
    <row r="1973" spans="1:10" x14ac:dyDescent="0.3">
      <c r="A1973">
        <v>1972</v>
      </c>
      <c r="B1973">
        <f>IF('Boletins Nuppa Site'!A1973&lt;&gt;0,'Boletins Nuppa Site'!A1973,"NULL")</f>
        <v>87</v>
      </c>
      <c r="C1973">
        <v>22</v>
      </c>
      <c r="D1973" t="str">
        <f>IF('Boletins Nuppa Site'!G1973&lt;&gt;0,'Boletins Nuppa Site'!G1973,"NULL")</f>
        <v>NULL</v>
      </c>
      <c r="E1973" s="14" t="str">
        <f>IF('Boletins Nuppa Site'!H1973&lt;&gt;0,'Boletins Nuppa Site'!H1973,"NULL")</f>
        <v xml:space="preserve"> 65.00</v>
      </c>
      <c r="F1973" s="14" t="str">
        <f>IF('Boletins Nuppa Site'!I1973&lt;&gt;0,'Boletins Nuppa Site'!I1973,"NULL")</f>
        <v xml:space="preserve"> 45.00</v>
      </c>
      <c r="G1973" s="14" t="str">
        <f>IF('Boletins Nuppa Site'!J1973&lt;&gt;0,'Boletins Nuppa Site'!J1973,"NULL")</f>
        <v xml:space="preserve"> 53.33</v>
      </c>
      <c r="H1973" s="14" t="str">
        <f>IF('Boletins Nuppa Site'!K1973&lt;&gt;0,'Boletins Nuppa Site'!K1973,"NULL")</f>
        <v xml:space="preserve"> 50.00</v>
      </c>
      <c r="I1973" t="str">
        <f t="shared" si="60"/>
        <v>INSERT INTO COTACAO (cot_id, cot_blt_id, cot_pap_id, cot_prc_comum, cot_prc_min, cot_prc_max, cot_prc_med, cot_prc_mediana) VALUES (1972, 87, 22, NULL,  65.00,  45.00,  53.33,  50.00);</v>
      </c>
      <c r="J1973" t="str">
        <f t="shared" si="61"/>
        <v>UPDATE COTACAO SET cot_id = 1972, cot_blt_id = 87, cot_pap_id = 22, cot_prc_comum = NULL, cot_prc_min =  65.00, cot_prc_max =  45.00, cot_prc_med =  53.33, cot_prc_mediana =  50.00 WHERE cot_id = 1972;</v>
      </c>
    </row>
    <row r="1974" spans="1:10" x14ac:dyDescent="0.3">
      <c r="A1974">
        <v>1973</v>
      </c>
      <c r="B1974">
        <f>IF('Boletins Nuppa Site'!A1974&lt;&gt;0,'Boletins Nuppa Site'!A1974,"NULL")</f>
        <v>87</v>
      </c>
      <c r="C1974">
        <v>23</v>
      </c>
      <c r="D1974" t="str">
        <f>IF('Boletins Nuppa Site'!G1974&lt;&gt;0,'Boletins Nuppa Site'!G1974,"NULL")</f>
        <v xml:space="preserve"> 50.00</v>
      </c>
      <c r="E1974" s="14" t="str">
        <f>IF('Boletins Nuppa Site'!H1974&lt;&gt;0,'Boletins Nuppa Site'!H1974,"NULL")</f>
        <v xml:space="preserve"> 50.00</v>
      </c>
      <c r="F1974" s="14" t="str">
        <f>IF('Boletins Nuppa Site'!I1974&lt;&gt;0,'Boletins Nuppa Site'!I1974,"NULL")</f>
        <v xml:space="preserve"> 50.00</v>
      </c>
      <c r="G1974" s="14" t="str">
        <f>IF('Boletins Nuppa Site'!J1974&lt;&gt;0,'Boletins Nuppa Site'!J1974,"NULL")</f>
        <v xml:space="preserve"> 50.00</v>
      </c>
      <c r="H1974" s="14" t="str">
        <f>IF('Boletins Nuppa Site'!K1974&lt;&gt;0,'Boletins Nuppa Site'!K1974,"NULL")</f>
        <v xml:space="preserve"> 50.00</v>
      </c>
      <c r="I1974" t="str">
        <f t="shared" si="60"/>
        <v>INSERT INTO COTACAO (cot_id, cot_blt_id, cot_pap_id, cot_prc_comum, cot_prc_min, cot_prc_max, cot_prc_med, cot_prc_mediana) VALUES (1973, 87, 23,  50.00,  50.00,  50.00,  50.00,  50.00);</v>
      </c>
      <c r="J1974" t="str">
        <f t="shared" si="61"/>
        <v>UPDATE COTACAO SET cot_id = 1973, cot_blt_id = 87, cot_pap_id = 23, cot_prc_comum =  50.00, cot_prc_min =  50.00, cot_prc_max =  50.00, cot_prc_med =  50.00, cot_prc_mediana =  50.00 WHERE cot_id = 1973;</v>
      </c>
    </row>
    <row r="1975" spans="1:10" x14ac:dyDescent="0.3">
      <c r="A1975">
        <v>1974</v>
      </c>
      <c r="B1975">
        <f>IF('Boletins Nuppa Site'!A1975&lt;&gt;0,'Boletins Nuppa Site'!A1975,"NULL")</f>
        <v>87</v>
      </c>
      <c r="C1975">
        <v>24</v>
      </c>
      <c r="D1975" t="str">
        <f>IF('Boletins Nuppa Site'!G1975&lt;&gt;0,'Boletins Nuppa Site'!G1975,"NULL")</f>
        <v>NULL</v>
      </c>
      <c r="E1975" s="14" t="str">
        <f>IF('Boletins Nuppa Site'!H1975&lt;&gt;0,'Boletins Nuppa Site'!H1975,"NULL")</f>
        <v>NULL</v>
      </c>
      <c r="F1975" s="14" t="str">
        <f>IF('Boletins Nuppa Site'!I1975&lt;&gt;0,'Boletins Nuppa Site'!I1975,"NULL")</f>
        <v>NULL</v>
      </c>
      <c r="G1975" s="14" t="str">
        <f>IF('Boletins Nuppa Site'!J1975&lt;&gt;0,'Boletins Nuppa Site'!J1975,"NULL")</f>
        <v>NULL</v>
      </c>
      <c r="H1975" s="14" t="str">
        <f>IF('Boletins Nuppa Site'!K1975&lt;&gt;0,'Boletins Nuppa Site'!K1975,"NULL")</f>
        <v>NULL</v>
      </c>
      <c r="I1975" t="str">
        <f t="shared" si="60"/>
        <v>INSERT INTO COTACAO (cot_id, cot_blt_id, cot_pap_id, cot_prc_comum, cot_prc_min, cot_prc_max, cot_prc_med, cot_prc_mediana) VALUES (1974, 87, 24, NULL, NULL, NULL, NULL, NULL);</v>
      </c>
      <c r="J1975" t="str">
        <f t="shared" si="61"/>
        <v>UPDATE COTACAO SET cot_id = 1974, cot_blt_id = 87, cot_pap_id = 24, cot_prc_comum = NULL, cot_prc_min = NULL, cot_prc_max = NULL, cot_prc_med = NULL, cot_prc_mediana = NULL WHERE cot_id = 1974;</v>
      </c>
    </row>
    <row r="1976" spans="1:10" x14ac:dyDescent="0.3">
      <c r="A1976">
        <v>1975</v>
      </c>
      <c r="B1976">
        <f>IF('Boletins Nuppa Site'!A1976&lt;&gt;0,'Boletins Nuppa Site'!A1976,"NULL")</f>
        <v>87</v>
      </c>
      <c r="C1976">
        <v>25</v>
      </c>
      <c r="D1976" t="str">
        <f>IF('Boletins Nuppa Site'!G1976&lt;&gt;0,'Boletins Nuppa Site'!G1976,"NULL")</f>
        <v xml:space="preserve"> 65.00</v>
      </c>
      <c r="E1976" s="14" t="str">
        <f>IF('Boletins Nuppa Site'!H1976&lt;&gt;0,'Boletins Nuppa Site'!H1976,"NULL")</f>
        <v xml:space="preserve"> 65.00</v>
      </c>
      <c r="F1976" s="14" t="str">
        <f>IF('Boletins Nuppa Site'!I1976&lt;&gt;0,'Boletins Nuppa Site'!I1976,"NULL")</f>
        <v xml:space="preserve"> 70.00</v>
      </c>
      <c r="G1976" s="14" t="str">
        <f>IF('Boletins Nuppa Site'!J1976&lt;&gt;0,'Boletins Nuppa Site'!J1976,"NULL")</f>
        <v xml:space="preserve"> 66.67</v>
      </c>
      <c r="H1976" s="14" t="str">
        <f>IF('Boletins Nuppa Site'!K1976&lt;&gt;0,'Boletins Nuppa Site'!K1976,"NULL")</f>
        <v xml:space="preserve"> 65.00</v>
      </c>
      <c r="I1976" t="str">
        <f t="shared" si="60"/>
        <v>INSERT INTO COTACAO (cot_id, cot_blt_id, cot_pap_id, cot_prc_comum, cot_prc_min, cot_prc_max, cot_prc_med, cot_prc_mediana) VALUES (1975, 87, 25,  65.00,  65.00,  70.00,  66.67,  65.00);</v>
      </c>
      <c r="J1976" t="str">
        <f t="shared" si="61"/>
        <v>UPDATE COTACAO SET cot_id = 1975, cot_blt_id = 87, cot_pap_id = 25, cot_prc_comum =  65.00, cot_prc_min =  65.00, cot_prc_max =  70.00, cot_prc_med =  66.67, cot_prc_mediana =  65.00 WHERE cot_id = 1975;</v>
      </c>
    </row>
    <row r="1977" spans="1:10" x14ac:dyDescent="0.3">
      <c r="A1977">
        <v>1976</v>
      </c>
      <c r="B1977">
        <f>IF('Boletins Nuppa Site'!A1977&lt;&gt;0,'Boletins Nuppa Site'!A1977,"NULL")</f>
        <v>87</v>
      </c>
      <c r="C1977">
        <v>26</v>
      </c>
      <c r="D1977" t="str">
        <f>IF('Boletins Nuppa Site'!G1977&lt;&gt;0,'Boletins Nuppa Site'!G1977,"NULL")</f>
        <v>NULL</v>
      </c>
      <c r="E1977" s="14" t="str">
        <f>IF('Boletins Nuppa Site'!H1977&lt;&gt;0,'Boletins Nuppa Site'!H1977,"NULL")</f>
        <v xml:space="preserve"> 65.00</v>
      </c>
      <c r="F1977" s="14" t="str">
        <f>IF('Boletins Nuppa Site'!I1977&lt;&gt;0,'Boletins Nuppa Site'!I1977,"NULL")</f>
        <v xml:space="preserve"> 90.00</v>
      </c>
      <c r="G1977" s="14" t="str">
        <f>IF('Boletins Nuppa Site'!J1977&lt;&gt;0,'Boletins Nuppa Site'!J1977,"NULL")</f>
        <v xml:space="preserve"> 75.00</v>
      </c>
      <c r="H1977" s="14" t="str">
        <f>IF('Boletins Nuppa Site'!K1977&lt;&gt;0,'Boletins Nuppa Site'!K1977,"NULL")</f>
        <v xml:space="preserve"> 70.00</v>
      </c>
      <c r="I1977" t="str">
        <f t="shared" si="60"/>
        <v>INSERT INTO COTACAO (cot_id, cot_blt_id, cot_pap_id, cot_prc_comum, cot_prc_min, cot_prc_max, cot_prc_med, cot_prc_mediana) VALUES (1976, 87, 26, NULL,  65.00,  90.00,  75.00,  70.00);</v>
      </c>
      <c r="J1977" t="str">
        <f t="shared" si="61"/>
        <v>UPDATE COTACAO SET cot_id = 1976, cot_blt_id = 87, cot_pap_id = 26, cot_prc_comum = NULL, cot_prc_min =  65.00, cot_prc_max =  90.00, cot_prc_med =  75.00, cot_prc_mediana =  70.00 WHERE cot_id = 1976;</v>
      </c>
    </row>
    <row r="1978" spans="1:10" x14ac:dyDescent="0.3">
      <c r="A1978">
        <v>1977</v>
      </c>
      <c r="B1978">
        <f>IF('Boletins Nuppa Site'!A1978&lt;&gt;0,'Boletins Nuppa Site'!A1978,"NULL")</f>
        <v>87</v>
      </c>
      <c r="C1978">
        <v>27</v>
      </c>
      <c r="D1978" t="str">
        <f>IF('Boletins Nuppa Site'!G1978&lt;&gt;0,'Boletins Nuppa Site'!G1978,"NULL")</f>
        <v>NULL</v>
      </c>
      <c r="E1978" s="14" t="str">
        <f>IF('Boletins Nuppa Site'!H1978&lt;&gt;0,'Boletins Nuppa Site'!H1978,"NULL")</f>
        <v xml:space="preserve"> 80.00</v>
      </c>
      <c r="F1978" s="14" t="str">
        <f>IF('Boletins Nuppa Site'!I1978&lt;&gt;0,'Boletins Nuppa Site'!I1978,"NULL")</f>
        <v xml:space="preserve"> 100.00</v>
      </c>
      <c r="G1978" s="14" t="str">
        <f>IF('Boletins Nuppa Site'!J1978&lt;&gt;0,'Boletins Nuppa Site'!J1978,"NULL")</f>
        <v xml:space="preserve"> 90.00</v>
      </c>
      <c r="H1978" s="14" t="str">
        <f>IF('Boletins Nuppa Site'!K1978&lt;&gt;0,'Boletins Nuppa Site'!K1978,"NULL")</f>
        <v xml:space="preserve"> 90.00</v>
      </c>
      <c r="I1978" t="str">
        <f t="shared" si="60"/>
        <v>INSERT INTO COTACAO (cot_id, cot_blt_id, cot_pap_id, cot_prc_comum, cot_prc_min, cot_prc_max, cot_prc_med, cot_prc_mediana) VALUES (1977, 87, 27, NULL,  80.00,  100.00,  90.00,  90.00);</v>
      </c>
      <c r="J1978" t="str">
        <f t="shared" si="61"/>
        <v>UPDATE COTACAO SET cot_id = 1977, cot_blt_id = 87, cot_pap_id = 27, cot_prc_comum = NULL, cot_prc_min =  80.00, cot_prc_max =  100.00, cot_prc_med =  90.00, cot_prc_mediana =  90.00 WHERE cot_id = 1977;</v>
      </c>
    </row>
    <row r="1979" spans="1:10" x14ac:dyDescent="0.3">
      <c r="A1979">
        <v>1978</v>
      </c>
      <c r="B1979">
        <f>IF('Boletins Nuppa Site'!A1979&lt;&gt;0,'Boletins Nuppa Site'!A1979,"NULL")</f>
        <v>87</v>
      </c>
      <c r="C1979">
        <v>28</v>
      </c>
      <c r="D1979" t="str">
        <f>IF('Boletins Nuppa Site'!G1979&lt;&gt;0,'Boletins Nuppa Site'!G1979,"NULL")</f>
        <v xml:space="preserve"> 70.00</v>
      </c>
      <c r="E1979" s="14" t="str">
        <f>IF('Boletins Nuppa Site'!H1979&lt;&gt;0,'Boletins Nuppa Site'!H1979,"NULL")</f>
        <v xml:space="preserve"> 70.00</v>
      </c>
      <c r="F1979" s="14" t="str">
        <f>IF('Boletins Nuppa Site'!I1979&lt;&gt;0,'Boletins Nuppa Site'!I1979,"NULL")</f>
        <v xml:space="preserve"> 70.00</v>
      </c>
      <c r="G1979" s="14" t="str">
        <f>IF('Boletins Nuppa Site'!J1979&lt;&gt;0,'Boletins Nuppa Site'!J1979,"NULL")</f>
        <v xml:space="preserve"> 70.00</v>
      </c>
      <c r="H1979" s="14" t="str">
        <f>IF('Boletins Nuppa Site'!K1979&lt;&gt;0,'Boletins Nuppa Site'!K1979,"NULL")</f>
        <v xml:space="preserve"> 70.00</v>
      </c>
      <c r="I1979" t="str">
        <f t="shared" si="60"/>
        <v>INSERT INTO COTACAO (cot_id, cot_blt_id, cot_pap_id, cot_prc_comum, cot_prc_min, cot_prc_max, cot_prc_med, cot_prc_mediana) VALUES (1978, 87, 28,  70.00,  70.00,  70.00,  70.00,  70.00);</v>
      </c>
      <c r="J1979" t="str">
        <f t="shared" si="61"/>
        <v>UPDATE COTACAO SET cot_id = 1978, cot_blt_id = 87, cot_pap_id = 28, cot_prc_comum =  70.00, cot_prc_min =  70.00, cot_prc_max =  70.00, cot_prc_med =  70.00, cot_prc_mediana =  70.00 WHERE cot_id = 1978;</v>
      </c>
    </row>
    <row r="1980" spans="1:10" x14ac:dyDescent="0.3">
      <c r="A1980">
        <v>1979</v>
      </c>
      <c r="B1980">
        <f>IF('Boletins Nuppa Site'!A1980&lt;&gt;0,'Boletins Nuppa Site'!A1980,"NULL")</f>
        <v>87</v>
      </c>
      <c r="C1980">
        <v>29</v>
      </c>
      <c r="D1980" t="str">
        <f>IF('Boletins Nuppa Site'!G1980&lt;&gt;0,'Boletins Nuppa Site'!G1980,"NULL")</f>
        <v>NULL</v>
      </c>
      <c r="E1980" s="14" t="str">
        <f>IF('Boletins Nuppa Site'!H1980&lt;&gt;0,'Boletins Nuppa Site'!H1980,"NULL")</f>
        <v xml:space="preserve"> 75.00</v>
      </c>
      <c r="F1980" s="14" t="str">
        <f>IF('Boletins Nuppa Site'!I1980&lt;&gt;0,'Boletins Nuppa Site'!I1980,"NULL")</f>
        <v xml:space="preserve"> 75.00</v>
      </c>
      <c r="G1980" s="14" t="str">
        <f>IF('Boletins Nuppa Site'!J1980&lt;&gt;0,'Boletins Nuppa Site'!J1980,"NULL")</f>
        <v xml:space="preserve"> 75.00</v>
      </c>
      <c r="H1980" s="14" t="str">
        <f>IF('Boletins Nuppa Site'!K1980&lt;&gt;0,'Boletins Nuppa Site'!K1980,"NULL")</f>
        <v xml:space="preserve"> 75.00</v>
      </c>
      <c r="I1980" t="str">
        <f t="shared" si="60"/>
        <v>INSERT INTO COTACAO (cot_id, cot_blt_id, cot_pap_id, cot_prc_comum, cot_prc_min, cot_prc_max, cot_prc_med, cot_prc_mediana) VALUES (1979, 87, 29, NULL,  75.00,  75.00,  75.00,  75.00);</v>
      </c>
      <c r="J1980" t="str">
        <f t="shared" si="61"/>
        <v>UPDATE COTACAO SET cot_id = 1979, cot_blt_id = 87, cot_pap_id = 29, cot_prc_comum = NULL, cot_prc_min =  75.00, cot_prc_max =  75.00, cot_prc_med =  75.00, cot_prc_mediana =  75.00 WHERE cot_id = 1979;</v>
      </c>
    </row>
    <row r="1981" spans="1:10" x14ac:dyDescent="0.3">
      <c r="A1981">
        <v>1980</v>
      </c>
      <c r="B1981">
        <f>IF('Boletins Nuppa Site'!A1981&lt;&gt;0,'Boletins Nuppa Site'!A1981,"NULL")</f>
        <v>87</v>
      </c>
      <c r="C1981">
        <v>30</v>
      </c>
      <c r="D1981" t="str">
        <f>IF('Boletins Nuppa Site'!G1981&lt;&gt;0,'Boletins Nuppa Site'!G1981,"NULL")</f>
        <v>NULL</v>
      </c>
      <c r="E1981" s="14" t="str">
        <f>IF('Boletins Nuppa Site'!H1981&lt;&gt;0,'Boletins Nuppa Site'!H1981,"NULL")</f>
        <v xml:space="preserve"> 80.00</v>
      </c>
      <c r="F1981" s="14" t="str">
        <f>IF('Boletins Nuppa Site'!I1981&lt;&gt;0,'Boletins Nuppa Site'!I1981,"NULL")</f>
        <v xml:space="preserve"> 80.00</v>
      </c>
      <c r="G1981" s="14" t="str">
        <f>IF('Boletins Nuppa Site'!J1981&lt;&gt;0,'Boletins Nuppa Site'!J1981,"NULL")</f>
        <v xml:space="preserve"> 80.00</v>
      </c>
      <c r="H1981" s="14" t="str">
        <f>IF('Boletins Nuppa Site'!K1981&lt;&gt;0,'Boletins Nuppa Site'!K1981,"NULL")</f>
        <v xml:space="preserve"> 80.00</v>
      </c>
      <c r="I1981" t="str">
        <f t="shared" si="60"/>
        <v>INSERT INTO COTACAO (cot_id, cot_blt_id, cot_pap_id, cot_prc_comum, cot_prc_min, cot_prc_max, cot_prc_med, cot_prc_mediana) VALUES (1980, 87, 30, NULL,  80.00,  80.00,  80.00,  80.00);</v>
      </c>
      <c r="J1981" t="str">
        <f t="shared" si="61"/>
        <v>UPDATE COTACAO SET cot_id = 1980, cot_blt_id = 87, cot_pap_id = 30, cot_prc_comum = NULL, cot_prc_min =  80.00, cot_prc_max =  80.00, cot_prc_med =  80.00, cot_prc_mediana =  80.00 WHERE cot_id = 1980;</v>
      </c>
    </row>
    <row r="1982" spans="1:10" x14ac:dyDescent="0.3">
      <c r="A1982">
        <v>1981</v>
      </c>
      <c r="B1982">
        <f>IF('Boletins Nuppa Site'!A1982&lt;&gt;0,'Boletins Nuppa Site'!A1982,"NULL")</f>
        <v>87</v>
      </c>
      <c r="C1982">
        <v>31</v>
      </c>
      <c r="D1982" t="str">
        <f>IF('Boletins Nuppa Site'!G1982&lt;&gt;0,'Boletins Nuppa Site'!G1982,"NULL")</f>
        <v>NULL</v>
      </c>
      <c r="E1982" s="14" t="str">
        <f>IF('Boletins Nuppa Site'!H1982&lt;&gt;0,'Boletins Nuppa Site'!H1982,"NULL")</f>
        <v xml:space="preserve"> 85.00</v>
      </c>
      <c r="F1982" s="14" t="str">
        <f>IF('Boletins Nuppa Site'!I1982&lt;&gt;0,'Boletins Nuppa Site'!I1982,"NULL")</f>
        <v xml:space="preserve"> 120.00</v>
      </c>
      <c r="G1982" s="14" t="str">
        <f>IF('Boletins Nuppa Site'!J1982&lt;&gt;0,'Boletins Nuppa Site'!J1982,"NULL")</f>
        <v xml:space="preserve"> 101.67</v>
      </c>
      <c r="H1982" s="14" t="str">
        <f>IF('Boletins Nuppa Site'!K1982&lt;&gt;0,'Boletins Nuppa Site'!K1982,"NULL")</f>
        <v xml:space="preserve"> 100.00</v>
      </c>
      <c r="I1982" t="str">
        <f t="shared" si="60"/>
        <v>INSERT INTO COTACAO (cot_id, cot_blt_id, cot_pap_id, cot_prc_comum, cot_prc_min, cot_prc_max, cot_prc_med, cot_prc_mediana) VALUES (1981, 87, 31, NULL,  85.00,  120.00,  101.67,  100.00);</v>
      </c>
      <c r="J1982" t="str">
        <f t="shared" si="61"/>
        <v>UPDATE COTACAO SET cot_id = 1981, cot_blt_id = 87, cot_pap_id = 31, cot_prc_comum = NULL, cot_prc_min =  85.00, cot_prc_max =  120.00, cot_prc_med =  101.67, cot_prc_mediana =  100.00 WHERE cot_id = 1981;</v>
      </c>
    </row>
    <row r="1983" spans="1:10" x14ac:dyDescent="0.3">
      <c r="A1983">
        <v>1982</v>
      </c>
      <c r="B1983">
        <f>IF('Boletins Nuppa Site'!A1983&lt;&gt;0,'Boletins Nuppa Site'!A1983,"NULL")</f>
        <v>87</v>
      </c>
      <c r="C1983">
        <v>32</v>
      </c>
      <c r="D1983" t="str">
        <f>IF('Boletins Nuppa Site'!G1983&lt;&gt;0,'Boletins Nuppa Site'!G1983,"NULL")</f>
        <v>NULL</v>
      </c>
      <c r="E1983" s="14" t="str">
        <f>IF('Boletins Nuppa Site'!H1983&lt;&gt;0,'Boletins Nuppa Site'!H1983,"NULL")</f>
        <v xml:space="preserve"> 30.00</v>
      </c>
      <c r="F1983" s="14" t="str">
        <f>IF('Boletins Nuppa Site'!I1983&lt;&gt;0,'Boletins Nuppa Site'!I1983,"NULL")</f>
        <v xml:space="preserve"> 50.00</v>
      </c>
      <c r="G1983" s="14" t="str">
        <f>IF('Boletins Nuppa Site'!J1983&lt;&gt;0,'Boletins Nuppa Site'!J1983,"NULL")</f>
        <v xml:space="preserve"> 40.00</v>
      </c>
      <c r="H1983" s="14" t="str">
        <f>IF('Boletins Nuppa Site'!K1983&lt;&gt;0,'Boletins Nuppa Site'!K1983,"NULL")</f>
        <v xml:space="preserve"> 40.00</v>
      </c>
      <c r="I1983" t="str">
        <f t="shared" si="60"/>
        <v>INSERT INTO COTACAO (cot_id, cot_blt_id, cot_pap_id, cot_prc_comum, cot_prc_min, cot_prc_max, cot_prc_med, cot_prc_mediana) VALUES (1982, 87, 32, NULL,  30.00,  50.00,  40.00,  40.00);</v>
      </c>
      <c r="J1983" t="str">
        <f t="shared" si="61"/>
        <v>UPDATE COTACAO SET cot_id = 1982, cot_blt_id = 87, cot_pap_id = 32, cot_prc_comum = NULL, cot_prc_min =  30.00, cot_prc_max =  50.00, cot_prc_med =  40.00, cot_prc_mediana =  40.00 WHERE cot_id = 1982;</v>
      </c>
    </row>
    <row r="1984" spans="1:10" x14ac:dyDescent="0.3">
      <c r="A1984">
        <v>1983</v>
      </c>
      <c r="B1984">
        <f>IF('Boletins Nuppa Site'!A1984&lt;&gt;0,'Boletins Nuppa Site'!A1984,"NULL")</f>
        <v>87</v>
      </c>
      <c r="C1984">
        <v>33</v>
      </c>
      <c r="D1984" t="str">
        <f>IF('Boletins Nuppa Site'!G1984&lt;&gt;0,'Boletins Nuppa Site'!G1984,"NULL")</f>
        <v xml:space="preserve"> 130.00</v>
      </c>
      <c r="E1984" s="14" t="str">
        <f>IF('Boletins Nuppa Site'!H1984&lt;&gt;0,'Boletins Nuppa Site'!H1984,"NULL")</f>
        <v xml:space="preserve"> 110.00</v>
      </c>
      <c r="F1984" s="14" t="str">
        <f>IF('Boletins Nuppa Site'!I1984&lt;&gt;0,'Boletins Nuppa Site'!I1984,"NULL")</f>
        <v xml:space="preserve"> 130.00</v>
      </c>
      <c r="G1984" s="14" t="str">
        <f>IF('Boletins Nuppa Site'!J1984&lt;&gt;0,'Boletins Nuppa Site'!J1984,"NULL")</f>
        <v xml:space="preserve"> 123.33</v>
      </c>
      <c r="H1984" s="14" t="str">
        <f>IF('Boletins Nuppa Site'!K1984&lt;&gt;0,'Boletins Nuppa Site'!K1984,"NULL")</f>
        <v xml:space="preserve"> 130.00</v>
      </c>
      <c r="I1984" t="str">
        <f t="shared" si="60"/>
        <v>INSERT INTO COTACAO (cot_id, cot_blt_id, cot_pap_id, cot_prc_comum, cot_prc_min, cot_prc_max, cot_prc_med, cot_prc_mediana) VALUES (1983, 87, 33,  130.00,  110.00,  130.00,  123.33,  130.00);</v>
      </c>
      <c r="J1984" t="str">
        <f t="shared" si="61"/>
        <v>UPDATE COTACAO SET cot_id = 1983, cot_blt_id = 87, cot_pap_id = 33, cot_prc_comum =  130.00, cot_prc_min =  110.00, cot_prc_max =  130.00, cot_prc_med =  123.33, cot_prc_mediana =  130.00 WHERE cot_id = 1983;</v>
      </c>
    </row>
    <row r="1985" spans="1:10" x14ac:dyDescent="0.3">
      <c r="A1985">
        <v>1984</v>
      </c>
      <c r="B1985">
        <f>IF('Boletins Nuppa Site'!A1985&lt;&gt;0,'Boletins Nuppa Site'!A1985,"NULL")</f>
        <v>87</v>
      </c>
      <c r="C1985">
        <v>34</v>
      </c>
      <c r="D1985" t="str">
        <f>IF('Boletins Nuppa Site'!G1985&lt;&gt;0,'Boletins Nuppa Site'!G1985,"NULL")</f>
        <v xml:space="preserve"> 60.00</v>
      </c>
      <c r="E1985" s="14" t="str">
        <f>IF('Boletins Nuppa Site'!H1985&lt;&gt;0,'Boletins Nuppa Site'!H1985,"NULL")</f>
        <v xml:space="preserve"> 60.00</v>
      </c>
      <c r="F1985" s="14" t="str">
        <f>IF('Boletins Nuppa Site'!I1985&lt;&gt;0,'Boletins Nuppa Site'!I1985,"NULL")</f>
        <v xml:space="preserve"> 80.00</v>
      </c>
      <c r="G1985" s="14" t="str">
        <f>IF('Boletins Nuppa Site'!J1985&lt;&gt;0,'Boletins Nuppa Site'!J1985,"NULL")</f>
        <v xml:space="preserve"> 66.67</v>
      </c>
      <c r="H1985" s="14" t="str">
        <f>IF('Boletins Nuppa Site'!K1985&lt;&gt;0,'Boletins Nuppa Site'!K1985,"NULL")</f>
        <v xml:space="preserve"> 60.00</v>
      </c>
      <c r="I1985" t="str">
        <f t="shared" si="60"/>
        <v>INSERT INTO COTACAO (cot_id, cot_blt_id, cot_pap_id, cot_prc_comum, cot_prc_min, cot_prc_max, cot_prc_med, cot_prc_mediana) VALUES (1984, 87, 34,  60.00,  60.00,  80.00,  66.67,  60.00);</v>
      </c>
      <c r="J1985" t="str">
        <f t="shared" si="61"/>
        <v>UPDATE COTACAO SET cot_id = 1984, cot_blt_id = 87, cot_pap_id = 34, cot_prc_comum =  60.00, cot_prc_min =  60.00, cot_prc_max =  80.00, cot_prc_med =  66.67, cot_prc_mediana =  60.00 WHERE cot_id = 1984;</v>
      </c>
    </row>
    <row r="1986" spans="1:10" x14ac:dyDescent="0.3">
      <c r="A1986">
        <v>1985</v>
      </c>
      <c r="B1986">
        <f>IF('Boletins Nuppa Site'!A1986&lt;&gt;0,'Boletins Nuppa Site'!A1986,"NULL")</f>
        <v>87</v>
      </c>
      <c r="C1986">
        <v>35</v>
      </c>
      <c r="D1986" t="str">
        <f>IF('Boletins Nuppa Site'!G1986&lt;&gt;0,'Boletins Nuppa Site'!G1986,"NULL")</f>
        <v>NULL</v>
      </c>
      <c r="E1986" s="14" t="str">
        <f>IF('Boletins Nuppa Site'!H1986&lt;&gt;0,'Boletins Nuppa Site'!H1986,"NULL")</f>
        <v xml:space="preserve"> 160.00</v>
      </c>
      <c r="F1986" s="14" t="str">
        <f>IF('Boletins Nuppa Site'!I1986&lt;&gt;0,'Boletins Nuppa Site'!I1986,"NULL")</f>
        <v xml:space="preserve"> 90.00</v>
      </c>
      <c r="G1986" s="14" t="str">
        <f>IF('Boletins Nuppa Site'!J1986&lt;&gt;0,'Boletins Nuppa Site'!J1986,"NULL")</f>
        <v xml:space="preserve"> 116.67</v>
      </c>
      <c r="H1986" s="14" t="str">
        <f>IF('Boletins Nuppa Site'!K1986&lt;&gt;0,'Boletins Nuppa Site'!K1986,"NULL")</f>
        <v xml:space="preserve"> 100.00</v>
      </c>
      <c r="I1986" t="str">
        <f t="shared" si="60"/>
        <v>INSERT INTO COTACAO (cot_id, cot_blt_id, cot_pap_id, cot_prc_comum, cot_prc_min, cot_prc_max, cot_prc_med, cot_prc_mediana) VALUES (1985, 87, 35, NULL,  160.00,  90.00,  116.67,  100.00);</v>
      </c>
      <c r="J1986" t="str">
        <f t="shared" si="61"/>
        <v>UPDATE COTACAO SET cot_id = 1985, cot_blt_id = 87, cot_pap_id = 35, cot_prc_comum = NULL, cot_prc_min =  160.00, cot_prc_max =  90.00, cot_prc_med =  116.67, cot_prc_mediana =  100.00 WHERE cot_id = 1985;</v>
      </c>
    </row>
    <row r="1987" spans="1:10" x14ac:dyDescent="0.3">
      <c r="A1987">
        <v>1986</v>
      </c>
      <c r="B1987">
        <f>IF('Boletins Nuppa Site'!A1987&lt;&gt;0,'Boletins Nuppa Site'!A1987,"NULL")</f>
        <v>87</v>
      </c>
      <c r="C1987">
        <v>36</v>
      </c>
      <c r="D1987" t="str">
        <f>IF('Boletins Nuppa Site'!G1987&lt;&gt;0,'Boletins Nuppa Site'!G1987,"NULL")</f>
        <v>NULL</v>
      </c>
      <c r="E1987" s="14" t="str">
        <f>IF('Boletins Nuppa Site'!H1987&lt;&gt;0,'Boletins Nuppa Site'!H1987,"NULL")</f>
        <v>NULL</v>
      </c>
      <c r="F1987" s="14" t="str">
        <f>IF('Boletins Nuppa Site'!I1987&lt;&gt;0,'Boletins Nuppa Site'!I1987,"NULL")</f>
        <v>NULL</v>
      </c>
      <c r="G1987" s="14" t="str">
        <f>IF('Boletins Nuppa Site'!J1987&lt;&gt;0,'Boletins Nuppa Site'!J1987,"NULL")</f>
        <v>NULL</v>
      </c>
      <c r="H1987" s="14" t="str">
        <f>IF('Boletins Nuppa Site'!K1987&lt;&gt;0,'Boletins Nuppa Site'!K1987,"NULL")</f>
        <v>NULL</v>
      </c>
      <c r="I1987" t="str">
        <f t="shared" ref="I1987:I2050" si="62">"INSERT INTO COTACAO (cot_id, cot_blt_id, cot_pap_id, cot_prc_comum, cot_prc_min, cot_prc_max, cot_prc_med, cot_prc_mediana) VALUES ("&amp;A1987&amp;", "&amp;B1987&amp;", "&amp;C1987&amp;", "&amp;D1987&amp;", "&amp;E1987&amp;", "&amp;F1987&amp;", "&amp;G1987&amp;", "&amp;H1987&amp;");"</f>
        <v>INSERT INTO COTACAO (cot_id, cot_blt_id, cot_pap_id, cot_prc_comum, cot_prc_min, cot_prc_max, cot_prc_med, cot_prc_mediana) VALUES (1986, 87, 36, NULL, NULL, NULL, NULL, NULL);</v>
      </c>
      <c r="J1987" t="str">
        <f t="shared" ref="J1987:J2050" si="63">"UPDATE COTACAO SET cot_id = "&amp;A1987&amp;", cot_blt_id = "&amp;B1987&amp;", cot_pap_id = "&amp;C1987&amp;", cot_prc_comum = "&amp;D1987&amp;", cot_prc_min = "&amp;E1987&amp;", cot_prc_max = "&amp;F1987&amp;", cot_prc_med = "&amp;G1987&amp;", cot_prc_mediana = "&amp;H1987&amp;" WHERE cot_id = "&amp;A1987&amp;";"</f>
        <v>UPDATE COTACAO SET cot_id = 1986, cot_blt_id = 87, cot_pap_id = 36, cot_prc_comum = NULL, cot_prc_min = NULL, cot_prc_max = NULL, cot_prc_med = NULL, cot_prc_mediana = NULL WHERE cot_id = 1986;</v>
      </c>
    </row>
    <row r="1988" spans="1:10" x14ac:dyDescent="0.3">
      <c r="A1988">
        <v>1987</v>
      </c>
      <c r="B1988">
        <f>IF('Boletins Nuppa Site'!A1988&lt;&gt;0,'Boletins Nuppa Site'!A1988,"NULL")</f>
        <v>87</v>
      </c>
      <c r="C1988">
        <v>37</v>
      </c>
      <c r="D1988" t="str">
        <f>IF('Boletins Nuppa Site'!G1988&lt;&gt;0,'Boletins Nuppa Site'!G1988,"NULL")</f>
        <v>NULL</v>
      </c>
      <c r="E1988" s="14" t="str">
        <f>IF('Boletins Nuppa Site'!H1988&lt;&gt;0,'Boletins Nuppa Site'!H1988,"NULL")</f>
        <v>NULL</v>
      </c>
      <c r="F1988" s="14" t="str">
        <f>IF('Boletins Nuppa Site'!I1988&lt;&gt;0,'Boletins Nuppa Site'!I1988,"NULL")</f>
        <v>NULL</v>
      </c>
      <c r="G1988" s="14" t="str">
        <f>IF('Boletins Nuppa Site'!J1988&lt;&gt;0,'Boletins Nuppa Site'!J1988,"NULL")</f>
        <v>NULL</v>
      </c>
      <c r="H1988" s="14" t="str">
        <f>IF('Boletins Nuppa Site'!K1988&lt;&gt;0,'Boletins Nuppa Site'!K1988,"NULL")</f>
        <v>NULL</v>
      </c>
      <c r="I1988" t="str">
        <f t="shared" si="62"/>
        <v>INSERT INTO COTACAO (cot_id, cot_blt_id, cot_pap_id, cot_prc_comum, cot_prc_min, cot_prc_max, cot_prc_med, cot_prc_mediana) VALUES (1987, 87, 37, NULL, NULL, NULL, NULL, NULL);</v>
      </c>
      <c r="J1988" t="str">
        <f t="shared" si="63"/>
        <v>UPDATE COTACAO SET cot_id = 1987, cot_blt_id = 87, cot_pap_id = 37, cot_prc_comum = NULL, cot_prc_min = NULL, cot_prc_max = NULL, cot_prc_med = NULL, cot_prc_mediana = NULL WHERE cot_id = 1987;</v>
      </c>
    </row>
    <row r="1989" spans="1:10" x14ac:dyDescent="0.3">
      <c r="A1989">
        <v>1988</v>
      </c>
      <c r="B1989">
        <f>IF('Boletins Nuppa Site'!A1989&lt;&gt;0,'Boletins Nuppa Site'!A1989,"NULL")</f>
        <v>87</v>
      </c>
      <c r="C1989">
        <v>38</v>
      </c>
      <c r="D1989" t="str">
        <f>IF('Boletins Nuppa Site'!G1989&lt;&gt;0,'Boletins Nuppa Site'!G1989,"NULL")</f>
        <v>NULL</v>
      </c>
      <c r="E1989" s="14" t="str">
        <f>IF('Boletins Nuppa Site'!H1989&lt;&gt;0,'Boletins Nuppa Site'!H1989,"NULL")</f>
        <v>NULL</v>
      </c>
      <c r="F1989" s="14" t="str">
        <f>IF('Boletins Nuppa Site'!I1989&lt;&gt;0,'Boletins Nuppa Site'!I1989,"NULL")</f>
        <v>NULL</v>
      </c>
      <c r="G1989" s="14" t="str">
        <f>IF('Boletins Nuppa Site'!J1989&lt;&gt;0,'Boletins Nuppa Site'!J1989,"NULL")</f>
        <v>NULL</v>
      </c>
      <c r="H1989" s="14" t="str">
        <f>IF('Boletins Nuppa Site'!K1989&lt;&gt;0,'Boletins Nuppa Site'!K1989,"NULL")</f>
        <v>NULL</v>
      </c>
      <c r="I1989" t="str">
        <f t="shared" si="62"/>
        <v>INSERT INTO COTACAO (cot_id, cot_blt_id, cot_pap_id, cot_prc_comum, cot_prc_min, cot_prc_max, cot_prc_med, cot_prc_mediana) VALUES (1988, 87, 38, NULL, NULL, NULL, NULL, NULL);</v>
      </c>
      <c r="J1989" t="str">
        <f t="shared" si="63"/>
        <v>UPDATE COTACAO SET cot_id = 1988, cot_blt_id = 87, cot_pap_id = 38, cot_prc_comum = NULL, cot_prc_min = NULL, cot_prc_max = NULL, cot_prc_med = NULL, cot_prc_mediana = NULL WHERE cot_id = 1988;</v>
      </c>
    </row>
    <row r="1990" spans="1:10" x14ac:dyDescent="0.3">
      <c r="A1990">
        <v>1989</v>
      </c>
      <c r="B1990">
        <f>IF('Boletins Nuppa Site'!A1990&lt;&gt;0,'Boletins Nuppa Site'!A1990,"NULL")</f>
        <v>87</v>
      </c>
      <c r="C1990">
        <v>39</v>
      </c>
      <c r="D1990" t="str">
        <f>IF('Boletins Nuppa Site'!G1990&lt;&gt;0,'Boletins Nuppa Site'!G1990,"NULL")</f>
        <v>NULL</v>
      </c>
      <c r="E1990" s="14" t="str">
        <f>IF('Boletins Nuppa Site'!H1990&lt;&gt;0,'Boletins Nuppa Site'!H1990,"NULL")</f>
        <v>NULL</v>
      </c>
      <c r="F1990" s="14" t="str">
        <f>IF('Boletins Nuppa Site'!I1990&lt;&gt;0,'Boletins Nuppa Site'!I1990,"NULL")</f>
        <v>NULL</v>
      </c>
      <c r="G1990" s="14" t="str">
        <f>IF('Boletins Nuppa Site'!J1990&lt;&gt;0,'Boletins Nuppa Site'!J1990,"NULL")</f>
        <v>NULL</v>
      </c>
      <c r="H1990" s="14" t="str">
        <f>IF('Boletins Nuppa Site'!K1990&lt;&gt;0,'Boletins Nuppa Site'!K1990,"NULL")</f>
        <v>NULL</v>
      </c>
      <c r="I1990" t="str">
        <f t="shared" si="62"/>
        <v>INSERT INTO COTACAO (cot_id, cot_blt_id, cot_pap_id, cot_prc_comum, cot_prc_min, cot_prc_max, cot_prc_med, cot_prc_mediana) VALUES (1989, 87, 39, NULL, NULL, NULL, NULL, NULL);</v>
      </c>
      <c r="J1990" t="str">
        <f t="shared" si="63"/>
        <v>UPDATE COTACAO SET cot_id = 1989, cot_blt_id = 87, cot_pap_id = 39, cot_prc_comum = NULL, cot_prc_min = NULL, cot_prc_max = NULL, cot_prc_med = NULL, cot_prc_mediana = NULL WHERE cot_id = 1989;</v>
      </c>
    </row>
    <row r="1991" spans="1:10" x14ac:dyDescent="0.3">
      <c r="A1991">
        <v>1990</v>
      </c>
      <c r="B1991">
        <f>IF('Boletins Nuppa Site'!A1991&lt;&gt;0,'Boletins Nuppa Site'!A1991,"NULL")</f>
        <v>87</v>
      </c>
      <c r="C1991">
        <v>40</v>
      </c>
      <c r="D1991" t="str">
        <f>IF('Boletins Nuppa Site'!G1991&lt;&gt;0,'Boletins Nuppa Site'!G1991,"NULL")</f>
        <v>NULL</v>
      </c>
      <c r="E1991" s="14" t="str">
        <f>IF('Boletins Nuppa Site'!H1991&lt;&gt;0,'Boletins Nuppa Site'!H1991,"NULL")</f>
        <v>NULL</v>
      </c>
      <c r="F1991" s="14" t="str">
        <f>IF('Boletins Nuppa Site'!I1991&lt;&gt;0,'Boletins Nuppa Site'!I1991,"NULL")</f>
        <v>NULL</v>
      </c>
      <c r="G1991" s="14" t="str">
        <f>IF('Boletins Nuppa Site'!J1991&lt;&gt;0,'Boletins Nuppa Site'!J1991,"NULL")</f>
        <v>NULL</v>
      </c>
      <c r="H1991" s="14" t="str">
        <f>IF('Boletins Nuppa Site'!K1991&lt;&gt;0,'Boletins Nuppa Site'!K1991,"NULL")</f>
        <v>NULL</v>
      </c>
      <c r="I1991" t="str">
        <f t="shared" si="62"/>
        <v>INSERT INTO COTACAO (cot_id, cot_blt_id, cot_pap_id, cot_prc_comum, cot_prc_min, cot_prc_max, cot_prc_med, cot_prc_mediana) VALUES (1990, 87, 40, NULL, NULL, NULL, NULL, NULL);</v>
      </c>
      <c r="J1991" t="str">
        <f t="shared" si="63"/>
        <v>UPDATE COTACAO SET cot_id = 1990, cot_blt_id = 87, cot_pap_id = 40, cot_prc_comum = NULL, cot_prc_min = NULL, cot_prc_max = NULL, cot_prc_med = NULL, cot_prc_mediana = NULL WHERE cot_id = 1990;</v>
      </c>
    </row>
    <row r="1992" spans="1:10" x14ac:dyDescent="0.3">
      <c r="A1992">
        <v>1991</v>
      </c>
      <c r="B1992">
        <f>IF('Boletins Nuppa Site'!A1992&lt;&gt;0,'Boletins Nuppa Site'!A1992,"NULL")</f>
        <v>88</v>
      </c>
      <c r="C1992">
        <v>1</v>
      </c>
      <c r="D1992" t="str">
        <f>IF('Boletins Nuppa Site'!G1992&lt;&gt;0,'Boletins Nuppa Site'!G1992,"NULL")</f>
        <v>NULL</v>
      </c>
      <c r="E1992" s="14">
        <f>IF('Boletins Nuppa Site'!H1992&lt;&gt;0,'Boletins Nuppa Site'!H1992,"NULL")</f>
        <v>36</v>
      </c>
      <c r="F1992" s="14">
        <f>IF('Boletins Nuppa Site'!I1992&lt;&gt;0,'Boletins Nuppa Site'!I1992,"NULL")</f>
        <v>72</v>
      </c>
      <c r="G1992" s="14">
        <f>IF('Boletins Nuppa Site'!J1992&lt;&gt;0,'Boletins Nuppa Site'!J1992,"NULL")</f>
        <v>54</v>
      </c>
      <c r="H1992" s="14">
        <f>IF('Boletins Nuppa Site'!K1992&lt;&gt;0,'Boletins Nuppa Site'!K1992,"NULL")</f>
        <v>54</v>
      </c>
      <c r="I1992" t="str">
        <f t="shared" si="62"/>
        <v>INSERT INTO COTACAO (cot_id, cot_blt_id, cot_pap_id, cot_prc_comum, cot_prc_min, cot_prc_max, cot_prc_med, cot_prc_mediana) VALUES (1991, 88, 1, NULL, 36, 72, 54, 54);</v>
      </c>
      <c r="J1992" t="str">
        <f t="shared" si="63"/>
        <v>UPDATE COTACAO SET cot_id = 1991, cot_blt_id = 88, cot_pap_id = 1, cot_prc_comum = NULL, cot_prc_min = 36, cot_prc_max = 72, cot_prc_med = 54, cot_prc_mediana = 54 WHERE cot_id = 1991;</v>
      </c>
    </row>
    <row r="1993" spans="1:10" x14ac:dyDescent="0.3">
      <c r="A1993">
        <v>1992</v>
      </c>
      <c r="B1993">
        <f>IF('Boletins Nuppa Site'!A1993&lt;&gt;0,'Boletins Nuppa Site'!A1993,"NULL")</f>
        <v>88</v>
      </c>
      <c r="C1993">
        <v>2</v>
      </c>
      <c r="D1993">
        <f>IF('Boletins Nuppa Site'!G1993&lt;&gt;0,'Boletins Nuppa Site'!G1993,"NULL")</f>
        <v>96</v>
      </c>
      <c r="E1993" s="14">
        <f>IF('Boletins Nuppa Site'!H1993&lt;&gt;0,'Boletins Nuppa Site'!H1993,"NULL")</f>
        <v>54</v>
      </c>
      <c r="F1993" s="14">
        <f>IF('Boletins Nuppa Site'!I1993&lt;&gt;0,'Boletins Nuppa Site'!I1993,"NULL")</f>
        <v>96</v>
      </c>
      <c r="G1993" s="14" t="str">
        <f>IF('Boletins Nuppa Site'!J1993&lt;&gt;0,'Boletins Nuppa Site'!J1993,"NULL")</f>
        <v>82.5</v>
      </c>
      <c r="H1993" s="14">
        <f>IF('Boletins Nuppa Site'!K1993&lt;&gt;0,'Boletins Nuppa Site'!K1993,"NULL")</f>
        <v>90</v>
      </c>
      <c r="I1993" t="str">
        <f t="shared" si="62"/>
        <v>INSERT INTO COTACAO (cot_id, cot_blt_id, cot_pap_id, cot_prc_comum, cot_prc_min, cot_prc_max, cot_prc_med, cot_prc_mediana) VALUES (1992, 88, 2, 96, 54, 96, 82.5, 90);</v>
      </c>
      <c r="J1993" t="str">
        <f t="shared" si="63"/>
        <v>UPDATE COTACAO SET cot_id = 1992, cot_blt_id = 88, cot_pap_id = 2, cot_prc_comum = 96, cot_prc_min = 54, cot_prc_max = 96, cot_prc_med = 82.5, cot_prc_mediana = 90 WHERE cot_id = 1992;</v>
      </c>
    </row>
    <row r="1994" spans="1:10" x14ac:dyDescent="0.3">
      <c r="A1994">
        <v>1993</v>
      </c>
      <c r="B1994">
        <f>IF('Boletins Nuppa Site'!A1994&lt;&gt;0,'Boletins Nuppa Site'!A1994,"NULL")</f>
        <v>88</v>
      </c>
      <c r="C1994">
        <v>3</v>
      </c>
      <c r="D1994" t="str">
        <f>IF('Boletins Nuppa Site'!G1994&lt;&gt;0,'Boletins Nuppa Site'!G1994,"NULL")</f>
        <v>NULL</v>
      </c>
      <c r="E1994" s="14">
        <f>IF('Boletins Nuppa Site'!H1994&lt;&gt;0,'Boletins Nuppa Site'!H1994,"NULL")</f>
        <v>40</v>
      </c>
      <c r="F1994" s="14">
        <f>IF('Boletins Nuppa Site'!I1994&lt;&gt;0,'Boletins Nuppa Site'!I1994,"NULL")</f>
        <v>60</v>
      </c>
      <c r="G1994" s="14" t="str">
        <f>IF('Boletins Nuppa Site'!J1994&lt;&gt;0,'Boletins Nuppa Site'!J1994,"NULL")</f>
        <v>48.25</v>
      </c>
      <c r="H1994" s="14" t="str">
        <f>IF('Boletins Nuppa Site'!K1994&lt;&gt;0,'Boletins Nuppa Site'!K1994,"NULL")</f>
        <v>46.5</v>
      </c>
      <c r="I1994" t="str">
        <f t="shared" si="62"/>
        <v>INSERT INTO COTACAO (cot_id, cot_blt_id, cot_pap_id, cot_prc_comum, cot_prc_min, cot_prc_max, cot_prc_med, cot_prc_mediana) VALUES (1993, 88, 3, NULL, 40, 60, 48.25, 46.5);</v>
      </c>
      <c r="J1994" t="str">
        <f t="shared" si="63"/>
        <v>UPDATE COTACAO SET cot_id = 1993, cot_blt_id = 88, cot_pap_id = 3, cot_prc_comum = NULL, cot_prc_min = 40, cot_prc_max = 60, cot_prc_med = 48.25, cot_prc_mediana = 46.5 WHERE cot_id = 1993;</v>
      </c>
    </row>
    <row r="1995" spans="1:10" x14ac:dyDescent="0.3">
      <c r="A1995">
        <v>1994</v>
      </c>
      <c r="B1995">
        <f>IF('Boletins Nuppa Site'!A1995&lt;&gt;0,'Boletins Nuppa Site'!A1995,"NULL")</f>
        <v>88</v>
      </c>
      <c r="C1995">
        <v>4</v>
      </c>
      <c r="D1995">
        <f>IF('Boletins Nuppa Site'!G1995&lt;&gt;0,'Boletins Nuppa Site'!G1995,"NULL")</f>
        <v>30</v>
      </c>
      <c r="E1995" s="14">
        <f>IF('Boletins Nuppa Site'!H1995&lt;&gt;0,'Boletins Nuppa Site'!H1995,"NULL")</f>
        <v>25</v>
      </c>
      <c r="F1995" s="14">
        <f>IF('Boletins Nuppa Site'!I1995&lt;&gt;0,'Boletins Nuppa Site'!I1995,"NULL")</f>
        <v>50</v>
      </c>
      <c r="G1995" s="14" t="str">
        <f>IF('Boletins Nuppa Site'!J1995&lt;&gt;0,'Boletins Nuppa Site'!J1995,"NULL")</f>
        <v>33.75</v>
      </c>
      <c r="H1995" s="14">
        <f>IF('Boletins Nuppa Site'!K1995&lt;&gt;0,'Boletins Nuppa Site'!K1995,"NULL")</f>
        <v>30</v>
      </c>
      <c r="I1995" t="str">
        <f t="shared" si="62"/>
        <v>INSERT INTO COTACAO (cot_id, cot_blt_id, cot_pap_id, cot_prc_comum, cot_prc_min, cot_prc_max, cot_prc_med, cot_prc_mediana) VALUES (1994, 88, 4, 30, 25, 50, 33.75, 30);</v>
      </c>
      <c r="J1995" t="str">
        <f t="shared" si="63"/>
        <v>UPDATE COTACAO SET cot_id = 1994, cot_blt_id = 88, cot_pap_id = 4, cot_prc_comum = 30, cot_prc_min = 25, cot_prc_max = 50, cot_prc_med = 33.75, cot_prc_mediana = 30 WHERE cot_id = 1994;</v>
      </c>
    </row>
    <row r="1996" spans="1:10" x14ac:dyDescent="0.3">
      <c r="A1996">
        <v>1995</v>
      </c>
      <c r="B1996">
        <f>IF('Boletins Nuppa Site'!A1996&lt;&gt;0,'Boletins Nuppa Site'!A1996,"NULL")</f>
        <v>88</v>
      </c>
      <c r="C1996">
        <v>5</v>
      </c>
      <c r="D1996">
        <f>IF('Boletins Nuppa Site'!G1996&lt;&gt;0,'Boletins Nuppa Site'!G1996,"NULL")</f>
        <v>30</v>
      </c>
      <c r="E1996" s="14">
        <f>IF('Boletins Nuppa Site'!H1996&lt;&gt;0,'Boletins Nuppa Site'!H1996,"NULL")</f>
        <v>25</v>
      </c>
      <c r="F1996" s="14">
        <f>IF('Boletins Nuppa Site'!I1996&lt;&gt;0,'Boletins Nuppa Site'!I1996,"NULL")</f>
        <v>50</v>
      </c>
      <c r="G1996" s="14" t="str">
        <f>IF('Boletins Nuppa Site'!J1996&lt;&gt;0,'Boletins Nuppa Site'!J1996,"NULL")</f>
        <v>33.75</v>
      </c>
      <c r="H1996" s="14">
        <f>IF('Boletins Nuppa Site'!K1996&lt;&gt;0,'Boletins Nuppa Site'!K1996,"NULL")</f>
        <v>30</v>
      </c>
      <c r="I1996" t="str">
        <f t="shared" si="62"/>
        <v>INSERT INTO COTACAO (cot_id, cot_blt_id, cot_pap_id, cot_prc_comum, cot_prc_min, cot_prc_max, cot_prc_med, cot_prc_mediana) VALUES (1995, 88, 5, 30, 25, 50, 33.75, 30);</v>
      </c>
      <c r="J1996" t="str">
        <f t="shared" si="63"/>
        <v>UPDATE COTACAO SET cot_id = 1995, cot_blt_id = 88, cot_pap_id = 5, cot_prc_comum = 30, cot_prc_min = 25, cot_prc_max = 50, cot_prc_med = 33.75, cot_prc_mediana = 30 WHERE cot_id = 1995;</v>
      </c>
    </row>
    <row r="1997" spans="1:10" x14ac:dyDescent="0.3">
      <c r="A1997">
        <v>1996</v>
      </c>
      <c r="B1997">
        <f>IF('Boletins Nuppa Site'!A1997&lt;&gt;0,'Boletins Nuppa Site'!A1997,"NULL")</f>
        <v>88</v>
      </c>
      <c r="C1997">
        <v>6</v>
      </c>
      <c r="D1997">
        <f>IF('Boletins Nuppa Site'!G1997&lt;&gt;0,'Boletins Nuppa Site'!G1997,"NULL")</f>
        <v>60</v>
      </c>
      <c r="E1997" s="14">
        <f>IF('Boletins Nuppa Site'!H1997&lt;&gt;0,'Boletins Nuppa Site'!H1997,"NULL")</f>
        <v>60</v>
      </c>
      <c r="F1997" s="14">
        <f>IF('Boletins Nuppa Site'!I1997&lt;&gt;0,'Boletins Nuppa Site'!I1997,"NULL")</f>
        <v>120</v>
      </c>
      <c r="G1997" s="14" t="str">
        <f>IF('Boletins Nuppa Site'!J1997&lt;&gt;0,'Boletins Nuppa Site'!J1997,"NULL")</f>
        <v>76.5</v>
      </c>
      <c r="H1997" s="14">
        <f>IF('Boletins Nuppa Site'!K1997&lt;&gt;0,'Boletins Nuppa Site'!K1997,"NULL")</f>
        <v>63</v>
      </c>
      <c r="I1997" t="str">
        <f t="shared" si="62"/>
        <v>INSERT INTO COTACAO (cot_id, cot_blt_id, cot_pap_id, cot_prc_comum, cot_prc_min, cot_prc_max, cot_prc_med, cot_prc_mediana) VALUES (1996, 88, 6, 60, 60, 120, 76.5, 63);</v>
      </c>
      <c r="J1997" t="str">
        <f t="shared" si="63"/>
        <v>UPDATE COTACAO SET cot_id = 1996, cot_blt_id = 88, cot_pap_id = 6, cot_prc_comum = 60, cot_prc_min = 60, cot_prc_max = 120, cot_prc_med = 76.5, cot_prc_mediana = 63 WHERE cot_id = 1996;</v>
      </c>
    </row>
    <row r="1998" spans="1:10" x14ac:dyDescent="0.3">
      <c r="A1998">
        <v>1997</v>
      </c>
      <c r="B1998">
        <f>IF('Boletins Nuppa Site'!A1998&lt;&gt;0,'Boletins Nuppa Site'!A1998,"NULL")</f>
        <v>88</v>
      </c>
      <c r="C1998">
        <v>7</v>
      </c>
      <c r="D1998">
        <f>IF('Boletins Nuppa Site'!G1998&lt;&gt;0,'Boletins Nuppa Site'!G1998,"NULL")</f>
        <v>84</v>
      </c>
      <c r="E1998" s="14">
        <f>IF('Boletins Nuppa Site'!H1998&lt;&gt;0,'Boletins Nuppa Site'!H1998,"NULL")</f>
        <v>78</v>
      </c>
      <c r="F1998" s="14">
        <f>IF('Boletins Nuppa Site'!I1998&lt;&gt;0,'Boletins Nuppa Site'!I1998,"NULL")</f>
        <v>84</v>
      </c>
      <c r="G1998" s="14">
        <f>IF('Boletins Nuppa Site'!J1998&lt;&gt;0,'Boletins Nuppa Site'!J1998,"NULL")</f>
        <v>81</v>
      </c>
      <c r="H1998" s="14">
        <f>IF('Boletins Nuppa Site'!K1998&lt;&gt;0,'Boletins Nuppa Site'!K1998,"NULL")</f>
        <v>81</v>
      </c>
      <c r="I1998" t="str">
        <f t="shared" si="62"/>
        <v>INSERT INTO COTACAO (cot_id, cot_blt_id, cot_pap_id, cot_prc_comum, cot_prc_min, cot_prc_max, cot_prc_med, cot_prc_mediana) VALUES (1997, 88, 7, 84, 78, 84, 81, 81);</v>
      </c>
      <c r="J1998" t="str">
        <f t="shared" si="63"/>
        <v>UPDATE COTACAO SET cot_id = 1997, cot_blt_id = 88, cot_pap_id = 7, cot_prc_comum = 84, cot_prc_min = 78, cot_prc_max = 84, cot_prc_med = 81, cot_prc_mediana = 81 WHERE cot_id = 1997;</v>
      </c>
    </row>
    <row r="1999" spans="1:10" x14ac:dyDescent="0.3">
      <c r="A1999">
        <v>1998</v>
      </c>
      <c r="B1999">
        <f>IF('Boletins Nuppa Site'!A1999&lt;&gt;0,'Boletins Nuppa Site'!A1999,"NULL")</f>
        <v>88</v>
      </c>
      <c r="C1999">
        <v>8</v>
      </c>
      <c r="D1999">
        <f>IF('Boletins Nuppa Site'!G1999&lt;&gt;0,'Boletins Nuppa Site'!G1999,"NULL")</f>
        <v>84</v>
      </c>
      <c r="E1999" s="14">
        <f>IF('Boletins Nuppa Site'!H1999&lt;&gt;0,'Boletins Nuppa Site'!H1999,"NULL")</f>
        <v>72</v>
      </c>
      <c r="F1999" s="14">
        <f>IF('Boletins Nuppa Site'!I1999&lt;&gt;0,'Boletins Nuppa Site'!I1999,"NULL")</f>
        <v>96</v>
      </c>
      <c r="G1999" s="14">
        <f>IF('Boletins Nuppa Site'!J1999&lt;&gt;0,'Boletins Nuppa Site'!J1999,"NULL")</f>
        <v>84</v>
      </c>
      <c r="H1999" s="14">
        <f>IF('Boletins Nuppa Site'!K1999&lt;&gt;0,'Boletins Nuppa Site'!K1999,"NULL")</f>
        <v>84</v>
      </c>
      <c r="I1999" t="str">
        <f t="shared" si="62"/>
        <v>INSERT INTO COTACAO (cot_id, cot_blt_id, cot_pap_id, cot_prc_comum, cot_prc_min, cot_prc_max, cot_prc_med, cot_prc_mediana) VALUES (1998, 88, 8, 84, 72, 96, 84, 84);</v>
      </c>
      <c r="J1999" t="str">
        <f t="shared" si="63"/>
        <v>UPDATE COTACAO SET cot_id = 1998, cot_blt_id = 88, cot_pap_id = 8, cot_prc_comum = 84, cot_prc_min = 72, cot_prc_max = 96, cot_prc_med = 84, cot_prc_mediana = 84 WHERE cot_id = 1998;</v>
      </c>
    </row>
    <row r="2000" spans="1:10" x14ac:dyDescent="0.3">
      <c r="A2000">
        <v>1999</v>
      </c>
      <c r="B2000">
        <f>IF('Boletins Nuppa Site'!A2000&lt;&gt;0,'Boletins Nuppa Site'!A2000,"NULL")</f>
        <v>88</v>
      </c>
      <c r="C2000">
        <v>9</v>
      </c>
      <c r="D2000">
        <f>IF('Boletins Nuppa Site'!G2000&lt;&gt;0,'Boletins Nuppa Site'!G2000,"NULL")</f>
        <v>24</v>
      </c>
      <c r="E2000" s="14">
        <f>IF('Boletins Nuppa Site'!H2000&lt;&gt;0,'Boletins Nuppa Site'!H2000,"NULL")</f>
        <v>24</v>
      </c>
      <c r="F2000" s="14">
        <f>IF('Boletins Nuppa Site'!I2000&lt;&gt;0,'Boletins Nuppa Site'!I2000,"NULL")</f>
        <v>30</v>
      </c>
      <c r="G2000" s="14" t="str">
        <f>IF('Boletins Nuppa Site'!J2000&lt;&gt;0,'Boletins Nuppa Site'!J2000,"NULL")</f>
        <v>25.5</v>
      </c>
      <c r="H2000" s="14">
        <f>IF('Boletins Nuppa Site'!K2000&lt;&gt;0,'Boletins Nuppa Site'!K2000,"NULL")</f>
        <v>24</v>
      </c>
      <c r="I2000" t="str">
        <f t="shared" si="62"/>
        <v>INSERT INTO COTACAO (cot_id, cot_blt_id, cot_pap_id, cot_prc_comum, cot_prc_min, cot_prc_max, cot_prc_med, cot_prc_mediana) VALUES (1999, 88, 9, 24, 24, 30, 25.5, 24);</v>
      </c>
      <c r="J2000" t="str">
        <f t="shared" si="63"/>
        <v>UPDATE COTACAO SET cot_id = 1999, cot_blt_id = 88, cot_pap_id = 9, cot_prc_comum = 24, cot_prc_min = 24, cot_prc_max = 30, cot_prc_med = 25.5, cot_prc_mediana = 24 WHERE cot_id = 1999;</v>
      </c>
    </row>
    <row r="2001" spans="1:10" x14ac:dyDescent="0.3">
      <c r="A2001">
        <v>2000</v>
      </c>
      <c r="B2001">
        <f>IF('Boletins Nuppa Site'!A2001&lt;&gt;0,'Boletins Nuppa Site'!A2001,"NULL")</f>
        <v>88</v>
      </c>
      <c r="C2001">
        <v>10</v>
      </c>
      <c r="D2001">
        <f>IF('Boletins Nuppa Site'!G2001&lt;&gt;0,'Boletins Nuppa Site'!G2001,"NULL")</f>
        <v>96</v>
      </c>
      <c r="E2001" s="14">
        <f>IF('Boletins Nuppa Site'!H2001&lt;&gt;0,'Boletins Nuppa Site'!H2001,"NULL")</f>
        <v>72</v>
      </c>
      <c r="F2001" s="14">
        <f>IF('Boletins Nuppa Site'!I2001&lt;&gt;0,'Boletins Nuppa Site'!I2001,"NULL")</f>
        <v>96</v>
      </c>
      <c r="G2001" s="14">
        <f>IF('Boletins Nuppa Site'!J2001&lt;&gt;0,'Boletins Nuppa Site'!J2001,"NULL")</f>
        <v>87</v>
      </c>
      <c r="H2001" s="14">
        <f>IF('Boletins Nuppa Site'!K2001&lt;&gt;0,'Boletins Nuppa Site'!K2001,"NULL")</f>
        <v>90</v>
      </c>
      <c r="I2001" t="str">
        <f t="shared" si="62"/>
        <v>INSERT INTO COTACAO (cot_id, cot_blt_id, cot_pap_id, cot_prc_comum, cot_prc_min, cot_prc_max, cot_prc_med, cot_prc_mediana) VALUES (2000, 88, 10, 96, 72, 96, 87, 90);</v>
      </c>
      <c r="J2001" t="str">
        <f t="shared" si="63"/>
        <v>UPDATE COTACAO SET cot_id = 2000, cot_blt_id = 88, cot_pap_id = 10, cot_prc_comum = 96, cot_prc_min = 72, cot_prc_max = 96, cot_prc_med = 87, cot_prc_mediana = 90 WHERE cot_id = 2000;</v>
      </c>
    </row>
    <row r="2002" spans="1:10" x14ac:dyDescent="0.3">
      <c r="A2002">
        <v>2001</v>
      </c>
      <c r="B2002">
        <f>IF('Boletins Nuppa Site'!A2002&lt;&gt;0,'Boletins Nuppa Site'!A2002,"NULL")</f>
        <v>88</v>
      </c>
      <c r="C2002">
        <v>11</v>
      </c>
      <c r="D2002">
        <f>IF('Boletins Nuppa Site'!G2002&lt;&gt;0,'Boletins Nuppa Site'!G2002,"NULL")</f>
        <v>30</v>
      </c>
      <c r="E2002" s="14">
        <f>IF('Boletins Nuppa Site'!H2002&lt;&gt;0,'Boletins Nuppa Site'!H2002,"NULL")</f>
        <v>25</v>
      </c>
      <c r="F2002" s="14">
        <f>IF('Boletins Nuppa Site'!I2002&lt;&gt;0,'Boletins Nuppa Site'!I2002,"NULL")</f>
        <v>36</v>
      </c>
      <c r="G2002" s="14" t="str">
        <f>IF('Boletins Nuppa Site'!J2002&lt;&gt;0,'Boletins Nuppa Site'!J2002,"NULL")</f>
        <v>30.25</v>
      </c>
      <c r="H2002" s="14">
        <f>IF('Boletins Nuppa Site'!K2002&lt;&gt;0,'Boletins Nuppa Site'!K2002,"NULL")</f>
        <v>30</v>
      </c>
      <c r="I2002" t="str">
        <f t="shared" si="62"/>
        <v>INSERT INTO COTACAO (cot_id, cot_blt_id, cot_pap_id, cot_prc_comum, cot_prc_min, cot_prc_max, cot_prc_med, cot_prc_mediana) VALUES (2001, 88, 11, 30, 25, 36, 30.25, 30);</v>
      </c>
      <c r="J2002" t="str">
        <f t="shared" si="63"/>
        <v>UPDATE COTACAO SET cot_id = 2001, cot_blt_id = 88, cot_pap_id = 11, cot_prc_comum = 30, cot_prc_min = 25, cot_prc_max = 36, cot_prc_med = 30.25, cot_prc_mediana = 30 WHERE cot_id = 2001;</v>
      </c>
    </row>
    <row r="2003" spans="1:10" x14ac:dyDescent="0.3">
      <c r="A2003">
        <v>2002</v>
      </c>
      <c r="B2003">
        <f>IF('Boletins Nuppa Site'!A2003&lt;&gt;0,'Boletins Nuppa Site'!A2003,"NULL")</f>
        <v>88</v>
      </c>
      <c r="C2003">
        <v>12</v>
      </c>
      <c r="D2003">
        <f>IF('Boletins Nuppa Site'!G2003&lt;&gt;0,'Boletins Nuppa Site'!G2003,"NULL")</f>
        <v>72</v>
      </c>
      <c r="E2003" s="14">
        <f>IF('Boletins Nuppa Site'!H2003&lt;&gt;0,'Boletins Nuppa Site'!H2003,"NULL")</f>
        <v>60</v>
      </c>
      <c r="F2003" s="14">
        <f>IF('Boletins Nuppa Site'!I2003&lt;&gt;0,'Boletins Nuppa Site'!I2003,"NULL")</f>
        <v>84</v>
      </c>
      <c r="G2003" s="14">
        <f>IF('Boletins Nuppa Site'!J2003&lt;&gt;0,'Boletins Nuppa Site'!J2003,"NULL")</f>
        <v>72</v>
      </c>
      <c r="H2003" s="14">
        <f>IF('Boletins Nuppa Site'!K2003&lt;&gt;0,'Boletins Nuppa Site'!K2003,"NULL")</f>
        <v>72</v>
      </c>
      <c r="I2003" t="str">
        <f t="shared" si="62"/>
        <v>INSERT INTO COTACAO (cot_id, cot_blt_id, cot_pap_id, cot_prc_comum, cot_prc_min, cot_prc_max, cot_prc_med, cot_prc_mediana) VALUES (2002, 88, 12, 72, 60, 84, 72, 72);</v>
      </c>
      <c r="J2003" t="str">
        <f t="shared" si="63"/>
        <v>UPDATE COTACAO SET cot_id = 2002, cot_blt_id = 88, cot_pap_id = 12, cot_prc_comum = 72, cot_prc_min = 60, cot_prc_max = 84, cot_prc_med = 72, cot_prc_mediana = 72 WHERE cot_id = 2002;</v>
      </c>
    </row>
    <row r="2004" spans="1:10" x14ac:dyDescent="0.3">
      <c r="A2004">
        <v>2003</v>
      </c>
      <c r="B2004">
        <f>IF('Boletins Nuppa Site'!A2004&lt;&gt;0,'Boletins Nuppa Site'!A2004,"NULL")</f>
        <v>88</v>
      </c>
      <c r="C2004">
        <v>13</v>
      </c>
      <c r="D2004">
        <f>IF('Boletins Nuppa Site'!G2004&lt;&gt;0,'Boletins Nuppa Site'!G2004,"NULL")</f>
        <v>72</v>
      </c>
      <c r="E2004" s="14">
        <f>IF('Boletins Nuppa Site'!H2004&lt;&gt;0,'Boletins Nuppa Site'!H2004,"NULL")</f>
        <v>60</v>
      </c>
      <c r="F2004" s="14">
        <f>IF('Boletins Nuppa Site'!I2004&lt;&gt;0,'Boletins Nuppa Site'!I2004,"NULL")</f>
        <v>96</v>
      </c>
      <c r="G2004" s="14">
        <f>IF('Boletins Nuppa Site'!J2004&lt;&gt;0,'Boletins Nuppa Site'!J2004,"NULL")</f>
        <v>75</v>
      </c>
      <c r="H2004" s="14">
        <f>IF('Boletins Nuppa Site'!K2004&lt;&gt;0,'Boletins Nuppa Site'!K2004,"NULL")</f>
        <v>72</v>
      </c>
      <c r="I2004" t="str">
        <f t="shared" si="62"/>
        <v>INSERT INTO COTACAO (cot_id, cot_blt_id, cot_pap_id, cot_prc_comum, cot_prc_min, cot_prc_max, cot_prc_med, cot_prc_mediana) VALUES (2003, 88, 13, 72, 60, 96, 75, 72);</v>
      </c>
      <c r="J2004" t="str">
        <f t="shared" si="63"/>
        <v>UPDATE COTACAO SET cot_id = 2003, cot_blt_id = 88, cot_pap_id = 13, cot_prc_comum = 72, cot_prc_min = 60, cot_prc_max = 96, cot_prc_med = 75, cot_prc_mediana = 72 WHERE cot_id = 2003;</v>
      </c>
    </row>
    <row r="2005" spans="1:10" x14ac:dyDescent="0.3">
      <c r="A2005">
        <v>2004</v>
      </c>
      <c r="B2005">
        <f>IF('Boletins Nuppa Site'!A2005&lt;&gt;0,'Boletins Nuppa Site'!A2005,"NULL")</f>
        <v>88</v>
      </c>
      <c r="C2005">
        <v>14</v>
      </c>
      <c r="D2005">
        <f>IF('Boletins Nuppa Site'!G2005&lt;&gt;0,'Boletins Nuppa Site'!G2005,"NULL")</f>
        <v>60</v>
      </c>
      <c r="E2005" s="14">
        <f>IF('Boletins Nuppa Site'!H2005&lt;&gt;0,'Boletins Nuppa Site'!H2005,"NULL")</f>
        <v>54</v>
      </c>
      <c r="F2005" s="14">
        <f>IF('Boletins Nuppa Site'!I2005&lt;&gt;0,'Boletins Nuppa Site'!I2005,"NULL")</f>
        <v>72</v>
      </c>
      <c r="G2005" s="14" t="str">
        <f>IF('Boletins Nuppa Site'!J2005&lt;&gt;0,'Boletins Nuppa Site'!J2005,"NULL")</f>
        <v>61.5</v>
      </c>
      <c r="H2005" s="14">
        <f>IF('Boletins Nuppa Site'!K2005&lt;&gt;0,'Boletins Nuppa Site'!K2005,"NULL")</f>
        <v>60</v>
      </c>
      <c r="I2005" t="str">
        <f t="shared" si="62"/>
        <v>INSERT INTO COTACAO (cot_id, cot_blt_id, cot_pap_id, cot_prc_comum, cot_prc_min, cot_prc_max, cot_prc_med, cot_prc_mediana) VALUES (2004, 88, 14, 60, 54, 72, 61.5, 60);</v>
      </c>
      <c r="J2005" t="str">
        <f t="shared" si="63"/>
        <v>UPDATE COTACAO SET cot_id = 2004, cot_blt_id = 88, cot_pap_id = 14, cot_prc_comum = 60, cot_prc_min = 54, cot_prc_max = 72, cot_prc_med = 61.5, cot_prc_mediana = 60 WHERE cot_id = 2004;</v>
      </c>
    </row>
    <row r="2006" spans="1:10" x14ac:dyDescent="0.3">
      <c r="A2006">
        <v>2005</v>
      </c>
      <c r="B2006">
        <f>IF('Boletins Nuppa Site'!A2006&lt;&gt;0,'Boletins Nuppa Site'!A2006,"NULL")</f>
        <v>88</v>
      </c>
      <c r="C2006">
        <v>15</v>
      </c>
      <c r="D2006">
        <f>IF('Boletins Nuppa Site'!G2006&lt;&gt;0,'Boletins Nuppa Site'!G2006,"NULL")</f>
        <v>48</v>
      </c>
      <c r="E2006" s="14">
        <f>IF('Boletins Nuppa Site'!H2006&lt;&gt;0,'Boletins Nuppa Site'!H2006,"NULL")</f>
        <v>36</v>
      </c>
      <c r="F2006" s="14">
        <f>IF('Boletins Nuppa Site'!I2006&lt;&gt;0,'Boletins Nuppa Site'!I2006,"NULL")</f>
        <v>48</v>
      </c>
      <c r="G2006" s="14">
        <f>IF('Boletins Nuppa Site'!J2006&lt;&gt;0,'Boletins Nuppa Site'!J2006,"NULL")</f>
        <v>42</v>
      </c>
      <c r="H2006" s="14">
        <f>IF('Boletins Nuppa Site'!K2006&lt;&gt;0,'Boletins Nuppa Site'!K2006,"NULL")</f>
        <v>42</v>
      </c>
      <c r="I2006" t="str">
        <f t="shared" si="62"/>
        <v>INSERT INTO COTACAO (cot_id, cot_blt_id, cot_pap_id, cot_prc_comum, cot_prc_min, cot_prc_max, cot_prc_med, cot_prc_mediana) VALUES (2005, 88, 15, 48, 36, 48, 42, 42);</v>
      </c>
      <c r="J2006" t="str">
        <f t="shared" si="63"/>
        <v>UPDATE COTACAO SET cot_id = 2005, cot_blt_id = 88, cot_pap_id = 15, cot_prc_comum = 48, cot_prc_min = 36, cot_prc_max = 48, cot_prc_med = 42, cot_prc_mediana = 42 WHERE cot_id = 2005;</v>
      </c>
    </row>
    <row r="2007" spans="1:10" x14ac:dyDescent="0.3">
      <c r="A2007">
        <v>2006</v>
      </c>
      <c r="B2007">
        <f>IF('Boletins Nuppa Site'!A2007&lt;&gt;0,'Boletins Nuppa Site'!A2007,"NULL")</f>
        <v>88</v>
      </c>
      <c r="C2007">
        <v>16</v>
      </c>
      <c r="D2007">
        <f>IF('Boletins Nuppa Site'!G2007&lt;&gt;0,'Boletins Nuppa Site'!G2007,"NULL")</f>
        <v>54</v>
      </c>
      <c r="E2007" s="14">
        <f>IF('Boletins Nuppa Site'!H2007&lt;&gt;0,'Boletins Nuppa Site'!H2007,"NULL")</f>
        <v>48</v>
      </c>
      <c r="F2007" s="14">
        <f>IF('Boletins Nuppa Site'!I2007&lt;&gt;0,'Boletins Nuppa Site'!I2007,"NULL")</f>
        <v>60</v>
      </c>
      <c r="G2007" s="14">
        <f>IF('Boletins Nuppa Site'!J2007&lt;&gt;0,'Boletins Nuppa Site'!J2007,"NULL")</f>
        <v>54</v>
      </c>
      <c r="H2007" s="14">
        <f>IF('Boletins Nuppa Site'!K2007&lt;&gt;0,'Boletins Nuppa Site'!K2007,"NULL")</f>
        <v>54</v>
      </c>
      <c r="I2007" t="str">
        <f t="shared" si="62"/>
        <v>INSERT INTO COTACAO (cot_id, cot_blt_id, cot_pap_id, cot_prc_comum, cot_prc_min, cot_prc_max, cot_prc_med, cot_prc_mediana) VALUES (2006, 88, 16, 54, 48, 60, 54, 54);</v>
      </c>
      <c r="J2007" t="str">
        <f t="shared" si="63"/>
        <v>UPDATE COTACAO SET cot_id = 2006, cot_blt_id = 88, cot_pap_id = 16, cot_prc_comum = 54, cot_prc_min = 48, cot_prc_max = 60, cot_prc_med = 54, cot_prc_mediana = 54 WHERE cot_id = 2006;</v>
      </c>
    </row>
    <row r="2008" spans="1:10" x14ac:dyDescent="0.3">
      <c r="A2008">
        <v>2007</v>
      </c>
      <c r="B2008">
        <f>IF('Boletins Nuppa Site'!A2008&lt;&gt;0,'Boletins Nuppa Site'!A2008,"NULL")</f>
        <v>88</v>
      </c>
      <c r="C2008">
        <v>17</v>
      </c>
      <c r="D2008">
        <f>IF('Boletins Nuppa Site'!G2008&lt;&gt;0,'Boletins Nuppa Site'!G2008,"NULL")</f>
        <v>5</v>
      </c>
      <c r="E2008" s="14">
        <f>IF('Boletins Nuppa Site'!H2008&lt;&gt;0,'Boletins Nuppa Site'!H2008,"NULL")</f>
        <v>5</v>
      </c>
      <c r="F2008" s="14">
        <f>IF('Boletins Nuppa Site'!I2008&lt;&gt;0,'Boletins Nuppa Site'!I2008,"NULL")</f>
        <v>5</v>
      </c>
      <c r="G2008" s="14">
        <f>IF('Boletins Nuppa Site'!J2008&lt;&gt;0,'Boletins Nuppa Site'!J2008,"NULL")</f>
        <v>5</v>
      </c>
      <c r="H2008" s="14">
        <f>IF('Boletins Nuppa Site'!K2008&lt;&gt;0,'Boletins Nuppa Site'!K2008,"NULL")</f>
        <v>5</v>
      </c>
      <c r="I2008" t="str">
        <f t="shared" si="62"/>
        <v>INSERT INTO COTACAO (cot_id, cot_blt_id, cot_pap_id, cot_prc_comum, cot_prc_min, cot_prc_max, cot_prc_med, cot_prc_mediana) VALUES (2007, 88, 17, 5, 5, 5, 5, 5);</v>
      </c>
      <c r="J2008" t="str">
        <f t="shared" si="63"/>
        <v>UPDATE COTACAO SET cot_id = 2007, cot_blt_id = 88, cot_pap_id = 17, cot_prc_comum = 5, cot_prc_min = 5, cot_prc_max = 5, cot_prc_med = 5, cot_prc_mediana = 5 WHERE cot_id = 2007;</v>
      </c>
    </row>
    <row r="2009" spans="1:10" x14ac:dyDescent="0.3">
      <c r="A2009">
        <v>2008</v>
      </c>
      <c r="B2009">
        <f>IF('Boletins Nuppa Site'!A2009&lt;&gt;0,'Boletins Nuppa Site'!A2009,"NULL")</f>
        <v>88</v>
      </c>
      <c r="C2009">
        <v>18</v>
      </c>
      <c r="D2009">
        <f>IF('Boletins Nuppa Site'!G2009&lt;&gt;0,'Boletins Nuppa Site'!G2009,"NULL")</f>
        <v>20</v>
      </c>
      <c r="E2009" s="14">
        <f>IF('Boletins Nuppa Site'!H2009&lt;&gt;0,'Boletins Nuppa Site'!H2009,"NULL")</f>
        <v>20</v>
      </c>
      <c r="F2009" s="14">
        <f>IF('Boletins Nuppa Site'!I2009&lt;&gt;0,'Boletins Nuppa Site'!I2009,"NULL")</f>
        <v>25</v>
      </c>
      <c r="G2009" s="14" t="str">
        <f>IF('Boletins Nuppa Site'!J2009&lt;&gt;0,'Boletins Nuppa Site'!J2009,"NULL")</f>
        <v>22.5</v>
      </c>
      <c r="H2009" s="14" t="str">
        <f>IF('Boletins Nuppa Site'!K2009&lt;&gt;0,'Boletins Nuppa Site'!K2009,"NULL")</f>
        <v>22.5</v>
      </c>
      <c r="I2009" t="str">
        <f t="shared" si="62"/>
        <v>INSERT INTO COTACAO (cot_id, cot_blt_id, cot_pap_id, cot_prc_comum, cot_prc_min, cot_prc_max, cot_prc_med, cot_prc_mediana) VALUES (2008, 88, 18, 20, 20, 25, 22.5, 22.5);</v>
      </c>
      <c r="J2009" t="str">
        <f t="shared" si="63"/>
        <v>UPDATE COTACAO SET cot_id = 2008, cot_blt_id = 88, cot_pap_id = 18, cot_prc_comum = 20, cot_prc_min = 20, cot_prc_max = 25, cot_prc_med = 22.5, cot_prc_mediana = 22.5 WHERE cot_id = 2008;</v>
      </c>
    </row>
    <row r="2010" spans="1:10" x14ac:dyDescent="0.3">
      <c r="A2010">
        <v>2009</v>
      </c>
      <c r="B2010">
        <f>IF('Boletins Nuppa Site'!A2010&lt;&gt;0,'Boletins Nuppa Site'!A2010,"NULL")</f>
        <v>88</v>
      </c>
      <c r="C2010">
        <v>19</v>
      </c>
      <c r="D2010">
        <f>IF('Boletins Nuppa Site'!G2010&lt;&gt;0,'Boletins Nuppa Site'!G2010,"NULL")</f>
        <v>25</v>
      </c>
      <c r="E2010" s="14">
        <f>IF('Boletins Nuppa Site'!H2010&lt;&gt;0,'Boletins Nuppa Site'!H2010,"NULL")</f>
        <v>25</v>
      </c>
      <c r="F2010" s="14">
        <f>IF('Boletins Nuppa Site'!I2010&lt;&gt;0,'Boletins Nuppa Site'!I2010,"NULL")</f>
        <v>30</v>
      </c>
      <c r="G2010" s="14" t="str">
        <f>IF('Boletins Nuppa Site'!J2010&lt;&gt;0,'Boletins Nuppa Site'!J2010,"NULL")</f>
        <v>27.5</v>
      </c>
      <c r="H2010" s="14" t="str">
        <f>IF('Boletins Nuppa Site'!K2010&lt;&gt;0,'Boletins Nuppa Site'!K2010,"NULL")</f>
        <v>27.5</v>
      </c>
      <c r="I2010" t="str">
        <f t="shared" si="62"/>
        <v>INSERT INTO COTACAO (cot_id, cot_blt_id, cot_pap_id, cot_prc_comum, cot_prc_min, cot_prc_max, cot_prc_med, cot_prc_mediana) VALUES (2009, 88, 19, 25, 25, 30, 27.5, 27.5);</v>
      </c>
      <c r="J2010" t="str">
        <f t="shared" si="63"/>
        <v>UPDATE COTACAO SET cot_id = 2009, cot_blt_id = 88, cot_pap_id = 19, cot_prc_comum = 25, cot_prc_min = 25, cot_prc_max = 30, cot_prc_med = 27.5, cot_prc_mediana = 27.5 WHERE cot_id = 2009;</v>
      </c>
    </row>
    <row r="2011" spans="1:10" x14ac:dyDescent="0.3">
      <c r="A2011">
        <v>2010</v>
      </c>
      <c r="B2011">
        <f>IF('Boletins Nuppa Site'!A2011&lt;&gt;0,'Boletins Nuppa Site'!A2011,"NULL")</f>
        <v>88</v>
      </c>
      <c r="C2011">
        <v>20</v>
      </c>
      <c r="D2011">
        <f>IF('Boletins Nuppa Site'!G2011&lt;&gt;0,'Boletins Nuppa Site'!G2011,"NULL")</f>
        <v>70</v>
      </c>
      <c r="E2011" s="14">
        <f>IF('Boletins Nuppa Site'!H2011&lt;&gt;0,'Boletins Nuppa Site'!H2011,"NULL")</f>
        <v>70</v>
      </c>
      <c r="F2011" s="14">
        <f>IF('Boletins Nuppa Site'!I2011&lt;&gt;0,'Boletins Nuppa Site'!I2011,"NULL")</f>
        <v>75</v>
      </c>
      <c r="G2011" s="14" t="str">
        <f>IF('Boletins Nuppa Site'!J2011&lt;&gt;0,'Boletins Nuppa Site'!J2011,"NULL")</f>
        <v>71.67</v>
      </c>
      <c r="H2011" s="14">
        <f>IF('Boletins Nuppa Site'!K2011&lt;&gt;0,'Boletins Nuppa Site'!K2011,"NULL")</f>
        <v>70</v>
      </c>
      <c r="I2011" t="str">
        <f t="shared" si="62"/>
        <v>INSERT INTO COTACAO (cot_id, cot_blt_id, cot_pap_id, cot_prc_comum, cot_prc_min, cot_prc_max, cot_prc_med, cot_prc_mediana) VALUES (2010, 88, 20, 70, 70, 75, 71.67, 70);</v>
      </c>
      <c r="J2011" t="str">
        <f t="shared" si="63"/>
        <v>UPDATE COTACAO SET cot_id = 2010, cot_blt_id = 88, cot_pap_id = 20, cot_prc_comum = 70, cot_prc_min = 70, cot_prc_max = 75, cot_prc_med = 71.67, cot_prc_mediana = 70 WHERE cot_id = 2010;</v>
      </c>
    </row>
    <row r="2012" spans="1:10" x14ac:dyDescent="0.3">
      <c r="A2012">
        <v>2011</v>
      </c>
      <c r="B2012">
        <f>IF('Boletins Nuppa Site'!A2012&lt;&gt;0,'Boletins Nuppa Site'!A2012,"NULL")</f>
        <v>88</v>
      </c>
      <c r="C2012">
        <v>21</v>
      </c>
      <c r="D2012">
        <f>IF('Boletins Nuppa Site'!G2012&lt;&gt;0,'Boletins Nuppa Site'!G2012,"NULL")</f>
        <v>50</v>
      </c>
      <c r="E2012" s="14">
        <f>IF('Boletins Nuppa Site'!H2012&lt;&gt;0,'Boletins Nuppa Site'!H2012,"NULL")</f>
        <v>50</v>
      </c>
      <c r="F2012" s="14">
        <f>IF('Boletins Nuppa Site'!I2012&lt;&gt;0,'Boletins Nuppa Site'!I2012,"NULL")</f>
        <v>60</v>
      </c>
      <c r="G2012" s="14" t="str">
        <f>IF('Boletins Nuppa Site'!J2012&lt;&gt;0,'Boletins Nuppa Site'!J2012,"NULL")</f>
        <v>53.33</v>
      </c>
      <c r="H2012" s="14">
        <f>IF('Boletins Nuppa Site'!K2012&lt;&gt;0,'Boletins Nuppa Site'!K2012,"NULL")</f>
        <v>50</v>
      </c>
      <c r="I2012" t="str">
        <f t="shared" si="62"/>
        <v>INSERT INTO COTACAO (cot_id, cot_blt_id, cot_pap_id, cot_prc_comum, cot_prc_min, cot_prc_max, cot_prc_med, cot_prc_mediana) VALUES (2011, 88, 21, 50, 50, 60, 53.33, 50);</v>
      </c>
      <c r="J2012" t="str">
        <f t="shared" si="63"/>
        <v>UPDATE COTACAO SET cot_id = 2011, cot_blt_id = 88, cot_pap_id = 21, cot_prc_comum = 50, cot_prc_min = 50, cot_prc_max = 60, cot_prc_med = 53.33, cot_prc_mediana = 50 WHERE cot_id = 2011;</v>
      </c>
    </row>
    <row r="2013" spans="1:10" x14ac:dyDescent="0.3">
      <c r="A2013">
        <v>2012</v>
      </c>
      <c r="B2013">
        <f>IF('Boletins Nuppa Site'!A2013&lt;&gt;0,'Boletins Nuppa Site'!A2013,"NULL")</f>
        <v>88</v>
      </c>
      <c r="C2013">
        <v>22</v>
      </c>
      <c r="D2013">
        <f>IF('Boletins Nuppa Site'!G2013&lt;&gt;0,'Boletins Nuppa Site'!G2013,"NULL")</f>
        <v>70</v>
      </c>
      <c r="E2013" s="14">
        <f>IF('Boletins Nuppa Site'!H2013&lt;&gt;0,'Boletins Nuppa Site'!H2013,"NULL")</f>
        <v>45</v>
      </c>
      <c r="F2013" s="14">
        <f>IF('Boletins Nuppa Site'!I2013&lt;&gt;0,'Boletins Nuppa Site'!I2013,"NULL")</f>
        <v>70</v>
      </c>
      <c r="G2013" s="14" t="str">
        <f>IF('Boletins Nuppa Site'!J2013&lt;&gt;0,'Boletins Nuppa Site'!J2013,"NULL")</f>
        <v>62.5</v>
      </c>
      <c r="H2013" s="14" t="str">
        <f>IF('Boletins Nuppa Site'!K2013&lt;&gt;0,'Boletins Nuppa Site'!K2013,"NULL")</f>
        <v>67.5</v>
      </c>
      <c r="I2013" t="str">
        <f t="shared" si="62"/>
        <v>INSERT INTO COTACAO (cot_id, cot_blt_id, cot_pap_id, cot_prc_comum, cot_prc_min, cot_prc_max, cot_prc_med, cot_prc_mediana) VALUES (2012, 88, 22, 70, 45, 70, 62.5, 67.5);</v>
      </c>
      <c r="J2013" t="str">
        <f t="shared" si="63"/>
        <v>UPDATE COTACAO SET cot_id = 2012, cot_blt_id = 88, cot_pap_id = 22, cot_prc_comum = 70, cot_prc_min = 45, cot_prc_max = 70, cot_prc_med = 62.5, cot_prc_mediana = 67.5 WHERE cot_id = 2012;</v>
      </c>
    </row>
    <row r="2014" spans="1:10" x14ac:dyDescent="0.3">
      <c r="A2014">
        <v>2013</v>
      </c>
      <c r="B2014">
        <f>IF('Boletins Nuppa Site'!A2014&lt;&gt;0,'Boletins Nuppa Site'!A2014,"NULL")</f>
        <v>88</v>
      </c>
      <c r="C2014">
        <v>23</v>
      </c>
      <c r="D2014" t="str">
        <f>IF('Boletins Nuppa Site'!G2014&lt;&gt;0,'Boletins Nuppa Site'!G2014,"NULL")</f>
        <v>NULL</v>
      </c>
      <c r="E2014" s="14">
        <f>IF('Boletins Nuppa Site'!H2014&lt;&gt;0,'Boletins Nuppa Site'!H2014,"NULL")</f>
        <v>40</v>
      </c>
      <c r="F2014" s="14">
        <f>IF('Boletins Nuppa Site'!I2014&lt;&gt;0,'Boletins Nuppa Site'!I2014,"NULL")</f>
        <v>65</v>
      </c>
      <c r="G2014" s="14" t="str">
        <f>IF('Boletins Nuppa Site'!J2014&lt;&gt;0,'Boletins Nuppa Site'!J2014,"NULL")</f>
        <v>53.75</v>
      </c>
      <c r="H2014" s="14">
        <f>IF('Boletins Nuppa Site'!K2014&lt;&gt;0,'Boletins Nuppa Site'!K2014,"NULL")</f>
        <v>55</v>
      </c>
      <c r="I2014" t="str">
        <f t="shared" si="62"/>
        <v>INSERT INTO COTACAO (cot_id, cot_blt_id, cot_pap_id, cot_prc_comum, cot_prc_min, cot_prc_max, cot_prc_med, cot_prc_mediana) VALUES (2013, 88, 23, NULL, 40, 65, 53.75, 55);</v>
      </c>
      <c r="J2014" t="str">
        <f t="shared" si="63"/>
        <v>UPDATE COTACAO SET cot_id = 2013, cot_blt_id = 88, cot_pap_id = 23, cot_prc_comum = NULL, cot_prc_min = 40, cot_prc_max = 65, cot_prc_med = 53.75, cot_prc_mediana = 55 WHERE cot_id = 2013;</v>
      </c>
    </row>
    <row r="2015" spans="1:10" x14ac:dyDescent="0.3">
      <c r="A2015">
        <v>2014</v>
      </c>
      <c r="B2015">
        <f>IF('Boletins Nuppa Site'!A2015&lt;&gt;0,'Boletins Nuppa Site'!A2015,"NULL")</f>
        <v>88</v>
      </c>
      <c r="C2015">
        <v>24</v>
      </c>
      <c r="D2015" t="str">
        <f>IF('Boletins Nuppa Site'!G2015&lt;&gt;0,'Boletins Nuppa Site'!G2015,"NULL")</f>
        <v>NULL</v>
      </c>
      <c r="E2015" s="14">
        <f>IF('Boletins Nuppa Site'!H2015&lt;&gt;0,'Boletins Nuppa Site'!H2015,"NULL")</f>
        <v>65</v>
      </c>
      <c r="F2015" s="14">
        <f>IF('Boletins Nuppa Site'!I2015&lt;&gt;0,'Boletins Nuppa Site'!I2015,"NULL")</f>
        <v>75</v>
      </c>
      <c r="G2015" s="14">
        <f>IF('Boletins Nuppa Site'!J2015&lt;&gt;0,'Boletins Nuppa Site'!J2015,"NULL")</f>
        <v>70</v>
      </c>
      <c r="H2015" s="14">
        <f>IF('Boletins Nuppa Site'!K2015&lt;&gt;0,'Boletins Nuppa Site'!K2015,"NULL")</f>
        <v>70</v>
      </c>
      <c r="I2015" t="str">
        <f t="shared" si="62"/>
        <v>INSERT INTO COTACAO (cot_id, cot_blt_id, cot_pap_id, cot_prc_comum, cot_prc_min, cot_prc_max, cot_prc_med, cot_prc_mediana) VALUES (2014, 88, 24, NULL, 65, 75, 70, 70);</v>
      </c>
      <c r="J2015" t="str">
        <f t="shared" si="63"/>
        <v>UPDATE COTACAO SET cot_id = 2014, cot_blt_id = 88, cot_pap_id = 24, cot_prc_comum = NULL, cot_prc_min = 65, cot_prc_max = 75, cot_prc_med = 70, cot_prc_mediana = 70 WHERE cot_id = 2014;</v>
      </c>
    </row>
    <row r="2016" spans="1:10" x14ac:dyDescent="0.3">
      <c r="A2016">
        <v>2015</v>
      </c>
      <c r="B2016">
        <f>IF('Boletins Nuppa Site'!A2016&lt;&gt;0,'Boletins Nuppa Site'!A2016,"NULL")</f>
        <v>88</v>
      </c>
      <c r="C2016">
        <v>25</v>
      </c>
      <c r="D2016">
        <f>IF('Boletins Nuppa Site'!G2016&lt;&gt;0,'Boletins Nuppa Site'!G2016,"NULL")</f>
        <v>60</v>
      </c>
      <c r="E2016" s="14">
        <f>IF('Boletins Nuppa Site'!H2016&lt;&gt;0,'Boletins Nuppa Site'!H2016,"NULL")</f>
        <v>50</v>
      </c>
      <c r="F2016" s="14">
        <f>IF('Boletins Nuppa Site'!I2016&lt;&gt;0,'Boletins Nuppa Site'!I2016,"NULL")</f>
        <v>60</v>
      </c>
      <c r="G2016" s="14">
        <f>IF('Boletins Nuppa Site'!J2016&lt;&gt;0,'Boletins Nuppa Site'!J2016,"NULL")</f>
        <v>55</v>
      </c>
      <c r="H2016" s="14">
        <f>IF('Boletins Nuppa Site'!K2016&lt;&gt;0,'Boletins Nuppa Site'!K2016,"NULL")</f>
        <v>55</v>
      </c>
      <c r="I2016" t="str">
        <f t="shared" si="62"/>
        <v>INSERT INTO COTACAO (cot_id, cot_blt_id, cot_pap_id, cot_prc_comum, cot_prc_min, cot_prc_max, cot_prc_med, cot_prc_mediana) VALUES (2015, 88, 25, 60, 50, 60, 55, 55);</v>
      </c>
      <c r="J2016" t="str">
        <f t="shared" si="63"/>
        <v>UPDATE COTACAO SET cot_id = 2015, cot_blt_id = 88, cot_pap_id = 25, cot_prc_comum = 60, cot_prc_min = 50, cot_prc_max = 60, cot_prc_med = 55, cot_prc_mediana = 55 WHERE cot_id = 2015;</v>
      </c>
    </row>
    <row r="2017" spans="1:10" x14ac:dyDescent="0.3">
      <c r="A2017">
        <v>2016</v>
      </c>
      <c r="B2017">
        <f>IF('Boletins Nuppa Site'!A2017&lt;&gt;0,'Boletins Nuppa Site'!A2017,"NULL")</f>
        <v>88</v>
      </c>
      <c r="C2017">
        <v>26</v>
      </c>
      <c r="D2017" t="str">
        <f>IF('Boletins Nuppa Site'!G2017&lt;&gt;0,'Boletins Nuppa Site'!G2017,"NULL")</f>
        <v>NULL</v>
      </c>
      <c r="E2017" s="14">
        <f>IF('Boletins Nuppa Site'!H2017&lt;&gt;0,'Boletins Nuppa Site'!H2017,"NULL")</f>
        <v>60</v>
      </c>
      <c r="F2017" s="14">
        <f>IF('Boletins Nuppa Site'!I2017&lt;&gt;0,'Boletins Nuppa Site'!I2017,"NULL")</f>
        <v>100</v>
      </c>
      <c r="G2017" s="14">
        <f>IF('Boletins Nuppa Site'!J2017&lt;&gt;0,'Boletins Nuppa Site'!J2017,"NULL")</f>
        <v>80</v>
      </c>
      <c r="H2017" s="14">
        <f>IF('Boletins Nuppa Site'!K2017&lt;&gt;0,'Boletins Nuppa Site'!K2017,"NULL")</f>
        <v>80</v>
      </c>
      <c r="I2017" t="str">
        <f t="shared" si="62"/>
        <v>INSERT INTO COTACAO (cot_id, cot_blt_id, cot_pap_id, cot_prc_comum, cot_prc_min, cot_prc_max, cot_prc_med, cot_prc_mediana) VALUES (2016, 88, 26, NULL, 60, 100, 80, 80);</v>
      </c>
      <c r="J2017" t="str">
        <f t="shared" si="63"/>
        <v>UPDATE COTACAO SET cot_id = 2016, cot_blt_id = 88, cot_pap_id = 26, cot_prc_comum = NULL, cot_prc_min = 60, cot_prc_max = 100, cot_prc_med = 80, cot_prc_mediana = 80 WHERE cot_id = 2016;</v>
      </c>
    </row>
    <row r="2018" spans="1:10" x14ac:dyDescent="0.3">
      <c r="A2018">
        <v>2017</v>
      </c>
      <c r="B2018">
        <f>IF('Boletins Nuppa Site'!A2018&lt;&gt;0,'Boletins Nuppa Site'!A2018,"NULL")</f>
        <v>88</v>
      </c>
      <c r="C2018">
        <v>27</v>
      </c>
      <c r="D2018" t="str">
        <f>IF('Boletins Nuppa Site'!G2018&lt;&gt;0,'Boletins Nuppa Site'!G2018,"NULL")</f>
        <v>NULL</v>
      </c>
      <c r="E2018" s="14">
        <f>IF('Boletins Nuppa Site'!H2018&lt;&gt;0,'Boletins Nuppa Site'!H2018,"NULL")</f>
        <v>45</v>
      </c>
      <c r="F2018" s="14">
        <f>IF('Boletins Nuppa Site'!I2018&lt;&gt;0,'Boletins Nuppa Site'!I2018,"NULL")</f>
        <v>90</v>
      </c>
      <c r="G2018" s="14" t="str">
        <f>IF('Boletins Nuppa Site'!J2018&lt;&gt;0,'Boletins Nuppa Site'!J2018,"NULL")</f>
        <v>63.75</v>
      </c>
      <c r="H2018" s="14">
        <f>IF('Boletins Nuppa Site'!K2018&lt;&gt;0,'Boletins Nuppa Site'!K2018,"NULL")</f>
        <v>60</v>
      </c>
      <c r="I2018" t="str">
        <f t="shared" si="62"/>
        <v>INSERT INTO COTACAO (cot_id, cot_blt_id, cot_pap_id, cot_prc_comum, cot_prc_min, cot_prc_max, cot_prc_med, cot_prc_mediana) VALUES (2017, 88, 27, NULL, 45, 90, 63.75, 60);</v>
      </c>
      <c r="J2018" t="str">
        <f t="shared" si="63"/>
        <v>UPDATE COTACAO SET cot_id = 2017, cot_blt_id = 88, cot_pap_id = 27, cot_prc_comum = NULL, cot_prc_min = 45, cot_prc_max = 90, cot_prc_med = 63.75, cot_prc_mediana = 60 WHERE cot_id = 2017;</v>
      </c>
    </row>
    <row r="2019" spans="1:10" x14ac:dyDescent="0.3">
      <c r="A2019">
        <v>2018</v>
      </c>
      <c r="B2019">
        <f>IF('Boletins Nuppa Site'!A2019&lt;&gt;0,'Boletins Nuppa Site'!A2019,"NULL")</f>
        <v>88</v>
      </c>
      <c r="C2019">
        <v>28</v>
      </c>
      <c r="D2019" t="str">
        <f>IF('Boletins Nuppa Site'!G2019&lt;&gt;0,'Boletins Nuppa Site'!G2019,"NULL")</f>
        <v>NULL</v>
      </c>
      <c r="E2019" s="14">
        <f>IF('Boletins Nuppa Site'!H2019&lt;&gt;0,'Boletins Nuppa Site'!H2019,"NULL")</f>
        <v>70</v>
      </c>
      <c r="F2019" s="14">
        <f>IF('Boletins Nuppa Site'!I2019&lt;&gt;0,'Boletins Nuppa Site'!I2019,"NULL")</f>
        <v>100</v>
      </c>
      <c r="G2019" s="14">
        <f>IF('Boletins Nuppa Site'!J2019&lt;&gt;0,'Boletins Nuppa Site'!J2019,"NULL")</f>
        <v>85</v>
      </c>
      <c r="H2019" s="14">
        <f>IF('Boletins Nuppa Site'!K2019&lt;&gt;0,'Boletins Nuppa Site'!K2019,"NULL")</f>
        <v>85</v>
      </c>
      <c r="I2019" t="str">
        <f t="shared" si="62"/>
        <v>INSERT INTO COTACAO (cot_id, cot_blt_id, cot_pap_id, cot_prc_comum, cot_prc_min, cot_prc_max, cot_prc_med, cot_prc_mediana) VALUES (2018, 88, 28, NULL, 70, 100, 85, 85);</v>
      </c>
      <c r="J2019" t="str">
        <f t="shared" si="63"/>
        <v>UPDATE COTACAO SET cot_id = 2018, cot_blt_id = 88, cot_pap_id = 28, cot_prc_comum = NULL, cot_prc_min = 70, cot_prc_max = 100, cot_prc_med = 85, cot_prc_mediana = 85 WHERE cot_id = 2018;</v>
      </c>
    </row>
    <row r="2020" spans="1:10" x14ac:dyDescent="0.3">
      <c r="A2020">
        <v>2019</v>
      </c>
      <c r="B2020">
        <f>IF('Boletins Nuppa Site'!A2020&lt;&gt;0,'Boletins Nuppa Site'!A2020,"NULL")</f>
        <v>88</v>
      </c>
      <c r="C2020">
        <v>29</v>
      </c>
      <c r="D2020" t="str">
        <f>IF('Boletins Nuppa Site'!G2020&lt;&gt;0,'Boletins Nuppa Site'!G2020,"NULL")</f>
        <v>NULL</v>
      </c>
      <c r="E2020" s="14">
        <f>IF('Boletins Nuppa Site'!H2020&lt;&gt;0,'Boletins Nuppa Site'!H2020,"NULL")</f>
        <v>50</v>
      </c>
      <c r="F2020" s="14">
        <f>IF('Boletins Nuppa Site'!I2020&lt;&gt;0,'Boletins Nuppa Site'!I2020,"NULL")</f>
        <v>75</v>
      </c>
      <c r="G2020" s="14" t="str">
        <f>IF('Boletins Nuppa Site'!J2020&lt;&gt;0,'Boletins Nuppa Site'!J2020,"NULL")</f>
        <v>62.5</v>
      </c>
      <c r="H2020" s="14" t="str">
        <f>IF('Boletins Nuppa Site'!K2020&lt;&gt;0,'Boletins Nuppa Site'!K2020,"NULL")</f>
        <v>62.5</v>
      </c>
      <c r="I2020" t="str">
        <f t="shared" si="62"/>
        <v>INSERT INTO COTACAO (cot_id, cot_blt_id, cot_pap_id, cot_prc_comum, cot_prc_min, cot_prc_max, cot_prc_med, cot_prc_mediana) VALUES (2019, 88, 29, NULL, 50, 75, 62.5, 62.5);</v>
      </c>
      <c r="J2020" t="str">
        <f t="shared" si="63"/>
        <v>UPDATE COTACAO SET cot_id = 2019, cot_blt_id = 88, cot_pap_id = 29, cot_prc_comum = NULL, cot_prc_min = 50, cot_prc_max = 75, cot_prc_med = 62.5, cot_prc_mediana = 62.5 WHERE cot_id = 2019;</v>
      </c>
    </row>
    <row r="2021" spans="1:10" x14ac:dyDescent="0.3">
      <c r="A2021">
        <v>2020</v>
      </c>
      <c r="B2021">
        <f>IF('Boletins Nuppa Site'!A2021&lt;&gt;0,'Boletins Nuppa Site'!A2021,"NULL")</f>
        <v>88</v>
      </c>
      <c r="C2021">
        <v>30</v>
      </c>
      <c r="D2021">
        <f>IF('Boletins Nuppa Site'!G2021&lt;&gt;0,'Boletins Nuppa Site'!G2021,"NULL")</f>
        <v>80</v>
      </c>
      <c r="E2021" s="14">
        <f>IF('Boletins Nuppa Site'!H2021&lt;&gt;0,'Boletins Nuppa Site'!H2021,"NULL")</f>
        <v>45</v>
      </c>
      <c r="F2021" s="14">
        <f>IF('Boletins Nuppa Site'!I2021&lt;&gt;0,'Boletins Nuppa Site'!I2021,"NULL")</f>
        <v>80</v>
      </c>
      <c r="G2021" s="14" t="str">
        <f>IF('Boletins Nuppa Site'!J2021&lt;&gt;0,'Boletins Nuppa Site'!J2021,"NULL")</f>
        <v>68.33</v>
      </c>
      <c r="H2021" s="14">
        <f>IF('Boletins Nuppa Site'!K2021&lt;&gt;0,'Boletins Nuppa Site'!K2021,"NULL")</f>
        <v>80</v>
      </c>
      <c r="I2021" t="str">
        <f t="shared" si="62"/>
        <v>INSERT INTO COTACAO (cot_id, cot_blt_id, cot_pap_id, cot_prc_comum, cot_prc_min, cot_prc_max, cot_prc_med, cot_prc_mediana) VALUES (2020, 88, 30, 80, 45, 80, 68.33, 80);</v>
      </c>
      <c r="J2021" t="str">
        <f t="shared" si="63"/>
        <v>UPDATE COTACAO SET cot_id = 2020, cot_blt_id = 88, cot_pap_id = 30, cot_prc_comum = 80, cot_prc_min = 45, cot_prc_max = 80, cot_prc_med = 68.33, cot_prc_mediana = 80 WHERE cot_id = 2020;</v>
      </c>
    </row>
    <row r="2022" spans="1:10" x14ac:dyDescent="0.3">
      <c r="A2022">
        <v>2021</v>
      </c>
      <c r="B2022">
        <f>IF('Boletins Nuppa Site'!A2022&lt;&gt;0,'Boletins Nuppa Site'!A2022,"NULL")</f>
        <v>88</v>
      </c>
      <c r="C2022">
        <v>31</v>
      </c>
      <c r="D2022">
        <f>IF('Boletins Nuppa Site'!G2022&lt;&gt;0,'Boletins Nuppa Site'!G2022,"NULL")</f>
        <v>90</v>
      </c>
      <c r="E2022" s="14">
        <f>IF('Boletins Nuppa Site'!H2022&lt;&gt;0,'Boletins Nuppa Site'!H2022,"NULL")</f>
        <v>80</v>
      </c>
      <c r="F2022" s="14">
        <f>IF('Boletins Nuppa Site'!I2022&lt;&gt;0,'Boletins Nuppa Site'!I2022,"NULL")</f>
        <v>120</v>
      </c>
      <c r="G2022" s="14">
        <f>IF('Boletins Nuppa Site'!J2022&lt;&gt;0,'Boletins Nuppa Site'!J2022,"NULL")</f>
        <v>95</v>
      </c>
      <c r="H2022" s="14">
        <f>IF('Boletins Nuppa Site'!K2022&lt;&gt;0,'Boletins Nuppa Site'!K2022,"NULL")</f>
        <v>90</v>
      </c>
      <c r="I2022" t="str">
        <f t="shared" si="62"/>
        <v>INSERT INTO COTACAO (cot_id, cot_blt_id, cot_pap_id, cot_prc_comum, cot_prc_min, cot_prc_max, cot_prc_med, cot_prc_mediana) VALUES (2021, 88, 31, 90, 80, 120, 95, 90);</v>
      </c>
      <c r="J2022" t="str">
        <f t="shared" si="63"/>
        <v>UPDATE COTACAO SET cot_id = 2021, cot_blt_id = 88, cot_pap_id = 31, cot_prc_comum = 90, cot_prc_min = 80, cot_prc_max = 120, cot_prc_med = 95, cot_prc_mediana = 90 WHERE cot_id = 2021;</v>
      </c>
    </row>
    <row r="2023" spans="1:10" x14ac:dyDescent="0.3">
      <c r="A2023">
        <v>2022</v>
      </c>
      <c r="B2023">
        <f>IF('Boletins Nuppa Site'!A2023&lt;&gt;0,'Boletins Nuppa Site'!A2023,"NULL")</f>
        <v>88</v>
      </c>
      <c r="C2023">
        <v>32</v>
      </c>
      <c r="D2023">
        <f>IF('Boletins Nuppa Site'!G2023&lt;&gt;0,'Boletins Nuppa Site'!G2023,"NULL")</f>
        <v>30</v>
      </c>
      <c r="E2023" s="14">
        <f>IF('Boletins Nuppa Site'!H2023&lt;&gt;0,'Boletins Nuppa Site'!H2023,"NULL")</f>
        <v>20</v>
      </c>
      <c r="F2023" s="14">
        <f>IF('Boletins Nuppa Site'!I2023&lt;&gt;0,'Boletins Nuppa Site'!I2023,"NULL")</f>
        <v>40</v>
      </c>
      <c r="G2023" s="14">
        <f>IF('Boletins Nuppa Site'!J2023&lt;&gt;0,'Boletins Nuppa Site'!J2023,"NULL")</f>
        <v>30</v>
      </c>
      <c r="H2023" s="14">
        <f>IF('Boletins Nuppa Site'!K2023&lt;&gt;0,'Boletins Nuppa Site'!K2023,"NULL")</f>
        <v>30</v>
      </c>
      <c r="I2023" t="str">
        <f t="shared" si="62"/>
        <v>INSERT INTO COTACAO (cot_id, cot_blt_id, cot_pap_id, cot_prc_comum, cot_prc_min, cot_prc_max, cot_prc_med, cot_prc_mediana) VALUES (2022, 88, 32, 30, 20, 40, 30, 30);</v>
      </c>
      <c r="J2023" t="str">
        <f t="shared" si="63"/>
        <v>UPDATE COTACAO SET cot_id = 2022, cot_blt_id = 88, cot_pap_id = 32, cot_prc_comum = 30, cot_prc_min = 20, cot_prc_max = 40, cot_prc_med = 30, cot_prc_mediana = 30 WHERE cot_id = 2022;</v>
      </c>
    </row>
    <row r="2024" spans="1:10" x14ac:dyDescent="0.3">
      <c r="A2024">
        <v>2023</v>
      </c>
      <c r="B2024">
        <f>IF('Boletins Nuppa Site'!A2024&lt;&gt;0,'Boletins Nuppa Site'!A2024,"NULL")</f>
        <v>88</v>
      </c>
      <c r="C2024">
        <v>33</v>
      </c>
      <c r="D2024">
        <f>IF('Boletins Nuppa Site'!G2024&lt;&gt;0,'Boletins Nuppa Site'!G2024,"NULL")</f>
        <v>90</v>
      </c>
      <c r="E2024" s="14">
        <f>IF('Boletins Nuppa Site'!H2024&lt;&gt;0,'Boletins Nuppa Site'!H2024,"NULL")</f>
        <v>50</v>
      </c>
      <c r="F2024" s="14">
        <f>IF('Boletins Nuppa Site'!I2024&lt;&gt;0,'Boletins Nuppa Site'!I2024,"NULL")</f>
        <v>90</v>
      </c>
      <c r="G2024" s="14" t="str">
        <f>IF('Boletins Nuppa Site'!J2024&lt;&gt;0,'Boletins Nuppa Site'!J2024,"NULL")</f>
        <v>78.75</v>
      </c>
      <c r="H2024" s="14" t="str">
        <f>IF('Boletins Nuppa Site'!K2024&lt;&gt;0,'Boletins Nuppa Site'!K2024,"NULL")</f>
        <v>87.5</v>
      </c>
      <c r="I2024" t="str">
        <f t="shared" si="62"/>
        <v>INSERT INTO COTACAO (cot_id, cot_blt_id, cot_pap_id, cot_prc_comum, cot_prc_min, cot_prc_max, cot_prc_med, cot_prc_mediana) VALUES (2023, 88, 33, 90, 50, 90, 78.75, 87.5);</v>
      </c>
      <c r="J2024" t="str">
        <f t="shared" si="63"/>
        <v>UPDATE COTACAO SET cot_id = 2023, cot_blt_id = 88, cot_pap_id = 33, cot_prc_comum = 90, cot_prc_min = 50, cot_prc_max = 90, cot_prc_med = 78.75, cot_prc_mediana = 87.5 WHERE cot_id = 2023;</v>
      </c>
    </row>
    <row r="2025" spans="1:10" x14ac:dyDescent="0.3">
      <c r="A2025">
        <v>2024</v>
      </c>
      <c r="B2025">
        <f>IF('Boletins Nuppa Site'!A2025&lt;&gt;0,'Boletins Nuppa Site'!A2025,"NULL")</f>
        <v>88</v>
      </c>
      <c r="C2025">
        <v>34</v>
      </c>
      <c r="D2025" t="str">
        <f>IF('Boletins Nuppa Site'!G2025&lt;&gt;0,'Boletins Nuppa Site'!G2025,"NULL")</f>
        <v>-</v>
      </c>
      <c r="E2025" s="14">
        <f>IF('Boletins Nuppa Site'!H2025&lt;&gt;0,'Boletins Nuppa Site'!H2025,"NULL")</f>
        <v>60</v>
      </c>
      <c r="F2025" s="14">
        <f>IF('Boletins Nuppa Site'!I2025&lt;&gt;0,'Boletins Nuppa Site'!I2025,"NULL")</f>
        <v>120</v>
      </c>
      <c r="G2025" s="14" t="str">
        <f>IF('Boletins Nuppa Site'!J2025&lt;&gt;0,'Boletins Nuppa Site'!J2025,"NULL")</f>
        <v>92.5</v>
      </c>
      <c r="H2025" s="14">
        <f>IF('Boletins Nuppa Site'!K2025&lt;&gt;0,'Boletins Nuppa Site'!K2025,"NULL")</f>
        <v>95</v>
      </c>
      <c r="I2025" t="str">
        <f t="shared" si="62"/>
        <v>INSERT INTO COTACAO (cot_id, cot_blt_id, cot_pap_id, cot_prc_comum, cot_prc_min, cot_prc_max, cot_prc_med, cot_prc_mediana) VALUES (2024, 88, 34, -, 60, 120, 92.5, 95);</v>
      </c>
      <c r="J2025" t="str">
        <f t="shared" si="63"/>
        <v>UPDATE COTACAO SET cot_id = 2024, cot_blt_id = 88, cot_pap_id = 34, cot_prc_comum = -, cot_prc_min = 60, cot_prc_max = 120, cot_prc_med = 92.5, cot_prc_mediana = 95 WHERE cot_id = 2024;</v>
      </c>
    </row>
    <row r="2026" spans="1:10" x14ac:dyDescent="0.3">
      <c r="A2026">
        <v>2025</v>
      </c>
      <c r="B2026">
        <f>IF('Boletins Nuppa Site'!A2026&lt;&gt;0,'Boletins Nuppa Site'!A2026,"NULL")</f>
        <v>88</v>
      </c>
      <c r="C2026">
        <v>35</v>
      </c>
      <c r="D2026">
        <f>IF('Boletins Nuppa Site'!G2026&lt;&gt;0,'Boletins Nuppa Site'!G2026,"NULL")</f>
        <v>50</v>
      </c>
      <c r="E2026" s="14">
        <f>IF('Boletins Nuppa Site'!H2026&lt;&gt;0,'Boletins Nuppa Site'!H2026,"NULL")</f>
        <v>50</v>
      </c>
      <c r="F2026" s="14">
        <f>IF('Boletins Nuppa Site'!I2026&lt;&gt;0,'Boletins Nuppa Site'!I2026,"NULL")</f>
        <v>70</v>
      </c>
      <c r="G2026" s="14" t="str">
        <f>IF('Boletins Nuppa Site'!J2026&lt;&gt;0,'Boletins Nuppa Site'!J2026,"NULL")</f>
        <v>56.67</v>
      </c>
      <c r="H2026" s="14">
        <f>IF('Boletins Nuppa Site'!K2026&lt;&gt;0,'Boletins Nuppa Site'!K2026,"NULL")</f>
        <v>50</v>
      </c>
      <c r="I2026" t="str">
        <f t="shared" si="62"/>
        <v>INSERT INTO COTACAO (cot_id, cot_blt_id, cot_pap_id, cot_prc_comum, cot_prc_min, cot_prc_max, cot_prc_med, cot_prc_mediana) VALUES (2025, 88, 35, 50, 50, 70, 56.67, 50);</v>
      </c>
      <c r="J2026" t="str">
        <f t="shared" si="63"/>
        <v>UPDATE COTACAO SET cot_id = 2025, cot_blt_id = 88, cot_pap_id = 35, cot_prc_comum = 50, cot_prc_min = 50, cot_prc_max = 70, cot_prc_med = 56.67, cot_prc_mediana = 50 WHERE cot_id = 2025;</v>
      </c>
    </row>
    <row r="2027" spans="1:10" x14ac:dyDescent="0.3">
      <c r="A2027">
        <v>2026</v>
      </c>
      <c r="B2027">
        <f>IF('Boletins Nuppa Site'!A2027&lt;&gt;0,'Boletins Nuppa Site'!A2027,"NULL")</f>
        <v>88</v>
      </c>
      <c r="C2027">
        <v>36</v>
      </c>
      <c r="D2027" t="str">
        <f>IF('Boletins Nuppa Site'!G2027&lt;&gt;0,'Boletins Nuppa Site'!G2027,"NULL")</f>
        <v>NULL</v>
      </c>
      <c r="E2027" s="14" t="str">
        <f>IF('Boletins Nuppa Site'!H2027&lt;&gt;0,'Boletins Nuppa Site'!H2027,"NULL")</f>
        <v>NULL</v>
      </c>
      <c r="F2027" s="14" t="str">
        <f>IF('Boletins Nuppa Site'!I2027&lt;&gt;0,'Boletins Nuppa Site'!I2027,"NULL")</f>
        <v>NULL</v>
      </c>
      <c r="G2027" s="14" t="str">
        <f>IF('Boletins Nuppa Site'!J2027&lt;&gt;0,'Boletins Nuppa Site'!J2027,"NULL")</f>
        <v>NULL</v>
      </c>
      <c r="H2027" s="14" t="str">
        <f>IF('Boletins Nuppa Site'!K2027&lt;&gt;0,'Boletins Nuppa Site'!K2027,"NULL")</f>
        <v>NULL</v>
      </c>
      <c r="I2027" t="str">
        <f t="shared" si="62"/>
        <v>INSERT INTO COTACAO (cot_id, cot_blt_id, cot_pap_id, cot_prc_comum, cot_prc_min, cot_prc_max, cot_prc_med, cot_prc_mediana) VALUES (2026, 88, 36, NULL, NULL, NULL, NULL, NULL);</v>
      </c>
      <c r="J2027" t="str">
        <f t="shared" si="63"/>
        <v>UPDATE COTACAO SET cot_id = 2026, cot_blt_id = 88, cot_pap_id = 36, cot_prc_comum = NULL, cot_prc_min = NULL, cot_prc_max = NULL, cot_prc_med = NULL, cot_prc_mediana = NULL WHERE cot_id = 2026;</v>
      </c>
    </row>
    <row r="2028" spans="1:10" x14ac:dyDescent="0.3">
      <c r="A2028">
        <v>2027</v>
      </c>
      <c r="B2028">
        <f>IF('Boletins Nuppa Site'!A2028&lt;&gt;0,'Boletins Nuppa Site'!A2028,"NULL")</f>
        <v>88</v>
      </c>
      <c r="C2028">
        <v>37</v>
      </c>
      <c r="D2028" t="str">
        <f>IF('Boletins Nuppa Site'!G2028&lt;&gt;0,'Boletins Nuppa Site'!G2028,"NULL")</f>
        <v>NULL</v>
      </c>
      <c r="E2028" s="14" t="str">
        <f>IF('Boletins Nuppa Site'!H2028&lt;&gt;0,'Boletins Nuppa Site'!H2028,"NULL")</f>
        <v>NULL</v>
      </c>
      <c r="F2028" s="14" t="str">
        <f>IF('Boletins Nuppa Site'!I2028&lt;&gt;0,'Boletins Nuppa Site'!I2028,"NULL")</f>
        <v>NULL</v>
      </c>
      <c r="G2028" s="14" t="str">
        <f>IF('Boletins Nuppa Site'!J2028&lt;&gt;0,'Boletins Nuppa Site'!J2028,"NULL")</f>
        <v>NULL</v>
      </c>
      <c r="H2028" s="14" t="str">
        <f>IF('Boletins Nuppa Site'!K2028&lt;&gt;0,'Boletins Nuppa Site'!K2028,"NULL")</f>
        <v>NULL</v>
      </c>
      <c r="I2028" t="str">
        <f t="shared" si="62"/>
        <v>INSERT INTO COTACAO (cot_id, cot_blt_id, cot_pap_id, cot_prc_comum, cot_prc_min, cot_prc_max, cot_prc_med, cot_prc_mediana) VALUES (2027, 88, 37, NULL, NULL, NULL, NULL, NULL);</v>
      </c>
      <c r="J2028" t="str">
        <f t="shared" si="63"/>
        <v>UPDATE COTACAO SET cot_id = 2027, cot_blt_id = 88, cot_pap_id = 37, cot_prc_comum = NULL, cot_prc_min = NULL, cot_prc_max = NULL, cot_prc_med = NULL, cot_prc_mediana = NULL WHERE cot_id = 2027;</v>
      </c>
    </row>
    <row r="2029" spans="1:10" x14ac:dyDescent="0.3">
      <c r="A2029">
        <v>2028</v>
      </c>
      <c r="B2029">
        <f>IF('Boletins Nuppa Site'!A2029&lt;&gt;0,'Boletins Nuppa Site'!A2029,"NULL")</f>
        <v>88</v>
      </c>
      <c r="C2029">
        <v>38</v>
      </c>
      <c r="D2029" t="str">
        <f>IF('Boletins Nuppa Site'!G2029&lt;&gt;0,'Boletins Nuppa Site'!G2029,"NULL")</f>
        <v>NULL</v>
      </c>
      <c r="E2029" s="14" t="str">
        <f>IF('Boletins Nuppa Site'!H2029&lt;&gt;0,'Boletins Nuppa Site'!H2029,"NULL")</f>
        <v>NULL</v>
      </c>
      <c r="F2029" s="14" t="str">
        <f>IF('Boletins Nuppa Site'!I2029&lt;&gt;0,'Boletins Nuppa Site'!I2029,"NULL")</f>
        <v>NULL</v>
      </c>
      <c r="G2029" s="14" t="str">
        <f>IF('Boletins Nuppa Site'!J2029&lt;&gt;0,'Boletins Nuppa Site'!J2029,"NULL")</f>
        <v>NULL</v>
      </c>
      <c r="H2029" s="14" t="str">
        <f>IF('Boletins Nuppa Site'!K2029&lt;&gt;0,'Boletins Nuppa Site'!K2029,"NULL")</f>
        <v>NULL</v>
      </c>
      <c r="I2029" t="str">
        <f t="shared" si="62"/>
        <v>INSERT INTO COTACAO (cot_id, cot_blt_id, cot_pap_id, cot_prc_comum, cot_prc_min, cot_prc_max, cot_prc_med, cot_prc_mediana) VALUES (2028, 88, 38, NULL, NULL, NULL, NULL, NULL);</v>
      </c>
      <c r="J2029" t="str">
        <f t="shared" si="63"/>
        <v>UPDATE COTACAO SET cot_id = 2028, cot_blt_id = 88, cot_pap_id = 38, cot_prc_comum = NULL, cot_prc_min = NULL, cot_prc_max = NULL, cot_prc_med = NULL, cot_prc_mediana = NULL WHERE cot_id = 2028;</v>
      </c>
    </row>
    <row r="2030" spans="1:10" x14ac:dyDescent="0.3">
      <c r="A2030">
        <v>2029</v>
      </c>
      <c r="B2030">
        <f>IF('Boletins Nuppa Site'!A2030&lt;&gt;0,'Boletins Nuppa Site'!A2030,"NULL")</f>
        <v>88</v>
      </c>
      <c r="C2030">
        <v>39</v>
      </c>
      <c r="D2030" t="str">
        <f>IF('Boletins Nuppa Site'!G2030&lt;&gt;0,'Boletins Nuppa Site'!G2030,"NULL")</f>
        <v>NULL</v>
      </c>
      <c r="E2030" s="14" t="str">
        <f>IF('Boletins Nuppa Site'!H2030&lt;&gt;0,'Boletins Nuppa Site'!H2030,"NULL")</f>
        <v>NULL</v>
      </c>
      <c r="F2030" s="14" t="str">
        <f>IF('Boletins Nuppa Site'!I2030&lt;&gt;0,'Boletins Nuppa Site'!I2030,"NULL")</f>
        <v>NULL</v>
      </c>
      <c r="G2030" s="14" t="str">
        <f>IF('Boletins Nuppa Site'!J2030&lt;&gt;0,'Boletins Nuppa Site'!J2030,"NULL")</f>
        <v>NULL</v>
      </c>
      <c r="H2030" s="14" t="str">
        <f>IF('Boletins Nuppa Site'!K2030&lt;&gt;0,'Boletins Nuppa Site'!K2030,"NULL")</f>
        <v>NULL</v>
      </c>
      <c r="I2030" t="str">
        <f t="shared" si="62"/>
        <v>INSERT INTO COTACAO (cot_id, cot_blt_id, cot_pap_id, cot_prc_comum, cot_prc_min, cot_prc_max, cot_prc_med, cot_prc_mediana) VALUES (2029, 88, 39, NULL, NULL, NULL, NULL, NULL);</v>
      </c>
      <c r="J2030" t="str">
        <f t="shared" si="63"/>
        <v>UPDATE COTACAO SET cot_id = 2029, cot_blt_id = 88, cot_pap_id = 39, cot_prc_comum = NULL, cot_prc_min = NULL, cot_prc_max = NULL, cot_prc_med = NULL, cot_prc_mediana = NULL WHERE cot_id = 2029;</v>
      </c>
    </row>
    <row r="2031" spans="1:10" x14ac:dyDescent="0.3">
      <c r="A2031">
        <v>2030</v>
      </c>
      <c r="B2031">
        <f>IF('Boletins Nuppa Site'!A2031&lt;&gt;0,'Boletins Nuppa Site'!A2031,"NULL")</f>
        <v>88</v>
      </c>
      <c r="C2031">
        <v>40</v>
      </c>
      <c r="D2031" t="str">
        <f>IF('Boletins Nuppa Site'!G2031&lt;&gt;0,'Boletins Nuppa Site'!G2031,"NULL")</f>
        <v>NULL</v>
      </c>
      <c r="E2031" s="14" t="str">
        <f>IF('Boletins Nuppa Site'!H2031&lt;&gt;0,'Boletins Nuppa Site'!H2031,"NULL")</f>
        <v>NULL</v>
      </c>
      <c r="F2031" s="14" t="str">
        <f>IF('Boletins Nuppa Site'!I2031&lt;&gt;0,'Boletins Nuppa Site'!I2031,"NULL")</f>
        <v>NULL</v>
      </c>
      <c r="G2031" s="14" t="str">
        <f>IF('Boletins Nuppa Site'!J2031&lt;&gt;0,'Boletins Nuppa Site'!J2031,"NULL")</f>
        <v>NULL</v>
      </c>
      <c r="H2031" s="14" t="str">
        <f>IF('Boletins Nuppa Site'!K2031&lt;&gt;0,'Boletins Nuppa Site'!K2031,"NULL")</f>
        <v>NULL</v>
      </c>
      <c r="I2031" t="str">
        <f t="shared" si="62"/>
        <v>INSERT INTO COTACAO (cot_id, cot_blt_id, cot_pap_id, cot_prc_comum, cot_prc_min, cot_prc_max, cot_prc_med, cot_prc_mediana) VALUES (2030, 88, 40, NULL, NULL, NULL, NULL, NULL);</v>
      </c>
      <c r="J2031" t="str">
        <f t="shared" si="63"/>
        <v>UPDATE COTACAO SET cot_id = 2030, cot_blt_id = 88, cot_pap_id = 40, cot_prc_comum = NULL, cot_prc_min = NULL, cot_prc_max = NULL, cot_prc_med = NULL, cot_prc_mediana = NULL WHERE cot_id = 2030;</v>
      </c>
    </row>
    <row r="2032" spans="1:10" x14ac:dyDescent="0.3">
      <c r="A2032">
        <v>2031</v>
      </c>
      <c r="B2032">
        <f>IF('Boletins Nuppa Site'!A2032&lt;&gt;0,'Boletins Nuppa Site'!A2032,"NULL")</f>
        <v>89</v>
      </c>
      <c r="C2032">
        <v>1</v>
      </c>
      <c r="D2032" t="str">
        <f>IF('Boletins Nuppa Site'!G2032&lt;&gt;0,'Boletins Nuppa Site'!G2032,"NULL")</f>
        <v xml:space="preserve"> 60.00</v>
      </c>
      <c r="E2032" s="14" t="str">
        <f>IF('Boletins Nuppa Site'!H2032&lt;&gt;0,'Boletins Nuppa Site'!H2032,"NULL")</f>
        <v xml:space="preserve"> 60.00</v>
      </c>
      <c r="F2032" s="14" t="str">
        <f>IF('Boletins Nuppa Site'!I2032&lt;&gt;0,'Boletins Nuppa Site'!I2032,"NULL")</f>
        <v xml:space="preserve"> 72.00</v>
      </c>
      <c r="G2032" s="14" t="str">
        <f>IF('Boletins Nuppa Site'!J2032&lt;&gt;0,'Boletins Nuppa Site'!J2032,"NULL")</f>
        <v xml:space="preserve"> 64.00</v>
      </c>
      <c r="H2032" s="14" t="str">
        <f>IF('Boletins Nuppa Site'!K2032&lt;&gt;0,'Boletins Nuppa Site'!K2032,"NULL")</f>
        <v xml:space="preserve"> 60.00</v>
      </c>
      <c r="I2032" t="str">
        <f t="shared" si="62"/>
        <v>INSERT INTO COTACAO (cot_id, cot_blt_id, cot_pap_id, cot_prc_comum, cot_prc_min, cot_prc_max, cot_prc_med, cot_prc_mediana) VALUES (2031, 89, 1,  60.00,  60.00,  72.00,  64.00,  60.00);</v>
      </c>
      <c r="J2032" t="str">
        <f t="shared" si="63"/>
        <v>UPDATE COTACAO SET cot_id = 2031, cot_blt_id = 89, cot_pap_id = 1, cot_prc_comum =  60.00, cot_prc_min =  60.00, cot_prc_max =  72.00, cot_prc_med =  64.00, cot_prc_mediana =  60.00 WHERE cot_id = 2031;</v>
      </c>
    </row>
    <row r="2033" spans="1:10" x14ac:dyDescent="0.3">
      <c r="A2033">
        <v>2032</v>
      </c>
      <c r="B2033">
        <f>IF('Boletins Nuppa Site'!A2033&lt;&gt;0,'Boletins Nuppa Site'!A2033,"NULL")</f>
        <v>89</v>
      </c>
      <c r="C2033">
        <v>2</v>
      </c>
      <c r="D2033" t="str">
        <f>IF('Boletins Nuppa Site'!G2033&lt;&gt;0,'Boletins Nuppa Site'!G2033,"NULL")</f>
        <v xml:space="preserve"> 84.00</v>
      </c>
      <c r="E2033" s="14" t="str">
        <f>IF('Boletins Nuppa Site'!H2033&lt;&gt;0,'Boletins Nuppa Site'!H2033,"NULL")</f>
        <v xml:space="preserve"> 84.00</v>
      </c>
      <c r="F2033" s="14" t="str">
        <f>IF('Boletins Nuppa Site'!I2033&lt;&gt;0,'Boletins Nuppa Site'!I2033,"NULL")</f>
        <v xml:space="preserve"> 96.00</v>
      </c>
      <c r="G2033" s="14" t="str">
        <f>IF('Boletins Nuppa Site'!J2033&lt;&gt;0,'Boletins Nuppa Site'!J2033,"NULL")</f>
        <v xml:space="preserve"> 88.00</v>
      </c>
      <c r="H2033" s="14" t="str">
        <f>IF('Boletins Nuppa Site'!K2033&lt;&gt;0,'Boletins Nuppa Site'!K2033,"NULL")</f>
        <v xml:space="preserve"> 84.00</v>
      </c>
      <c r="I2033" t="str">
        <f t="shared" si="62"/>
        <v>INSERT INTO COTACAO (cot_id, cot_blt_id, cot_pap_id, cot_prc_comum, cot_prc_min, cot_prc_max, cot_prc_med, cot_prc_mediana) VALUES (2032, 89, 2,  84.00,  84.00,  96.00,  88.00,  84.00);</v>
      </c>
      <c r="J2033" t="str">
        <f t="shared" si="63"/>
        <v>UPDATE COTACAO SET cot_id = 2032, cot_blt_id = 89, cot_pap_id = 2, cot_prc_comum =  84.00, cot_prc_min =  84.00, cot_prc_max =  96.00, cot_prc_med =  88.00, cot_prc_mediana =  84.00 WHERE cot_id = 2032;</v>
      </c>
    </row>
    <row r="2034" spans="1:10" x14ac:dyDescent="0.3">
      <c r="A2034">
        <v>2033</v>
      </c>
      <c r="B2034">
        <f>IF('Boletins Nuppa Site'!A2034&lt;&gt;0,'Boletins Nuppa Site'!A2034,"NULL")</f>
        <v>89</v>
      </c>
      <c r="C2034">
        <v>3</v>
      </c>
      <c r="D2034" t="str">
        <f>IF('Boletins Nuppa Site'!G2034&lt;&gt;0,'Boletins Nuppa Site'!G2034,"NULL")</f>
        <v>NULL</v>
      </c>
      <c r="E2034" s="14" t="str">
        <f>IF('Boletins Nuppa Site'!H2034&lt;&gt;0,'Boletins Nuppa Site'!H2034,"NULL")</f>
        <v xml:space="preserve"> 40.00</v>
      </c>
      <c r="F2034" s="14" t="str">
        <f>IF('Boletins Nuppa Site'!I2034&lt;&gt;0,'Boletins Nuppa Site'!I2034,"NULL")</f>
        <v xml:space="preserve"> 60.00</v>
      </c>
      <c r="G2034" s="14" t="str">
        <f>IF('Boletins Nuppa Site'!J2034&lt;&gt;0,'Boletins Nuppa Site'!J2034,"NULL")</f>
        <v xml:space="preserve"> 46.75</v>
      </c>
      <c r="H2034" s="14" t="str">
        <f>IF('Boletins Nuppa Site'!K2034&lt;&gt;0,'Boletins Nuppa Site'!K2034,"NULL")</f>
        <v xml:space="preserve"> 43.50</v>
      </c>
      <c r="I2034" t="str">
        <f t="shared" si="62"/>
        <v>INSERT INTO COTACAO (cot_id, cot_blt_id, cot_pap_id, cot_prc_comum, cot_prc_min, cot_prc_max, cot_prc_med, cot_prc_mediana) VALUES (2033, 89, 3, NULL,  40.00,  60.00,  46.75,  43.50);</v>
      </c>
      <c r="J2034" t="str">
        <f t="shared" si="63"/>
        <v>UPDATE COTACAO SET cot_id = 2033, cot_blt_id = 89, cot_pap_id = 3, cot_prc_comum = NULL, cot_prc_min =  40.00, cot_prc_max =  60.00, cot_prc_med =  46.75, cot_prc_mediana =  43.50 WHERE cot_id = 2033;</v>
      </c>
    </row>
    <row r="2035" spans="1:10" x14ac:dyDescent="0.3">
      <c r="A2035">
        <v>2034</v>
      </c>
      <c r="B2035">
        <f>IF('Boletins Nuppa Site'!A2035&lt;&gt;0,'Boletins Nuppa Site'!A2035,"NULL")</f>
        <v>89</v>
      </c>
      <c r="C2035">
        <v>4</v>
      </c>
      <c r="D2035" t="str">
        <f>IF('Boletins Nuppa Site'!G2035&lt;&gt;0,'Boletins Nuppa Site'!G2035,"NULL")</f>
        <v>NULL</v>
      </c>
      <c r="E2035" s="14" t="str">
        <f>IF('Boletins Nuppa Site'!H2035&lt;&gt;0,'Boletins Nuppa Site'!H2035,"NULL")</f>
        <v xml:space="preserve"> 20.00</v>
      </c>
      <c r="F2035" s="14" t="str">
        <f>IF('Boletins Nuppa Site'!I2035&lt;&gt;0,'Boletins Nuppa Site'!I2035,"NULL")</f>
        <v xml:space="preserve"> 48.00</v>
      </c>
      <c r="G2035" s="14" t="str">
        <f>IF('Boletins Nuppa Site'!J2035&lt;&gt;0,'Boletins Nuppa Site'!J2035,"NULL")</f>
        <v xml:space="preserve"> 30.50</v>
      </c>
      <c r="H2035" s="14" t="str">
        <f>IF('Boletins Nuppa Site'!K2035&lt;&gt;0,'Boletins Nuppa Site'!K2035,"NULL")</f>
        <v xml:space="preserve"> 27.00</v>
      </c>
      <c r="I2035" t="str">
        <f t="shared" si="62"/>
        <v>INSERT INTO COTACAO (cot_id, cot_blt_id, cot_pap_id, cot_prc_comum, cot_prc_min, cot_prc_max, cot_prc_med, cot_prc_mediana) VALUES (2034, 89, 4, NULL,  20.00,  48.00,  30.50,  27.00);</v>
      </c>
      <c r="J2035" t="str">
        <f t="shared" si="63"/>
        <v>UPDATE COTACAO SET cot_id = 2034, cot_blt_id = 89, cot_pap_id = 4, cot_prc_comum = NULL, cot_prc_min =  20.00, cot_prc_max =  48.00, cot_prc_med =  30.50, cot_prc_mediana =  27.00 WHERE cot_id = 2034;</v>
      </c>
    </row>
    <row r="2036" spans="1:10" x14ac:dyDescent="0.3">
      <c r="A2036">
        <v>2035</v>
      </c>
      <c r="B2036">
        <f>IF('Boletins Nuppa Site'!A2036&lt;&gt;0,'Boletins Nuppa Site'!A2036,"NULL")</f>
        <v>89</v>
      </c>
      <c r="C2036">
        <v>5</v>
      </c>
      <c r="D2036" t="str">
        <f>IF('Boletins Nuppa Site'!G2036&lt;&gt;0,'Boletins Nuppa Site'!G2036,"NULL")</f>
        <v>NULL</v>
      </c>
      <c r="E2036" s="14" t="str">
        <f>IF('Boletins Nuppa Site'!H2036&lt;&gt;0,'Boletins Nuppa Site'!H2036,"NULL")</f>
        <v xml:space="preserve"> 20.00</v>
      </c>
      <c r="F2036" s="14" t="str">
        <f>IF('Boletins Nuppa Site'!I2036&lt;&gt;0,'Boletins Nuppa Site'!I2036,"NULL")</f>
        <v xml:space="preserve"> 48.00</v>
      </c>
      <c r="G2036" s="14" t="str">
        <f>IF('Boletins Nuppa Site'!J2036&lt;&gt;0,'Boletins Nuppa Site'!J2036,"NULL")</f>
        <v xml:space="preserve"> 30.50</v>
      </c>
      <c r="H2036" s="14" t="str">
        <f>IF('Boletins Nuppa Site'!K2036&lt;&gt;0,'Boletins Nuppa Site'!K2036,"NULL")</f>
        <v xml:space="preserve"> 27.00</v>
      </c>
      <c r="I2036" t="str">
        <f t="shared" si="62"/>
        <v>INSERT INTO COTACAO (cot_id, cot_blt_id, cot_pap_id, cot_prc_comum, cot_prc_min, cot_prc_max, cot_prc_med, cot_prc_mediana) VALUES (2035, 89, 5, NULL,  20.00,  48.00,  30.50,  27.00);</v>
      </c>
      <c r="J2036" t="str">
        <f t="shared" si="63"/>
        <v>UPDATE COTACAO SET cot_id = 2035, cot_blt_id = 89, cot_pap_id = 5, cot_prc_comum = NULL, cot_prc_min =  20.00, cot_prc_max =  48.00, cot_prc_med =  30.50, cot_prc_mediana =  27.00 WHERE cot_id = 2035;</v>
      </c>
    </row>
    <row r="2037" spans="1:10" x14ac:dyDescent="0.3">
      <c r="A2037">
        <v>2036</v>
      </c>
      <c r="B2037">
        <f>IF('Boletins Nuppa Site'!A2037&lt;&gt;0,'Boletins Nuppa Site'!A2037,"NULL")</f>
        <v>89</v>
      </c>
      <c r="C2037">
        <v>6</v>
      </c>
      <c r="D2037" t="str">
        <f>IF('Boletins Nuppa Site'!G2037&lt;&gt;0,'Boletins Nuppa Site'!G2037,"NULL")</f>
        <v xml:space="preserve"> 60.00</v>
      </c>
      <c r="E2037" s="14" t="str">
        <f>IF('Boletins Nuppa Site'!H2037&lt;&gt;0,'Boletins Nuppa Site'!H2037,"NULL")</f>
        <v xml:space="preserve"> 60.00</v>
      </c>
      <c r="F2037" s="14" t="str">
        <f>IF('Boletins Nuppa Site'!I2037&lt;&gt;0,'Boletins Nuppa Site'!I2037,"NULL")</f>
        <v xml:space="preserve"> 66.00</v>
      </c>
      <c r="G2037" s="14" t="str">
        <f>IF('Boletins Nuppa Site'!J2037&lt;&gt;0,'Boletins Nuppa Site'!J2037,"NULL")</f>
        <v xml:space="preserve"> 62.00</v>
      </c>
      <c r="H2037" s="14" t="str">
        <f>IF('Boletins Nuppa Site'!K2037&lt;&gt;0,'Boletins Nuppa Site'!K2037,"NULL")</f>
        <v xml:space="preserve"> 60.00</v>
      </c>
      <c r="I2037" t="str">
        <f t="shared" si="62"/>
        <v>INSERT INTO COTACAO (cot_id, cot_blt_id, cot_pap_id, cot_prc_comum, cot_prc_min, cot_prc_max, cot_prc_med, cot_prc_mediana) VALUES (2036, 89, 6,  60.00,  60.00,  66.00,  62.00,  60.00);</v>
      </c>
      <c r="J2037" t="str">
        <f t="shared" si="63"/>
        <v>UPDATE COTACAO SET cot_id = 2036, cot_blt_id = 89, cot_pap_id = 6, cot_prc_comum =  60.00, cot_prc_min =  60.00, cot_prc_max =  66.00, cot_prc_med =  62.00, cot_prc_mediana =  60.00 WHERE cot_id = 2036;</v>
      </c>
    </row>
    <row r="2038" spans="1:10" x14ac:dyDescent="0.3">
      <c r="A2038">
        <v>2037</v>
      </c>
      <c r="B2038">
        <f>IF('Boletins Nuppa Site'!A2038&lt;&gt;0,'Boletins Nuppa Site'!A2038,"NULL")</f>
        <v>89</v>
      </c>
      <c r="C2038">
        <v>7</v>
      </c>
      <c r="D2038" t="str">
        <f>IF('Boletins Nuppa Site'!G2038&lt;&gt;0,'Boletins Nuppa Site'!G2038,"NULL")</f>
        <v xml:space="preserve"> 78.00</v>
      </c>
      <c r="E2038" s="14" t="str">
        <f>IF('Boletins Nuppa Site'!H2038&lt;&gt;0,'Boletins Nuppa Site'!H2038,"NULL")</f>
        <v xml:space="preserve"> 72.00</v>
      </c>
      <c r="F2038" s="14" t="str">
        <f>IF('Boletins Nuppa Site'!I2038&lt;&gt;0,'Boletins Nuppa Site'!I2038,"NULL")</f>
        <v xml:space="preserve"> 78.00</v>
      </c>
      <c r="G2038" s="14" t="str">
        <f>IF('Boletins Nuppa Site'!J2038&lt;&gt;0,'Boletins Nuppa Site'!J2038,"NULL")</f>
        <v xml:space="preserve"> 76.00</v>
      </c>
      <c r="H2038" s="14" t="str">
        <f>IF('Boletins Nuppa Site'!K2038&lt;&gt;0,'Boletins Nuppa Site'!K2038,"NULL")</f>
        <v xml:space="preserve"> 78.00</v>
      </c>
      <c r="I2038" t="str">
        <f t="shared" si="62"/>
        <v>INSERT INTO COTACAO (cot_id, cot_blt_id, cot_pap_id, cot_prc_comum, cot_prc_min, cot_prc_max, cot_prc_med, cot_prc_mediana) VALUES (2037, 89, 7,  78.00,  72.00,  78.00,  76.00,  78.00);</v>
      </c>
      <c r="J2038" t="str">
        <f t="shared" si="63"/>
        <v>UPDATE COTACAO SET cot_id = 2037, cot_blt_id = 89, cot_pap_id = 7, cot_prc_comum =  78.00, cot_prc_min =  72.00, cot_prc_max =  78.00, cot_prc_med =  76.00, cot_prc_mediana =  78.00 WHERE cot_id = 2037;</v>
      </c>
    </row>
    <row r="2039" spans="1:10" x14ac:dyDescent="0.3">
      <c r="A2039">
        <v>2038</v>
      </c>
      <c r="B2039">
        <f>IF('Boletins Nuppa Site'!A2039&lt;&gt;0,'Boletins Nuppa Site'!A2039,"NULL")</f>
        <v>89</v>
      </c>
      <c r="C2039">
        <v>8</v>
      </c>
      <c r="D2039" t="str">
        <f>IF('Boletins Nuppa Site'!G2039&lt;&gt;0,'Boletins Nuppa Site'!G2039,"NULL")</f>
        <v xml:space="preserve"> 84.00</v>
      </c>
      <c r="E2039" s="14" t="str">
        <f>IF('Boletins Nuppa Site'!H2039&lt;&gt;0,'Boletins Nuppa Site'!H2039,"NULL")</f>
        <v xml:space="preserve"> 84.00</v>
      </c>
      <c r="F2039" s="14" t="str">
        <f>IF('Boletins Nuppa Site'!I2039&lt;&gt;0,'Boletins Nuppa Site'!I2039,"NULL")</f>
        <v xml:space="preserve"> 84.00</v>
      </c>
      <c r="G2039" s="14" t="str">
        <f>IF('Boletins Nuppa Site'!J2039&lt;&gt;0,'Boletins Nuppa Site'!J2039,"NULL")</f>
        <v xml:space="preserve"> 84.00</v>
      </c>
      <c r="H2039" s="14" t="str">
        <f>IF('Boletins Nuppa Site'!K2039&lt;&gt;0,'Boletins Nuppa Site'!K2039,"NULL")</f>
        <v xml:space="preserve"> 84.00</v>
      </c>
      <c r="I2039" t="str">
        <f t="shared" si="62"/>
        <v>INSERT INTO COTACAO (cot_id, cot_blt_id, cot_pap_id, cot_prc_comum, cot_prc_min, cot_prc_max, cot_prc_med, cot_prc_mediana) VALUES (2038, 89, 8,  84.00,  84.00,  84.00,  84.00,  84.00);</v>
      </c>
      <c r="J2039" t="str">
        <f t="shared" si="63"/>
        <v>UPDATE COTACAO SET cot_id = 2038, cot_blt_id = 89, cot_pap_id = 8, cot_prc_comum =  84.00, cot_prc_min =  84.00, cot_prc_max =  84.00, cot_prc_med =  84.00, cot_prc_mediana =  84.00 WHERE cot_id = 2038;</v>
      </c>
    </row>
    <row r="2040" spans="1:10" x14ac:dyDescent="0.3">
      <c r="A2040">
        <v>2039</v>
      </c>
      <c r="B2040">
        <f>IF('Boletins Nuppa Site'!A2040&lt;&gt;0,'Boletins Nuppa Site'!A2040,"NULL")</f>
        <v>89</v>
      </c>
      <c r="C2040">
        <v>9</v>
      </c>
      <c r="D2040" t="str">
        <f>IF('Boletins Nuppa Site'!G2040&lt;&gt;0,'Boletins Nuppa Site'!G2040,"NULL")</f>
        <v xml:space="preserve"> 24.00</v>
      </c>
      <c r="E2040" s="14" t="str">
        <f>IF('Boletins Nuppa Site'!H2040&lt;&gt;0,'Boletins Nuppa Site'!H2040,"NULL")</f>
        <v xml:space="preserve"> 24.00</v>
      </c>
      <c r="F2040" s="14" t="str">
        <f>IF('Boletins Nuppa Site'!I2040&lt;&gt;0,'Boletins Nuppa Site'!I2040,"NULL")</f>
        <v xml:space="preserve"> 30.00</v>
      </c>
      <c r="G2040" s="14" t="str">
        <f>IF('Boletins Nuppa Site'!J2040&lt;&gt;0,'Boletins Nuppa Site'!J2040,"NULL")</f>
        <v xml:space="preserve"> 25.75</v>
      </c>
      <c r="H2040" s="14" t="str">
        <f>IF('Boletins Nuppa Site'!K2040&lt;&gt;0,'Boletins Nuppa Site'!K2040,"NULL")</f>
        <v xml:space="preserve"> 24.50</v>
      </c>
      <c r="I2040" t="str">
        <f t="shared" si="62"/>
        <v>INSERT INTO COTACAO (cot_id, cot_blt_id, cot_pap_id, cot_prc_comum, cot_prc_min, cot_prc_max, cot_prc_med, cot_prc_mediana) VALUES (2039, 89, 9,  24.00,  24.00,  30.00,  25.75,  24.50);</v>
      </c>
      <c r="J2040" t="str">
        <f t="shared" si="63"/>
        <v>UPDATE COTACAO SET cot_id = 2039, cot_blt_id = 89, cot_pap_id = 9, cot_prc_comum =  24.00, cot_prc_min =  24.00, cot_prc_max =  30.00, cot_prc_med =  25.75, cot_prc_mediana =  24.50 WHERE cot_id = 2039;</v>
      </c>
    </row>
    <row r="2041" spans="1:10" x14ac:dyDescent="0.3">
      <c r="A2041">
        <v>2040</v>
      </c>
      <c r="B2041">
        <f>IF('Boletins Nuppa Site'!A2041&lt;&gt;0,'Boletins Nuppa Site'!A2041,"NULL")</f>
        <v>89</v>
      </c>
      <c r="C2041">
        <v>10</v>
      </c>
      <c r="D2041" t="str">
        <f>IF('Boletins Nuppa Site'!G2041&lt;&gt;0,'Boletins Nuppa Site'!G2041,"NULL")</f>
        <v>NULL</v>
      </c>
      <c r="E2041" s="14" t="str">
        <f>IF('Boletins Nuppa Site'!H2041&lt;&gt;0,'Boletins Nuppa Site'!H2041,"NULL")</f>
        <v xml:space="preserve"> 72.00</v>
      </c>
      <c r="F2041" s="14" t="str">
        <f>IF('Boletins Nuppa Site'!I2041&lt;&gt;0,'Boletins Nuppa Site'!I2041,"NULL")</f>
        <v xml:space="preserve"> 90.00</v>
      </c>
      <c r="G2041" s="14" t="str">
        <f>IF('Boletins Nuppa Site'!J2041&lt;&gt;0,'Boletins Nuppa Site'!J2041,"NULL")</f>
        <v xml:space="preserve"> 82.00</v>
      </c>
      <c r="H2041" s="14" t="str">
        <f>IF('Boletins Nuppa Site'!K2041&lt;&gt;0,'Boletins Nuppa Site'!K2041,"NULL")</f>
        <v xml:space="preserve"> 84.00</v>
      </c>
      <c r="I2041" t="str">
        <f t="shared" si="62"/>
        <v>INSERT INTO COTACAO (cot_id, cot_blt_id, cot_pap_id, cot_prc_comum, cot_prc_min, cot_prc_max, cot_prc_med, cot_prc_mediana) VALUES (2040, 89, 10, NULL,  72.00,  90.00,  82.00,  84.00);</v>
      </c>
      <c r="J2041" t="str">
        <f t="shared" si="63"/>
        <v>UPDATE COTACAO SET cot_id = 2040, cot_blt_id = 89, cot_pap_id = 10, cot_prc_comum = NULL, cot_prc_min =  72.00, cot_prc_max =  90.00, cot_prc_med =  82.00, cot_prc_mediana =  84.00 WHERE cot_id = 2040;</v>
      </c>
    </row>
    <row r="2042" spans="1:10" x14ac:dyDescent="0.3">
      <c r="A2042">
        <v>2041</v>
      </c>
      <c r="B2042">
        <f>IF('Boletins Nuppa Site'!A2042&lt;&gt;0,'Boletins Nuppa Site'!A2042,"NULL")</f>
        <v>89</v>
      </c>
      <c r="C2042">
        <v>11</v>
      </c>
      <c r="D2042" t="str">
        <f>IF('Boletins Nuppa Site'!G2042&lt;&gt;0,'Boletins Nuppa Site'!G2042,"NULL")</f>
        <v xml:space="preserve"> 20.00</v>
      </c>
      <c r="E2042" s="14" t="str">
        <f>IF('Boletins Nuppa Site'!H2042&lt;&gt;0,'Boletins Nuppa Site'!H2042,"NULL")</f>
        <v xml:space="preserve"> 24.00</v>
      </c>
      <c r="F2042" s="14" t="str">
        <f>IF('Boletins Nuppa Site'!I2042&lt;&gt;0,'Boletins Nuppa Site'!I2042,"NULL")</f>
        <v xml:space="preserve"> 30.00</v>
      </c>
      <c r="G2042" s="14" t="str">
        <f>IF('Boletins Nuppa Site'!J2042&lt;&gt;0,'Boletins Nuppa Site'!J2042,"NULL")</f>
        <v xml:space="preserve"> 24.50</v>
      </c>
      <c r="H2042" s="14" t="str">
        <f>IF('Boletins Nuppa Site'!K2042&lt;&gt;0,'Boletins Nuppa Site'!K2042,"NULL")</f>
        <v xml:space="preserve"> 24.00</v>
      </c>
      <c r="I2042" t="str">
        <f t="shared" si="62"/>
        <v>INSERT INTO COTACAO (cot_id, cot_blt_id, cot_pap_id, cot_prc_comum, cot_prc_min, cot_prc_max, cot_prc_med, cot_prc_mediana) VALUES (2041, 89, 11,  20.00,  24.00,  30.00,  24.50,  24.00);</v>
      </c>
      <c r="J2042" t="str">
        <f t="shared" si="63"/>
        <v>UPDATE COTACAO SET cot_id = 2041, cot_blt_id = 89, cot_pap_id = 11, cot_prc_comum =  20.00, cot_prc_min =  24.00, cot_prc_max =  30.00, cot_prc_med =  24.50, cot_prc_mediana =  24.00 WHERE cot_id = 2041;</v>
      </c>
    </row>
    <row r="2043" spans="1:10" x14ac:dyDescent="0.3">
      <c r="A2043">
        <v>2042</v>
      </c>
      <c r="B2043">
        <f>IF('Boletins Nuppa Site'!A2043&lt;&gt;0,'Boletins Nuppa Site'!A2043,"NULL")</f>
        <v>89</v>
      </c>
      <c r="C2043">
        <v>12</v>
      </c>
      <c r="D2043" t="str">
        <f>IF('Boletins Nuppa Site'!G2043&lt;&gt;0,'Boletins Nuppa Site'!G2043,"NULL")</f>
        <v xml:space="preserve"> 60.00</v>
      </c>
      <c r="E2043" s="14" t="str">
        <f>IF('Boletins Nuppa Site'!H2043&lt;&gt;0,'Boletins Nuppa Site'!H2043,"NULL")</f>
        <v xml:space="preserve"> 72.00</v>
      </c>
      <c r="F2043" s="14" t="str">
        <f>IF('Boletins Nuppa Site'!I2043&lt;&gt;0,'Boletins Nuppa Site'!I2043,"NULL")</f>
        <v xml:space="preserve"> 72.00</v>
      </c>
      <c r="G2043" s="14" t="str">
        <f>IF('Boletins Nuppa Site'!J2043&lt;&gt;0,'Boletins Nuppa Site'!J2043,"NULL")</f>
        <v xml:space="preserve"> 68.00</v>
      </c>
      <c r="H2043" s="14" t="str">
        <f>IF('Boletins Nuppa Site'!K2043&lt;&gt;0,'Boletins Nuppa Site'!K2043,"NULL")</f>
        <v xml:space="preserve"> 72.00</v>
      </c>
      <c r="I2043" t="str">
        <f t="shared" si="62"/>
        <v>INSERT INTO COTACAO (cot_id, cot_blt_id, cot_pap_id, cot_prc_comum, cot_prc_min, cot_prc_max, cot_prc_med, cot_prc_mediana) VALUES (2042, 89, 12,  60.00,  72.00,  72.00,  68.00,  72.00);</v>
      </c>
      <c r="J2043" t="str">
        <f t="shared" si="63"/>
        <v>UPDATE COTACAO SET cot_id = 2042, cot_blt_id = 89, cot_pap_id = 12, cot_prc_comum =  60.00, cot_prc_min =  72.00, cot_prc_max =  72.00, cot_prc_med =  68.00, cot_prc_mediana =  72.00 WHERE cot_id = 2042;</v>
      </c>
    </row>
    <row r="2044" spans="1:10" x14ac:dyDescent="0.3">
      <c r="A2044">
        <v>2043</v>
      </c>
      <c r="B2044">
        <f>IF('Boletins Nuppa Site'!A2044&lt;&gt;0,'Boletins Nuppa Site'!A2044,"NULL")</f>
        <v>89</v>
      </c>
      <c r="C2044">
        <v>13</v>
      </c>
      <c r="D2044" t="str">
        <f>IF('Boletins Nuppa Site'!G2044&lt;&gt;0,'Boletins Nuppa Site'!G2044,"NULL")</f>
        <v xml:space="preserve"> 72.00</v>
      </c>
      <c r="E2044" s="14" t="str">
        <f>IF('Boletins Nuppa Site'!H2044&lt;&gt;0,'Boletins Nuppa Site'!H2044,"NULL")</f>
        <v xml:space="preserve"> 72.00</v>
      </c>
      <c r="F2044" s="14" t="str">
        <f>IF('Boletins Nuppa Site'!I2044&lt;&gt;0,'Boletins Nuppa Site'!I2044,"NULL")</f>
        <v xml:space="preserve"> 72.00</v>
      </c>
      <c r="G2044" s="14" t="str">
        <f>IF('Boletins Nuppa Site'!J2044&lt;&gt;0,'Boletins Nuppa Site'!J2044,"NULL")</f>
        <v xml:space="preserve"> 72.00</v>
      </c>
      <c r="H2044" s="14" t="str">
        <f>IF('Boletins Nuppa Site'!K2044&lt;&gt;0,'Boletins Nuppa Site'!K2044,"NULL")</f>
        <v xml:space="preserve"> 72.00</v>
      </c>
      <c r="I2044" t="str">
        <f t="shared" si="62"/>
        <v>INSERT INTO COTACAO (cot_id, cot_blt_id, cot_pap_id, cot_prc_comum, cot_prc_min, cot_prc_max, cot_prc_med, cot_prc_mediana) VALUES (2043, 89, 13,  72.00,  72.00,  72.00,  72.00,  72.00);</v>
      </c>
      <c r="J2044" t="str">
        <f t="shared" si="63"/>
        <v>UPDATE COTACAO SET cot_id = 2043, cot_blt_id = 89, cot_pap_id = 13, cot_prc_comum =  72.00, cot_prc_min =  72.00, cot_prc_max =  72.00, cot_prc_med =  72.00, cot_prc_mediana =  72.00 WHERE cot_id = 2043;</v>
      </c>
    </row>
    <row r="2045" spans="1:10" x14ac:dyDescent="0.3">
      <c r="A2045">
        <v>2044</v>
      </c>
      <c r="B2045">
        <f>IF('Boletins Nuppa Site'!A2045&lt;&gt;0,'Boletins Nuppa Site'!A2045,"NULL")</f>
        <v>89</v>
      </c>
      <c r="C2045">
        <v>14</v>
      </c>
      <c r="D2045" t="str">
        <f>IF('Boletins Nuppa Site'!G2045&lt;&gt;0,'Boletins Nuppa Site'!G2045,"NULL")</f>
        <v>NULL</v>
      </c>
      <c r="E2045" s="14" t="str">
        <f>IF('Boletins Nuppa Site'!H2045&lt;&gt;0,'Boletins Nuppa Site'!H2045,"NULL")</f>
        <v xml:space="preserve"> 60.00</v>
      </c>
      <c r="F2045" s="14" t="str">
        <f>IF('Boletins Nuppa Site'!I2045&lt;&gt;0,'Boletins Nuppa Site'!I2045,"NULL")</f>
        <v xml:space="preserve"> 78.00</v>
      </c>
      <c r="G2045" s="14" t="str">
        <f>IF('Boletins Nuppa Site'!J2045&lt;&gt;0,'Boletins Nuppa Site'!J2045,"NULL")</f>
        <v xml:space="preserve"> 67.67</v>
      </c>
      <c r="H2045" s="14" t="str">
        <f>IF('Boletins Nuppa Site'!K2045&lt;&gt;0,'Boletins Nuppa Site'!K2045,"NULL")</f>
        <v xml:space="preserve"> 65.00</v>
      </c>
      <c r="I2045" t="str">
        <f t="shared" si="62"/>
        <v>INSERT INTO COTACAO (cot_id, cot_blt_id, cot_pap_id, cot_prc_comum, cot_prc_min, cot_prc_max, cot_prc_med, cot_prc_mediana) VALUES (2044, 89, 14, NULL,  60.00,  78.00,  67.67,  65.00);</v>
      </c>
      <c r="J2045" t="str">
        <f t="shared" si="63"/>
        <v>UPDATE COTACAO SET cot_id = 2044, cot_blt_id = 89, cot_pap_id = 14, cot_prc_comum = NULL, cot_prc_min =  60.00, cot_prc_max =  78.00, cot_prc_med =  67.67, cot_prc_mediana =  65.00 WHERE cot_id = 2044;</v>
      </c>
    </row>
    <row r="2046" spans="1:10" x14ac:dyDescent="0.3">
      <c r="A2046">
        <v>2045</v>
      </c>
      <c r="B2046">
        <f>IF('Boletins Nuppa Site'!A2046&lt;&gt;0,'Boletins Nuppa Site'!A2046,"NULL")</f>
        <v>89</v>
      </c>
      <c r="C2046">
        <v>15</v>
      </c>
      <c r="D2046" t="str">
        <f>IF('Boletins Nuppa Site'!G2046&lt;&gt;0,'Boletins Nuppa Site'!G2046,"NULL")</f>
        <v xml:space="preserve"> 45.00</v>
      </c>
      <c r="E2046" s="14" t="str">
        <f>IF('Boletins Nuppa Site'!H2046&lt;&gt;0,'Boletins Nuppa Site'!H2046,"NULL")</f>
        <v xml:space="preserve"> 45.00</v>
      </c>
      <c r="F2046" s="14" t="str">
        <f>IF('Boletins Nuppa Site'!I2046&lt;&gt;0,'Boletins Nuppa Site'!I2046,"NULL")</f>
        <v xml:space="preserve"> 48.00</v>
      </c>
      <c r="G2046" s="14" t="str">
        <f>IF('Boletins Nuppa Site'!J2046&lt;&gt;0,'Boletins Nuppa Site'!J2046,"NULL")</f>
        <v xml:space="preserve"> 46.00</v>
      </c>
      <c r="H2046" s="14" t="str">
        <f>IF('Boletins Nuppa Site'!K2046&lt;&gt;0,'Boletins Nuppa Site'!K2046,"NULL")</f>
        <v xml:space="preserve"> 45.00</v>
      </c>
      <c r="I2046" t="str">
        <f t="shared" si="62"/>
        <v>INSERT INTO COTACAO (cot_id, cot_blt_id, cot_pap_id, cot_prc_comum, cot_prc_min, cot_prc_max, cot_prc_med, cot_prc_mediana) VALUES (2045, 89, 15,  45.00,  45.00,  48.00,  46.00,  45.00);</v>
      </c>
      <c r="J2046" t="str">
        <f t="shared" si="63"/>
        <v>UPDATE COTACAO SET cot_id = 2045, cot_blt_id = 89, cot_pap_id = 15, cot_prc_comum =  45.00, cot_prc_min =  45.00, cot_prc_max =  48.00, cot_prc_med =  46.00, cot_prc_mediana =  45.00 WHERE cot_id = 2045;</v>
      </c>
    </row>
    <row r="2047" spans="1:10" x14ac:dyDescent="0.3">
      <c r="A2047">
        <v>2046</v>
      </c>
      <c r="B2047">
        <f>IF('Boletins Nuppa Site'!A2047&lt;&gt;0,'Boletins Nuppa Site'!A2047,"NULL")</f>
        <v>89</v>
      </c>
      <c r="C2047">
        <v>16</v>
      </c>
      <c r="D2047" t="str">
        <f>IF('Boletins Nuppa Site'!G2047&lt;&gt;0,'Boletins Nuppa Site'!G2047,"NULL")</f>
        <v xml:space="preserve"> 48.00</v>
      </c>
      <c r="E2047" s="14" t="str">
        <f>IF('Boletins Nuppa Site'!H2047&lt;&gt;0,'Boletins Nuppa Site'!H2047,"NULL")</f>
        <v xml:space="preserve"> 54.00</v>
      </c>
      <c r="F2047" s="14" t="str">
        <f>IF('Boletins Nuppa Site'!I2047&lt;&gt;0,'Boletins Nuppa Site'!I2047,"NULL")</f>
        <v xml:space="preserve"> 60.00</v>
      </c>
      <c r="G2047" s="14" t="str">
        <f>IF('Boletins Nuppa Site'!J2047&lt;&gt;0,'Boletins Nuppa Site'!J2047,"NULL")</f>
        <v xml:space="preserve"> 54.00</v>
      </c>
      <c r="H2047" s="14" t="str">
        <f>IF('Boletins Nuppa Site'!K2047&lt;&gt;0,'Boletins Nuppa Site'!K2047,"NULL")</f>
        <v xml:space="preserve"> 54.00</v>
      </c>
      <c r="I2047" t="str">
        <f t="shared" si="62"/>
        <v>INSERT INTO COTACAO (cot_id, cot_blt_id, cot_pap_id, cot_prc_comum, cot_prc_min, cot_prc_max, cot_prc_med, cot_prc_mediana) VALUES (2046, 89, 16,  48.00,  54.00,  60.00,  54.00,  54.00);</v>
      </c>
      <c r="J2047" t="str">
        <f t="shared" si="63"/>
        <v>UPDATE COTACAO SET cot_id = 2046, cot_blt_id = 89, cot_pap_id = 16, cot_prc_comum =  48.00, cot_prc_min =  54.00, cot_prc_max =  60.00, cot_prc_med =  54.00, cot_prc_mediana =  54.00 WHERE cot_id = 2046;</v>
      </c>
    </row>
    <row r="2048" spans="1:10" x14ac:dyDescent="0.3">
      <c r="A2048">
        <v>2047</v>
      </c>
      <c r="B2048">
        <f>IF('Boletins Nuppa Site'!A2048&lt;&gt;0,'Boletins Nuppa Site'!A2048,"NULL")</f>
        <v>89</v>
      </c>
      <c r="C2048">
        <v>17</v>
      </c>
      <c r="D2048" t="str">
        <f>IF('Boletins Nuppa Site'!G2048&lt;&gt;0,'Boletins Nuppa Site'!G2048,"NULL")</f>
        <v xml:space="preserve"> 5.00</v>
      </c>
      <c r="E2048" s="14" t="str">
        <f>IF('Boletins Nuppa Site'!H2048&lt;&gt;0,'Boletins Nuppa Site'!H2048,"NULL")</f>
        <v xml:space="preserve"> 5.00</v>
      </c>
      <c r="F2048" s="14" t="str">
        <f>IF('Boletins Nuppa Site'!I2048&lt;&gt;0,'Boletins Nuppa Site'!I2048,"NULL")</f>
        <v xml:space="preserve"> 5.00</v>
      </c>
      <c r="G2048" s="14" t="str">
        <f>IF('Boletins Nuppa Site'!J2048&lt;&gt;0,'Boletins Nuppa Site'!J2048,"NULL")</f>
        <v xml:space="preserve"> 5.00</v>
      </c>
      <c r="H2048" s="14" t="str">
        <f>IF('Boletins Nuppa Site'!K2048&lt;&gt;0,'Boletins Nuppa Site'!K2048,"NULL")</f>
        <v xml:space="preserve"> 5.00</v>
      </c>
      <c r="I2048" t="str">
        <f t="shared" si="62"/>
        <v>INSERT INTO COTACAO (cot_id, cot_blt_id, cot_pap_id, cot_prc_comum, cot_prc_min, cot_prc_max, cot_prc_med, cot_prc_mediana) VALUES (2047, 89, 17,  5.00,  5.00,  5.00,  5.00,  5.00);</v>
      </c>
      <c r="J2048" t="str">
        <f t="shared" si="63"/>
        <v>UPDATE COTACAO SET cot_id = 2047, cot_blt_id = 89, cot_pap_id = 17, cot_prc_comum =  5.00, cot_prc_min =  5.00, cot_prc_max =  5.00, cot_prc_med =  5.00, cot_prc_mediana =  5.00 WHERE cot_id = 2047;</v>
      </c>
    </row>
    <row r="2049" spans="1:10" x14ac:dyDescent="0.3">
      <c r="A2049">
        <v>2048</v>
      </c>
      <c r="B2049">
        <f>IF('Boletins Nuppa Site'!A2049&lt;&gt;0,'Boletins Nuppa Site'!A2049,"NULL")</f>
        <v>89</v>
      </c>
      <c r="C2049">
        <v>18</v>
      </c>
      <c r="D2049" t="str">
        <f>IF('Boletins Nuppa Site'!G2049&lt;&gt;0,'Boletins Nuppa Site'!G2049,"NULL")</f>
        <v xml:space="preserve"> 20.00</v>
      </c>
      <c r="E2049" s="14" t="str">
        <f>IF('Boletins Nuppa Site'!H2049&lt;&gt;0,'Boletins Nuppa Site'!H2049,"NULL")</f>
        <v xml:space="preserve"> 25.00</v>
      </c>
      <c r="F2049" s="14" t="str">
        <f>IF('Boletins Nuppa Site'!I2049&lt;&gt;0,'Boletins Nuppa Site'!I2049,"NULL")</f>
        <v xml:space="preserve"> 25.00</v>
      </c>
      <c r="G2049" s="14" t="str">
        <f>IF('Boletins Nuppa Site'!J2049&lt;&gt;0,'Boletins Nuppa Site'!J2049,"NULL")</f>
        <v xml:space="preserve"> 22.50</v>
      </c>
      <c r="H2049" s="14" t="str">
        <f>IF('Boletins Nuppa Site'!K2049&lt;&gt;0,'Boletins Nuppa Site'!K2049,"NULL")</f>
        <v xml:space="preserve"> 22.50</v>
      </c>
      <c r="I2049" t="str">
        <f t="shared" si="62"/>
        <v>INSERT INTO COTACAO (cot_id, cot_blt_id, cot_pap_id, cot_prc_comum, cot_prc_min, cot_prc_max, cot_prc_med, cot_prc_mediana) VALUES (2048, 89, 18,  20.00,  25.00,  25.00,  22.50,  22.50);</v>
      </c>
      <c r="J2049" t="str">
        <f t="shared" si="63"/>
        <v>UPDATE COTACAO SET cot_id = 2048, cot_blt_id = 89, cot_pap_id = 18, cot_prc_comum =  20.00, cot_prc_min =  25.00, cot_prc_max =  25.00, cot_prc_med =  22.50, cot_prc_mediana =  22.50 WHERE cot_id = 2048;</v>
      </c>
    </row>
    <row r="2050" spans="1:10" x14ac:dyDescent="0.3">
      <c r="A2050">
        <v>2049</v>
      </c>
      <c r="B2050">
        <f>IF('Boletins Nuppa Site'!A2050&lt;&gt;0,'Boletins Nuppa Site'!A2050,"NULL")</f>
        <v>89</v>
      </c>
      <c r="C2050">
        <v>19</v>
      </c>
      <c r="D2050" t="str">
        <f>IF('Boletins Nuppa Site'!G2050&lt;&gt;0,'Boletins Nuppa Site'!G2050,"NULL")</f>
        <v xml:space="preserve"> 25.00</v>
      </c>
      <c r="E2050" s="14" t="str">
        <f>IF('Boletins Nuppa Site'!H2050&lt;&gt;0,'Boletins Nuppa Site'!H2050,"NULL")</f>
        <v xml:space="preserve"> 25.00</v>
      </c>
      <c r="F2050" s="14" t="str">
        <f>IF('Boletins Nuppa Site'!I2050&lt;&gt;0,'Boletins Nuppa Site'!I2050,"NULL")</f>
        <v xml:space="preserve"> 35.00</v>
      </c>
      <c r="G2050" s="14" t="str">
        <f>IF('Boletins Nuppa Site'!J2050&lt;&gt;0,'Boletins Nuppa Site'!J2050,"NULL")</f>
        <v xml:space="preserve"> 28.75</v>
      </c>
      <c r="H2050" s="14" t="str">
        <f>IF('Boletins Nuppa Site'!K2050&lt;&gt;0,'Boletins Nuppa Site'!K2050,"NULL")</f>
        <v xml:space="preserve"> 27.50</v>
      </c>
      <c r="I2050" t="str">
        <f t="shared" si="62"/>
        <v>INSERT INTO COTACAO (cot_id, cot_blt_id, cot_pap_id, cot_prc_comum, cot_prc_min, cot_prc_max, cot_prc_med, cot_prc_mediana) VALUES (2049, 89, 19,  25.00,  25.00,  35.00,  28.75,  27.50);</v>
      </c>
      <c r="J2050" t="str">
        <f t="shared" si="63"/>
        <v>UPDATE COTACAO SET cot_id = 2049, cot_blt_id = 89, cot_pap_id = 19, cot_prc_comum =  25.00, cot_prc_min =  25.00, cot_prc_max =  35.00, cot_prc_med =  28.75, cot_prc_mediana =  27.50 WHERE cot_id = 2049;</v>
      </c>
    </row>
    <row r="2051" spans="1:10" x14ac:dyDescent="0.3">
      <c r="A2051">
        <v>2050</v>
      </c>
      <c r="B2051">
        <f>IF('Boletins Nuppa Site'!A2051&lt;&gt;0,'Boletins Nuppa Site'!A2051,"NULL")</f>
        <v>89</v>
      </c>
      <c r="C2051">
        <v>20</v>
      </c>
      <c r="D2051" t="str">
        <f>IF('Boletins Nuppa Site'!G2051&lt;&gt;0,'Boletins Nuppa Site'!G2051,"NULL")</f>
        <v>NULL</v>
      </c>
      <c r="E2051" s="14" t="str">
        <f>IF('Boletins Nuppa Site'!H2051&lt;&gt;0,'Boletins Nuppa Site'!H2051,"NULL")</f>
        <v xml:space="preserve"> 60.00</v>
      </c>
      <c r="F2051" s="14" t="str">
        <f>IF('Boletins Nuppa Site'!I2051&lt;&gt;0,'Boletins Nuppa Site'!I2051,"NULL")</f>
        <v xml:space="preserve"> 65.00</v>
      </c>
      <c r="G2051" s="14" t="str">
        <f>IF('Boletins Nuppa Site'!J2051&lt;&gt;0,'Boletins Nuppa Site'!J2051,"NULL")</f>
        <v xml:space="preserve"> 62.50</v>
      </c>
      <c r="H2051" s="14" t="str">
        <f>IF('Boletins Nuppa Site'!K2051&lt;&gt;0,'Boletins Nuppa Site'!K2051,"NULL")</f>
        <v xml:space="preserve"> 62.50</v>
      </c>
      <c r="I2051" t="str">
        <f t="shared" ref="I2051:I2114" si="64">"INSERT INTO COTACAO (cot_id, cot_blt_id, cot_pap_id, cot_prc_comum, cot_prc_min, cot_prc_max, cot_prc_med, cot_prc_mediana) VALUES ("&amp;A2051&amp;", "&amp;B2051&amp;", "&amp;C2051&amp;", "&amp;D2051&amp;", "&amp;E2051&amp;", "&amp;F2051&amp;", "&amp;G2051&amp;", "&amp;H2051&amp;");"</f>
        <v>INSERT INTO COTACAO (cot_id, cot_blt_id, cot_pap_id, cot_prc_comum, cot_prc_min, cot_prc_max, cot_prc_med, cot_prc_mediana) VALUES (2050, 89, 20, NULL,  60.00,  65.00,  62.50,  62.50);</v>
      </c>
      <c r="J2051" t="str">
        <f t="shared" ref="J2051:J2114" si="65">"UPDATE COTACAO SET cot_id = "&amp;A2051&amp;", cot_blt_id = "&amp;B2051&amp;", cot_pap_id = "&amp;C2051&amp;", cot_prc_comum = "&amp;D2051&amp;", cot_prc_min = "&amp;E2051&amp;", cot_prc_max = "&amp;F2051&amp;", cot_prc_med = "&amp;G2051&amp;", cot_prc_mediana = "&amp;H2051&amp;" WHERE cot_id = "&amp;A2051&amp;";"</f>
        <v>UPDATE COTACAO SET cot_id = 2050, cot_blt_id = 89, cot_pap_id = 20, cot_prc_comum = NULL, cot_prc_min =  60.00, cot_prc_max =  65.00, cot_prc_med =  62.50, cot_prc_mediana =  62.50 WHERE cot_id = 2050;</v>
      </c>
    </row>
    <row r="2052" spans="1:10" x14ac:dyDescent="0.3">
      <c r="A2052">
        <v>2051</v>
      </c>
      <c r="B2052">
        <f>IF('Boletins Nuppa Site'!A2052&lt;&gt;0,'Boletins Nuppa Site'!A2052,"NULL")</f>
        <v>89</v>
      </c>
      <c r="C2052">
        <v>21</v>
      </c>
      <c r="D2052" t="str">
        <f>IF('Boletins Nuppa Site'!G2052&lt;&gt;0,'Boletins Nuppa Site'!G2052,"NULL")</f>
        <v xml:space="preserve"> 50.00</v>
      </c>
      <c r="E2052" s="14" t="str">
        <f>IF('Boletins Nuppa Site'!H2052&lt;&gt;0,'Boletins Nuppa Site'!H2052,"NULL")</f>
        <v xml:space="preserve"> 50.00</v>
      </c>
      <c r="F2052" s="14" t="str">
        <f>IF('Boletins Nuppa Site'!I2052&lt;&gt;0,'Boletins Nuppa Site'!I2052,"NULL")</f>
        <v xml:space="preserve"> 65.00</v>
      </c>
      <c r="G2052" s="14" t="str">
        <f>IF('Boletins Nuppa Site'!J2052&lt;&gt;0,'Boletins Nuppa Site'!J2052,"NULL")</f>
        <v xml:space="preserve"> 53.75</v>
      </c>
      <c r="H2052" s="14" t="str">
        <f>IF('Boletins Nuppa Site'!K2052&lt;&gt;0,'Boletins Nuppa Site'!K2052,"NULL")</f>
        <v xml:space="preserve"> 50.00</v>
      </c>
      <c r="I2052" t="str">
        <f t="shared" si="64"/>
        <v>INSERT INTO COTACAO (cot_id, cot_blt_id, cot_pap_id, cot_prc_comum, cot_prc_min, cot_prc_max, cot_prc_med, cot_prc_mediana) VALUES (2051, 89, 21,  50.00,  50.00,  65.00,  53.75,  50.00);</v>
      </c>
      <c r="J2052" t="str">
        <f t="shared" si="65"/>
        <v>UPDATE COTACAO SET cot_id = 2051, cot_blt_id = 89, cot_pap_id = 21, cot_prc_comum =  50.00, cot_prc_min =  50.00, cot_prc_max =  65.00, cot_prc_med =  53.75, cot_prc_mediana =  50.00 WHERE cot_id = 2051;</v>
      </c>
    </row>
    <row r="2053" spans="1:10" x14ac:dyDescent="0.3">
      <c r="A2053">
        <v>2052</v>
      </c>
      <c r="B2053">
        <f>IF('Boletins Nuppa Site'!A2053&lt;&gt;0,'Boletins Nuppa Site'!A2053,"NULL")</f>
        <v>89</v>
      </c>
      <c r="C2053">
        <v>22</v>
      </c>
      <c r="D2053" t="str">
        <f>IF('Boletins Nuppa Site'!G2053&lt;&gt;0,'Boletins Nuppa Site'!G2053,"NULL")</f>
        <v xml:space="preserve"> 65.00</v>
      </c>
      <c r="E2053" s="14" t="str">
        <f>IF('Boletins Nuppa Site'!H2053&lt;&gt;0,'Boletins Nuppa Site'!H2053,"NULL")</f>
        <v xml:space="preserve"> 45.00</v>
      </c>
      <c r="F2053" s="14" t="str">
        <f>IF('Boletins Nuppa Site'!I2053&lt;&gt;0,'Boletins Nuppa Site'!I2053,"NULL")</f>
        <v xml:space="preserve"> 65.00</v>
      </c>
      <c r="G2053" s="14" t="str">
        <f>IF('Boletins Nuppa Site'!J2053&lt;&gt;0,'Boletins Nuppa Site'!J2053,"NULL")</f>
        <v xml:space="preserve"> 57.50</v>
      </c>
      <c r="H2053" s="14" t="str">
        <f>IF('Boletins Nuppa Site'!K2053&lt;&gt;0,'Boletins Nuppa Site'!K2053,"NULL")</f>
        <v xml:space="preserve"> 60.00</v>
      </c>
      <c r="I2053" t="str">
        <f t="shared" si="64"/>
        <v>INSERT INTO COTACAO (cot_id, cot_blt_id, cot_pap_id, cot_prc_comum, cot_prc_min, cot_prc_max, cot_prc_med, cot_prc_mediana) VALUES (2052, 89, 22,  65.00,  45.00,  65.00,  57.50,  60.00);</v>
      </c>
      <c r="J2053" t="str">
        <f t="shared" si="65"/>
        <v>UPDATE COTACAO SET cot_id = 2052, cot_blt_id = 89, cot_pap_id = 22, cot_prc_comum =  65.00, cot_prc_min =  45.00, cot_prc_max =  65.00, cot_prc_med =  57.50, cot_prc_mediana =  60.00 WHERE cot_id = 2052;</v>
      </c>
    </row>
    <row r="2054" spans="1:10" x14ac:dyDescent="0.3">
      <c r="A2054">
        <v>2053</v>
      </c>
      <c r="B2054">
        <f>IF('Boletins Nuppa Site'!A2054&lt;&gt;0,'Boletins Nuppa Site'!A2054,"NULL")</f>
        <v>89</v>
      </c>
      <c r="C2054">
        <v>23</v>
      </c>
      <c r="D2054" t="str">
        <f>IF('Boletins Nuppa Site'!G2054&lt;&gt;0,'Boletins Nuppa Site'!G2054,"NULL")</f>
        <v xml:space="preserve"> 50.00</v>
      </c>
      <c r="E2054" s="14" t="str">
        <f>IF('Boletins Nuppa Site'!H2054&lt;&gt;0,'Boletins Nuppa Site'!H2054,"NULL")</f>
        <v xml:space="preserve"> 50.00</v>
      </c>
      <c r="F2054" s="14" t="str">
        <f>IF('Boletins Nuppa Site'!I2054&lt;&gt;0,'Boletins Nuppa Site'!I2054,"NULL")</f>
        <v xml:space="preserve"> 50.00</v>
      </c>
      <c r="G2054" s="14" t="str">
        <f>IF('Boletins Nuppa Site'!J2054&lt;&gt;0,'Boletins Nuppa Site'!J2054,"NULL")</f>
        <v xml:space="preserve"> 50.00</v>
      </c>
      <c r="H2054" s="14" t="str">
        <f>IF('Boletins Nuppa Site'!K2054&lt;&gt;0,'Boletins Nuppa Site'!K2054,"NULL")</f>
        <v xml:space="preserve"> 50.00</v>
      </c>
      <c r="I2054" t="str">
        <f t="shared" si="64"/>
        <v>INSERT INTO COTACAO (cot_id, cot_blt_id, cot_pap_id, cot_prc_comum, cot_prc_min, cot_prc_max, cot_prc_med, cot_prc_mediana) VALUES (2053, 89, 23,  50.00,  50.00,  50.00,  50.00,  50.00);</v>
      </c>
      <c r="J2054" t="str">
        <f t="shared" si="65"/>
        <v>UPDATE COTACAO SET cot_id = 2053, cot_blt_id = 89, cot_pap_id = 23, cot_prc_comum =  50.00, cot_prc_min =  50.00, cot_prc_max =  50.00, cot_prc_med =  50.00, cot_prc_mediana =  50.00 WHERE cot_id = 2053;</v>
      </c>
    </row>
    <row r="2055" spans="1:10" x14ac:dyDescent="0.3">
      <c r="A2055">
        <v>2054</v>
      </c>
      <c r="B2055">
        <f>IF('Boletins Nuppa Site'!A2055&lt;&gt;0,'Boletins Nuppa Site'!A2055,"NULL")</f>
        <v>89</v>
      </c>
      <c r="C2055">
        <v>24</v>
      </c>
      <c r="D2055" t="str">
        <f>IF('Boletins Nuppa Site'!G2055&lt;&gt;0,'Boletins Nuppa Site'!G2055,"NULL")</f>
        <v>NULL</v>
      </c>
      <c r="E2055" s="14" t="str">
        <f>IF('Boletins Nuppa Site'!H2055&lt;&gt;0,'Boletins Nuppa Site'!H2055,"NULL")</f>
        <v xml:space="preserve"> 80.00</v>
      </c>
      <c r="F2055" s="14" t="str">
        <f>IF('Boletins Nuppa Site'!I2055&lt;&gt;0,'Boletins Nuppa Site'!I2055,"NULL")</f>
        <v xml:space="preserve"> 80.00</v>
      </c>
      <c r="G2055" s="14" t="str">
        <f>IF('Boletins Nuppa Site'!J2055&lt;&gt;0,'Boletins Nuppa Site'!J2055,"NULL")</f>
        <v xml:space="preserve"> 80.00</v>
      </c>
      <c r="H2055" s="14" t="str">
        <f>IF('Boletins Nuppa Site'!K2055&lt;&gt;0,'Boletins Nuppa Site'!K2055,"NULL")</f>
        <v xml:space="preserve"> 80.00</v>
      </c>
      <c r="I2055" t="str">
        <f t="shared" si="64"/>
        <v>INSERT INTO COTACAO (cot_id, cot_blt_id, cot_pap_id, cot_prc_comum, cot_prc_min, cot_prc_max, cot_prc_med, cot_prc_mediana) VALUES (2054, 89, 24, NULL,  80.00,  80.00,  80.00,  80.00);</v>
      </c>
      <c r="J2055" t="str">
        <f t="shared" si="65"/>
        <v>UPDATE COTACAO SET cot_id = 2054, cot_blt_id = 89, cot_pap_id = 24, cot_prc_comum = NULL, cot_prc_min =  80.00, cot_prc_max =  80.00, cot_prc_med =  80.00, cot_prc_mediana =  80.00 WHERE cot_id = 2054;</v>
      </c>
    </row>
    <row r="2056" spans="1:10" x14ac:dyDescent="0.3">
      <c r="A2056">
        <v>2055</v>
      </c>
      <c r="B2056">
        <f>IF('Boletins Nuppa Site'!A2056&lt;&gt;0,'Boletins Nuppa Site'!A2056,"NULL")</f>
        <v>89</v>
      </c>
      <c r="C2056">
        <v>25</v>
      </c>
      <c r="D2056" t="str">
        <f>IF('Boletins Nuppa Site'!G2056&lt;&gt;0,'Boletins Nuppa Site'!G2056,"NULL")</f>
        <v xml:space="preserve"> 50.00</v>
      </c>
      <c r="E2056" s="14" t="str">
        <f>IF('Boletins Nuppa Site'!H2056&lt;&gt;0,'Boletins Nuppa Site'!H2056,"NULL")</f>
        <v xml:space="preserve"> 60.00</v>
      </c>
      <c r="F2056" s="14" t="str">
        <f>IF('Boletins Nuppa Site'!I2056&lt;&gt;0,'Boletins Nuppa Site'!I2056,"NULL")</f>
        <v xml:space="preserve"> 60.00</v>
      </c>
      <c r="G2056" s="14" t="str">
        <f>IF('Boletins Nuppa Site'!J2056&lt;&gt;0,'Boletins Nuppa Site'!J2056,"NULL")</f>
        <v xml:space="preserve"> 57.50</v>
      </c>
      <c r="H2056" s="14" t="str">
        <f>IF('Boletins Nuppa Site'!K2056&lt;&gt;0,'Boletins Nuppa Site'!K2056,"NULL")</f>
        <v xml:space="preserve"> 60.00</v>
      </c>
      <c r="I2056" t="str">
        <f t="shared" si="64"/>
        <v>INSERT INTO COTACAO (cot_id, cot_blt_id, cot_pap_id, cot_prc_comum, cot_prc_min, cot_prc_max, cot_prc_med, cot_prc_mediana) VALUES (2055, 89, 25,  50.00,  60.00,  60.00,  57.50,  60.00);</v>
      </c>
      <c r="J2056" t="str">
        <f t="shared" si="65"/>
        <v>UPDATE COTACAO SET cot_id = 2055, cot_blt_id = 89, cot_pap_id = 25, cot_prc_comum =  50.00, cot_prc_min =  60.00, cot_prc_max =  60.00, cot_prc_med =  57.50, cot_prc_mediana =  60.00 WHERE cot_id = 2055;</v>
      </c>
    </row>
    <row r="2057" spans="1:10" x14ac:dyDescent="0.3">
      <c r="A2057">
        <v>2056</v>
      </c>
      <c r="B2057">
        <f>IF('Boletins Nuppa Site'!A2057&lt;&gt;0,'Boletins Nuppa Site'!A2057,"NULL")</f>
        <v>89</v>
      </c>
      <c r="C2057">
        <v>26</v>
      </c>
      <c r="D2057" t="str">
        <f>IF('Boletins Nuppa Site'!G2057&lt;&gt;0,'Boletins Nuppa Site'!G2057,"NULL")</f>
        <v xml:space="preserve"> 60.00</v>
      </c>
      <c r="E2057" s="14" t="str">
        <f>IF('Boletins Nuppa Site'!H2057&lt;&gt;0,'Boletins Nuppa Site'!H2057,"NULL")</f>
        <v xml:space="preserve"> 60.00</v>
      </c>
      <c r="F2057" s="14" t="str">
        <f>IF('Boletins Nuppa Site'!I2057&lt;&gt;0,'Boletins Nuppa Site'!I2057,"NULL")</f>
        <v xml:space="preserve"> 80.00</v>
      </c>
      <c r="G2057" s="14" t="str">
        <f>IF('Boletins Nuppa Site'!J2057&lt;&gt;0,'Boletins Nuppa Site'!J2057,"NULL")</f>
        <v xml:space="preserve"> 67.50</v>
      </c>
      <c r="H2057" s="14" t="str">
        <f>IF('Boletins Nuppa Site'!K2057&lt;&gt;0,'Boletins Nuppa Site'!K2057,"NULL")</f>
        <v xml:space="preserve"> 65.00</v>
      </c>
      <c r="I2057" t="str">
        <f t="shared" si="64"/>
        <v>INSERT INTO COTACAO (cot_id, cot_blt_id, cot_pap_id, cot_prc_comum, cot_prc_min, cot_prc_max, cot_prc_med, cot_prc_mediana) VALUES (2056, 89, 26,  60.00,  60.00,  80.00,  67.50,  65.00);</v>
      </c>
      <c r="J2057" t="str">
        <f t="shared" si="65"/>
        <v>UPDATE COTACAO SET cot_id = 2056, cot_blt_id = 89, cot_pap_id = 26, cot_prc_comum =  60.00, cot_prc_min =  60.00, cot_prc_max =  80.00, cot_prc_med =  67.50, cot_prc_mediana =  65.00 WHERE cot_id = 2056;</v>
      </c>
    </row>
    <row r="2058" spans="1:10" x14ac:dyDescent="0.3">
      <c r="A2058">
        <v>2057</v>
      </c>
      <c r="B2058">
        <f>IF('Boletins Nuppa Site'!A2058&lt;&gt;0,'Boletins Nuppa Site'!A2058,"NULL")</f>
        <v>89</v>
      </c>
      <c r="C2058">
        <v>27</v>
      </c>
      <c r="D2058" t="str">
        <f>IF('Boletins Nuppa Site'!G2058&lt;&gt;0,'Boletins Nuppa Site'!G2058,"NULL")</f>
        <v>NULL</v>
      </c>
      <c r="E2058" s="14" t="str">
        <f>IF('Boletins Nuppa Site'!H2058&lt;&gt;0,'Boletins Nuppa Site'!H2058,"NULL")</f>
        <v xml:space="preserve"> 60.00</v>
      </c>
      <c r="F2058" s="14" t="str">
        <f>IF('Boletins Nuppa Site'!I2058&lt;&gt;0,'Boletins Nuppa Site'!I2058,"NULL")</f>
        <v xml:space="preserve"> 80.00</v>
      </c>
      <c r="G2058" s="14" t="str">
        <f>IF('Boletins Nuppa Site'!J2058&lt;&gt;0,'Boletins Nuppa Site'!J2058,"NULL")</f>
        <v xml:space="preserve"> 70.00</v>
      </c>
      <c r="H2058" s="14" t="str">
        <f>IF('Boletins Nuppa Site'!K2058&lt;&gt;0,'Boletins Nuppa Site'!K2058,"NULL")</f>
        <v xml:space="preserve"> 70.00</v>
      </c>
      <c r="I2058" t="str">
        <f t="shared" si="64"/>
        <v>INSERT INTO COTACAO (cot_id, cot_blt_id, cot_pap_id, cot_prc_comum, cot_prc_min, cot_prc_max, cot_prc_med, cot_prc_mediana) VALUES (2057, 89, 27, NULL,  60.00,  80.00,  70.00,  70.00);</v>
      </c>
      <c r="J2058" t="str">
        <f t="shared" si="65"/>
        <v>UPDATE COTACAO SET cot_id = 2057, cot_blt_id = 89, cot_pap_id = 27, cot_prc_comum = NULL, cot_prc_min =  60.00, cot_prc_max =  80.00, cot_prc_med =  70.00, cot_prc_mediana =  70.00 WHERE cot_id = 2057;</v>
      </c>
    </row>
    <row r="2059" spans="1:10" x14ac:dyDescent="0.3">
      <c r="A2059">
        <v>2058</v>
      </c>
      <c r="B2059">
        <f>IF('Boletins Nuppa Site'!A2059&lt;&gt;0,'Boletins Nuppa Site'!A2059,"NULL")</f>
        <v>89</v>
      </c>
      <c r="C2059">
        <v>28</v>
      </c>
      <c r="D2059" t="str">
        <f>IF('Boletins Nuppa Site'!G2059&lt;&gt;0,'Boletins Nuppa Site'!G2059,"NULL")</f>
        <v xml:space="preserve"> 60.00</v>
      </c>
      <c r="E2059" s="14" t="str">
        <f>IF('Boletins Nuppa Site'!H2059&lt;&gt;0,'Boletins Nuppa Site'!H2059,"NULL")</f>
        <v xml:space="preserve"> 60.00</v>
      </c>
      <c r="F2059" s="14" t="str">
        <f>IF('Boletins Nuppa Site'!I2059&lt;&gt;0,'Boletins Nuppa Site'!I2059,"NULL")</f>
        <v xml:space="preserve"> 70.00</v>
      </c>
      <c r="G2059" s="14" t="str">
        <f>IF('Boletins Nuppa Site'!J2059&lt;&gt;0,'Boletins Nuppa Site'!J2059,"NULL")</f>
        <v xml:space="preserve"> 63.33</v>
      </c>
      <c r="H2059" s="14" t="str">
        <f>IF('Boletins Nuppa Site'!K2059&lt;&gt;0,'Boletins Nuppa Site'!K2059,"NULL")</f>
        <v xml:space="preserve"> 60.00</v>
      </c>
      <c r="I2059" t="str">
        <f t="shared" si="64"/>
        <v>INSERT INTO COTACAO (cot_id, cot_blt_id, cot_pap_id, cot_prc_comum, cot_prc_min, cot_prc_max, cot_prc_med, cot_prc_mediana) VALUES (2058, 89, 28,  60.00,  60.00,  70.00,  63.33,  60.00);</v>
      </c>
      <c r="J2059" t="str">
        <f t="shared" si="65"/>
        <v>UPDATE COTACAO SET cot_id = 2058, cot_blt_id = 89, cot_pap_id = 28, cot_prc_comum =  60.00, cot_prc_min =  60.00, cot_prc_max =  70.00, cot_prc_med =  63.33, cot_prc_mediana =  60.00 WHERE cot_id = 2058;</v>
      </c>
    </row>
    <row r="2060" spans="1:10" x14ac:dyDescent="0.3">
      <c r="A2060">
        <v>2059</v>
      </c>
      <c r="B2060">
        <f>IF('Boletins Nuppa Site'!A2060&lt;&gt;0,'Boletins Nuppa Site'!A2060,"NULL")</f>
        <v>89</v>
      </c>
      <c r="C2060">
        <v>29</v>
      </c>
      <c r="D2060" t="str">
        <f>IF('Boletins Nuppa Site'!G2060&lt;&gt;0,'Boletins Nuppa Site'!G2060,"NULL")</f>
        <v>NULL</v>
      </c>
      <c r="E2060" s="14" t="str">
        <f>IF('Boletins Nuppa Site'!H2060&lt;&gt;0,'Boletins Nuppa Site'!H2060,"NULL")</f>
        <v xml:space="preserve"> 80.00</v>
      </c>
      <c r="F2060" s="14" t="str">
        <f>IF('Boletins Nuppa Site'!I2060&lt;&gt;0,'Boletins Nuppa Site'!I2060,"NULL")</f>
        <v xml:space="preserve"> 80.00</v>
      </c>
      <c r="G2060" s="14" t="str">
        <f>IF('Boletins Nuppa Site'!J2060&lt;&gt;0,'Boletins Nuppa Site'!J2060,"NULL")</f>
        <v xml:space="preserve"> 80.00</v>
      </c>
      <c r="H2060" s="14" t="str">
        <f>IF('Boletins Nuppa Site'!K2060&lt;&gt;0,'Boletins Nuppa Site'!K2060,"NULL")</f>
        <v xml:space="preserve"> 80.00</v>
      </c>
      <c r="I2060" t="str">
        <f t="shared" si="64"/>
        <v>INSERT INTO COTACAO (cot_id, cot_blt_id, cot_pap_id, cot_prc_comum, cot_prc_min, cot_prc_max, cot_prc_med, cot_prc_mediana) VALUES (2059, 89, 29, NULL,  80.00,  80.00,  80.00,  80.00);</v>
      </c>
      <c r="J2060" t="str">
        <f t="shared" si="65"/>
        <v>UPDATE COTACAO SET cot_id = 2059, cot_blt_id = 89, cot_pap_id = 29, cot_prc_comum = NULL, cot_prc_min =  80.00, cot_prc_max =  80.00, cot_prc_med =  80.00, cot_prc_mediana =  80.00 WHERE cot_id = 2059;</v>
      </c>
    </row>
    <row r="2061" spans="1:10" x14ac:dyDescent="0.3">
      <c r="A2061">
        <v>2060</v>
      </c>
      <c r="B2061">
        <f>IF('Boletins Nuppa Site'!A2061&lt;&gt;0,'Boletins Nuppa Site'!A2061,"NULL")</f>
        <v>89</v>
      </c>
      <c r="C2061">
        <v>30</v>
      </c>
      <c r="D2061" t="str">
        <f>IF('Boletins Nuppa Site'!G2061&lt;&gt;0,'Boletins Nuppa Site'!G2061,"NULL")</f>
        <v xml:space="preserve"> 65.00</v>
      </c>
      <c r="E2061" s="14" t="str">
        <f>IF('Boletins Nuppa Site'!H2061&lt;&gt;0,'Boletins Nuppa Site'!H2061,"NULL")</f>
        <v xml:space="preserve"> 65.00</v>
      </c>
      <c r="F2061" s="14" t="str">
        <f>IF('Boletins Nuppa Site'!I2061&lt;&gt;0,'Boletins Nuppa Site'!I2061,"NULL")</f>
        <v xml:space="preserve"> 65.00</v>
      </c>
      <c r="G2061" s="14" t="str">
        <f>IF('Boletins Nuppa Site'!J2061&lt;&gt;0,'Boletins Nuppa Site'!J2061,"NULL")</f>
        <v xml:space="preserve"> 65.00</v>
      </c>
      <c r="H2061" s="14" t="str">
        <f>IF('Boletins Nuppa Site'!K2061&lt;&gt;0,'Boletins Nuppa Site'!K2061,"NULL")</f>
        <v xml:space="preserve"> 65.00</v>
      </c>
      <c r="I2061" t="str">
        <f t="shared" si="64"/>
        <v>INSERT INTO COTACAO (cot_id, cot_blt_id, cot_pap_id, cot_prc_comum, cot_prc_min, cot_prc_max, cot_prc_med, cot_prc_mediana) VALUES (2060, 89, 30,  65.00,  65.00,  65.00,  65.00,  65.00);</v>
      </c>
      <c r="J2061" t="str">
        <f t="shared" si="65"/>
        <v>UPDATE COTACAO SET cot_id = 2060, cot_blt_id = 89, cot_pap_id = 30, cot_prc_comum =  65.00, cot_prc_min =  65.00, cot_prc_max =  65.00, cot_prc_med =  65.00, cot_prc_mediana =  65.00 WHERE cot_id = 2060;</v>
      </c>
    </row>
    <row r="2062" spans="1:10" x14ac:dyDescent="0.3">
      <c r="A2062">
        <v>2061</v>
      </c>
      <c r="B2062">
        <f>IF('Boletins Nuppa Site'!A2062&lt;&gt;0,'Boletins Nuppa Site'!A2062,"NULL")</f>
        <v>89</v>
      </c>
      <c r="C2062">
        <v>31</v>
      </c>
      <c r="D2062" t="str">
        <f>IF('Boletins Nuppa Site'!G2062&lt;&gt;0,'Boletins Nuppa Site'!G2062,"NULL")</f>
        <v>NULL</v>
      </c>
      <c r="E2062" s="14" t="str">
        <f>IF('Boletins Nuppa Site'!H2062&lt;&gt;0,'Boletins Nuppa Site'!H2062,"NULL")</f>
        <v xml:space="preserve"> 75.00</v>
      </c>
      <c r="F2062" s="14" t="str">
        <f>IF('Boletins Nuppa Site'!I2062&lt;&gt;0,'Boletins Nuppa Site'!I2062,"NULL")</f>
        <v xml:space="preserve"> 120.00</v>
      </c>
      <c r="G2062" s="14" t="str">
        <f>IF('Boletins Nuppa Site'!J2062&lt;&gt;0,'Boletins Nuppa Site'!J2062,"NULL")</f>
        <v xml:space="preserve"> 96.25</v>
      </c>
      <c r="H2062" s="14" t="str">
        <f>IF('Boletins Nuppa Site'!K2062&lt;&gt;0,'Boletins Nuppa Site'!K2062,"NULL")</f>
        <v xml:space="preserve"> 95.00</v>
      </c>
      <c r="I2062" t="str">
        <f t="shared" si="64"/>
        <v>INSERT INTO COTACAO (cot_id, cot_blt_id, cot_pap_id, cot_prc_comum, cot_prc_min, cot_prc_max, cot_prc_med, cot_prc_mediana) VALUES (2061, 89, 31, NULL,  75.00,  120.00,  96.25,  95.00);</v>
      </c>
      <c r="J2062" t="str">
        <f t="shared" si="65"/>
        <v>UPDATE COTACAO SET cot_id = 2061, cot_blt_id = 89, cot_pap_id = 31, cot_prc_comum = NULL, cot_prc_min =  75.00, cot_prc_max =  120.00, cot_prc_med =  96.25, cot_prc_mediana =  95.00 WHERE cot_id = 2061;</v>
      </c>
    </row>
    <row r="2063" spans="1:10" x14ac:dyDescent="0.3">
      <c r="A2063">
        <v>2062</v>
      </c>
      <c r="B2063">
        <f>IF('Boletins Nuppa Site'!A2063&lt;&gt;0,'Boletins Nuppa Site'!A2063,"NULL")</f>
        <v>89</v>
      </c>
      <c r="C2063">
        <v>32</v>
      </c>
      <c r="D2063" t="str">
        <f>IF('Boletins Nuppa Site'!G2063&lt;&gt;0,'Boletins Nuppa Site'!G2063,"NULL")</f>
        <v>NULL</v>
      </c>
      <c r="E2063" s="14" t="str">
        <f>IF('Boletins Nuppa Site'!H2063&lt;&gt;0,'Boletins Nuppa Site'!H2063,"NULL")</f>
        <v xml:space="preserve"> 25.00</v>
      </c>
      <c r="F2063" s="14" t="str">
        <f>IF('Boletins Nuppa Site'!I2063&lt;&gt;0,'Boletins Nuppa Site'!I2063,"NULL")</f>
        <v xml:space="preserve"> 85.00</v>
      </c>
      <c r="G2063" s="14" t="str">
        <f>IF('Boletins Nuppa Site'!J2063&lt;&gt;0,'Boletins Nuppa Site'!J2063,"NULL")</f>
        <v xml:space="preserve"> 45.00</v>
      </c>
      <c r="H2063" s="14" t="str">
        <f>IF('Boletins Nuppa Site'!K2063&lt;&gt;0,'Boletins Nuppa Site'!K2063,"NULL")</f>
        <v xml:space="preserve"> 35.00</v>
      </c>
      <c r="I2063" t="str">
        <f t="shared" si="64"/>
        <v>INSERT INTO COTACAO (cot_id, cot_blt_id, cot_pap_id, cot_prc_comum, cot_prc_min, cot_prc_max, cot_prc_med, cot_prc_mediana) VALUES (2062, 89, 32, NULL,  25.00,  85.00,  45.00,  35.00);</v>
      </c>
      <c r="J2063" t="str">
        <f t="shared" si="65"/>
        <v>UPDATE COTACAO SET cot_id = 2062, cot_blt_id = 89, cot_pap_id = 32, cot_prc_comum = NULL, cot_prc_min =  25.00, cot_prc_max =  85.00, cot_prc_med =  45.00, cot_prc_mediana =  35.00 WHERE cot_id = 2062;</v>
      </c>
    </row>
    <row r="2064" spans="1:10" x14ac:dyDescent="0.3">
      <c r="A2064">
        <v>2063</v>
      </c>
      <c r="B2064">
        <f>IF('Boletins Nuppa Site'!A2064&lt;&gt;0,'Boletins Nuppa Site'!A2064,"NULL")</f>
        <v>89</v>
      </c>
      <c r="C2064">
        <v>33</v>
      </c>
      <c r="D2064" t="str">
        <f>IF('Boletins Nuppa Site'!G2064&lt;&gt;0,'Boletins Nuppa Site'!G2064,"NULL")</f>
        <v xml:space="preserve"> 50.00</v>
      </c>
      <c r="E2064" s="14" t="str">
        <f>IF('Boletins Nuppa Site'!H2064&lt;&gt;0,'Boletins Nuppa Site'!H2064,"NULL")</f>
        <v xml:space="preserve"> 50.00</v>
      </c>
      <c r="F2064" s="14" t="str">
        <f>IF('Boletins Nuppa Site'!I2064&lt;&gt;0,'Boletins Nuppa Site'!I2064,"NULL")</f>
        <v xml:space="preserve"> 60.00</v>
      </c>
      <c r="G2064" s="14" t="str">
        <f>IF('Boletins Nuppa Site'!J2064&lt;&gt;0,'Boletins Nuppa Site'!J2064,"NULL")</f>
        <v xml:space="preserve"> 55.00</v>
      </c>
      <c r="H2064" s="14" t="str">
        <f>IF('Boletins Nuppa Site'!K2064&lt;&gt;0,'Boletins Nuppa Site'!K2064,"NULL")</f>
        <v xml:space="preserve"> 55.00</v>
      </c>
      <c r="I2064" t="str">
        <f t="shared" si="64"/>
        <v>INSERT INTO COTACAO (cot_id, cot_blt_id, cot_pap_id, cot_prc_comum, cot_prc_min, cot_prc_max, cot_prc_med, cot_prc_mediana) VALUES (2063, 89, 33,  50.00,  50.00,  60.00,  55.00,  55.00);</v>
      </c>
      <c r="J2064" t="str">
        <f t="shared" si="65"/>
        <v>UPDATE COTACAO SET cot_id = 2063, cot_blt_id = 89, cot_pap_id = 33, cot_prc_comum =  50.00, cot_prc_min =  50.00, cot_prc_max =  60.00, cot_prc_med =  55.00, cot_prc_mediana =  55.00 WHERE cot_id = 2063;</v>
      </c>
    </row>
    <row r="2065" spans="1:10" x14ac:dyDescent="0.3">
      <c r="A2065">
        <v>2064</v>
      </c>
      <c r="B2065">
        <f>IF('Boletins Nuppa Site'!A2065&lt;&gt;0,'Boletins Nuppa Site'!A2065,"NULL")</f>
        <v>89</v>
      </c>
      <c r="C2065">
        <v>34</v>
      </c>
      <c r="D2065" t="str">
        <f>IF('Boletins Nuppa Site'!G2065&lt;&gt;0,'Boletins Nuppa Site'!G2065,"NULL")</f>
        <v xml:space="preserve"> 90.00</v>
      </c>
      <c r="E2065" s="14" t="str">
        <f>IF('Boletins Nuppa Site'!H2065&lt;&gt;0,'Boletins Nuppa Site'!H2065,"NULL")</f>
        <v xml:space="preserve"> 60.00</v>
      </c>
      <c r="F2065" s="14" t="str">
        <f>IF('Boletins Nuppa Site'!I2065&lt;&gt;0,'Boletins Nuppa Site'!I2065,"NULL")</f>
        <v xml:space="preserve"> 90.00</v>
      </c>
      <c r="G2065" s="14" t="str">
        <f>IF('Boletins Nuppa Site'!J2065&lt;&gt;0,'Boletins Nuppa Site'!J2065,"NULL")</f>
        <v xml:space="preserve"> 76.25</v>
      </c>
      <c r="H2065" s="14" t="str">
        <f>IF('Boletins Nuppa Site'!K2065&lt;&gt;0,'Boletins Nuppa Site'!K2065,"NULL")</f>
        <v xml:space="preserve"> 77.50</v>
      </c>
      <c r="I2065" t="str">
        <f t="shared" si="64"/>
        <v>INSERT INTO COTACAO (cot_id, cot_blt_id, cot_pap_id, cot_prc_comum, cot_prc_min, cot_prc_max, cot_prc_med, cot_prc_mediana) VALUES (2064, 89, 34,  90.00,  60.00,  90.00,  76.25,  77.50);</v>
      </c>
      <c r="J2065" t="str">
        <f t="shared" si="65"/>
        <v>UPDATE COTACAO SET cot_id = 2064, cot_blt_id = 89, cot_pap_id = 34, cot_prc_comum =  90.00, cot_prc_min =  60.00, cot_prc_max =  90.00, cot_prc_med =  76.25, cot_prc_mediana =  77.50 WHERE cot_id = 2064;</v>
      </c>
    </row>
    <row r="2066" spans="1:10" x14ac:dyDescent="0.3">
      <c r="A2066">
        <v>2065</v>
      </c>
      <c r="B2066">
        <f>IF('Boletins Nuppa Site'!A2066&lt;&gt;0,'Boletins Nuppa Site'!A2066,"NULL")</f>
        <v>89</v>
      </c>
      <c r="C2066">
        <v>35</v>
      </c>
      <c r="D2066" t="str">
        <f>IF('Boletins Nuppa Site'!G2066&lt;&gt;0,'Boletins Nuppa Site'!G2066,"NULL")</f>
        <v>NULL</v>
      </c>
      <c r="E2066" s="14" t="str">
        <f>IF('Boletins Nuppa Site'!H2066&lt;&gt;0,'Boletins Nuppa Site'!H2066,"NULL")</f>
        <v xml:space="preserve"> 60.00</v>
      </c>
      <c r="F2066" s="14" t="str">
        <f>IF('Boletins Nuppa Site'!I2066&lt;&gt;0,'Boletins Nuppa Site'!I2066,"NULL")</f>
        <v xml:space="preserve"> 100.00</v>
      </c>
      <c r="G2066" s="14" t="str">
        <f>IF('Boletins Nuppa Site'!J2066&lt;&gt;0,'Boletins Nuppa Site'!J2066,"NULL")</f>
        <v xml:space="preserve"> 80.00</v>
      </c>
      <c r="H2066" s="14" t="str">
        <f>IF('Boletins Nuppa Site'!K2066&lt;&gt;0,'Boletins Nuppa Site'!K2066,"NULL")</f>
        <v xml:space="preserve"> 80.00</v>
      </c>
      <c r="I2066" t="str">
        <f t="shared" si="64"/>
        <v>INSERT INTO COTACAO (cot_id, cot_blt_id, cot_pap_id, cot_prc_comum, cot_prc_min, cot_prc_max, cot_prc_med, cot_prc_mediana) VALUES (2065, 89, 35, NULL,  60.00,  100.00,  80.00,  80.00);</v>
      </c>
      <c r="J2066" t="str">
        <f t="shared" si="65"/>
        <v>UPDATE COTACAO SET cot_id = 2065, cot_blt_id = 89, cot_pap_id = 35, cot_prc_comum = NULL, cot_prc_min =  60.00, cot_prc_max =  100.00, cot_prc_med =  80.00, cot_prc_mediana =  80.00 WHERE cot_id = 2065;</v>
      </c>
    </row>
    <row r="2067" spans="1:10" x14ac:dyDescent="0.3">
      <c r="A2067">
        <v>2066</v>
      </c>
      <c r="B2067">
        <f>IF('Boletins Nuppa Site'!A2067&lt;&gt;0,'Boletins Nuppa Site'!A2067,"NULL")</f>
        <v>89</v>
      </c>
      <c r="C2067">
        <v>36</v>
      </c>
      <c r="D2067" t="str">
        <f>IF('Boletins Nuppa Site'!G2067&lt;&gt;0,'Boletins Nuppa Site'!G2067,"NULL")</f>
        <v>NULL</v>
      </c>
      <c r="E2067" s="14" t="str">
        <f>IF('Boletins Nuppa Site'!H2067&lt;&gt;0,'Boletins Nuppa Site'!H2067,"NULL")</f>
        <v>NULL</v>
      </c>
      <c r="F2067" s="14" t="str">
        <f>IF('Boletins Nuppa Site'!I2067&lt;&gt;0,'Boletins Nuppa Site'!I2067,"NULL")</f>
        <v>NULL</v>
      </c>
      <c r="G2067" s="14" t="str">
        <f>IF('Boletins Nuppa Site'!J2067&lt;&gt;0,'Boletins Nuppa Site'!J2067,"NULL")</f>
        <v>NULL</v>
      </c>
      <c r="H2067" s="14" t="str">
        <f>IF('Boletins Nuppa Site'!K2067&lt;&gt;0,'Boletins Nuppa Site'!K2067,"NULL")</f>
        <v>NULL</v>
      </c>
      <c r="I2067" t="str">
        <f t="shared" si="64"/>
        <v>INSERT INTO COTACAO (cot_id, cot_blt_id, cot_pap_id, cot_prc_comum, cot_prc_min, cot_prc_max, cot_prc_med, cot_prc_mediana) VALUES (2066, 89, 36, NULL, NULL, NULL, NULL, NULL);</v>
      </c>
      <c r="J2067" t="str">
        <f t="shared" si="65"/>
        <v>UPDATE COTACAO SET cot_id = 2066, cot_blt_id = 89, cot_pap_id = 36, cot_prc_comum = NULL, cot_prc_min = NULL, cot_prc_max = NULL, cot_prc_med = NULL, cot_prc_mediana = NULL WHERE cot_id = 2066;</v>
      </c>
    </row>
    <row r="2068" spans="1:10" x14ac:dyDescent="0.3">
      <c r="A2068">
        <v>2067</v>
      </c>
      <c r="B2068">
        <f>IF('Boletins Nuppa Site'!A2068&lt;&gt;0,'Boletins Nuppa Site'!A2068,"NULL")</f>
        <v>89</v>
      </c>
      <c r="C2068">
        <v>37</v>
      </c>
      <c r="D2068" t="str">
        <f>IF('Boletins Nuppa Site'!G2068&lt;&gt;0,'Boletins Nuppa Site'!G2068,"NULL")</f>
        <v>NULL</v>
      </c>
      <c r="E2068" s="14" t="str">
        <f>IF('Boletins Nuppa Site'!H2068&lt;&gt;0,'Boletins Nuppa Site'!H2068,"NULL")</f>
        <v>NULL</v>
      </c>
      <c r="F2068" s="14" t="str">
        <f>IF('Boletins Nuppa Site'!I2068&lt;&gt;0,'Boletins Nuppa Site'!I2068,"NULL")</f>
        <v>NULL</v>
      </c>
      <c r="G2068" s="14" t="str">
        <f>IF('Boletins Nuppa Site'!J2068&lt;&gt;0,'Boletins Nuppa Site'!J2068,"NULL")</f>
        <v>NULL</v>
      </c>
      <c r="H2068" s="14" t="str">
        <f>IF('Boletins Nuppa Site'!K2068&lt;&gt;0,'Boletins Nuppa Site'!K2068,"NULL")</f>
        <v>NULL</v>
      </c>
      <c r="I2068" t="str">
        <f t="shared" si="64"/>
        <v>INSERT INTO COTACAO (cot_id, cot_blt_id, cot_pap_id, cot_prc_comum, cot_prc_min, cot_prc_max, cot_prc_med, cot_prc_mediana) VALUES (2067, 89, 37, NULL, NULL, NULL, NULL, NULL);</v>
      </c>
      <c r="J2068" t="str">
        <f t="shared" si="65"/>
        <v>UPDATE COTACAO SET cot_id = 2067, cot_blt_id = 89, cot_pap_id = 37, cot_prc_comum = NULL, cot_prc_min = NULL, cot_prc_max = NULL, cot_prc_med = NULL, cot_prc_mediana = NULL WHERE cot_id = 2067;</v>
      </c>
    </row>
    <row r="2069" spans="1:10" x14ac:dyDescent="0.3">
      <c r="A2069">
        <v>2068</v>
      </c>
      <c r="B2069">
        <f>IF('Boletins Nuppa Site'!A2069&lt;&gt;0,'Boletins Nuppa Site'!A2069,"NULL")</f>
        <v>89</v>
      </c>
      <c r="C2069">
        <v>38</v>
      </c>
      <c r="D2069" t="str">
        <f>IF('Boletins Nuppa Site'!G2069&lt;&gt;0,'Boletins Nuppa Site'!G2069,"NULL")</f>
        <v>NULL</v>
      </c>
      <c r="E2069" s="14" t="str">
        <f>IF('Boletins Nuppa Site'!H2069&lt;&gt;0,'Boletins Nuppa Site'!H2069,"NULL")</f>
        <v>NULL</v>
      </c>
      <c r="F2069" s="14" t="str">
        <f>IF('Boletins Nuppa Site'!I2069&lt;&gt;0,'Boletins Nuppa Site'!I2069,"NULL")</f>
        <v>NULL</v>
      </c>
      <c r="G2069" s="14" t="str">
        <f>IF('Boletins Nuppa Site'!J2069&lt;&gt;0,'Boletins Nuppa Site'!J2069,"NULL")</f>
        <v>NULL</v>
      </c>
      <c r="H2069" s="14" t="str">
        <f>IF('Boletins Nuppa Site'!K2069&lt;&gt;0,'Boletins Nuppa Site'!K2069,"NULL")</f>
        <v>NULL</v>
      </c>
      <c r="I2069" t="str">
        <f t="shared" si="64"/>
        <v>INSERT INTO COTACAO (cot_id, cot_blt_id, cot_pap_id, cot_prc_comum, cot_prc_min, cot_prc_max, cot_prc_med, cot_prc_mediana) VALUES (2068, 89, 38, NULL, NULL, NULL, NULL, NULL);</v>
      </c>
      <c r="J2069" t="str">
        <f t="shared" si="65"/>
        <v>UPDATE COTACAO SET cot_id = 2068, cot_blt_id = 89, cot_pap_id = 38, cot_prc_comum = NULL, cot_prc_min = NULL, cot_prc_max = NULL, cot_prc_med = NULL, cot_prc_mediana = NULL WHERE cot_id = 2068;</v>
      </c>
    </row>
    <row r="2070" spans="1:10" x14ac:dyDescent="0.3">
      <c r="A2070">
        <v>2069</v>
      </c>
      <c r="B2070">
        <f>IF('Boletins Nuppa Site'!A2070&lt;&gt;0,'Boletins Nuppa Site'!A2070,"NULL")</f>
        <v>89</v>
      </c>
      <c r="C2070">
        <v>39</v>
      </c>
      <c r="D2070" t="str">
        <f>IF('Boletins Nuppa Site'!G2070&lt;&gt;0,'Boletins Nuppa Site'!G2070,"NULL")</f>
        <v>NULL</v>
      </c>
      <c r="E2070" s="14" t="str">
        <f>IF('Boletins Nuppa Site'!H2070&lt;&gt;0,'Boletins Nuppa Site'!H2070,"NULL")</f>
        <v>NULL</v>
      </c>
      <c r="F2070" s="14" t="str">
        <f>IF('Boletins Nuppa Site'!I2070&lt;&gt;0,'Boletins Nuppa Site'!I2070,"NULL")</f>
        <v>NULL</v>
      </c>
      <c r="G2070" s="14" t="str">
        <f>IF('Boletins Nuppa Site'!J2070&lt;&gt;0,'Boletins Nuppa Site'!J2070,"NULL")</f>
        <v>NULL</v>
      </c>
      <c r="H2070" s="14" t="str">
        <f>IF('Boletins Nuppa Site'!K2070&lt;&gt;0,'Boletins Nuppa Site'!K2070,"NULL")</f>
        <v>NULL</v>
      </c>
      <c r="I2070" t="str">
        <f t="shared" si="64"/>
        <v>INSERT INTO COTACAO (cot_id, cot_blt_id, cot_pap_id, cot_prc_comum, cot_prc_min, cot_prc_max, cot_prc_med, cot_prc_mediana) VALUES (2069, 89, 39, NULL, NULL, NULL, NULL, NULL);</v>
      </c>
      <c r="J2070" t="str">
        <f t="shared" si="65"/>
        <v>UPDATE COTACAO SET cot_id = 2069, cot_blt_id = 89, cot_pap_id = 39, cot_prc_comum = NULL, cot_prc_min = NULL, cot_prc_max = NULL, cot_prc_med = NULL, cot_prc_mediana = NULL WHERE cot_id = 2069;</v>
      </c>
    </row>
    <row r="2071" spans="1:10" x14ac:dyDescent="0.3">
      <c r="A2071">
        <v>2070</v>
      </c>
      <c r="B2071">
        <f>IF('Boletins Nuppa Site'!A2071&lt;&gt;0,'Boletins Nuppa Site'!A2071,"NULL")</f>
        <v>89</v>
      </c>
      <c r="C2071">
        <v>40</v>
      </c>
      <c r="D2071" t="str">
        <f>IF('Boletins Nuppa Site'!G2071&lt;&gt;0,'Boletins Nuppa Site'!G2071,"NULL")</f>
        <v>NULL</v>
      </c>
      <c r="E2071" s="14" t="str">
        <f>IF('Boletins Nuppa Site'!H2071&lt;&gt;0,'Boletins Nuppa Site'!H2071,"NULL")</f>
        <v>NULL</v>
      </c>
      <c r="F2071" s="14" t="str">
        <f>IF('Boletins Nuppa Site'!I2071&lt;&gt;0,'Boletins Nuppa Site'!I2071,"NULL")</f>
        <v>NULL</v>
      </c>
      <c r="G2071" s="14" t="str">
        <f>IF('Boletins Nuppa Site'!J2071&lt;&gt;0,'Boletins Nuppa Site'!J2071,"NULL")</f>
        <v>NULL</v>
      </c>
      <c r="H2071" s="14" t="str">
        <f>IF('Boletins Nuppa Site'!K2071&lt;&gt;0,'Boletins Nuppa Site'!K2071,"NULL")</f>
        <v>NULL</v>
      </c>
      <c r="I2071" t="str">
        <f t="shared" si="64"/>
        <v>INSERT INTO COTACAO (cot_id, cot_blt_id, cot_pap_id, cot_prc_comum, cot_prc_min, cot_prc_max, cot_prc_med, cot_prc_mediana) VALUES (2070, 89, 40, NULL, NULL, NULL, NULL, NULL);</v>
      </c>
      <c r="J2071" t="str">
        <f t="shared" si="65"/>
        <v>UPDATE COTACAO SET cot_id = 2070, cot_blt_id = 89, cot_pap_id = 40, cot_prc_comum = NULL, cot_prc_min = NULL, cot_prc_max = NULL, cot_prc_med = NULL, cot_prc_mediana = NULL WHERE cot_id = 2070;</v>
      </c>
    </row>
    <row r="2072" spans="1:10" x14ac:dyDescent="0.3">
      <c r="A2072">
        <v>2071</v>
      </c>
      <c r="B2072">
        <f>IF('Boletins Nuppa Site'!A2072&lt;&gt;0,'Boletins Nuppa Site'!A2072,"NULL")</f>
        <v>90</v>
      </c>
      <c r="C2072">
        <v>1</v>
      </c>
      <c r="D2072" t="str">
        <f>IF('Boletins Nuppa Site'!G2072&lt;&gt;0,'Boletins Nuppa Site'!G2072,"NULL")</f>
        <v>NULL</v>
      </c>
      <c r="E2072" s="14" t="str">
        <f>IF('Boletins Nuppa Site'!H2072&lt;&gt;0,'Boletins Nuppa Site'!H2072,"NULL")</f>
        <v xml:space="preserve"> 42.00</v>
      </c>
      <c r="F2072" s="14" t="str">
        <f>IF('Boletins Nuppa Site'!I2072&lt;&gt;0,'Boletins Nuppa Site'!I2072,"NULL")</f>
        <v xml:space="preserve"> 72.00</v>
      </c>
      <c r="G2072" s="14" t="str">
        <f>IF('Boletins Nuppa Site'!J2072&lt;&gt;0,'Boletins Nuppa Site'!J2072,"NULL")</f>
        <v xml:space="preserve"> 54.00</v>
      </c>
      <c r="H2072" s="14" t="str">
        <f>IF('Boletins Nuppa Site'!K2072&lt;&gt;0,'Boletins Nuppa Site'!K2072,"NULL")</f>
        <v xml:space="preserve"> 51.00</v>
      </c>
      <c r="I2072" t="str">
        <f t="shared" si="64"/>
        <v>INSERT INTO COTACAO (cot_id, cot_blt_id, cot_pap_id, cot_prc_comum, cot_prc_min, cot_prc_max, cot_prc_med, cot_prc_mediana) VALUES (2071, 90, 1, NULL,  42.00,  72.00,  54.00,  51.00);</v>
      </c>
      <c r="J2072" t="str">
        <f t="shared" si="65"/>
        <v>UPDATE COTACAO SET cot_id = 2071, cot_blt_id = 90, cot_pap_id = 1, cot_prc_comum = NULL, cot_prc_min =  42.00, cot_prc_max =  72.00, cot_prc_med =  54.00, cot_prc_mediana =  51.00 WHERE cot_id = 2071;</v>
      </c>
    </row>
    <row r="2073" spans="1:10" x14ac:dyDescent="0.3">
      <c r="A2073">
        <v>2072</v>
      </c>
      <c r="B2073">
        <f>IF('Boletins Nuppa Site'!A2073&lt;&gt;0,'Boletins Nuppa Site'!A2073,"NULL")</f>
        <v>90</v>
      </c>
      <c r="C2073">
        <v>2</v>
      </c>
      <c r="D2073" t="str">
        <f>IF('Boletins Nuppa Site'!G2073&lt;&gt;0,'Boletins Nuppa Site'!G2073,"NULL")</f>
        <v xml:space="preserve"> 84.00</v>
      </c>
      <c r="E2073" s="14" t="str">
        <f>IF('Boletins Nuppa Site'!H2073&lt;&gt;0,'Boletins Nuppa Site'!H2073,"NULL")</f>
        <v xml:space="preserve"> 84.00</v>
      </c>
      <c r="F2073" s="14" t="str">
        <f>IF('Boletins Nuppa Site'!I2073&lt;&gt;0,'Boletins Nuppa Site'!I2073,"NULL")</f>
        <v xml:space="preserve"> 96.00</v>
      </c>
      <c r="G2073" s="14" t="str">
        <f>IF('Boletins Nuppa Site'!J2073&lt;&gt;0,'Boletins Nuppa Site'!J2073,"NULL")</f>
        <v xml:space="preserve"> 90.00</v>
      </c>
      <c r="H2073" s="14" t="str">
        <f>IF('Boletins Nuppa Site'!K2073&lt;&gt;0,'Boletins Nuppa Site'!K2073,"NULL")</f>
        <v xml:space="preserve"> 90.00</v>
      </c>
      <c r="I2073" t="str">
        <f t="shared" si="64"/>
        <v>INSERT INTO COTACAO (cot_id, cot_blt_id, cot_pap_id, cot_prc_comum, cot_prc_min, cot_prc_max, cot_prc_med, cot_prc_mediana) VALUES (2072, 90, 2,  84.00,  84.00,  96.00,  90.00,  90.00);</v>
      </c>
      <c r="J2073" t="str">
        <f t="shared" si="65"/>
        <v>UPDATE COTACAO SET cot_id = 2072, cot_blt_id = 90, cot_pap_id = 2, cot_prc_comum =  84.00, cot_prc_min =  84.00, cot_prc_max =  96.00, cot_prc_med =  90.00, cot_prc_mediana =  90.00 WHERE cot_id = 2072;</v>
      </c>
    </row>
    <row r="2074" spans="1:10" x14ac:dyDescent="0.3">
      <c r="A2074">
        <v>2073</v>
      </c>
      <c r="B2074">
        <f>IF('Boletins Nuppa Site'!A2074&lt;&gt;0,'Boletins Nuppa Site'!A2074,"NULL")</f>
        <v>90</v>
      </c>
      <c r="C2074">
        <v>3</v>
      </c>
      <c r="D2074" t="str">
        <f>IF('Boletins Nuppa Site'!G2074&lt;&gt;0,'Boletins Nuppa Site'!G2074,"NULL")</f>
        <v>NULL</v>
      </c>
      <c r="E2074" s="14" t="str">
        <f>IF('Boletins Nuppa Site'!H2074&lt;&gt;0,'Boletins Nuppa Site'!H2074,"NULL")</f>
        <v xml:space="preserve"> 40.00</v>
      </c>
      <c r="F2074" s="14" t="str">
        <f>IF('Boletins Nuppa Site'!I2074&lt;&gt;0,'Boletins Nuppa Site'!I2074,"NULL")</f>
        <v xml:space="preserve"> 60.00</v>
      </c>
      <c r="G2074" s="14" t="str">
        <f>IF('Boletins Nuppa Site'!J2074&lt;&gt;0,'Boletins Nuppa Site'!J2074,"NULL")</f>
        <v xml:space="preserve"> 48.25</v>
      </c>
      <c r="H2074" s="14" t="str">
        <f>IF('Boletins Nuppa Site'!K2074&lt;&gt;0,'Boletins Nuppa Site'!K2074,"NULL")</f>
        <v xml:space="preserve"> 46.50</v>
      </c>
      <c r="I2074" t="str">
        <f t="shared" si="64"/>
        <v>INSERT INTO COTACAO (cot_id, cot_blt_id, cot_pap_id, cot_prc_comum, cot_prc_min, cot_prc_max, cot_prc_med, cot_prc_mediana) VALUES (2073, 90, 3, NULL,  40.00,  60.00,  48.25,  46.50);</v>
      </c>
      <c r="J2074" t="str">
        <f t="shared" si="65"/>
        <v>UPDATE COTACAO SET cot_id = 2073, cot_blt_id = 90, cot_pap_id = 3, cot_prc_comum = NULL, cot_prc_min =  40.00, cot_prc_max =  60.00, cot_prc_med =  48.25, cot_prc_mediana =  46.50 WHERE cot_id = 2073;</v>
      </c>
    </row>
    <row r="2075" spans="1:10" x14ac:dyDescent="0.3">
      <c r="A2075">
        <v>2074</v>
      </c>
      <c r="B2075">
        <f>IF('Boletins Nuppa Site'!A2075&lt;&gt;0,'Boletins Nuppa Site'!A2075,"NULL")</f>
        <v>90</v>
      </c>
      <c r="C2075">
        <v>4</v>
      </c>
      <c r="D2075" t="str">
        <f>IF('Boletins Nuppa Site'!G2075&lt;&gt;0,'Boletins Nuppa Site'!G2075,"NULL")</f>
        <v xml:space="preserve"> 33.00</v>
      </c>
      <c r="E2075" s="14" t="str">
        <f>IF('Boletins Nuppa Site'!H2075&lt;&gt;0,'Boletins Nuppa Site'!H2075,"NULL")</f>
        <v xml:space="preserve"> 30.00</v>
      </c>
      <c r="F2075" s="14" t="str">
        <f>IF('Boletins Nuppa Site'!I2075&lt;&gt;0,'Boletins Nuppa Site'!I2075,"NULL")</f>
        <v xml:space="preserve"> 60.00</v>
      </c>
      <c r="G2075" s="14" t="str">
        <f>IF('Boletins Nuppa Site'!J2075&lt;&gt;0,'Boletins Nuppa Site'!J2075,"NULL")</f>
        <v xml:space="preserve"> 39.00</v>
      </c>
      <c r="H2075" s="14" t="str">
        <f>IF('Boletins Nuppa Site'!K2075&lt;&gt;0,'Boletins Nuppa Site'!K2075,"NULL")</f>
        <v xml:space="preserve"> 33.00</v>
      </c>
      <c r="I2075" t="str">
        <f t="shared" si="64"/>
        <v>INSERT INTO COTACAO (cot_id, cot_blt_id, cot_pap_id, cot_prc_comum, cot_prc_min, cot_prc_max, cot_prc_med, cot_prc_mediana) VALUES (2074, 90, 4,  33.00,  30.00,  60.00,  39.00,  33.00);</v>
      </c>
      <c r="J2075" t="str">
        <f t="shared" si="65"/>
        <v>UPDATE COTACAO SET cot_id = 2074, cot_blt_id = 90, cot_pap_id = 4, cot_prc_comum =  33.00, cot_prc_min =  30.00, cot_prc_max =  60.00, cot_prc_med =  39.00, cot_prc_mediana =  33.00 WHERE cot_id = 2074;</v>
      </c>
    </row>
    <row r="2076" spans="1:10" x14ac:dyDescent="0.3">
      <c r="A2076">
        <v>2075</v>
      </c>
      <c r="B2076">
        <f>IF('Boletins Nuppa Site'!A2076&lt;&gt;0,'Boletins Nuppa Site'!A2076,"NULL")</f>
        <v>90</v>
      </c>
      <c r="C2076">
        <v>5</v>
      </c>
      <c r="D2076" t="str">
        <f>IF('Boletins Nuppa Site'!G2076&lt;&gt;0,'Boletins Nuppa Site'!G2076,"NULL")</f>
        <v xml:space="preserve"> 33.00</v>
      </c>
      <c r="E2076" s="14" t="str">
        <f>IF('Boletins Nuppa Site'!H2076&lt;&gt;0,'Boletins Nuppa Site'!H2076,"NULL")</f>
        <v xml:space="preserve"> 30.00</v>
      </c>
      <c r="F2076" s="14" t="str">
        <f>IF('Boletins Nuppa Site'!I2076&lt;&gt;0,'Boletins Nuppa Site'!I2076,"NULL")</f>
        <v xml:space="preserve"> 60.00</v>
      </c>
      <c r="G2076" s="14" t="str">
        <f>IF('Boletins Nuppa Site'!J2076&lt;&gt;0,'Boletins Nuppa Site'!J2076,"NULL")</f>
        <v xml:space="preserve"> 39.00</v>
      </c>
      <c r="H2076" s="14" t="str">
        <f>IF('Boletins Nuppa Site'!K2076&lt;&gt;0,'Boletins Nuppa Site'!K2076,"NULL")</f>
        <v xml:space="preserve"> 33.00</v>
      </c>
      <c r="I2076" t="str">
        <f t="shared" si="64"/>
        <v>INSERT INTO COTACAO (cot_id, cot_blt_id, cot_pap_id, cot_prc_comum, cot_prc_min, cot_prc_max, cot_prc_med, cot_prc_mediana) VALUES (2075, 90, 5,  33.00,  30.00,  60.00,  39.00,  33.00);</v>
      </c>
      <c r="J2076" t="str">
        <f t="shared" si="65"/>
        <v>UPDATE COTACAO SET cot_id = 2075, cot_blt_id = 90, cot_pap_id = 5, cot_prc_comum =  33.00, cot_prc_min =  30.00, cot_prc_max =  60.00, cot_prc_med =  39.00, cot_prc_mediana =  33.00 WHERE cot_id = 2075;</v>
      </c>
    </row>
    <row r="2077" spans="1:10" x14ac:dyDescent="0.3">
      <c r="A2077">
        <v>2076</v>
      </c>
      <c r="B2077">
        <f>IF('Boletins Nuppa Site'!A2077&lt;&gt;0,'Boletins Nuppa Site'!A2077,"NULL")</f>
        <v>90</v>
      </c>
      <c r="C2077">
        <v>6</v>
      </c>
      <c r="D2077" t="str">
        <f>IF('Boletins Nuppa Site'!G2077&lt;&gt;0,'Boletins Nuppa Site'!G2077,"NULL")</f>
        <v xml:space="preserve"> 60.00</v>
      </c>
      <c r="E2077" s="14" t="str">
        <f>IF('Boletins Nuppa Site'!H2077&lt;&gt;0,'Boletins Nuppa Site'!H2077,"NULL")</f>
        <v xml:space="preserve"> 60.00</v>
      </c>
      <c r="F2077" s="14" t="str">
        <f>IF('Boletins Nuppa Site'!I2077&lt;&gt;0,'Boletins Nuppa Site'!I2077,"NULL")</f>
        <v xml:space="preserve"> 72.00</v>
      </c>
      <c r="G2077" s="14" t="str">
        <f>IF('Boletins Nuppa Site'!J2077&lt;&gt;0,'Boletins Nuppa Site'!J2077,"NULL")</f>
        <v xml:space="preserve"> 64.50</v>
      </c>
      <c r="H2077" s="14" t="str">
        <f>IF('Boletins Nuppa Site'!K2077&lt;&gt;0,'Boletins Nuppa Site'!K2077,"NULL")</f>
        <v xml:space="preserve"> 63.00</v>
      </c>
      <c r="I2077" t="str">
        <f t="shared" si="64"/>
        <v>INSERT INTO COTACAO (cot_id, cot_blt_id, cot_pap_id, cot_prc_comum, cot_prc_min, cot_prc_max, cot_prc_med, cot_prc_mediana) VALUES (2076, 90, 6,  60.00,  60.00,  72.00,  64.50,  63.00);</v>
      </c>
      <c r="J2077" t="str">
        <f t="shared" si="65"/>
        <v>UPDATE COTACAO SET cot_id = 2076, cot_blt_id = 90, cot_pap_id = 6, cot_prc_comum =  60.00, cot_prc_min =  60.00, cot_prc_max =  72.00, cot_prc_med =  64.50, cot_prc_mediana =  63.00 WHERE cot_id = 2076;</v>
      </c>
    </row>
    <row r="2078" spans="1:10" x14ac:dyDescent="0.3">
      <c r="A2078">
        <v>2077</v>
      </c>
      <c r="B2078">
        <f>IF('Boletins Nuppa Site'!A2078&lt;&gt;0,'Boletins Nuppa Site'!A2078,"NULL")</f>
        <v>90</v>
      </c>
      <c r="C2078">
        <v>7</v>
      </c>
      <c r="D2078" t="str">
        <f>IF('Boletins Nuppa Site'!G2078&lt;&gt;0,'Boletins Nuppa Site'!G2078,"NULL")</f>
        <v xml:space="preserve"> 96.00</v>
      </c>
      <c r="E2078" s="14" t="str">
        <f>IF('Boletins Nuppa Site'!H2078&lt;&gt;0,'Boletins Nuppa Site'!H2078,"NULL")</f>
        <v xml:space="preserve"> 96.00</v>
      </c>
      <c r="F2078" s="14" t="str">
        <f>IF('Boletins Nuppa Site'!I2078&lt;&gt;0,'Boletins Nuppa Site'!I2078,"NULL")</f>
        <v xml:space="preserve"> 96.00</v>
      </c>
      <c r="G2078" s="14" t="str">
        <f>IF('Boletins Nuppa Site'!J2078&lt;&gt;0,'Boletins Nuppa Site'!J2078,"NULL")</f>
        <v xml:space="preserve"> 96.00</v>
      </c>
      <c r="H2078" s="14" t="str">
        <f>IF('Boletins Nuppa Site'!K2078&lt;&gt;0,'Boletins Nuppa Site'!K2078,"NULL")</f>
        <v xml:space="preserve"> 96.00</v>
      </c>
      <c r="I2078" t="str">
        <f t="shared" si="64"/>
        <v>INSERT INTO COTACAO (cot_id, cot_blt_id, cot_pap_id, cot_prc_comum, cot_prc_min, cot_prc_max, cot_prc_med, cot_prc_mediana) VALUES (2077, 90, 7,  96.00,  96.00,  96.00,  96.00,  96.00);</v>
      </c>
      <c r="J2078" t="str">
        <f t="shared" si="65"/>
        <v>UPDATE COTACAO SET cot_id = 2077, cot_blt_id = 90, cot_pap_id = 7, cot_prc_comum =  96.00, cot_prc_min =  96.00, cot_prc_max =  96.00, cot_prc_med =  96.00, cot_prc_mediana =  96.00 WHERE cot_id = 2077;</v>
      </c>
    </row>
    <row r="2079" spans="1:10" x14ac:dyDescent="0.3">
      <c r="A2079">
        <v>2078</v>
      </c>
      <c r="B2079">
        <f>IF('Boletins Nuppa Site'!A2079&lt;&gt;0,'Boletins Nuppa Site'!A2079,"NULL")</f>
        <v>90</v>
      </c>
      <c r="C2079">
        <v>8</v>
      </c>
      <c r="D2079" t="str">
        <f>IF('Boletins Nuppa Site'!G2079&lt;&gt;0,'Boletins Nuppa Site'!G2079,"NULL")</f>
        <v xml:space="preserve"> 72.00</v>
      </c>
      <c r="E2079" s="14" t="str">
        <f>IF('Boletins Nuppa Site'!H2079&lt;&gt;0,'Boletins Nuppa Site'!H2079,"NULL")</f>
        <v xml:space="preserve"> 72.00</v>
      </c>
      <c r="F2079" s="14" t="str">
        <f>IF('Boletins Nuppa Site'!I2079&lt;&gt;0,'Boletins Nuppa Site'!I2079,"NULL")</f>
        <v xml:space="preserve"> 96.00</v>
      </c>
      <c r="G2079" s="14" t="str">
        <f>IF('Boletins Nuppa Site'!J2079&lt;&gt;0,'Boletins Nuppa Site'!J2079,"NULL")</f>
        <v xml:space="preserve"> 82.50</v>
      </c>
      <c r="H2079" s="14" t="str">
        <f>IF('Boletins Nuppa Site'!K2079&lt;&gt;0,'Boletins Nuppa Site'!K2079,"NULL")</f>
        <v xml:space="preserve"> 81.00</v>
      </c>
      <c r="I2079" t="str">
        <f t="shared" si="64"/>
        <v>INSERT INTO COTACAO (cot_id, cot_blt_id, cot_pap_id, cot_prc_comum, cot_prc_min, cot_prc_max, cot_prc_med, cot_prc_mediana) VALUES (2078, 90, 8,  72.00,  72.00,  96.00,  82.50,  81.00);</v>
      </c>
      <c r="J2079" t="str">
        <f t="shared" si="65"/>
        <v>UPDATE COTACAO SET cot_id = 2078, cot_blt_id = 90, cot_pap_id = 8, cot_prc_comum =  72.00, cot_prc_min =  72.00, cot_prc_max =  96.00, cot_prc_med =  82.50, cot_prc_mediana =  81.00 WHERE cot_id = 2078;</v>
      </c>
    </row>
    <row r="2080" spans="1:10" x14ac:dyDescent="0.3">
      <c r="A2080">
        <v>2079</v>
      </c>
      <c r="B2080">
        <f>IF('Boletins Nuppa Site'!A2080&lt;&gt;0,'Boletins Nuppa Site'!A2080,"NULL")</f>
        <v>90</v>
      </c>
      <c r="C2080">
        <v>9</v>
      </c>
      <c r="D2080" t="str">
        <f>IF('Boletins Nuppa Site'!G2080&lt;&gt;0,'Boletins Nuppa Site'!G2080,"NULL")</f>
        <v xml:space="preserve"> 24.00</v>
      </c>
      <c r="E2080" s="14" t="str">
        <f>IF('Boletins Nuppa Site'!H2080&lt;&gt;0,'Boletins Nuppa Site'!H2080,"NULL")</f>
        <v xml:space="preserve"> 24.00</v>
      </c>
      <c r="F2080" s="14" t="str">
        <f>IF('Boletins Nuppa Site'!I2080&lt;&gt;0,'Boletins Nuppa Site'!I2080,"NULL")</f>
        <v xml:space="preserve"> 30.00</v>
      </c>
      <c r="G2080" s="14" t="str">
        <f>IF('Boletins Nuppa Site'!J2080&lt;&gt;0,'Boletins Nuppa Site'!J2080,"NULL")</f>
        <v xml:space="preserve"> 27.00</v>
      </c>
      <c r="H2080" s="14" t="str">
        <f>IF('Boletins Nuppa Site'!K2080&lt;&gt;0,'Boletins Nuppa Site'!K2080,"NULL")</f>
        <v xml:space="preserve"> 27.00</v>
      </c>
      <c r="I2080" t="str">
        <f t="shared" si="64"/>
        <v>INSERT INTO COTACAO (cot_id, cot_blt_id, cot_pap_id, cot_prc_comum, cot_prc_min, cot_prc_max, cot_prc_med, cot_prc_mediana) VALUES (2079, 90, 9,  24.00,  24.00,  30.00,  27.00,  27.00);</v>
      </c>
      <c r="J2080" t="str">
        <f t="shared" si="65"/>
        <v>UPDATE COTACAO SET cot_id = 2079, cot_blt_id = 90, cot_pap_id = 9, cot_prc_comum =  24.00, cot_prc_min =  24.00, cot_prc_max =  30.00, cot_prc_med =  27.00, cot_prc_mediana =  27.00 WHERE cot_id = 2079;</v>
      </c>
    </row>
    <row r="2081" spans="1:10" x14ac:dyDescent="0.3">
      <c r="A2081">
        <v>2080</v>
      </c>
      <c r="B2081">
        <f>IF('Boletins Nuppa Site'!A2081&lt;&gt;0,'Boletins Nuppa Site'!A2081,"NULL")</f>
        <v>90</v>
      </c>
      <c r="C2081">
        <v>10</v>
      </c>
      <c r="D2081" t="str">
        <f>IF('Boletins Nuppa Site'!G2081&lt;&gt;0,'Boletins Nuppa Site'!G2081,"NULL")</f>
        <v xml:space="preserve"> 96.00</v>
      </c>
      <c r="E2081" s="14" t="str">
        <f>IF('Boletins Nuppa Site'!H2081&lt;&gt;0,'Boletins Nuppa Site'!H2081,"NULL")</f>
        <v xml:space="preserve"> 84.00</v>
      </c>
      <c r="F2081" s="14" t="str">
        <f>IF('Boletins Nuppa Site'!I2081&lt;&gt;0,'Boletins Nuppa Site'!I2081,"NULL")</f>
        <v xml:space="preserve"> 96.00</v>
      </c>
      <c r="G2081" s="14" t="str">
        <f>IF('Boletins Nuppa Site'!J2081&lt;&gt;0,'Boletins Nuppa Site'!J2081,"NULL")</f>
        <v xml:space="preserve"> 91.50</v>
      </c>
      <c r="H2081" s="14" t="str">
        <f>IF('Boletins Nuppa Site'!K2081&lt;&gt;0,'Boletins Nuppa Site'!K2081,"NULL")</f>
        <v xml:space="preserve"> 93.00</v>
      </c>
      <c r="I2081" t="str">
        <f t="shared" si="64"/>
        <v>INSERT INTO COTACAO (cot_id, cot_blt_id, cot_pap_id, cot_prc_comum, cot_prc_min, cot_prc_max, cot_prc_med, cot_prc_mediana) VALUES (2080, 90, 10,  96.00,  84.00,  96.00,  91.50,  93.00);</v>
      </c>
      <c r="J2081" t="str">
        <f t="shared" si="65"/>
        <v>UPDATE COTACAO SET cot_id = 2080, cot_blt_id = 90, cot_pap_id = 10, cot_prc_comum =  96.00, cot_prc_min =  84.00, cot_prc_max =  96.00, cot_prc_med =  91.50, cot_prc_mediana =  93.00 WHERE cot_id = 2080;</v>
      </c>
    </row>
    <row r="2082" spans="1:10" x14ac:dyDescent="0.3">
      <c r="A2082">
        <v>2081</v>
      </c>
      <c r="B2082">
        <f>IF('Boletins Nuppa Site'!A2082&lt;&gt;0,'Boletins Nuppa Site'!A2082,"NULL")</f>
        <v>90</v>
      </c>
      <c r="C2082">
        <v>11</v>
      </c>
      <c r="D2082" t="str">
        <f>IF('Boletins Nuppa Site'!G2082&lt;&gt;0,'Boletins Nuppa Site'!G2082,"NULL")</f>
        <v xml:space="preserve"> 30.00</v>
      </c>
      <c r="E2082" s="14" t="str">
        <f>IF('Boletins Nuppa Site'!H2082&lt;&gt;0,'Boletins Nuppa Site'!H2082,"NULL")</f>
        <v xml:space="preserve"> 33.00</v>
      </c>
      <c r="F2082" s="14" t="str">
        <f>IF('Boletins Nuppa Site'!I2082&lt;&gt;0,'Boletins Nuppa Site'!I2082,"NULL")</f>
        <v xml:space="preserve"> 96.00</v>
      </c>
      <c r="G2082" s="14" t="str">
        <f>IF('Boletins Nuppa Site'!J2082&lt;&gt;0,'Boletins Nuppa Site'!J2082,"NULL")</f>
        <v xml:space="preserve"> 48.00</v>
      </c>
      <c r="H2082" s="14" t="str">
        <f>IF('Boletins Nuppa Site'!K2082&lt;&gt;0,'Boletins Nuppa Site'!K2082,"NULL")</f>
        <v xml:space="preserve"> 33.00</v>
      </c>
      <c r="I2082" t="str">
        <f t="shared" si="64"/>
        <v>INSERT INTO COTACAO (cot_id, cot_blt_id, cot_pap_id, cot_prc_comum, cot_prc_min, cot_prc_max, cot_prc_med, cot_prc_mediana) VALUES (2081, 90, 11,  30.00,  33.00,  96.00,  48.00,  33.00);</v>
      </c>
      <c r="J2082" t="str">
        <f t="shared" si="65"/>
        <v>UPDATE COTACAO SET cot_id = 2081, cot_blt_id = 90, cot_pap_id = 11, cot_prc_comum =  30.00, cot_prc_min =  33.00, cot_prc_max =  96.00, cot_prc_med =  48.00, cot_prc_mediana =  33.00 WHERE cot_id = 2081;</v>
      </c>
    </row>
    <row r="2083" spans="1:10" x14ac:dyDescent="0.3">
      <c r="A2083">
        <v>2082</v>
      </c>
      <c r="B2083">
        <f>IF('Boletins Nuppa Site'!A2083&lt;&gt;0,'Boletins Nuppa Site'!A2083,"NULL")</f>
        <v>90</v>
      </c>
      <c r="C2083">
        <v>12</v>
      </c>
      <c r="D2083" t="str">
        <f>IF('Boletins Nuppa Site'!G2083&lt;&gt;0,'Boletins Nuppa Site'!G2083,"NULL")</f>
        <v xml:space="preserve"> 72.00</v>
      </c>
      <c r="E2083" s="14" t="str">
        <f>IF('Boletins Nuppa Site'!H2083&lt;&gt;0,'Boletins Nuppa Site'!H2083,"NULL")</f>
        <v xml:space="preserve"> 72.00</v>
      </c>
      <c r="F2083" s="14" t="str">
        <f>IF('Boletins Nuppa Site'!I2083&lt;&gt;0,'Boletins Nuppa Site'!I2083,"NULL")</f>
        <v xml:space="preserve"> 84.00</v>
      </c>
      <c r="G2083" s="14" t="str">
        <f>IF('Boletins Nuppa Site'!J2083&lt;&gt;0,'Boletins Nuppa Site'!J2083,"NULL")</f>
        <v xml:space="preserve"> 76.50</v>
      </c>
      <c r="H2083" s="14" t="str">
        <f>IF('Boletins Nuppa Site'!K2083&lt;&gt;0,'Boletins Nuppa Site'!K2083,"NULL")</f>
        <v xml:space="preserve"> 75.00</v>
      </c>
      <c r="I2083" t="str">
        <f t="shared" si="64"/>
        <v>INSERT INTO COTACAO (cot_id, cot_blt_id, cot_pap_id, cot_prc_comum, cot_prc_min, cot_prc_max, cot_prc_med, cot_prc_mediana) VALUES (2082, 90, 12,  72.00,  72.00,  84.00,  76.50,  75.00);</v>
      </c>
      <c r="J2083" t="str">
        <f t="shared" si="65"/>
        <v>UPDATE COTACAO SET cot_id = 2082, cot_blt_id = 90, cot_pap_id = 12, cot_prc_comum =  72.00, cot_prc_min =  72.00, cot_prc_max =  84.00, cot_prc_med =  76.50, cot_prc_mediana =  75.00 WHERE cot_id = 2082;</v>
      </c>
    </row>
    <row r="2084" spans="1:10" x14ac:dyDescent="0.3">
      <c r="A2084">
        <v>2083</v>
      </c>
      <c r="B2084">
        <f>IF('Boletins Nuppa Site'!A2084&lt;&gt;0,'Boletins Nuppa Site'!A2084,"NULL")</f>
        <v>90</v>
      </c>
      <c r="C2084">
        <v>13</v>
      </c>
      <c r="D2084" t="str">
        <f>IF('Boletins Nuppa Site'!G2084&lt;&gt;0,'Boletins Nuppa Site'!G2084,"NULL")</f>
        <v xml:space="preserve"> 60.00</v>
      </c>
      <c r="E2084" s="14" t="str">
        <f>IF('Boletins Nuppa Site'!H2084&lt;&gt;0,'Boletins Nuppa Site'!H2084,"NULL")</f>
        <v xml:space="preserve"> 48.00</v>
      </c>
      <c r="F2084" s="14" t="str">
        <f>IF('Boletins Nuppa Site'!I2084&lt;&gt;0,'Boletins Nuppa Site'!I2084,"NULL")</f>
        <v xml:space="preserve"> 72.00</v>
      </c>
      <c r="G2084" s="14" t="str">
        <f>IF('Boletins Nuppa Site'!J2084&lt;&gt;0,'Boletins Nuppa Site'!J2084,"NULL")</f>
        <v xml:space="preserve"> 60.00</v>
      </c>
      <c r="H2084" s="14" t="str">
        <f>IF('Boletins Nuppa Site'!K2084&lt;&gt;0,'Boletins Nuppa Site'!K2084,"NULL")</f>
        <v xml:space="preserve"> 60.00</v>
      </c>
      <c r="I2084" t="str">
        <f t="shared" si="64"/>
        <v>INSERT INTO COTACAO (cot_id, cot_blt_id, cot_pap_id, cot_prc_comum, cot_prc_min, cot_prc_max, cot_prc_med, cot_prc_mediana) VALUES (2083, 90, 13,  60.00,  48.00,  72.00,  60.00,  60.00);</v>
      </c>
      <c r="J2084" t="str">
        <f t="shared" si="65"/>
        <v>UPDATE COTACAO SET cot_id = 2083, cot_blt_id = 90, cot_pap_id = 13, cot_prc_comum =  60.00, cot_prc_min =  48.00, cot_prc_max =  72.00, cot_prc_med =  60.00, cot_prc_mediana =  60.00 WHERE cot_id = 2083;</v>
      </c>
    </row>
    <row r="2085" spans="1:10" x14ac:dyDescent="0.3">
      <c r="A2085">
        <v>2084</v>
      </c>
      <c r="B2085">
        <f>IF('Boletins Nuppa Site'!A2085&lt;&gt;0,'Boletins Nuppa Site'!A2085,"NULL")</f>
        <v>90</v>
      </c>
      <c r="C2085">
        <v>14</v>
      </c>
      <c r="D2085" t="str">
        <f>IF('Boletins Nuppa Site'!G2085&lt;&gt;0,'Boletins Nuppa Site'!G2085,"NULL")</f>
        <v>NULL</v>
      </c>
      <c r="E2085" s="14" t="str">
        <f>IF('Boletins Nuppa Site'!H2085&lt;&gt;0,'Boletins Nuppa Site'!H2085,"NULL")</f>
        <v xml:space="preserve"> 60.00</v>
      </c>
      <c r="F2085" s="14" t="str">
        <f>IF('Boletins Nuppa Site'!I2085&lt;&gt;0,'Boletins Nuppa Site'!I2085,"NULL")</f>
        <v xml:space="preserve"> 84.00</v>
      </c>
      <c r="G2085" s="14" t="str">
        <f>IF('Boletins Nuppa Site'!J2085&lt;&gt;0,'Boletins Nuppa Site'!J2085,"NULL")</f>
        <v xml:space="preserve"> 73.50</v>
      </c>
      <c r="H2085" s="14" t="str">
        <f>IF('Boletins Nuppa Site'!K2085&lt;&gt;0,'Boletins Nuppa Site'!K2085,"NULL")</f>
        <v xml:space="preserve"> 75.00</v>
      </c>
      <c r="I2085" t="str">
        <f t="shared" si="64"/>
        <v>INSERT INTO COTACAO (cot_id, cot_blt_id, cot_pap_id, cot_prc_comum, cot_prc_min, cot_prc_max, cot_prc_med, cot_prc_mediana) VALUES (2084, 90, 14, NULL,  60.00,  84.00,  73.50,  75.00);</v>
      </c>
      <c r="J2085" t="str">
        <f t="shared" si="65"/>
        <v>UPDATE COTACAO SET cot_id = 2084, cot_blt_id = 90, cot_pap_id = 14, cot_prc_comum = NULL, cot_prc_min =  60.00, cot_prc_max =  84.00, cot_prc_med =  73.50, cot_prc_mediana =  75.00 WHERE cot_id = 2084;</v>
      </c>
    </row>
    <row r="2086" spans="1:10" x14ac:dyDescent="0.3">
      <c r="A2086">
        <v>2085</v>
      </c>
      <c r="B2086">
        <f>IF('Boletins Nuppa Site'!A2086&lt;&gt;0,'Boletins Nuppa Site'!A2086,"NULL")</f>
        <v>90</v>
      </c>
      <c r="C2086">
        <v>15</v>
      </c>
      <c r="D2086" t="str">
        <f>IF('Boletins Nuppa Site'!G2086&lt;&gt;0,'Boletins Nuppa Site'!G2086,"NULL")</f>
        <v xml:space="preserve"> 48.00</v>
      </c>
      <c r="E2086" s="14" t="str">
        <f>IF('Boletins Nuppa Site'!H2086&lt;&gt;0,'Boletins Nuppa Site'!H2086,"NULL")</f>
        <v xml:space="preserve"> 48.00</v>
      </c>
      <c r="F2086" s="14" t="str">
        <f>IF('Boletins Nuppa Site'!I2086&lt;&gt;0,'Boletins Nuppa Site'!I2086,"NULL")</f>
        <v xml:space="preserve"> 60.00</v>
      </c>
      <c r="G2086" s="14" t="str">
        <f>IF('Boletins Nuppa Site'!J2086&lt;&gt;0,'Boletins Nuppa Site'!J2086,"NULL")</f>
        <v xml:space="preserve"> 54.00</v>
      </c>
      <c r="H2086" s="14" t="str">
        <f>IF('Boletins Nuppa Site'!K2086&lt;&gt;0,'Boletins Nuppa Site'!K2086,"NULL")</f>
        <v xml:space="preserve"> 54.00</v>
      </c>
      <c r="I2086" t="str">
        <f t="shared" si="64"/>
        <v>INSERT INTO COTACAO (cot_id, cot_blt_id, cot_pap_id, cot_prc_comum, cot_prc_min, cot_prc_max, cot_prc_med, cot_prc_mediana) VALUES (2085, 90, 15,  48.00,  48.00,  60.00,  54.00,  54.00);</v>
      </c>
      <c r="J2086" t="str">
        <f t="shared" si="65"/>
        <v>UPDATE COTACAO SET cot_id = 2085, cot_blt_id = 90, cot_pap_id = 15, cot_prc_comum =  48.00, cot_prc_min =  48.00, cot_prc_max =  60.00, cot_prc_med =  54.00, cot_prc_mediana =  54.00 WHERE cot_id = 2085;</v>
      </c>
    </row>
    <row r="2087" spans="1:10" x14ac:dyDescent="0.3">
      <c r="A2087">
        <v>2086</v>
      </c>
      <c r="B2087">
        <f>IF('Boletins Nuppa Site'!A2087&lt;&gt;0,'Boletins Nuppa Site'!A2087,"NULL")</f>
        <v>90</v>
      </c>
      <c r="C2087">
        <v>16</v>
      </c>
      <c r="D2087" t="str">
        <f>IF('Boletins Nuppa Site'!G2087&lt;&gt;0,'Boletins Nuppa Site'!G2087,"NULL")</f>
        <v xml:space="preserve"> 54.00</v>
      </c>
      <c r="E2087" s="14" t="str">
        <f>IF('Boletins Nuppa Site'!H2087&lt;&gt;0,'Boletins Nuppa Site'!H2087,"NULL")</f>
        <v xml:space="preserve"> 54.00</v>
      </c>
      <c r="F2087" s="14" t="str">
        <f>IF('Boletins Nuppa Site'!I2087&lt;&gt;0,'Boletins Nuppa Site'!I2087,"NULL")</f>
        <v xml:space="preserve"> 60.00</v>
      </c>
      <c r="G2087" s="14" t="str">
        <f>IF('Boletins Nuppa Site'!J2087&lt;&gt;0,'Boletins Nuppa Site'!J2087,"NULL")</f>
        <v xml:space="preserve"> 55.50</v>
      </c>
      <c r="H2087" s="14" t="str">
        <f>IF('Boletins Nuppa Site'!K2087&lt;&gt;0,'Boletins Nuppa Site'!K2087,"NULL")</f>
        <v xml:space="preserve"> 54.00</v>
      </c>
      <c r="I2087" t="str">
        <f t="shared" si="64"/>
        <v>INSERT INTO COTACAO (cot_id, cot_blt_id, cot_pap_id, cot_prc_comum, cot_prc_min, cot_prc_max, cot_prc_med, cot_prc_mediana) VALUES (2086, 90, 16,  54.00,  54.00,  60.00,  55.50,  54.00);</v>
      </c>
      <c r="J2087" t="str">
        <f t="shared" si="65"/>
        <v>UPDATE COTACAO SET cot_id = 2086, cot_blt_id = 90, cot_pap_id = 16, cot_prc_comum =  54.00, cot_prc_min =  54.00, cot_prc_max =  60.00, cot_prc_med =  55.50, cot_prc_mediana =  54.00 WHERE cot_id = 2086;</v>
      </c>
    </row>
    <row r="2088" spans="1:10" x14ac:dyDescent="0.3">
      <c r="A2088">
        <v>2087</v>
      </c>
      <c r="B2088">
        <f>IF('Boletins Nuppa Site'!A2088&lt;&gt;0,'Boletins Nuppa Site'!A2088,"NULL")</f>
        <v>90</v>
      </c>
      <c r="C2088">
        <v>17</v>
      </c>
      <c r="D2088" t="str">
        <f>IF('Boletins Nuppa Site'!G2088&lt;&gt;0,'Boletins Nuppa Site'!G2088,"NULL")</f>
        <v xml:space="preserve"> 5.00</v>
      </c>
      <c r="E2088" s="14" t="str">
        <f>IF('Boletins Nuppa Site'!H2088&lt;&gt;0,'Boletins Nuppa Site'!H2088,"NULL")</f>
        <v xml:space="preserve"> 5.00</v>
      </c>
      <c r="F2088" s="14" t="str">
        <f>IF('Boletins Nuppa Site'!I2088&lt;&gt;0,'Boletins Nuppa Site'!I2088,"NULL")</f>
        <v xml:space="preserve"> 5.00</v>
      </c>
      <c r="G2088" s="14" t="str">
        <f>IF('Boletins Nuppa Site'!J2088&lt;&gt;0,'Boletins Nuppa Site'!J2088,"NULL")</f>
        <v xml:space="preserve"> 5.00</v>
      </c>
      <c r="H2088" s="14" t="str">
        <f>IF('Boletins Nuppa Site'!K2088&lt;&gt;0,'Boletins Nuppa Site'!K2088,"NULL")</f>
        <v xml:space="preserve"> 5.00</v>
      </c>
      <c r="I2088" t="str">
        <f t="shared" si="64"/>
        <v>INSERT INTO COTACAO (cot_id, cot_blt_id, cot_pap_id, cot_prc_comum, cot_prc_min, cot_prc_max, cot_prc_med, cot_prc_mediana) VALUES (2087, 90, 17,  5.00,  5.00,  5.00,  5.00,  5.00);</v>
      </c>
      <c r="J2088" t="str">
        <f t="shared" si="65"/>
        <v>UPDATE COTACAO SET cot_id = 2087, cot_blt_id = 90, cot_pap_id = 17, cot_prc_comum =  5.00, cot_prc_min =  5.00, cot_prc_max =  5.00, cot_prc_med =  5.00, cot_prc_mediana =  5.00 WHERE cot_id = 2087;</v>
      </c>
    </row>
    <row r="2089" spans="1:10" x14ac:dyDescent="0.3">
      <c r="A2089">
        <v>2088</v>
      </c>
      <c r="B2089">
        <f>IF('Boletins Nuppa Site'!A2089&lt;&gt;0,'Boletins Nuppa Site'!A2089,"NULL")</f>
        <v>90</v>
      </c>
      <c r="C2089">
        <v>18</v>
      </c>
      <c r="D2089" t="str">
        <f>IF('Boletins Nuppa Site'!G2089&lt;&gt;0,'Boletins Nuppa Site'!G2089,"NULL")</f>
        <v>NULL</v>
      </c>
      <c r="E2089" s="14" t="str">
        <f>IF('Boletins Nuppa Site'!H2089&lt;&gt;0,'Boletins Nuppa Site'!H2089,"NULL")</f>
        <v xml:space="preserve"> 25.00</v>
      </c>
      <c r="F2089" s="14" t="str">
        <f>IF('Boletins Nuppa Site'!I2089&lt;&gt;0,'Boletins Nuppa Site'!I2089,"NULL")</f>
        <v xml:space="preserve"> 40.00</v>
      </c>
      <c r="G2089" s="14" t="str">
        <f>IF('Boletins Nuppa Site'!J2089&lt;&gt;0,'Boletins Nuppa Site'!J2089,"NULL")</f>
        <v xml:space="preserve"> 30.75</v>
      </c>
      <c r="H2089" s="14" t="str">
        <f>IF('Boletins Nuppa Site'!K2089&lt;&gt;0,'Boletins Nuppa Site'!K2089,"NULL")</f>
        <v xml:space="preserve"> 29.00</v>
      </c>
      <c r="I2089" t="str">
        <f t="shared" si="64"/>
        <v>INSERT INTO COTACAO (cot_id, cot_blt_id, cot_pap_id, cot_prc_comum, cot_prc_min, cot_prc_max, cot_prc_med, cot_prc_mediana) VALUES (2088, 90, 18, NULL,  25.00,  40.00,  30.75,  29.00);</v>
      </c>
      <c r="J2089" t="str">
        <f t="shared" si="65"/>
        <v>UPDATE COTACAO SET cot_id = 2088, cot_blt_id = 90, cot_pap_id = 18, cot_prc_comum = NULL, cot_prc_min =  25.00, cot_prc_max =  40.00, cot_prc_med =  30.75, cot_prc_mediana =  29.00 WHERE cot_id = 2088;</v>
      </c>
    </row>
    <row r="2090" spans="1:10" x14ac:dyDescent="0.3">
      <c r="A2090">
        <v>2089</v>
      </c>
      <c r="B2090">
        <f>IF('Boletins Nuppa Site'!A2090&lt;&gt;0,'Boletins Nuppa Site'!A2090,"NULL")</f>
        <v>90</v>
      </c>
      <c r="C2090">
        <v>19</v>
      </c>
      <c r="D2090" t="str">
        <f>IF('Boletins Nuppa Site'!G2090&lt;&gt;0,'Boletins Nuppa Site'!G2090,"NULL")</f>
        <v xml:space="preserve"> 25.00</v>
      </c>
      <c r="E2090" s="14" t="str">
        <f>IF('Boletins Nuppa Site'!H2090&lt;&gt;0,'Boletins Nuppa Site'!H2090,"NULL")</f>
        <v xml:space="preserve"> 25.00</v>
      </c>
      <c r="F2090" s="14" t="str">
        <f>IF('Boletins Nuppa Site'!I2090&lt;&gt;0,'Boletins Nuppa Site'!I2090,"NULL")</f>
        <v xml:space="preserve"> 35.00</v>
      </c>
      <c r="G2090" s="14" t="str">
        <f>IF('Boletins Nuppa Site'!J2090&lt;&gt;0,'Boletins Nuppa Site'!J2090,"NULL")</f>
        <v xml:space="preserve"> 28.75</v>
      </c>
      <c r="H2090" s="14" t="str">
        <f>IF('Boletins Nuppa Site'!K2090&lt;&gt;0,'Boletins Nuppa Site'!K2090,"NULL")</f>
        <v xml:space="preserve"> 27.50</v>
      </c>
      <c r="I2090" t="str">
        <f t="shared" si="64"/>
        <v>INSERT INTO COTACAO (cot_id, cot_blt_id, cot_pap_id, cot_prc_comum, cot_prc_min, cot_prc_max, cot_prc_med, cot_prc_mediana) VALUES (2089, 90, 19,  25.00,  25.00,  35.00,  28.75,  27.50);</v>
      </c>
      <c r="J2090" t="str">
        <f t="shared" si="65"/>
        <v>UPDATE COTACAO SET cot_id = 2089, cot_blt_id = 90, cot_pap_id = 19, cot_prc_comum =  25.00, cot_prc_min =  25.00, cot_prc_max =  35.00, cot_prc_med =  28.75, cot_prc_mediana =  27.50 WHERE cot_id = 2089;</v>
      </c>
    </row>
    <row r="2091" spans="1:10" x14ac:dyDescent="0.3">
      <c r="A2091">
        <v>2090</v>
      </c>
      <c r="B2091">
        <f>IF('Boletins Nuppa Site'!A2091&lt;&gt;0,'Boletins Nuppa Site'!A2091,"NULL")</f>
        <v>90</v>
      </c>
      <c r="C2091">
        <v>20</v>
      </c>
      <c r="D2091" t="str">
        <f>IF('Boletins Nuppa Site'!G2091&lt;&gt;0,'Boletins Nuppa Site'!G2091,"NULL")</f>
        <v xml:space="preserve"> 65.00</v>
      </c>
      <c r="E2091" s="14" t="str">
        <f>IF('Boletins Nuppa Site'!H2091&lt;&gt;0,'Boletins Nuppa Site'!H2091,"NULL")</f>
        <v xml:space="preserve"> 65.00</v>
      </c>
      <c r="F2091" s="14" t="str">
        <f>IF('Boletins Nuppa Site'!I2091&lt;&gt;0,'Boletins Nuppa Site'!I2091,"NULL")</f>
        <v xml:space="preserve"> 65.00</v>
      </c>
      <c r="G2091" s="14" t="str">
        <f>IF('Boletins Nuppa Site'!J2091&lt;&gt;0,'Boletins Nuppa Site'!J2091,"NULL")</f>
        <v xml:space="preserve"> 65.00</v>
      </c>
      <c r="H2091" s="14" t="str">
        <f>IF('Boletins Nuppa Site'!K2091&lt;&gt;0,'Boletins Nuppa Site'!K2091,"NULL")</f>
        <v xml:space="preserve"> 65.00</v>
      </c>
      <c r="I2091" t="str">
        <f t="shared" si="64"/>
        <v>INSERT INTO COTACAO (cot_id, cot_blt_id, cot_pap_id, cot_prc_comum, cot_prc_min, cot_prc_max, cot_prc_med, cot_prc_mediana) VALUES (2090, 90, 20,  65.00,  65.00,  65.00,  65.00,  65.00);</v>
      </c>
      <c r="J2091" t="str">
        <f t="shared" si="65"/>
        <v>UPDATE COTACAO SET cot_id = 2090, cot_blt_id = 90, cot_pap_id = 20, cot_prc_comum =  65.00, cot_prc_min =  65.00, cot_prc_max =  65.00, cot_prc_med =  65.00, cot_prc_mediana =  65.00 WHERE cot_id = 2090;</v>
      </c>
    </row>
    <row r="2092" spans="1:10" x14ac:dyDescent="0.3">
      <c r="A2092">
        <v>2091</v>
      </c>
      <c r="B2092">
        <f>IF('Boletins Nuppa Site'!A2092&lt;&gt;0,'Boletins Nuppa Site'!A2092,"NULL")</f>
        <v>90</v>
      </c>
      <c r="C2092">
        <v>21</v>
      </c>
      <c r="D2092" t="str">
        <f>IF('Boletins Nuppa Site'!G2092&lt;&gt;0,'Boletins Nuppa Site'!G2092,"NULL")</f>
        <v>NULL</v>
      </c>
      <c r="E2092" s="14" t="str">
        <f>IF('Boletins Nuppa Site'!H2092&lt;&gt;0,'Boletins Nuppa Site'!H2092,"NULL")</f>
        <v xml:space="preserve"> 75.00</v>
      </c>
      <c r="F2092" s="14" t="str">
        <f>IF('Boletins Nuppa Site'!I2092&lt;&gt;0,'Boletins Nuppa Site'!I2092,"NULL")</f>
        <v xml:space="preserve"> 90.00</v>
      </c>
      <c r="G2092" s="14" t="str">
        <f>IF('Boletins Nuppa Site'!J2092&lt;&gt;0,'Boletins Nuppa Site'!J2092,"NULL")</f>
        <v xml:space="preserve"> 82.50</v>
      </c>
      <c r="H2092" s="14" t="str">
        <f>IF('Boletins Nuppa Site'!K2092&lt;&gt;0,'Boletins Nuppa Site'!K2092,"NULL")</f>
        <v xml:space="preserve"> 82.50</v>
      </c>
      <c r="I2092" t="str">
        <f t="shared" si="64"/>
        <v>INSERT INTO COTACAO (cot_id, cot_blt_id, cot_pap_id, cot_prc_comum, cot_prc_min, cot_prc_max, cot_prc_med, cot_prc_mediana) VALUES (2091, 90, 21, NULL,  75.00,  90.00,  82.50,  82.50);</v>
      </c>
      <c r="J2092" t="str">
        <f t="shared" si="65"/>
        <v>UPDATE COTACAO SET cot_id = 2091, cot_blt_id = 90, cot_pap_id = 21, cot_prc_comum = NULL, cot_prc_min =  75.00, cot_prc_max =  90.00, cot_prc_med =  82.50, cot_prc_mediana =  82.50 WHERE cot_id = 2091;</v>
      </c>
    </row>
    <row r="2093" spans="1:10" x14ac:dyDescent="0.3">
      <c r="A2093">
        <v>2092</v>
      </c>
      <c r="B2093">
        <f>IF('Boletins Nuppa Site'!A2093&lt;&gt;0,'Boletins Nuppa Site'!A2093,"NULL")</f>
        <v>90</v>
      </c>
      <c r="C2093">
        <v>22</v>
      </c>
      <c r="D2093" t="str">
        <f>IF('Boletins Nuppa Site'!G2093&lt;&gt;0,'Boletins Nuppa Site'!G2093,"NULL")</f>
        <v xml:space="preserve"> 45.00</v>
      </c>
      <c r="E2093" s="14" t="str">
        <f>IF('Boletins Nuppa Site'!H2093&lt;&gt;0,'Boletins Nuppa Site'!H2093,"NULL")</f>
        <v xml:space="preserve"> 45.00</v>
      </c>
      <c r="F2093" s="14" t="str">
        <f>IF('Boletins Nuppa Site'!I2093&lt;&gt;0,'Boletins Nuppa Site'!I2093,"NULL")</f>
        <v xml:space="preserve"> 70.00</v>
      </c>
      <c r="G2093" s="14" t="str">
        <f>IF('Boletins Nuppa Site'!J2093&lt;&gt;0,'Boletins Nuppa Site'!J2093,"NULL")</f>
        <v xml:space="preserve"> 56.25</v>
      </c>
      <c r="H2093" s="14" t="str">
        <f>IF('Boletins Nuppa Site'!K2093&lt;&gt;0,'Boletins Nuppa Site'!K2093,"NULL")</f>
        <v xml:space="preserve"> 55.00</v>
      </c>
      <c r="I2093" t="str">
        <f t="shared" si="64"/>
        <v>INSERT INTO COTACAO (cot_id, cot_blt_id, cot_pap_id, cot_prc_comum, cot_prc_min, cot_prc_max, cot_prc_med, cot_prc_mediana) VALUES (2092, 90, 22,  45.00,  45.00,  70.00,  56.25,  55.00);</v>
      </c>
      <c r="J2093" t="str">
        <f t="shared" si="65"/>
        <v>UPDATE COTACAO SET cot_id = 2092, cot_blt_id = 90, cot_pap_id = 22, cot_prc_comum =  45.00, cot_prc_min =  45.00, cot_prc_max =  70.00, cot_prc_med =  56.25, cot_prc_mediana =  55.00 WHERE cot_id = 2092;</v>
      </c>
    </row>
    <row r="2094" spans="1:10" x14ac:dyDescent="0.3">
      <c r="A2094">
        <v>2093</v>
      </c>
      <c r="B2094">
        <f>IF('Boletins Nuppa Site'!A2094&lt;&gt;0,'Boletins Nuppa Site'!A2094,"NULL")</f>
        <v>90</v>
      </c>
      <c r="C2094">
        <v>23</v>
      </c>
      <c r="D2094" t="str">
        <f>IF('Boletins Nuppa Site'!G2094&lt;&gt;0,'Boletins Nuppa Site'!G2094,"NULL")</f>
        <v xml:space="preserve"> 40.00</v>
      </c>
      <c r="E2094" s="14" t="str">
        <f>IF('Boletins Nuppa Site'!H2094&lt;&gt;0,'Boletins Nuppa Site'!H2094,"NULL")</f>
        <v xml:space="preserve"> 50.00</v>
      </c>
      <c r="F2094" s="14" t="str">
        <f>IF('Boletins Nuppa Site'!I2094&lt;&gt;0,'Boletins Nuppa Site'!I2094,"NULL")</f>
        <v xml:space="preserve"> 50.00</v>
      </c>
      <c r="G2094" s="14" t="str">
        <f>IF('Boletins Nuppa Site'!J2094&lt;&gt;0,'Boletins Nuppa Site'!J2094,"NULL")</f>
        <v xml:space="preserve"> 47.50</v>
      </c>
      <c r="H2094" s="14" t="str">
        <f>IF('Boletins Nuppa Site'!K2094&lt;&gt;0,'Boletins Nuppa Site'!K2094,"NULL")</f>
        <v xml:space="preserve"> 50.00</v>
      </c>
      <c r="I2094" t="str">
        <f t="shared" si="64"/>
        <v>INSERT INTO COTACAO (cot_id, cot_blt_id, cot_pap_id, cot_prc_comum, cot_prc_min, cot_prc_max, cot_prc_med, cot_prc_mediana) VALUES (2093, 90, 23,  40.00,  50.00,  50.00,  47.50,  50.00);</v>
      </c>
      <c r="J2094" t="str">
        <f t="shared" si="65"/>
        <v>UPDATE COTACAO SET cot_id = 2093, cot_blt_id = 90, cot_pap_id = 23, cot_prc_comum =  40.00, cot_prc_min =  50.00, cot_prc_max =  50.00, cot_prc_med =  47.50, cot_prc_mediana =  50.00 WHERE cot_id = 2093;</v>
      </c>
    </row>
    <row r="2095" spans="1:10" x14ac:dyDescent="0.3">
      <c r="A2095">
        <v>2094</v>
      </c>
      <c r="B2095">
        <f>IF('Boletins Nuppa Site'!A2095&lt;&gt;0,'Boletins Nuppa Site'!A2095,"NULL")</f>
        <v>90</v>
      </c>
      <c r="C2095">
        <v>24</v>
      </c>
      <c r="D2095" t="str">
        <f>IF('Boletins Nuppa Site'!G2095&lt;&gt;0,'Boletins Nuppa Site'!G2095,"NULL")</f>
        <v>NULL</v>
      </c>
      <c r="E2095" s="14" t="str">
        <f>IF('Boletins Nuppa Site'!H2095&lt;&gt;0,'Boletins Nuppa Site'!H2095,"NULL")</f>
        <v xml:space="preserve"> 80.00</v>
      </c>
      <c r="F2095" s="14" t="str">
        <f>IF('Boletins Nuppa Site'!I2095&lt;&gt;0,'Boletins Nuppa Site'!I2095,"NULL")</f>
        <v xml:space="preserve"> 80.00</v>
      </c>
      <c r="G2095" s="14" t="str">
        <f>IF('Boletins Nuppa Site'!J2095&lt;&gt;0,'Boletins Nuppa Site'!J2095,"NULL")</f>
        <v xml:space="preserve"> 80.00</v>
      </c>
      <c r="H2095" s="14" t="str">
        <f>IF('Boletins Nuppa Site'!K2095&lt;&gt;0,'Boletins Nuppa Site'!K2095,"NULL")</f>
        <v xml:space="preserve"> 80.00</v>
      </c>
      <c r="I2095" t="str">
        <f t="shared" si="64"/>
        <v>INSERT INTO COTACAO (cot_id, cot_blt_id, cot_pap_id, cot_prc_comum, cot_prc_min, cot_prc_max, cot_prc_med, cot_prc_mediana) VALUES (2094, 90, 24, NULL,  80.00,  80.00,  80.00,  80.00);</v>
      </c>
      <c r="J2095" t="str">
        <f t="shared" si="65"/>
        <v>UPDATE COTACAO SET cot_id = 2094, cot_blt_id = 90, cot_pap_id = 24, cot_prc_comum = NULL, cot_prc_min =  80.00, cot_prc_max =  80.00, cot_prc_med =  80.00, cot_prc_mediana =  80.00 WHERE cot_id = 2094;</v>
      </c>
    </row>
    <row r="2096" spans="1:10" x14ac:dyDescent="0.3">
      <c r="A2096">
        <v>2095</v>
      </c>
      <c r="B2096">
        <f>IF('Boletins Nuppa Site'!A2096&lt;&gt;0,'Boletins Nuppa Site'!A2096,"NULL")</f>
        <v>90</v>
      </c>
      <c r="C2096">
        <v>25</v>
      </c>
      <c r="D2096" t="str">
        <f>IF('Boletins Nuppa Site'!G2096&lt;&gt;0,'Boletins Nuppa Site'!G2096,"NULL")</f>
        <v xml:space="preserve"> 60.00</v>
      </c>
      <c r="E2096" s="14" t="str">
        <f>IF('Boletins Nuppa Site'!H2096&lt;&gt;0,'Boletins Nuppa Site'!H2096,"NULL")</f>
        <v xml:space="preserve"> 50.00</v>
      </c>
      <c r="F2096" s="14" t="str">
        <f>IF('Boletins Nuppa Site'!I2096&lt;&gt;0,'Boletins Nuppa Site'!I2096,"NULL")</f>
        <v xml:space="preserve"> 60.00</v>
      </c>
      <c r="G2096" s="14" t="str">
        <f>IF('Boletins Nuppa Site'!J2096&lt;&gt;0,'Boletins Nuppa Site'!J2096,"NULL")</f>
        <v xml:space="preserve"> 57.50</v>
      </c>
      <c r="H2096" s="14" t="str">
        <f>IF('Boletins Nuppa Site'!K2096&lt;&gt;0,'Boletins Nuppa Site'!K2096,"NULL")</f>
        <v xml:space="preserve"> 60.00</v>
      </c>
      <c r="I2096" t="str">
        <f t="shared" si="64"/>
        <v>INSERT INTO COTACAO (cot_id, cot_blt_id, cot_pap_id, cot_prc_comum, cot_prc_min, cot_prc_max, cot_prc_med, cot_prc_mediana) VALUES (2095, 90, 25,  60.00,  50.00,  60.00,  57.50,  60.00);</v>
      </c>
      <c r="J2096" t="str">
        <f t="shared" si="65"/>
        <v>UPDATE COTACAO SET cot_id = 2095, cot_blt_id = 90, cot_pap_id = 25, cot_prc_comum =  60.00, cot_prc_min =  50.00, cot_prc_max =  60.00, cot_prc_med =  57.50, cot_prc_mediana =  60.00 WHERE cot_id = 2095;</v>
      </c>
    </row>
    <row r="2097" spans="1:10" x14ac:dyDescent="0.3">
      <c r="A2097">
        <v>2096</v>
      </c>
      <c r="B2097">
        <f>IF('Boletins Nuppa Site'!A2097&lt;&gt;0,'Boletins Nuppa Site'!A2097,"NULL")</f>
        <v>90</v>
      </c>
      <c r="C2097">
        <v>26</v>
      </c>
      <c r="D2097" t="str">
        <f>IF('Boletins Nuppa Site'!G2097&lt;&gt;0,'Boletins Nuppa Site'!G2097,"NULL")</f>
        <v xml:space="preserve"> 80.00</v>
      </c>
      <c r="E2097" s="14" t="str">
        <f>IF('Boletins Nuppa Site'!H2097&lt;&gt;0,'Boletins Nuppa Site'!H2097,"NULL")</f>
        <v xml:space="preserve"> 60.00</v>
      </c>
      <c r="F2097" s="14" t="str">
        <f>IF('Boletins Nuppa Site'!I2097&lt;&gt;0,'Boletins Nuppa Site'!I2097,"NULL")</f>
        <v xml:space="preserve"> 80.00</v>
      </c>
      <c r="G2097" s="14" t="str">
        <f>IF('Boletins Nuppa Site'!J2097&lt;&gt;0,'Boletins Nuppa Site'!J2097,"NULL")</f>
        <v xml:space="preserve"> 72.50</v>
      </c>
      <c r="H2097" s="14" t="str">
        <f>IF('Boletins Nuppa Site'!K2097&lt;&gt;0,'Boletins Nuppa Site'!K2097,"NULL")</f>
        <v xml:space="preserve"> 75.00</v>
      </c>
      <c r="I2097" t="str">
        <f t="shared" si="64"/>
        <v>INSERT INTO COTACAO (cot_id, cot_blt_id, cot_pap_id, cot_prc_comum, cot_prc_min, cot_prc_max, cot_prc_med, cot_prc_mediana) VALUES (2096, 90, 26,  80.00,  60.00,  80.00,  72.50,  75.00);</v>
      </c>
      <c r="J2097" t="str">
        <f t="shared" si="65"/>
        <v>UPDATE COTACAO SET cot_id = 2096, cot_blt_id = 90, cot_pap_id = 26, cot_prc_comum =  80.00, cot_prc_min =  60.00, cot_prc_max =  80.00, cot_prc_med =  72.50, cot_prc_mediana =  75.00 WHERE cot_id = 2096;</v>
      </c>
    </row>
    <row r="2098" spans="1:10" x14ac:dyDescent="0.3">
      <c r="A2098">
        <v>2097</v>
      </c>
      <c r="B2098">
        <f>IF('Boletins Nuppa Site'!A2098&lt;&gt;0,'Boletins Nuppa Site'!A2098,"NULL")</f>
        <v>90</v>
      </c>
      <c r="C2098">
        <v>27</v>
      </c>
      <c r="D2098" t="str">
        <f>IF('Boletins Nuppa Site'!G2098&lt;&gt;0,'Boletins Nuppa Site'!G2098,"NULL")</f>
        <v xml:space="preserve"> 70.00</v>
      </c>
      <c r="E2098" s="14" t="str">
        <f>IF('Boletins Nuppa Site'!H2098&lt;&gt;0,'Boletins Nuppa Site'!H2098,"NULL")</f>
        <v xml:space="preserve"> 70.00</v>
      </c>
      <c r="F2098" s="14" t="str">
        <f>IF('Boletins Nuppa Site'!I2098&lt;&gt;0,'Boletins Nuppa Site'!I2098,"NULL")</f>
        <v xml:space="preserve"> 90.00</v>
      </c>
      <c r="G2098" s="14" t="str">
        <f>IF('Boletins Nuppa Site'!J2098&lt;&gt;0,'Boletins Nuppa Site'!J2098,"NULL")</f>
        <v xml:space="preserve"> 77.50</v>
      </c>
      <c r="H2098" s="14" t="str">
        <f>IF('Boletins Nuppa Site'!K2098&lt;&gt;0,'Boletins Nuppa Site'!K2098,"NULL")</f>
        <v xml:space="preserve"> 75.00</v>
      </c>
      <c r="I2098" t="str">
        <f t="shared" si="64"/>
        <v>INSERT INTO COTACAO (cot_id, cot_blt_id, cot_pap_id, cot_prc_comum, cot_prc_min, cot_prc_max, cot_prc_med, cot_prc_mediana) VALUES (2097, 90, 27,  70.00,  70.00,  90.00,  77.50,  75.00);</v>
      </c>
      <c r="J2098" t="str">
        <f t="shared" si="65"/>
        <v>UPDATE COTACAO SET cot_id = 2097, cot_blt_id = 90, cot_pap_id = 27, cot_prc_comum =  70.00, cot_prc_min =  70.00, cot_prc_max =  90.00, cot_prc_med =  77.50, cot_prc_mediana =  75.00 WHERE cot_id = 2097;</v>
      </c>
    </row>
    <row r="2099" spans="1:10" x14ac:dyDescent="0.3">
      <c r="A2099">
        <v>2098</v>
      </c>
      <c r="B2099">
        <f>IF('Boletins Nuppa Site'!A2099&lt;&gt;0,'Boletins Nuppa Site'!A2099,"NULL")</f>
        <v>90</v>
      </c>
      <c r="C2099">
        <v>28</v>
      </c>
      <c r="D2099" t="str">
        <f>IF('Boletins Nuppa Site'!G2099&lt;&gt;0,'Boletins Nuppa Site'!G2099,"NULL")</f>
        <v xml:space="preserve"> 60.00</v>
      </c>
      <c r="E2099" s="14" t="str">
        <f>IF('Boletins Nuppa Site'!H2099&lt;&gt;0,'Boletins Nuppa Site'!H2099,"NULL")</f>
        <v xml:space="preserve"> 60.00</v>
      </c>
      <c r="F2099" s="14" t="str">
        <f>IF('Boletins Nuppa Site'!I2099&lt;&gt;0,'Boletins Nuppa Site'!I2099,"NULL")</f>
        <v xml:space="preserve"> 75.00</v>
      </c>
      <c r="G2099" s="14" t="str">
        <f>IF('Boletins Nuppa Site'!J2099&lt;&gt;0,'Boletins Nuppa Site'!J2099,"NULL")</f>
        <v xml:space="preserve"> 65.00</v>
      </c>
      <c r="H2099" s="14" t="str">
        <f>IF('Boletins Nuppa Site'!K2099&lt;&gt;0,'Boletins Nuppa Site'!K2099,"NULL")</f>
        <v xml:space="preserve"> 60.00</v>
      </c>
      <c r="I2099" t="str">
        <f t="shared" si="64"/>
        <v>INSERT INTO COTACAO (cot_id, cot_blt_id, cot_pap_id, cot_prc_comum, cot_prc_min, cot_prc_max, cot_prc_med, cot_prc_mediana) VALUES (2098, 90, 28,  60.00,  60.00,  75.00,  65.00,  60.00);</v>
      </c>
      <c r="J2099" t="str">
        <f t="shared" si="65"/>
        <v>UPDATE COTACAO SET cot_id = 2098, cot_blt_id = 90, cot_pap_id = 28, cot_prc_comum =  60.00, cot_prc_min =  60.00, cot_prc_max =  75.00, cot_prc_med =  65.00, cot_prc_mediana =  60.00 WHERE cot_id = 2098;</v>
      </c>
    </row>
    <row r="2100" spans="1:10" x14ac:dyDescent="0.3">
      <c r="A2100">
        <v>2099</v>
      </c>
      <c r="B2100">
        <f>IF('Boletins Nuppa Site'!A2100&lt;&gt;0,'Boletins Nuppa Site'!A2100,"NULL")</f>
        <v>90</v>
      </c>
      <c r="C2100">
        <v>29</v>
      </c>
      <c r="D2100" t="str">
        <f>IF('Boletins Nuppa Site'!G2100&lt;&gt;0,'Boletins Nuppa Site'!G2100,"NULL")</f>
        <v>NULL</v>
      </c>
      <c r="E2100" s="14" t="str">
        <f>IF('Boletins Nuppa Site'!H2100&lt;&gt;0,'Boletins Nuppa Site'!H2100,"NULL")</f>
        <v xml:space="preserve"> 75.00</v>
      </c>
      <c r="F2100" s="14" t="str">
        <f>IF('Boletins Nuppa Site'!I2100&lt;&gt;0,'Boletins Nuppa Site'!I2100,"NULL")</f>
        <v xml:space="preserve"> 75.00</v>
      </c>
      <c r="G2100" s="14" t="str">
        <f>IF('Boletins Nuppa Site'!J2100&lt;&gt;0,'Boletins Nuppa Site'!J2100,"NULL")</f>
        <v xml:space="preserve"> 75.00</v>
      </c>
      <c r="H2100" s="14" t="str">
        <f>IF('Boletins Nuppa Site'!K2100&lt;&gt;0,'Boletins Nuppa Site'!K2100,"NULL")</f>
        <v xml:space="preserve"> 75.00</v>
      </c>
      <c r="I2100" t="str">
        <f t="shared" si="64"/>
        <v>INSERT INTO COTACAO (cot_id, cot_blt_id, cot_pap_id, cot_prc_comum, cot_prc_min, cot_prc_max, cot_prc_med, cot_prc_mediana) VALUES (2099, 90, 29, NULL,  75.00,  75.00,  75.00,  75.00);</v>
      </c>
      <c r="J2100" t="str">
        <f t="shared" si="65"/>
        <v>UPDATE COTACAO SET cot_id = 2099, cot_blt_id = 90, cot_pap_id = 29, cot_prc_comum = NULL, cot_prc_min =  75.00, cot_prc_max =  75.00, cot_prc_med =  75.00, cot_prc_mediana =  75.00 WHERE cot_id = 2099;</v>
      </c>
    </row>
    <row r="2101" spans="1:10" x14ac:dyDescent="0.3">
      <c r="A2101">
        <v>2100</v>
      </c>
      <c r="B2101">
        <f>IF('Boletins Nuppa Site'!A2101&lt;&gt;0,'Boletins Nuppa Site'!A2101,"NULL")</f>
        <v>90</v>
      </c>
      <c r="C2101">
        <v>30</v>
      </c>
      <c r="D2101" t="str">
        <f>IF('Boletins Nuppa Site'!G2101&lt;&gt;0,'Boletins Nuppa Site'!G2101,"NULL")</f>
        <v>NULL</v>
      </c>
      <c r="E2101" s="14" t="str">
        <f>IF('Boletins Nuppa Site'!H2101&lt;&gt;0,'Boletins Nuppa Site'!H2101,"NULL")</f>
        <v xml:space="preserve"> 75.00</v>
      </c>
      <c r="F2101" s="14" t="str">
        <f>IF('Boletins Nuppa Site'!I2101&lt;&gt;0,'Boletins Nuppa Site'!I2101,"NULL")</f>
        <v xml:space="preserve"> 80.00</v>
      </c>
      <c r="G2101" s="14" t="str">
        <f>IF('Boletins Nuppa Site'!J2101&lt;&gt;0,'Boletins Nuppa Site'!J2101,"NULL")</f>
        <v xml:space="preserve"> 77.50</v>
      </c>
      <c r="H2101" s="14" t="str">
        <f>IF('Boletins Nuppa Site'!K2101&lt;&gt;0,'Boletins Nuppa Site'!K2101,"NULL")</f>
        <v xml:space="preserve"> 77.50</v>
      </c>
      <c r="I2101" t="str">
        <f t="shared" si="64"/>
        <v>INSERT INTO COTACAO (cot_id, cot_blt_id, cot_pap_id, cot_prc_comum, cot_prc_min, cot_prc_max, cot_prc_med, cot_prc_mediana) VALUES (2100, 90, 30, NULL,  75.00,  80.00,  77.50,  77.50);</v>
      </c>
      <c r="J2101" t="str">
        <f t="shared" si="65"/>
        <v>UPDATE COTACAO SET cot_id = 2100, cot_blt_id = 90, cot_pap_id = 30, cot_prc_comum = NULL, cot_prc_min =  75.00, cot_prc_max =  80.00, cot_prc_med =  77.50, cot_prc_mediana =  77.50 WHERE cot_id = 2100;</v>
      </c>
    </row>
    <row r="2102" spans="1:10" x14ac:dyDescent="0.3">
      <c r="A2102">
        <v>2101</v>
      </c>
      <c r="B2102">
        <f>IF('Boletins Nuppa Site'!A2102&lt;&gt;0,'Boletins Nuppa Site'!A2102,"NULL")</f>
        <v>90</v>
      </c>
      <c r="C2102">
        <v>31</v>
      </c>
      <c r="D2102" t="str">
        <f>IF('Boletins Nuppa Site'!G2102&lt;&gt;0,'Boletins Nuppa Site'!G2102,"NULL")</f>
        <v>NULL</v>
      </c>
      <c r="E2102" s="14" t="str">
        <f>IF('Boletins Nuppa Site'!H2102&lt;&gt;0,'Boletins Nuppa Site'!H2102,"NULL")</f>
        <v xml:space="preserve"> 60.00</v>
      </c>
      <c r="F2102" s="14" t="str">
        <f>IF('Boletins Nuppa Site'!I2102&lt;&gt;0,'Boletins Nuppa Site'!I2102,"NULL")</f>
        <v xml:space="preserve"> 110.00</v>
      </c>
      <c r="G2102" s="14" t="str">
        <f>IF('Boletins Nuppa Site'!J2102&lt;&gt;0,'Boletins Nuppa Site'!J2102,"NULL")</f>
        <v xml:space="preserve"> 86.25</v>
      </c>
      <c r="H2102" s="14" t="str">
        <f>IF('Boletins Nuppa Site'!K2102&lt;&gt;0,'Boletins Nuppa Site'!K2102,"NULL")</f>
        <v xml:space="preserve"> 87.50</v>
      </c>
      <c r="I2102" t="str">
        <f t="shared" si="64"/>
        <v>INSERT INTO COTACAO (cot_id, cot_blt_id, cot_pap_id, cot_prc_comum, cot_prc_min, cot_prc_max, cot_prc_med, cot_prc_mediana) VALUES (2101, 90, 31, NULL,  60.00,  110.00,  86.25,  87.50);</v>
      </c>
      <c r="J2102" t="str">
        <f t="shared" si="65"/>
        <v>UPDATE COTACAO SET cot_id = 2101, cot_blt_id = 90, cot_pap_id = 31, cot_prc_comum = NULL, cot_prc_min =  60.00, cot_prc_max =  110.00, cot_prc_med =  86.25, cot_prc_mediana =  87.50 WHERE cot_id = 2101;</v>
      </c>
    </row>
    <row r="2103" spans="1:10" x14ac:dyDescent="0.3">
      <c r="A2103">
        <v>2102</v>
      </c>
      <c r="B2103">
        <f>IF('Boletins Nuppa Site'!A2103&lt;&gt;0,'Boletins Nuppa Site'!A2103,"NULL")</f>
        <v>90</v>
      </c>
      <c r="C2103">
        <v>32</v>
      </c>
      <c r="D2103" t="str">
        <f>IF('Boletins Nuppa Site'!G2103&lt;&gt;0,'Boletins Nuppa Site'!G2103,"NULL")</f>
        <v>NULL</v>
      </c>
      <c r="E2103" s="14" t="str">
        <f>IF('Boletins Nuppa Site'!H2103&lt;&gt;0,'Boletins Nuppa Site'!H2103,"NULL")</f>
        <v xml:space="preserve"> 25.00</v>
      </c>
      <c r="F2103" s="14" t="str">
        <f>IF('Boletins Nuppa Site'!I2103&lt;&gt;0,'Boletins Nuppa Site'!I2103,"NULL")</f>
        <v xml:space="preserve"> 85.00</v>
      </c>
      <c r="G2103" s="14" t="str">
        <f>IF('Boletins Nuppa Site'!J2103&lt;&gt;0,'Boletins Nuppa Site'!J2103,"NULL")</f>
        <v xml:space="preserve"> 45.00</v>
      </c>
      <c r="H2103" s="14" t="str">
        <f>IF('Boletins Nuppa Site'!K2103&lt;&gt;0,'Boletins Nuppa Site'!K2103,"NULL")</f>
        <v xml:space="preserve"> 35.00</v>
      </c>
      <c r="I2103" t="str">
        <f t="shared" si="64"/>
        <v>INSERT INTO COTACAO (cot_id, cot_blt_id, cot_pap_id, cot_prc_comum, cot_prc_min, cot_prc_max, cot_prc_med, cot_prc_mediana) VALUES (2102, 90, 32, NULL,  25.00,  85.00,  45.00,  35.00);</v>
      </c>
      <c r="J2103" t="str">
        <f t="shared" si="65"/>
        <v>UPDATE COTACAO SET cot_id = 2102, cot_blt_id = 90, cot_pap_id = 32, cot_prc_comum = NULL, cot_prc_min =  25.00, cot_prc_max =  85.00, cot_prc_med =  45.00, cot_prc_mediana =  35.00 WHERE cot_id = 2102;</v>
      </c>
    </row>
    <row r="2104" spans="1:10" x14ac:dyDescent="0.3">
      <c r="A2104">
        <v>2103</v>
      </c>
      <c r="B2104">
        <f>IF('Boletins Nuppa Site'!A2104&lt;&gt;0,'Boletins Nuppa Site'!A2104,"NULL")</f>
        <v>90</v>
      </c>
      <c r="C2104">
        <v>33</v>
      </c>
      <c r="D2104" t="str">
        <f>IF('Boletins Nuppa Site'!G2104&lt;&gt;0,'Boletins Nuppa Site'!G2104,"NULL")</f>
        <v xml:space="preserve"> 70.00</v>
      </c>
      <c r="E2104" s="14" t="str">
        <f>IF('Boletins Nuppa Site'!H2104&lt;&gt;0,'Boletins Nuppa Site'!H2104,"NULL")</f>
        <v xml:space="preserve"> 70.00</v>
      </c>
      <c r="F2104" s="14" t="str">
        <f>IF('Boletins Nuppa Site'!I2104&lt;&gt;0,'Boletins Nuppa Site'!I2104,"NULL")</f>
        <v xml:space="preserve"> 100.00</v>
      </c>
      <c r="G2104" s="14" t="str">
        <f>IF('Boletins Nuppa Site'!J2104&lt;&gt;0,'Boletins Nuppa Site'!J2104,"NULL")</f>
        <v xml:space="preserve"> 80.00</v>
      </c>
      <c r="H2104" s="14" t="str">
        <f>IF('Boletins Nuppa Site'!K2104&lt;&gt;0,'Boletins Nuppa Site'!K2104,"NULL")</f>
        <v xml:space="preserve"> 70.00</v>
      </c>
      <c r="I2104" t="str">
        <f t="shared" si="64"/>
        <v>INSERT INTO COTACAO (cot_id, cot_blt_id, cot_pap_id, cot_prc_comum, cot_prc_min, cot_prc_max, cot_prc_med, cot_prc_mediana) VALUES (2103, 90, 33,  70.00,  70.00,  100.00,  80.00,  70.00);</v>
      </c>
      <c r="J2104" t="str">
        <f t="shared" si="65"/>
        <v>UPDATE COTACAO SET cot_id = 2103, cot_blt_id = 90, cot_pap_id = 33, cot_prc_comum =  70.00, cot_prc_min =  70.00, cot_prc_max =  100.00, cot_prc_med =  80.00, cot_prc_mediana =  70.00 WHERE cot_id = 2103;</v>
      </c>
    </row>
    <row r="2105" spans="1:10" x14ac:dyDescent="0.3">
      <c r="A2105">
        <v>2104</v>
      </c>
      <c r="B2105">
        <f>IF('Boletins Nuppa Site'!A2105&lt;&gt;0,'Boletins Nuppa Site'!A2105,"NULL")</f>
        <v>90</v>
      </c>
      <c r="C2105">
        <v>34</v>
      </c>
      <c r="D2105" t="str">
        <f>IF('Boletins Nuppa Site'!G2105&lt;&gt;0,'Boletins Nuppa Site'!G2105,"NULL")</f>
        <v>NULL</v>
      </c>
      <c r="E2105" s="14" t="str">
        <f>IF('Boletins Nuppa Site'!H2105&lt;&gt;0,'Boletins Nuppa Site'!H2105,"NULL")</f>
        <v xml:space="preserve"> 65.00</v>
      </c>
      <c r="F2105" s="14" t="str">
        <f>IF('Boletins Nuppa Site'!I2105&lt;&gt;0,'Boletins Nuppa Site'!I2105,"NULL")</f>
        <v xml:space="preserve"> 100.00</v>
      </c>
      <c r="G2105" s="14" t="str">
        <f>IF('Boletins Nuppa Site'!J2105&lt;&gt;0,'Boletins Nuppa Site'!J2105,"NULL")</f>
        <v xml:space="preserve"> 83.75</v>
      </c>
      <c r="H2105" s="14" t="str">
        <f>IF('Boletins Nuppa Site'!K2105&lt;&gt;0,'Boletins Nuppa Site'!K2105,"NULL")</f>
        <v xml:space="preserve"> 85.00</v>
      </c>
      <c r="I2105" t="str">
        <f t="shared" si="64"/>
        <v>INSERT INTO COTACAO (cot_id, cot_blt_id, cot_pap_id, cot_prc_comum, cot_prc_min, cot_prc_max, cot_prc_med, cot_prc_mediana) VALUES (2104, 90, 34, NULL,  65.00,  100.00,  83.75,  85.00);</v>
      </c>
      <c r="J2105" t="str">
        <f t="shared" si="65"/>
        <v>UPDATE COTACAO SET cot_id = 2104, cot_blt_id = 90, cot_pap_id = 34, cot_prc_comum = NULL, cot_prc_min =  65.00, cot_prc_max =  100.00, cot_prc_med =  83.75, cot_prc_mediana =  85.00 WHERE cot_id = 2104;</v>
      </c>
    </row>
    <row r="2106" spans="1:10" x14ac:dyDescent="0.3">
      <c r="A2106">
        <v>2105</v>
      </c>
      <c r="B2106">
        <f>IF('Boletins Nuppa Site'!A2106&lt;&gt;0,'Boletins Nuppa Site'!A2106,"NULL")</f>
        <v>90</v>
      </c>
      <c r="C2106">
        <v>35</v>
      </c>
      <c r="D2106" t="str">
        <f>IF('Boletins Nuppa Site'!G2106&lt;&gt;0,'Boletins Nuppa Site'!G2106,"NULL")</f>
        <v>NULL</v>
      </c>
      <c r="E2106" s="14" t="str">
        <f>IF('Boletins Nuppa Site'!H2106&lt;&gt;0,'Boletins Nuppa Site'!H2106,"NULL")</f>
        <v xml:space="preserve"> 80.00</v>
      </c>
      <c r="F2106" s="14" t="str">
        <f>IF('Boletins Nuppa Site'!I2106&lt;&gt;0,'Boletins Nuppa Site'!I2106,"NULL")</f>
        <v xml:space="preserve"> 150.00</v>
      </c>
      <c r="G2106" s="14" t="str">
        <f>IF('Boletins Nuppa Site'!J2106&lt;&gt;0,'Boletins Nuppa Site'!J2106,"NULL")</f>
        <v xml:space="preserve"> 115.00</v>
      </c>
      <c r="H2106" s="14" t="str">
        <f>IF('Boletins Nuppa Site'!K2106&lt;&gt;0,'Boletins Nuppa Site'!K2106,"NULL")</f>
        <v xml:space="preserve"> 115.00</v>
      </c>
      <c r="I2106" t="str">
        <f t="shared" si="64"/>
        <v>INSERT INTO COTACAO (cot_id, cot_blt_id, cot_pap_id, cot_prc_comum, cot_prc_min, cot_prc_max, cot_prc_med, cot_prc_mediana) VALUES (2105, 90, 35, NULL,  80.00,  150.00,  115.00,  115.00);</v>
      </c>
      <c r="J2106" t="str">
        <f t="shared" si="65"/>
        <v>UPDATE COTACAO SET cot_id = 2105, cot_blt_id = 90, cot_pap_id = 35, cot_prc_comum = NULL, cot_prc_min =  80.00, cot_prc_max =  150.00, cot_prc_med =  115.00, cot_prc_mediana =  115.00 WHERE cot_id = 2105;</v>
      </c>
    </row>
    <row r="2107" spans="1:10" x14ac:dyDescent="0.3">
      <c r="A2107">
        <v>2106</v>
      </c>
      <c r="B2107">
        <f>IF('Boletins Nuppa Site'!A2107&lt;&gt;0,'Boletins Nuppa Site'!A2107,"NULL")</f>
        <v>90</v>
      </c>
      <c r="C2107">
        <v>36</v>
      </c>
      <c r="D2107" t="str">
        <f>IF('Boletins Nuppa Site'!G2107&lt;&gt;0,'Boletins Nuppa Site'!G2107,"NULL")</f>
        <v>NULL</v>
      </c>
      <c r="E2107" s="14" t="str">
        <f>IF('Boletins Nuppa Site'!H2107&lt;&gt;0,'Boletins Nuppa Site'!H2107,"NULL")</f>
        <v>NULL</v>
      </c>
      <c r="F2107" s="14" t="str">
        <f>IF('Boletins Nuppa Site'!I2107&lt;&gt;0,'Boletins Nuppa Site'!I2107,"NULL")</f>
        <v>NULL</v>
      </c>
      <c r="G2107" s="14" t="str">
        <f>IF('Boletins Nuppa Site'!J2107&lt;&gt;0,'Boletins Nuppa Site'!J2107,"NULL")</f>
        <v>NULL</v>
      </c>
      <c r="H2107" s="14" t="str">
        <f>IF('Boletins Nuppa Site'!K2107&lt;&gt;0,'Boletins Nuppa Site'!K2107,"NULL")</f>
        <v>NULL</v>
      </c>
      <c r="I2107" t="str">
        <f t="shared" si="64"/>
        <v>INSERT INTO COTACAO (cot_id, cot_blt_id, cot_pap_id, cot_prc_comum, cot_prc_min, cot_prc_max, cot_prc_med, cot_prc_mediana) VALUES (2106, 90, 36, NULL, NULL, NULL, NULL, NULL);</v>
      </c>
      <c r="J2107" t="str">
        <f t="shared" si="65"/>
        <v>UPDATE COTACAO SET cot_id = 2106, cot_blt_id = 90, cot_pap_id = 36, cot_prc_comum = NULL, cot_prc_min = NULL, cot_prc_max = NULL, cot_prc_med = NULL, cot_prc_mediana = NULL WHERE cot_id = 2106;</v>
      </c>
    </row>
    <row r="2108" spans="1:10" x14ac:dyDescent="0.3">
      <c r="A2108">
        <v>2107</v>
      </c>
      <c r="B2108">
        <f>IF('Boletins Nuppa Site'!A2108&lt;&gt;0,'Boletins Nuppa Site'!A2108,"NULL")</f>
        <v>90</v>
      </c>
      <c r="C2108">
        <v>37</v>
      </c>
      <c r="D2108" t="str">
        <f>IF('Boletins Nuppa Site'!G2108&lt;&gt;0,'Boletins Nuppa Site'!G2108,"NULL")</f>
        <v>NULL</v>
      </c>
      <c r="E2108" s="14" t="str">
        <f>IF('Boletins Nuppa Site'!H2108&lt;&gt;0,'Boletins Nuppa Site'!H2108,"NULL")</f>
        <v>NULL</v>
      </c>
      <c r="F2108" s="14" t="str">
        <f>IF('Boletins Nuppa Site'!I2108&lt;&gt;0,'Boletins Nuppa Site'!I2108,"NULL")</f>
        <v>NULL</v>
      </c>
      <c r="G2108" s="14" t="str">
        <f>IF('Boletins Nuppa Site'!J2108&lt;&gt;0,'Boletins Nuppa Site'!J2108,"NULL")</f>
        <v>NULL</v>
      </c>
      <c r="H2108" s="14" t="str">
        <f>IF('Boletins Nuppa Site'!K2108&lt;&gt;0,'Boletins Nuppa Site'!K2108,"NULL")</f>
        <v>NULL</v>
      </c>
      <c r="I2108" t="str">
        <f t="shared" si="64"/>
        <v>INSERT INTO COTACAO (cot_id, cot_blt_id, cot_pap_id, cot_prc_comum, cot_prc_min, cot_prc_max, cot_prc_med, cot_prc_mediana) VALUES (2107, 90, 37, NULL, NULL, NULL, NULL, NULL);</v>
      </c>
      <c r="J2108" t="str">
        <f t="shared" si="65"/>
        <v>UPDATE COTACAO SET cot_id = 2107, cot_blt_id = 90, cot_pap_id = 37, cot_prc_comum = NULL, cot_prc_min = NULL, cot_prc_max = NULL, cot_prc_med = NULL, cot_prc_mediana = NULL WHERE cot_id = 2107;</v>
      </c>
    </row>
    <row r="2109" spans="1:10" x14ac:dyDescent="0.3">
      <c r="A2109">
        <v>2108</v>
      </c>
      <c r="B2109">
        <f>IF('Boletins Nuppa Site'!A2109&lt;&gt;0,'Boletins Nuppa Site'!A2109,"NULL")</f>
        <v>90</v>
      </c>
      <c r="C2109">
        <v>38</v>
      </c>
      <c r="D2109" t="str">
        <f>IF('Boletins Nuppa Site'!G2109&lt;&gt;0,'Boletins Nuppa Site'!G2109,"NULL")</f>
        <v>NULL</v>
      </c>
      <c r="E2109" s="14" t="str">
        <f>IF('Boletins Nuppa Site'!H2109&lt;&gt;0,'Boletins Nuppa Site'!H2109,"NULL")</f>
        <v>NULL</v>
      </c>
      <c r="F2109" s="14" t="str">
        <f>IF('Boletins Nuppa Site'!I2109&lt;&gt;0,'Boletins Nuppa Site'!I2109,"NULL")</f>
        <v>NULL</v>
      </c>
      <c r="G2109" s="14" t="str">
        <f>IF('Boletins Nuppa Site'!J2109&lt;&gt;0,'Boletins Nuppa Site'!J2109,"NULL")</f>
        <v>NULL</v>
      </c>
      <c r="H2109" s="14" t="str">
        <f>IF('Boletins Nuppa Site'!K2109&lt;&gt;0,'Boletins Nuppa Site'!K2109,"NULL")</f>
        <v>NULL</v>
      </c>
      <c r="I2109" t="str">
        <f t="shared" si="64"/>
        <v>INSERT INTO COTACAO (cot_id, cot_blt_id, cot_pap_id, cot_prc_comum, cot_prc_min, cot_prc_max, cot_prc_med, cot_prc_mediana) VALUES (2108, 90, 38, NULL, NULL, NULL, NULL, NULL);</v>
      </c>
      <c r="J2109" t="str">
        <f t="shared" si="65"/>
        <v>UPDATE COTACAO SET cot_id = 2108, cot_blt_id = 90, cot_pap_id = 38, cot_prc_comum = NULL, cot_prc_min = NULL, cot_prc_max = NULL, cot_prc_med = NULL, cot_prc_mediana = NULL WHERE cot_id = 2108;</v>
      </c>
    </row>
    <row r="2110" spans="1:10" x14ac:dyDescent="0.3">
      <c r="A2110">
        <v>2109</v>
      </c>
      <c r="B2110">
        <f>IF('Boletins Nuppa Site'!A2110&lt;&gt;0,'Boletins Nuppa Site'!A2110,"NULL")</f>
        <v>90</v>
      </c>
      <c r="C2110">
        <v>39</v>
      </c>
      <c r="D2110" t="str">
        <f>IF('Boletins Nuppa Site'!G2110&lt;&gt;0,'Boletins Nuppa Site'!G2110,"NULL")</f>
        <v>NULL</v>
      </c>
      <c r="E2110" s="14" t="str">
        <f>IF('Boletins Nuppa Site'!H2110&lt;&gt;0,'Boletins Nuppa Site'!H2110,"NULL")</f>
        <v>NULL</v>
      </c>
      <c r="F2110" s="14" t="str">
        <f>IF('Boletins Nuppa Site'!I2110&lt;&gt;0,'Boletins Nuppa Site'!I2110,"NULL")</f>
        <v>NULL</v>
      </c>
      <c r="G2110" s="14" t="str">
        <f>IF('Boletins Nuppa Site'!J2110&lt;&gt;0,'Boletins Nuppa Site'!J2110,"NULL")</f>
        <v>NULL</v>
      </c>
      <c r="H2110" s="14" t="str">
        <f>IF('Boletins Nuppa Site'!K2110&lt;&gt;0,'Boletins Nuppa Site'!K2110,"NULL")</f>
        <v>NULL</v>
      </c>
      <c r="I2110" t="str">
        <f t="shared" si="64"/>
        <v>INSERT INTO COTACAO (cot_id, cot_blt_id, cot_pap_id, cot_prc_comum, cot_prc_min, cot_prc_max, cot_prc_med, cot_prc_mediana) VALUES (2109, 90, 39, NULL, NULL, NULL, NULL, NULL);</v>
      </c>
      <c r="J2110" t="str">
        <f t="shared" si="65"/>
        <v>UPDATE COTACAO SET cot_id = 2109, cot_blt_id = 90, cot_pap_id = 39, cot_prc_comum = NULL, cot_prc_min = NULL, cot_prc_max = NULL, cot_prc_med = NULL, cot_prc_mediana = NULL WHERE cot_id = 2109;</v>
      </c>
    </row>
    <row r="2111" spans="1:10" x14ac:dyDescent="0.3">
      <c r="A2111">
        <v>2110</v>
      </c>
      <c r="B2111">
        <f>IF('Boletins Nuppa Site'!A2111&lt;&gt;0,'Boletins Nuppa Site'!A2111,"NULL")</f>
        <v>90</v>
      </c>
      <c r="C2111">
        <v>40</v>
      </c>
      <c r="D2111" t="str">
        <f>IF('Boletins Nuppa Site'!G2111&lt;&gt;0,'Boletins Nuppa Site'!G2111,"NULL")</f>
        <v>NULL</v>
      </c>
      <c r="E2111" s="14" t="str">
        <f>IF('Boletins Nuppa Site'!H2111&lt;&gt;0,'Boletins Nuppa Site'!H2111,"NULL")</f>
        <v>NULL</v>
      </c>
      <c r="F2111" s="14" t="str">
        <f>IF('Boletins Nuppa Site'!I2111&lt;&gt;0,'Boletins Nuppa Site'!I2111,"NULL")</f>
        <v>NULL</v>
      </c>
      <c r="G2111" s="14" t="str">
        <f>IF('Boletins Nuppa Site'!J2111&lt;&gt;0,'Boletins Nuppa Site'!J2111,"NULL")</f>
        <v>NULL</v>
      </c>
      <c r="H2111" s="14" t="str">
        <f>IF('Boletins Nuppa Site'!K2111&lt;&gt;0,'Boletins Nuppa Site'!K2111,"NULL")</f>
        <v>NULL</v>
      </c>
      <c r="I2111" t="str">
        <f t="shared" si="64"/>
        <v>INSERT INTO COTACAO (cot_id, cot_blt_id, cot_pap_id, cot_prc_comum, cot_prc_min, cot_prc_max, cot_prc_med, cot_prc_mediana) VALUES (2110, 90, 40, NULL, NULL, NULL, NULL, NULL);</v>
      </c>
      <c r="J2111" t="str">
        <f t="shared" si="65"/>
        <v>UPDATE COTACAO SET cot_id = 2110, cot_blt_id = 90, cot_pap_id = 40, cot_prc_comum = NULL, cot_prc_min = NULL, cot_prc_max = NULL, cot_prc_med = NULL, cot_prc_mediana = NULL WHERE cot_id = 2110;</v>
      </c>
    </row>
    <row r="2112" spans="1:10" x14ac:dyDescent="0.3">
      <c r="A2112">
        <v>2111</v>
      </c>
      <c r="B2112">
        <f>IF('Boletins Nuppa Site'!A2112&lt;&gt;0,'Boletins Nuppa Site'!A2112,"NULL")</f>
        <v>91</v>
      </c>
      <c r="C2112">
        <v>1</v>
      </c>
      <c r="D2112" t="str">
        <f>IF('Boletins Nuppa Site'!G2112&lt;&gt;0,'Boletins Nuppa Site'!G2112,"NULL")</f>
        <v>NULL</v>
      </c>
      <c r="E2112" s="14" t="str">
        <f>IF('Boletins Nuppa Site'!H2112&lt;&gt;0,'Boletins Nuppa Site'!H2112,"NULL")</f>
        <v xml:space="preserve"> 48.00</v>
      </c>
      <c r="F2112" s="14" t="str">
        <f>IF('Boletins Nuppa Site'!I2112&lt;&gt;0,'Boletins Nuppa Site'!I2112,"NULL")</f>
        <v xml:space="preserve"> 72.00</v>
      </c>
      <c r="G2112" s="14" t="str">
        <f>IF('Boletins Nuppa Site'!J2112&lt;&gt;0,'Boletins Nuppa Site'!J2112,"NULL")</f>
        <v xml:space="preserve"> 60.00</v>
      </c>
      <c r="H2112" s="14" t="str">
        <f>IF('Boletins Nuppa Site'!K2112&lt;&gt;0,'Boletins Nuppa Site'!K2112,"NULL")</f>
        <v xml:space="preserve"> 60.00</v>
      </c>
      <c r="I2112" t="str">
        <f t="shared" si="64"/>
        <v>INSERT INTO COTACAO (cot_id, cot_blt_id, cot_pap_id, cot_prc_comum, cot_prc_min, cot_prc_max, cot_prc_med, cot_prc_mediana) VALUES (2111, 91, 1, NULL,  48.00,  72.00,  60.00,  60.00);</v>
      </c>
      <c r="J2112" t="str">
        <f t="shared" si="65"/>
        <v>UPDATE COTACAO SET cot_id = 2111, cot_blt_id = 91, cot_pap_id = 1, cot_prc_comum = NULL, cot_prc_min =  48.00, cot_prc_max =  72.00, cot_prc_med =  60.00, cot_prc_mediana =  60.00 WHERE cot_id = 2111;</v>
      </c>
    </row>
    <row r="2113" spans="1:10" x14ac:dyDescent="0.3">
      <c r="A2113">
        <v>2112</v>
      </c>
      <c r="B2113">
        <f>IF('Boletins Nuppa Site'!A2113&lt;&gt;0,'Boletins Nuppa Site'!A2113,"NULL")</f>
        <v>91</v>
      </c>
      <c r="C2113">
        <v>2</v>
      </c>
      <c r="D2113" t="str">
        <f>IF('Boletins Nuppa Site'!G2113&lt;&gt;0,'Boletins Nuppa Site'!G2113,"NULL")</f>
        <v xml:space="preserve"> 96.00</v>
      </c>
      <c r="E2113" s="14" t="str">
        <f>IF('Boletins Nuppa Site'!H2113&lt;&gt;0,'Boletins Nuppa Site'!H2113,"NULL")</f>
        <v xml:space="preserve"> 54.00</v>
      </c>
      <c r="F2113" s="14" t="str">
        <f>IF('Boletins Nuppa Site'!I2113&lt;&gt;0,'Boletins Nuppa Site'!I2113,"NULL")</f>
        <v xml:space="preserve"> 96.00</v>
      </c>
      <c r="G2113" s="14" t="str">
        <f>IF('Boletins Nuppa Site'!J2113&lt;&gt;0,'Boletins Nuppa Site'!J2113,"NULL")</f>
        <v xml:space="preserve"> 82.00</v>
      </c>
      <c r="H2113" s="14" t="str">
        <f>IF('Boletins Nuppa Site'!K2113&lt;&gt;0,'Boletins Nuppa Site'!K2113,"NULL")</f>
        <v xml:space="preserve"> 96.00</v>
      </c>
      <c r="I2113" t="str">
        <f t="shared" si="64"/>
        <v>INSERT INTO COTACAO (cot_id, cot_blt_id, cot_pap_id, cot_prc_comum, cot_prc_min, cot_prc_max, cot_prc_med, cot_prc_mediana) VALUES (2112, 91, 2,  96.00,  54.00,  96.00,  82.00,  96.00);</v>
      </c>
      <c r="J2113" t="str">
        <f t="shared" si="65"/>
        <v>UPDATE COTACAO SET cot_id = 2112, cot_blt_id = 91, cot_pap_id = 2, cot_prc_comum =  96.00, cot_prc_min =  54.00, cot_prc_max =  96.00, cot_prc_med =  82.00, cot_prc_mediana =  96.00 WHERE cot_id = 2112;</v>
      </c>
    </row>
    <row r="2114" spans="1:10" x14ac:dyDescent="0.3">
      <c r="A2114">
        <v>2113</v>
      </c>
      <c r="B2114">
        <f>IF('Boletins Nuppa Site'!A2114&lt;&gt;0,'Boletins Nuppa Site'!A2114,"NULL")</f>
        <v>91</v>
      </c>
      <c r="C2114">
        <v>3</v>
      </c>
      <c r="D2114" t="str">
        <f>IF('Boletins Nuppa Site'!G2114&lt;&gt;0,'Boletins Nuppa Site'!G2114,"NULL")</f>
        <v xml:space="preserve"> 48.00</v>
      </c>
      <c r="E2114" s="14" t="str">
        <f>IF('Boletins Nuppa Site'!H2114&lt;&gt;0,'Boletins Nuppa Site'!H2114,"NULL")</f>
        <v xml:space="preserve"> 48.00</v>
      </c>
      <c r="F2114" s="14" t="str">
        <f>IF('Boletins Nuppa Site'!I2114&lt;&gt;0,'Boletins Nuppa Site'!I2114,"NULL")</f>
        <v xml:space="preserve"> 60.00</v>
      </c>
      <c r="G2114" s="14" t="str">
        <f>IF('Boletins Nuppa Site'!J2114&lt;&gt;0,'Boletins Nuppa Site'!J2114,"NULL")</f>
        <v xml:space="preserve"> 52.00</v>
      </c>
      <c r="H2114" s="14" t="str">
        <f>IF('Boletins Nuppa Site'!K2114&lt;&gt;0,'Boletins Nuppa Site'!K2114,"NULL")</f>
        <v xml:space="preserve"> 48.00</v>
      </c>
      <c r="I2114" t="str">
        <f t="shared" si="64"/>
        <v>INSERT INTO COTACAO (cot_id, cot_blt_id, cot_pap_id, cot_prc_comum, cot_prc_min, cot_prc_max, cot_prc_med, cot_prc_mediana) VALUES (2113, 91, 3,  48.00,  48.00,  60.00,  52.00,  48.00);</v>
      </c>
      <c r="J2114" t="str">
        <f t="shared" si="65"/>
        <v>UPDATE COTACAO SET cot_id = 2113, cot_blt_id = 91, cot_pap_id = 3, cot_prc_comum =  48.00, cot_prc_min =  48.00, cot_prc_max =  60.00, cot_prc_med =  52.00, cot_prc_mediana =  48.00 WHERE cot_id = 2113;</v>
      </c>
    </row>
    <row r="2115" spans="1:10" x14ac:dyDescent="0.3">
      <c r="A2115">
        <v>2114</v>
      </c>
      <c r="B2115">
        <f>IF('Boletins Nuppa Site'!A2115&lt;&gt;0,'Boletins Nuppa Site'!A2115,"NULL")</f>
        <v>91</v>
      </c>
      <c r="C2115">
        <v>4</v>
      </c>
      <c r="D2115" t="str">
        <f>IF('Boletins Nuppa Site'!G2115&lt;&gt;0,'Boletins Nuppa Site'!G2115,"NULL")</f>
        <v>NULL</v>
      </c>
      <c r="E2115" s="14" t="str">
        <f>IF('Boletins Nuppa Site'!H2115&lt;&gt;0,'Boletins Nuppa Site'!H2115,"NULL")</f>
        <v xml:space="preserve"> 30.00</v>
      </c>
      <c r="F2115" s="14" t="str">
        <f>IF('Boletins Nuppa Site'!I2115&lt;&gt;0,'Boletins Nuppa Site'!I2115,"NULL")</f>
        <v xml:space="preserve"> 36.00</v>
      </c>
      <c r="G2115" s="14" t="str">
        <f>IF('Boletins Nuppa Site'!J2115&lt;&gt;0,'Boletins Nuppa Site'!J2115,"NULL")</f>
        <v xml:space="preserve"> 33.00</v>
      </c>
      <c r="H2115" s="14" t="str">
        <f>IF('Boletins Nuppa Site'!K2115&lt;&gt;0,'Boletins Nuppa Site'!K2115,"NULL")</f>
        <v xml:space="preserve"> 33.00</v>
      </c>
      <c r="I2115" t="str">
        <f t="shared" ref="I2115:I2178" si="66">"INSERT INTO COTACAO (cot_id, cot_blt_id, cot_pap_id, cot_prc_comum, cot_prc_min, cot_prc_max, cot_prc_med, cot_prc_mediana) VALUES ("&amp;A2115&amp;", "&amp;B2115&amp;", "&amp;C2115&amp;", "&amp;D2115&amp;", "&amp;E2115&amp;", "&amp;F2115&amp;", "&amp;G2115&amp;", "&amp;H2115&amp;");"</f>
        <v>INSERT INTO COTACAO (cot_id, cot_blt_id, cot_pap_id, cot_prc_comum, cot_prc_min, cot_prc_max, cot_prc_med, cot_prc_mediana) VALUES (2114, 91, 4, NULL,  30.00,  36.00,  33.00,  33.00);</v>
      </c>
      <c r="J2115" t="str">
        <f t="shared" ref="J2115:J2178" si="67">"UPDATE COTACAO SET cot_id = "&amp;A2115&amp;", cot_blt_id = "&amp;B2115&amp;", cot_pap_id = "&amp;C2115&amp;", cot_prc_comum = "&amp;D2115&amp;", cot_prc_min = "&amp;E2115&amp;", cot_prc_max = "&amp;F2115&amp;", cot_prc_med = "&amp;G2115&amp;", cot_prc_mediana = "&amp;H2115&amp;" WHERE cot_id = "&amp;A2115&amp;";"</f>
        <v>UPDATE COTACAO SET cot_id = 2114, cot_blt_id = 91, cot_pap_id = 4, cot_prc_comum = NULL, cot_prc_min =  30.00, cot_prc_max =  36.00, cot_prc_med =  33.00, cot_prc_mediana =  33.00 WHERE cot_id = 2114;</v>
      </c>
    </row>
    <row r="2116" spans="1:10" x14ac:dyDescent="0.3">
      <c r="A2116">
        <v>2115</v>
      </c>
      <c r="B2116">
        <f>IF('Boletins Nuppa Site'!A2116&lt;&gt;0,'Boletins Nuppa Site'!A2116,"NULL")</f>
        <v>91</v>
      </c>
      <c r="C2116">
        <v>5</v>
      </c>
      <c r="D2116" t="str">
        <f>IF('Boletins Nuppa Site'!G2116&lt;&gt;0,'Boletins Nuppa Site'!G2116,"NULL")</f>
        <v xml:space="preserve"> 30.00</v>
      </c>
      <c r="E2116" s="14" t="str">
        <f>IF('Boletins Nuppa Site'!H2116&lt;&gt;0,'Boletins Nuppa Site'!H2116,"NULL")</f>
        <v xml:space="preserve"> 30.00</v>
      </c>
      <c r="F2116" s="14" t="str">
        <f>IF('Boletins Nuppa Site'!I2116&lt;&gt;0,'Boletins Nuppa Site'!I2116,"NULL")</f>
        <v xml:space="preserve"> 33.00</v>
      </c>
      <c r="G2116" s="14" t="str">
        <f>IF('Boletins Nuppa Site'!J2116&lt;&gt;0,'Boletins Nuppa Site'!J2116,"NULL")</f>
        <v xml:space="preserve"> 31.00</v>
      </c>
      <c r="H2116" s="14" t="str">
        <f>IF('Boletins Nuppa Site'!K2116&lt;&gt;0,'Boletins Nuppa Site'!K2116,"NULL")</f>
        <v xml:space="preserve"> 30.00</v>
      </c>
      <c r="I2116" t="str">
        <f t="shared" si="66"/>
        <v>INSERT INTO COTACAO (cot_id, cot_blt_id, cot_pap_id, cot_prc_comum, cot_prc_min, cot_prc_max, cot_prc_med, cot_prc_mediana) VALUES (2115, 91, 5,  30.00,  30.00,  33.00,  31.00,  30.00);</v>
      </c>
      <c r="J2116" t="str">
        <f t="shared" si="67"/>
        <v>UPDATE COTACAO SET cot_id = 2115, cot_blt_id = 91, cot_pap_id = 5, cot_prc_comum =  30.00, cot_prc_min =  30.00, cot_prc_max =  33.00, cot_prc_med =  31.00, cot_prc_mediana =  30.00 WHERE cot_id = 2115;</v>
      </c>
    </row>
    <row r="2117" spans="1:10" x14ac:dyDescent="0.3">
      <c r="A2117">
        <v>2116</v>
      </c>
      <c r="B2117">
        <f>IF('Boletins Nuppa Site'!A2117&lt;&gt;0,'Boletins Nuppa Site'!A2117,"NULL")</f>
        <v>91</v>
      </c>
      <c r="C2117">
        <v>6</v>
      </c>
      <c r="D2117" t="str">
        <f>IF('Boletins Nuppa Site'!G2117&lt;&gt;0,'Boletins Nuppa Site'!G2117,"NULL")</f>
        <v xml:space="preserve"> 60.00</v>
      </c>
      <c r="E2117" s="14" t="str">
        <f>IF('Boletins Nuppa Site'!H2117&lt;&gt;0,'Boletins Nuppa Site'!H2117,"NULL")</f>
        <v xml:space="preserve"> 60.00</v>
      </c>
      <c r="F2117" s="14" t="str">
        <f>IF('Boletins Nuppa Site'!I2117&lt;&gt;0,'Boletins Nuppa Site'!I2117,"NULL")</f>
        <v xml:space="preserve"> 66.00</v>
      </c>
      <c r="G2117" s="14" t="str">
        <f>IF('Boletins Nuppa Site'!J2117&lt;&gt;0,'Boletins Nuppa Site'!J2117,"NULL")</f>
        <v xml:space="preserve"> 62.00</v>
      </c>
      <c r="H2117" s="14" t="str">
        <f>IF('Boletins Nuppa Site'!K2117&lt;&gt;0,'Boletins Nuppa Site'!K2117,"NULL")</f>
        <v xml:space="preserve"> 60.00</v>
      </c>
      <c r="I2117" t="str">
        <f t="shared" si="66"/>
        <v>INSERT INTO COTACAO (cot_id, cot_blt_id, cot_pap_id, cot_prc_comum, cot_prc_min, cot_prc_max, cot_prc_med, cot_prc_mediana) VALUES (2116, 91, 6,  60.00,  60.00,  66.00,  62.00,  60.00);</v>
      </c>
      <c r="J2117" t="str">
        <f t="shared" si="67"/>
        <v>UPDATE COTACAO SET cot_id = 2116, cot_blt_id = 91, cot_pap_id = 6, cot_prc_comum =  60.00, cot_prc_min =  60.00, cot_prc_max =  66.00, cot_prc_med =  62.00, cot_prc_mediana =  60.00 WHERE cot_id = 2116;</v>
      </c>
    </row>
    <row r="2118" spans="1:10" x14ac:dyDescent="0.3">
      <c r="A2118">
        <v>2117</v>
      </c>
      <c r="B2118">
        <f>IF('Boletins Nuppa Site'!A2118&lt;&gt;0,'Boletins Nuppa Site'!A2118,"NULL")</f>
        <v>91</v>
      </c>
      <c r="C2118">
        <v>7</v>
      </c>
      <c r="D2118" t="str">
        <f>IF('Boletins Nuppa Site'!G2118&lt;&gt;0,'Boletins Nuppa Site'!G2118,"NULL")</f>
        <v>NULL</v>
      </c>
      <c r="E2118" s="14" t="str">
        <f>IF('Boletins Nuppa Site'!H2118&lt;&gt;0,'Boletins Nuppa Site'!H2118,"NULL")</f>
        <v xml:space="preserve"> 60.00</v>
      </c>
      <c r="F2118" s="14" t="str">
        <f>IF('Boletins Nuppa Site'!I2118&lt;&gt;0,'Boletins Nuppa Site'!I2118,"NULL")</f>
        <v xml:space="preserve"> 144.00</v>
      </c>
      <c r="G2118" s="14" t="str">
        <f>IF('Boletins Nuppa Site'!J2118&lt;&gt;0,'Boletins Nuppa Site'!J2118,"NULL")</f>
        <v xml:space="preserve"> 104.00</v>
      </c>
      <c r="H2118" s="14" t="str">
        <f>IF('Boletins Nuppa Site'!K2118&lt;&gt;0,'Boletins Nuppa Site'!K2118,"NULL")</f>
        <v xml:space="preserve"> 108.00</v>
      </c>
      <c r="I2118" t="str">
        <f t="shared" si="66"/>
        <v>INSERT INTO COTACAO (cot_id, cot_blt_id, cot_pap_id, cot_prc_comum, cot_prc_min, cot_prc_max, cot_prc_med, cot_prc_mediana) VALUES (2117, 91, 7, NULL,  60.00,  144.00,  104.00,  108.00);</v>
      </c>
      <c r="J2118" t="str">
        <f t="shared" si="67"/>
        <v>UPDATE COTACAO SET cot_id = 2117, cot_blt_id = 91, cot_pap_id = 7, cot_prc_comum = NULL, cot_prc_min =  60.00, cot_prc_max =  144.00, cot_prc_med =  104.00, cot_prc_mediana =  108.00 WHERE cot_id = 2117;</v>
      </c>
    </row>
    <row r="2119" spans="1:10" x14ac:dyDescent="0.3">
      <c r="A2119">
        <v>2118</v>
      </c>
      <c r="B2119">
        <f>IF('Boletins Nuppa Site'!A2119&lt;&gt;0,'Boletins Nuppa Site'!A2119,"NULL")</f>
        <v>91</v>
      </c>
      <c r="C2119">
        <v>8</v>
      </c>
      <c r="D2119" t="str">
        <f>IF('Boletins Nuppa Site'!G2119&lt;&gt;0,'Boletins Nuppa Site'!G2119,"NULL")</f>
        <v>NULL</v>
      </c>
      <c r="E2119" s="14" t="str">
        <f>IF('Boletins Nuppa Site'!H2119&lt;&gt;0,'Boletins Nuppa Site'!H2119,"NULL")</f>
        <v xml:space="preserve"> 72.00</v>
      </c>
      <c r="F2119" s="14" t="str">
        <f>IF('Boletins Nuppa Site'!I2119&lt;&gt;0,'Boletins Nuppa Site'!I2119,"NULL")</f>
        <v xml:space="preserve"> 120.00</v>
      </c>
      <c r="G2119" s="14" t="str">
        <f>IF('Boletins Nuppa Site'!J2119&lt;&gt;0,'Boletins Nuppa Site'!J2119,"NULL")</f>
        <v xml:space="preserve"> 98.00</v>
      </c>
      <c r="H2119" s="14" t="str">
        <f>IF('Boletins Nuppa Site'!K2119&lt;&gt;0,'Boletins Nuppa Site'!K2119,"NULL")</f>
        <v xml:space="preserve"> 102.00</v>
      </c>
      <c r="I2119" t="str">
        <f t="shared" si="66"/>
        <v>INSERT INTO COTACAO (cot_id, cot_blt_id, cot_pap_id, cot_prc_comum, cot_prc_min, cot_prc_max, cot_prc_med, cot_prc_mediana) VALUES (2118, 91, 8, NULL,  72.00,  120.00,  98.00,  102.00);</v>
      </c>
      <c r="J2119" t="str">
        <f t="shared" si="67"/>
        <v>UPDATE COTACAO SET cot_id = 2118, cot_blt_id = 91, cot_pap_id = 8, cot_prc_comum = NULL, cot_prc_min =  72.00, cot_prc_max =  120.00, cot_prc_med =  98.00, cot_prc_mediana =  102.00 WHERE cot_id = 2118;</v>
      </c>
    </row>
    <row r="2120" spans="1:10" x14ac:dyDescent="0.3">
      <c r="A2120">
        <v>2119</v>
      </c>
      <c r="B2120">
        <f>IF('Boletins Nuppa Site'!A2120&lt;&gt;0,'Boletins Nuppa Site'!A2120,"NULL")</f>
        <v>91</v>
      </c>
      <c r="C2120">
        <v>9</v>
      </c>
      <c r="D2120" t="str">
        <f>IF('Boletins Nuppa Site'!G2120&lt;&gt;0,'Boletins Nuppa Site'!G2120,"NULL")</f>
        <v>NULL</v>
      </c>
      <c r="E2120" s="14" t="str">
        <f>IF('Boletins Nuppa Site'!H2120&lt;&gt;0,'Boletins Nuppa Site'!H2120,"NULL")</f>
        <v xml:space="preserve"> 25.00</v>
      </c>
      <c r="F2120" s="14" t="str">
        <f>IF('Boletins Nuppa Site'!I2120&lt;&gt;0,'Boletins Nuppa Site'!I2120,"NULL")</f>
        <v xml:space="preserve"> 42.00</v>
      </c>
      <c r="G2120" s="14" t="str">
        <f>IF('Boletins Nuppa Site'!J2120&lt;&gt;0,'Boletins Nuppa Site'!J2120,"NULL")</f>
        <v xml:space="preserve"> 32.33</v>
      </c>
      <c r="H2120" s="14" t="str">
        <f>IF('Boletins Nuppa Site'!K2120&lt;&gt;0,'Boletins Nuppa Site'!K2120,"NULL")</f>
        <v xml:space="preserve"> 30.00</v>
      </c>
      <c r="I2120" t="str">
        <f t="shared" si="66"/>
        <v>INSERT INTO COTACAO (cot_id, cot_blt_id, cot_pap_id, cot_prc_comum, cot_prc_min, cot_prc_max, cot_prc_med, cot_prc_mediana) VALUES (2119, 91, 9, NULL,  25.00,  42.00,  32.33,  30.00);</v>
      </c>
      <c r="J2120" t="str">
        <f t="shared" si="67"/>
        <v>UPDATE COTACAO SET cot_id = 2119, cot_blt_id = 91, cot_pap_id = 9, cot_prc_comum = NULL, cot_prc_min =  25.00, cot_prc_max =  42.00, cot_prc_med =  32.33, cot_prc_mediana =  30.00 WHERE cot_id = 2119;</v>
      </c>
    </row>
    <row r="2121" spans="1:10" x14ac:dyDescent="0.3">
      <c r="A2121">
        <v>2120</v>
      </c>
      <c r="B2121">
        <f>IF('Boletins Nuppa Site'!A2121&lt;&gt;0,'Boletins Nuppa Site'!A2121,"NULL")</f>
        <v>91</v>
      </c>
      <c r="C2121">
        <v>10</v>
      </c>
      <c r="D2121" t="str">
        <f>IF('Boletins Nuppa Site'!G2121&lt;&gt;0,'Boletins Nuppa Site'!G2121,"NULL")</f>
        <v xml:space="preserve"> 120.00</v>
      </c>
      <c r="E2121" s="14" t="str">
        <f>IF('Boletins Nuppa Site'!H2121&lt;&gt;0,'Boletins Nuppa Site'!H2121,"NULL")</f>
        <v xml:space="preserve"> 120.00</v>
      </c>
      <c r="F2121" s="14" t="str">
        <f>IF('Boletins Nuppa Site'!I2121&lt;&gt;0,'Boletins Nuppa Site'!I2121,"NULL")</f>
        <v xml:space="preserve"> 120.00</v>
      </c>
      <c r="G2121" s="14" t="str">
        <f>IF('Boletins Nuppa Site'!J2121&lt;&gt;0,'Boletins Nuppa Site'!J2121,"NULL")</f>
        <v xml:space="preserve"> 120.00</v>
      </c>
      <c r="H2121" s="14" t="str">
        <f>IF('Boletins Nuppa Site'!K2121&lt;&gt;0,'Boletins Nuppa Site'!K2121,"NULL")</f>
        <v xml:space="preserve"> 120.00</v>
      </c>
      <c r="I2121" t="str">
        <f t="shared" si="66"/>
        <v>INSERT INTO COTACAO (cot_id, cot_blt_id, cot_pap_id, cot_prc_comum, cot_prc_min, cot_prc_max, cot_prc_med, cot_prc_mediana) VALUES (2120, 91, 10,  120.00,  120.00,  120.00,  120.00,  120.00);</v>
      </c>
      <c r="J2121" t="str">
        <f t="shared" si="67"/>
        <v>UPDATE COTACAO SET cot_id = 2120, cot_blt_id = 91, cot_pap_id = 10, cot_prc_comum =  120.00, cot_prc_min =  120.00, cot_prc_max =  120.00, cot_prc_med =  120.00, cot_prc_mediana =  120.00 WHERE cot_id = 2120;</v>
      </c>
    </row>
    <row r="2122" spans="1:10" x14ac:dyDescent="0.3">
      <c r="A2122">
        <v>2121</v>
      </c>
      <c r="B2122">
        <f>IF('Boletins Nuppa Site'!A2122&lt;&gt;0,'Boletins Nuppa Site'!A2122,"NULL")</f>
        <v>91</v>
      </c>
      <c r="C2122">
        <v>11</v>
      </c>
      <c r="D2122" t="str">
        <f>IF('Boletins Nuppa Site'!G2122&lt;&gt;0,'Boletins Nuppa Site'!G2122,"NULL")</f>
        <v>NULL</v>
      </c>
      <c r="E2122" s="14" t="str">
        <f>IF('Boletins Nuppa Site'!H2122&lt;&gt;0,'Boletins Nuppa Site'!H2122,"NULL")</f>
        <v xml:space="preserve"> 30.00</v>
      </c>
      <c r="F2122" s="14" t="str">
        <f>IF('Boletins Nuppa Site'!I2122&lt;&gt;0,'Boletins Nuppa Site'!I2122,"NULL")</f>
        <v xml:space="preserve"> 36.00</v>
      </c>
      <c r="G2122" s="14" t="str">
        <f>IF('Boletins Nuppa Site'!J2122&lt;&gt;0,'Boletins Nuppa Site'!J2122,"NULL")</f>
        <v xml:space="preserve"> 33.00</v>
      </c>
      <c r="H2122" s="14" t="str">
        <f>IF('Boletins Nuppa Site'!K2122&lt;&gt;0,'Boletins Nuppa Site'!K2122,"NULL")</f>
        <v xml:space="preserve"> 33.00</v>
      </c>
      <c r="I2122" t="str">
        <f t="shared" si="66"/>
        <v>INSERT INTO COTACAO (cot_id, cot_blt_id, cot_pap_id, cot_prc_comum, cot_prc_min, cot_prc_max, cot_prc_med, cot_prc_mediana) VALUES (2121, 91, 11, NULL,  30.00,  36.00,  33.00,  33.00);</v>
      </c>
      <c r="J2122" t="str">
        <f t="shared" si="67"/>
        <v>UPDATE COTACAO SET cot_id = 2121, cot_blt_id = 91, cot_pap_id = 11, cot_prc_comum = NULL, cot_prc_min =  30.00, cot_prc_max =  36.00, cot_prc_med =  33.00, cot_prc_mediana =  33.00 WHERE cot_id = 2121;</v>
      </c>
    </row>
    <row r="2123" spans="1:10" x14ac:dyDescent="0.3">
      <c r="A2123">
        <v>2122</v>
      </c>
      <c r="B2123">
        <f>IF('Boletins Nuppa Site'!A2123&lt;&gt;0,'Boletins Nuppa Site'!A2123,"NULL")</f>
        <v>91</v>
      </c>
      <c r="C2123">
        <v>12</v>
      </c>
      <c r="D2123" t="str">
        <f>IF('Boletins Nuppa Site'!G2123&lt;&gt;0,'Boletins Nuppa Site'!G2123,"NULL")</f>
        <v xml:space="preserve"> 72.00</v>
      </c>
      <c r="E2123" s="14" t="str">
        <f>IF('Boletins Nuppa Site'!H2123&lt;&gt;0,'Boletins Nuppa Site'!H2123,"NULL")</f>
        <v xml:space="preserve"> 72.00</v>
      </c>
      <c r="F2123" s="14" t="str">
        <f>IF('Boletins Nuppa Site'!I2123&lt;&gt;0,'Boletins Nuppa Site'!I2123,"NULL")</f>
        <v xml:space="preserve"> 78.00</v>
      </c>
      <c r="G2123" s="14" t="str">
        <f>IF('Boletins Nuppa Site'!J2123&lt;&gt;0,'Boletins Nuppa Site'!J2123,"NULL")</f>
        <v xml:space="preserve"> 74.00</v>
      </c>
      <c r="H2123" s="14" t="str">
        <f>IF('Boletins Nuppa Site'!K2123&lt;&gt;0,'Boletins Nuppa Site'!K2123,"NULL")</f>
        <v xml:space="preserve"> 72.00</v>
      </c>
      <c r="I2123" t="str">
        <f t="shared" si="66"/>
        <v>INSERT INTO COTACAO (cot_id, cot_blt_id, cot_pap_id, cot_prc_comum, cot_prc_min, cot_prc_max, cot_prc_med, cot_prc_mediana) VALUES (2122, 91, 12,  72.00,  72.00,  78.00,  74.00,  72.00);</v>
      </c>
      <c r="J2123" t="str">
        <f t="shared" si="67"/>
        <v>UPDATE COTACAO SET cot_id = 2122, cot_blt_id = 91, cot_pap_id = 12, cot_prc_comum =  72.00, cot_prc_min =  72.00, cot_prc_max =  78.00, cot_prc_med =  74.00, cot_prc_mediana =  72.00 WHERE cot_id = 2122;</v>
      </c>
    </row>
    <row r="2124" spans="1:10" x14ac:dyDescent="0.3">
      <c r="A2124">
        <v>2123</v>
      </c>
      <c r="B2124">
        <f>IF('Boletins Nuppa Site'!A2124&lt;&gt;0,'Boletins Nuppa Site'!A2124,"NULL")</f>
        <v>91</v>
      </c>
      <c r="C2124">
        <v>13</v>
      </c>
      <c r="D2124" t="str">
        <f>IF('Boletins Nuppa Site'!G2124&lt;&gt;0,'Boletins Nuppa Site'!G2124,"NULL")</f>
        <v xml:space="preserve"> 60.00</v>
      </c>
      <c r="E2124" s="14" t="str">
        <f>IF('Boletins Nuppa Site'!H2124&lt;&gt;0,'Boletins Nuppa Site'!H2124,"NULL")</f>
        <v xml:space="preserve"> 60.00</v>
      </c>
      <c r="F2124" s="14" t="str">
        <f>IF('Boletins Nuppa Site'!I2124&lt;&gt;0,'Boletins Nuppa Site'!I2124,"NULL")</f>
        <v xml:space="preserve"> 78.00</v>
      </c>
      <c r="G2124" s="14" t="str">
        <f>IF('Boletins Nuppa Site'!J2124&lt;&gt;0,'Boletins Nuppa Site'!J2124,"NULL")</f>
        <v xml:space="preserve"> 66.00</v>
      </c>
      <c r="H2124" s="14" t="str">
        <f>IF('Boletins Nuppa Site'!K2124&lt;&gt;0,'Boletins Nuppa Site'!K2124,"NULL")</f>
        <v xml:space="preserve"> 60.00</v>
      </c>
      <c r="I2124" t="str">
        <f t="shared" si="66"/>
        <v>INSERT INTO COTACAO (cot_id, cot_blt_id, cot_pap_id, cot_prc_comum, cot_prc_min, cot_prc_max, cot_prc_med, cot_prc_mediana) VALUES (2123, 91, 13,  60.00,  60.00,  78.00,  66.00,  60.00);</v>
      </c>
      <c r="J2124" t="str">
        <f t="shared" si="67"/>
        <v>UPDATE COTACAO SET cot_id = 2123, cot_blt_id = 91, cot_pap_id = 13, cot_prc_comum =  60.00, cot_prc_min =  60.00, cot_prc_max =  78.00, cot_prc_med =  66.00, cot_prc_mediana =  60.00 WHERE cot_id = 2123;</v>
      </c>
    </row>
    <row r="2125" spans="1:10" x14ac:dyDescent="0.3">
      <c r="A2125">
        <v>2124</v>
      </c>
      <c r="B2125">
        <f>IF('Boletins Nuppa Site'!A2125&lt;&gt;0,'Boletins Nuppa Site'!A2125,"NULL")</f>
        <v>91</v>
      </c>
      <c r="C2125">
        <v>14</v>
      </c>
      <c r="D2125" t="str">
        <f>IF('Boletins Nuppa Site'!G2125&lt;&gt;0,'Boletins Nuppa Site'!G2125,"NULL")</f>
        <v xml:space="preserve"> 84.00</v>
      </c>
      <c r="E2125" s="14" t="str">
        <f>IF('Boletins Nuppa Site'!H2125&lt;&gt;0,'Boletins Nuppa Site'!H2125,"NULL")</f>
        <v xml:space="preserve"> 60.00</v>
      </c>
      <c r="F2125" s="14" t="str">
        <f>IF('Boletins Nuppa Site'!I2125&lt;&gt;0,'Boletins Nuppa Site'!I2125,"NULL")</f>
        <v xml:space="preserve"> 84.00</v>
      </c>
      <c r="G2125" s="14" t="str">
        <f>IF('Boletins Nuppa Site'!J2125&lt;&gt;0,'Boletins Nuppa Site'!J2125,"NULL")</f>
        <v xml:space="preserve"> 76.00</v>
      </c>
      <c r="H2125" s="14" t="str">
        <f>IF('Boletins Nuppa Site'!K2125&lt;&gt;0,'Boletins Nuppa Site'!K2125,"NULL")</f>
        <v xml:space="preserve"> 84.00</v>
      </c>
      <c r="I2125" t="str">
        <f t="shared" si="66"/>
        <v>INSERT INTO COTACAO (cot_id, cot_blt_id, cot_pap_id, cot_prc_comum, cot_prc_min, cot_prc_max, cot_prc_med, cot_prc_mediana) VALUES (2124, 91, 14,  84.00,  60.00,  84.00,  76.00,  84.00);</v>
      </c>
      <c r="J2125" t="str">
        <f t="shared" si="67"/>
        <v>UPDATE COTACAO SET cot_id = 2124, cot_blt_id = 91, cot_pap_id = 14, cot_prc_comum =  84.00, cot_prc_min =  60.00, cot_prc_max =  84.00, cot_prc_med =  76.00, cot_prc_mediana =  84.00 WHERE cot_id = 2124;</v>
      </c>
    </row>
    <row r="2126" spans="1:10" x14ac:dyDescent="0.3">
      <c r="A2126">
        <v>2125</v>
      </c>
      <c r="B2126">
        <f>IF('Boletins Nuppa Site'!A2126&lt;&gt;0,'Boletins Nuppa Site'!A2126,"NULL")</f>
        <v>91</v>
      </c>
      <c r="C2126">
        <v>15</v>
      </c>
      <c r="D2126" t="str">
        <f>IF('Boletins Nuppa Site'!G2126&lt;&gt;0,'Boletins Nuppa Site'!G2126,"NULL")</f>
        <v>NULL</v>
      </c>
      <c r="E2126" s="14" t="str">
        <f>IF('Boletins Nuppa Site'!H2126&lt;&gt;0,'Boletins Nuppa Site'!H2126,"NULL")</f>
        <v xml:space="preserve"> 45.00</v>
      </c>
      <c r="F2126" s="14" t="str">
        <f>IF('Boletins Nuppa Site'!I2126&lt;&gt;0,'Boletins Nuppa Site'!I2126,"NULL")</f>
        <v xml:space="preserve"> 60.00</v>
      </c>
      <c r="G2126" s="14" t="str">
        <f>IF('Boletins Nuppa Site'!J2126&lt;&gt;0,'Boletins Nuppa Site'!J2126,"NULL")</f>
        <v xml:space="preserve"> 51.00</v>
      </c>
      <c r="H2126" s="14" t="str">
        <f>IF('Boletins Nuppa Site'!K2126&lt;&gt;0,'Boletins Nuppa Site'!K2126,"NULL")</f>
        <v xml:space="preserve"> 48.00</v>
      </c>
      <c r="I2126" t="str">
        <f t="shared" si="66"/>
        <v>INSERT INTO COTACAO (cot_id, cot_blt_id, cot_pap_id, cot_prc_comum, cot_prc_min, cot_prc_max, cot_prc_med, cot_prc_mediana) VALUES (2125, 91, 15, NULL,  45.00,  60.00,  51.00,  48.00);</v>
      </c>
      <c r="J2126" t="str">
        <f t="shared" si="67"/>
        <v>UPDATE COTACAO SET cot_id = 2125, cot_blt_id = 91, cot_pap_id = 15, cot_prc_comum = NULL, cot_prc_min =  45.00, cot_prc_max =  60.00, cot_prc_med =  51.00, cot_prc_mediana =  48.00 WHERE cot_id = 2125;</v>
      </c>
    </row>
    <row r="2127" spans="1:10" x14ac:dyDescent="0.3">
      <c r="A2127">
        <v>2126</v>
      </c>
      <c r="B2127">
        <f>IF('Boletins Nuppa Site'!A2127&lt;&gt;0,'Boletins Nuppa Site'!A2127,"NULL")</f>
        <v>91</v>
      </c>
      <c r="C2127">
        <v>16</v>
      </c>
      <c r="D2127" t="str">
        <f>IF('Boletins Nuppa Site'!G2127&lt;&gt;0,'Boletins Nuppa Site'!G2127,"NULL")</f>
        <v xml:space="preserve"> 60.00</v>
      </c>
      <c r="E2127" s="14" t="str">
        <f>IF('Boletins Nuppa Site'!H2127&lt;&gt;0,'Boletins Nuppa Site'!H2127,"NULL")</f>
        <v xml:space="preserve"> 60.00</v>
      </c>
      <c r="F2127" s="14" t="str">
        <f>IF('Boletins Nuppa Site'!I2127&lt;&gt;0,'Boletins Nuppa Site'!I2127,"NULL")</f>
        <v xml:space="preserve"> 60.00</v>
      </c>
      <c r="G2127" s="14" t="str">
        <f>IF('Boletins Nuppa Site'!J2127&lt;&gt;0,'Boletins Nuppa Site'!J2127,"NULL")</f>
        <v xml:space="preserve"> 60.00</v>
      </c>
      <c r="H2127" s="14" t="str">
        <f>IF('Boletins Nuppa Site'!K2127&lt;&gt;0,'Boletins Nuppa Site'!K2127,"NULL")</f>
        <v xml:space="preserve"> 60.00</v>
      </c>
      <c r="I2127" t="str">
        <f t="shared" si="66"/>
        <v>INSERT INTO COTACAO (cot_id, cot_blt_id, cot_pap_id, cot_prc_comum, cot_prc_min, cot_prc_max, cot_prc_med, cot_prc_mediana) VALUES (2126, 91, 16,  60.00,  60.00,  60.00,  60.00,  60.00);</v>
      </c>
      <c r="J2127" t="str">
        <f t="shared" si="67"/>
        <v>UPDATE COTACAO SET cot_id = 2126, cot_blt_id = 91, cot_pap_id = 16, cot_prc_comum =  60.00, cot_prc_min =  60.00, cot_prc_max =  60.00, cot_prc_med =  60.00, cot_prc_mediana =  60.00 WHERE cot_id = 2126;</v>
      </c>
    </row>
    <row r="2128" spans="1:10" x14ac:dyDescent="0.3">
      <c r="A2128">
        <v>2127</v>
      </c>
      <c r="B2128">
        <f>IF('Boletins Nuppa Site'!A2128&lt;&gt;0,'Boletins Nuppa Site'!A2128,"NULL")</f>
        <v>91</v>
      </c>
      <c r="C2128">
        <v>17</v>
      </c>
      <c r="D2128" t="str">
        <f>IF('Boletins Nuppa Site'!G2128&lt;&gt;0,'Boletins Nuppa Site'!G2128,"NULL")</f>
        <v xml:space="preserve"> 5.00</v>
      </c>
      <c r="E2128" s="14" t="str">
        <f>IF('Boletins Nuppa Site'!H2128&lt;&gt;0,'Boletins Nuppa Site'!H2128,"NULL")</f>
        <v xml:space="preserve"> 5.00</v>
      </c>
      <c r="F2128" s="14" t="str">
        <f>IF('Boletins Nuppa Site'!I2128&lt;&gt;0,'Boletins Nuppa Site'!I2128,"NULL")</f>
        <v xml:space="preserve"> 5.00</v>
      </c>
      <c r="G2128" s="14" t="str">
        <f>IF('Boletins Nuppa Site'!J2128&lt;&gt;0,'Boletins Nuppa Site'!J2128,"NULL")</f>
        <v xml:space="preserve"> 5.00</v>
      </c>
      <c r="H2128" s="14" t="str">
        <f>IF('Boletins Nuppa Site'!K2128&lt;&gt;0,'Boletins Nuppa Site'!K2128,"NULL")</f>
        <v xml:space="preserve"> 5.00</v>
      </c>
      <c r="I2128" t="str">
        <f t="shared" si="66"/>
        <v>INSERT INTO COTACAO (cot_id, cot_blt_id, cot_pap_id, cot_prc_comum, cot_prc_min, cot_prc_max, cot_prc_med, cot_prc_mediana) VALUES (2127, 91, 17,  5.00,  5.00,  5.00,  5.00,  5.00);</v>
      </c>
      <c r="J2128" t="str">
        <f t="shared" si="67"/>
        <v>UPDATE COTACAO SET cot_id = 2127, cot_blt_id = 91, cot_pap_id = 17, cot_prc_comum =  5.00, cot_prc_min =  5.00, cot_prc_max =  5.00, cot_prc_med =  5.00, cot_prc_mediana =  5.00 WHERE cot_id = 2127;</v>
      </c>
    </row>
    <row r="2129" spans="1:10" x14ac:dyDescent="0.3">
      <c r="A2129">
        <v>2128</v>
      </c>
      <c r="B2129">
        <f>IF('Boletins Nuppa Site'!A2129&lt;&gt;0,'Boletins Nuppa Site'!A2129,"NULL")</f>
        <v>91</v>
      </c>
      <c r="C2129">
        <v>18</v>
      </c>
      <c r="D2129" t="str">
        <f>IF('Boletins Nuppa Site'!G2129&lt;&gt;0,'Boletins Nuppa Site'!G2129,"NULL")</f>
        <v>NULL</v>
      </c>
      <c r="E2129" s="14" t="str">
        <f>IF('Boletins Nuppa Site'!H2129&lt;&gt;0,'Boletins Nuppa Site'!H2129,"NULL")</f>
        <v xml:space="preserve"> 35.00</v>
      </c>
      <c r="F2129" s="14" t="str">
        <f>IF('Boletins Nuppa Site'!I2129&lt;&gt;0,'Boletins Nuppa Site'!I2129,"NULL")</f>
        <v xml:space="preserve"> 45.00</v>
      </c>
      <c r="G2129" s="14" t="str">
        <f>IF('Boletins Nuppa Site'!J2129&lt;&gt;0,'Boletins Nuppa Site'!J2129,"NULL")</f>
        <v xml:space="preserve"> 40.00</v>
      </c>
      <c r="H2129" s="14" t="str">
        <f>IF('Boletins Nuppa Site'!K2129&lt;&gt;0,'Boletins Nuppa Site'!K2129,"NULL")</f>
        <v xml:space="preserve"> 40.00</v>
      </c>
      <c r="I2129" t="str">
        <f t="shared" si="66"/>
        <v>INSERT INTO COTACAO (cot_id, cot_blt_id, cot_pap_id, cot_prc_comum, cot_prc_min, cot_prc_max, cot_prc_med, cot_prc_mediana) VALUES (2128, 91, 18, NULL,  35.00,  45.00,  40.00,  40.00);</v>
      </c>
      <c r="J2129" t="str">
        <f t="shared" si="67"/>
        <v>UPDATE COTACAO SET cot_id = 2128, cot_blt_id = 91, cot_pap_id = 18, cot_prc_comum = NULL, cot_prc_min =  35.00, cot_prc_max =  45.00, cot_prc_med =  40.00, cot_prc_mediana =  40.00 WHERE cot_id = 2128;</v>
      </c>
    </row>
    <row r="2130" spans="1:10" x14ac:dyDescent="0.3">
      <c r="A2130">
        <v>2129</v>
      </c>
      <c r="B2130">
        <f>IF('Boletins Nuppa Site'!A2130&lt;&gt;0,'Boletins Nuppa Site'!A2130,"NULL")</f>
        <v>91</v>
      </c>
      <c r="C2130">
        <v>19</v>
      </c>
      <c r="D2130" t="str">
        <f>IF('Boletins Nuppa Site'!G2130&lt;&gt;0,'Boletins Nuppa Site'!G2130,"NULL")</f>
        <v xml:space="preserve"> 35.00</v>
      </c>
      <c r="E2130" s="14" t="str">
        <f>IF('Boletins Nuppa Site'!H2130&lt;&gt;0,'Boletins Nuppa Site'!H2130,"NULL")</f>
        <v xml:space="preserve"> 30.00</v>
      </c>
      <c r="F2130" s="14" t="str">
        <f>IF('Boletins Nuppa Site'!I2130&lt;&gt;0,'Boletins Nuppa Site'!I2130,"NULL")</f>
        <v xml:space="preserve"> 35.00</v>
      </c>
      <c r="G2130" s="14" t="str">
        <f>IF('Boletins Nuppa Site'!J2130&lt;&gt;0,'Boletins Nuppa Site'!J2130,"NULL")</f>
        <v xml:space="preserve"> 33.33</v>
      </c>
      <c r="H2130" s="14" t="str">
        <f>IF('Boletins Nuppa Site'!K2130&lt;&gt;0,'Boletins Nuppa Site'!K2130,"NULL")</f>
        <v xml:space="preserve"> 35.00</v>
      </c>
      <c r="I2130" t="str">
        <f t="shared" si="66"/>
        <v>INSERT INTO COTACAO (cot_id, cot_blt_id, cot_pap_id, cot_prc_comum, cot_prc_min, cot_prc_max, cot_prc_med, cot_prc_mediana) VALUES (2129, 91, 19,  35.00,  30.00,  35.00,  33.33,  35.00);</v>
      </c>
      <c r="J2130" t="str">
        <f t="shared" si="67"/>
        <v>UPDATE COTACAO SET cot_id = 2129, cot_blt_id = 91, cot_pap_id = 19, cot_prc_comum =  35.00, cot_prc_min =  30.00, cot_prc_max =  35.00, cot_prc_med =  33.33, cot_prc_mediana =  35.00 WHERE cot_id = 2129;</v>
      </c>
    </row>
    <row r="2131" spans="1:10" x14ac:dyDescent="0.3">
      <c r="A2131">
        <v>2130</v>
      </c>
      <c r="B2131">
        <f>IF('Boletins Nuppa Site'!A2131&lt;&gt;0,'Boletins Nuppa Site'!A2131,"NULL")</f>
        <v>91</v>
      </c>
      <c r="C2131">
        <v>20</v>
      </c>
      <c r="D2131" t="str">
        <f>IF('Boletins Nuppa Site'!G2131&lt;&gt;0,'Boletins Nuppa Site'!G2131,"NULL")</f>
        <v xml:space="preserve"> 60.00</v>
      </c>
      <c r="E2131" s="14" t="str">
        <f>IF('Boletins Nuppa Site'!H2131&lt;&gt;0,'Boletins Nuppa Site'!H2131,"NULL")</f>
        <v xml:space="preserve"> 60.00</v>
      </c>
      <c r="F2131" s="14" t="str">
        <f>IF('Boletins Nuppa Site'!I2131&lt;&gt;0,'Boletins Nuppa Site'!I2131,"NULL")</f>
        <v xml:space="preserve"> 65.00</v>
      </c>
      <c r="G2131" s="14" t="str">
        <f>IF('Boletins Nuppa Site'!J2131&lt;&gt;0,'Boletins Nuppa Site'!J2131,"NULL")</f>
        <v xml:space="preserve"> 61.67</v>
      </c>
      <c r="H2131" s="14" t="str">
        <f>IF('Boletins Nuppa Site'!K2131&lt;&gt;0,'Boletins Nuppa Site'!K2131,"NULL")</f>
        <v xml:space="preserve"> 60.00</v>
      </c>
      <c r="I2131" t="str">
        <f t="shared" si="66"/>
        <v>INSERT INTO COTACAO (cot_id, cot_blt_id, cot_pap_id, cot_prc_comum, cot_prc_min, cot_prc_max, cot_prc_med, cot_prc_mediana) VALUES (2130, 91, 20,  60.00,  60.00,  65.00,  61.67,  60.00);</v>
      </c>
      <c r="J2131" t="str">
        <f t="shared" si="67"/>
        <v>UPDATE COTACAO SET cot_id = 2130, cot_blt_id = 91, cot_pap_id = 20, cot_prc_comum =  60.00, cot_prc_min =  60.00, cot_prc_max =  65.00, cot_prc_med =  61.67, cot_prc_mediana =  60.00 WHERE cot_id = 2130;</v>
      </c>
    </row>
    <row r="2132" spans="1:10" x14ac:dyDescent="0.3">
      <c r="A2132">
        <v>2131</v>
      </c>
      <c r="B2132">
        <f>IF('Boletins Nuppa Site'!A2132&lt;&gt;0,'Boletins Nuppa Site'!A2132,"NULL")</f>
        <v>91</v>
      </c>
      <c r="C2132">
        <v>21</v>
      </c>
      <c r="D2132" t="str">
        <f>IF('Boletins Nuppa Site'!G2132&lt;&gt;0,'Boletins Nuppa Site'!G2132,"NULL")</f>
        <v xml:space="preserve"> 90.00</v>
      </c>
      <c r="E2132" s="14" t="str">
        <f>IF('Boletins Nuppa Site'!H2132&lt;&gt;0,'Boletins Nuppa Site'!H2132,"NULL")</f>
        <v xml:space="preserve"> 90.00</v>
      </c>
      <c r="F2132" s="14" t="str">
        <f>IF('Boletins Nuppa Site'!I2132&lt;&gt;0,'Boletins Nuppa Site'!I2132,"NULL")</f>
        <v xml:space="preserve"> 110.00</v>
      </c>
      <c r="G2132" s="14" t="str">
        <f>IF('Boletins Nuppa Site'!J2132&lt;&gt;0,'Boletins Nuppa Site'!J2132,"NULL")</f>
        <v xml:space="preserve"> 97.50</v>
      </c>
      <c r="H2132" s="14" t="str">
        <f>IF('Boletins Nuppa Site'!K2132&lt;&gt;0,'Boletins Nuppa Site'!K2132,"NULL")</f>
        <v xml:space="preserve"> 95.00</v>
      </c>
      <c r="I2132" t="str">
        <f t="shared" si="66"/>
        <v>INSERT INTO COTACAO (cot_id, cot_blt_id, cot_pap_id, cot_prc_comum, cot_prc_min, cot_prc_max, cot_prc_med, cot_prc_mediana) VALUES (2131, 91, 21,  90.00,  90.00,  110.00,  97.50,  95.00);</v>
      </c>
      <c r="J2132" t="str">
        <f t="shared" si="67"/>
        <v>UPDATE COTACAO SET cot_id = 2131, cot_blt_id = 91, cot_pap_id = 21, cot_prc_comum =  90.00, cot_prc_min =  90.00, cot_prc_max =  110.00, cot_prc_med =  97.50, cot_prc_mediana =  95.00 WHERE cot_id = 2131;</v>
      </c>
    </row>
    <row r="2133" spans="1:10" x14ac:dyDescent="0.3">
      <c r="A2133">
        <v>2132</v>
      </c>
      <c r="B2133">
        <f>IF('Boletins Nuppa Site'!A2133&lt;&gt;0,'Boletins Nuppa Site'!A2133,"NULL")</f>
        <v>91</v>
      </c>
      <c r="C2133">
        <v>22</v>
      </c>
      <c r="D2133" t="str">
        <f>IF('Boletins Nuppa Site'!G2133&lt;&gt;0,'Boletins Nuppa Site'!G2133,"NULL")</f>
        <v>NULL</v>
      </c>
      <c r="E2133" s="14" t="str">
        <f>IF('Boletins Nuppa Site'!H2133&lt;&gt;0,'Boletins Nuppa Site'!H2133,"NULL")</f>
        <v xml:space="preserve"> 45.00</v>
      </c>
      <c r="F2133" s="14" t="str">
        <f>IF('Boletins Nuppa Site'!I2133&lt;&gt;0,'Boletins Nuppa Site'!I2133,"NULL")</f>
        <v xml:space="preserve"> 70.00</v>
      </c>
      <c r="G2133" s="14" t="str">
        <f>IF('Boletins Nuppa Site'!J2133&lt;&gt;0,'Boletins Nuppa Site'!J2133,"NULL")</f>
        <v xml:space="preserve"> 60.00</v>
      </c>
      <c r="H2133" s="14" t="str">
        <f>IF('Boletins Nuppa Site'!K2133&lt;&gt;0,'Boletins Nuppa Site'!K2133,"NULL")</f>
        <v xml:space="preserve"> 62.50</v>
      </c>
      <c r="I2133" t="str">
        <f t="shared" si="66"/>
        <v>INSERT INTO COTACAO (cot_id, cot_blt_id, cot_pap_id, cot_prc_comum, cot_prc_min, cot_prc_max, cot_prc_med, cot_prc_mediana) VALUES (2132, 91, 22, NULL,  45.00,  70.00,  60.00,  62.50);</v>
      </c>
      <c r="J2133" t="str">
        <f t="shared" si="67"/>
        <v>UPDATE COTACAO SET cot_id = 2132, cot_blt_id = 91, cot_pap_id = 22, cot_prc_comum = NULL, cot_prc_min =  45.00, cot_prc_max =  70.00, cot_prc_med =  60.00, cot_prc_mediana =  62.50 WHERE cot_id = 2132;</v>
      </c>
    </row>
    <row r="2134" spans="1:10" x14ac:dyDescent="0.3">
      <c r="A2134">
        <v>2133</v>
      </c>
      <c r="B2134">
        <f>IF('Boletins Nuppa Site'!A2134&lt;&gt;0,'Boletins Nuppa Site'!A2134,"NULL")</f>
        <v>91</v>
      </c>
      <c r="C2134">
        <v>23</v>
      </c>
      <c r="D2134" t="str">
        <f>IF('Boletins Nuppa Site'!G2134&lt;&gt;0,'Boletins Nuppa Site'!G2134,"NULL")</f>
        <v xml:space="preserve"> 50.00</v>
      </c>
      <c r="E2134" s="14" t="str">
        <f>IF('Boletins Nuppa Site'!H2134&lt;&gt;0,'Boletins Nuppa Site'!H2134,"NULL")</f>
        <v xml:space="preserve"> 50.00</v>
      </c>
      <c r="F2134" s="14" t="str">
        <f>IF('Boletins Nuppa Site'!I2134&lt;&gt;0,'Boletins Nuppa Site'!I2134,"NULL")</f>
        <v xml:space="preserve"> 65.00</v>
      </c>
      <c r="G2134" s="14" t="str">
        <f>IF('Boletins Nuppa Site'!J2134&lt;&gt;0,'Boletins Nuppa Site'!J2134,"NULL")</f>
        <v xml:space="preserve"> 55.00</v>
      </c>
      <c r="H2134" s="14" t="str">
        <f>IF('Boletins Nuppa Site'!K2134&lt;&gt;0,'Boletins Nuppa Site'!K2134,"NULL")</f>
        <v xml:space="preserve"> 52.50</v>
      </c>
      <c r="I2134" t="str">
        <f t="shared" si="66"/>
        <v>INSERT INTO COTACAO (cot_id, cot_blt_id, cot_pap_id, cot_prc_comum, cot_prc_min, cot_prc_max, cot_prc_med, cot_prc_mediana) VALUES (2133, 91, 23,  50.00,  50.00,  65.00,  55.00,  52.50);</v>
      </c>
      <c r="J2134" t="str">
        <f t="shared" si="67"/>
        <v>UPDATE COTACAO SET cot_id = 2133, cot_blt_id = 91, cot_pap_id = 23, cot_prc_comum =  50.00, cot_prc_min =  50.00, cot_prc_max =  65.00, cot_prc_med =  55.00, cot_prc_mediana =  52.50 WHERE cot_id = 2133;</v>
      </c>
    </row>
    <row r="2135" spans="1:10" x14ac:dyDescent="0.3">
      <c r="A2135">
        <v>2134</v>
      </c>
      <c r="B2135">
        <f>IF('Boletins Nuppa Site'!A2135&lt;&gt;0,'Boletins Nuppa Site'!A2135,"NULL")</f>
        <v>91</v>
      </c>
      <c r="C2135">
        <v>24</v>
      </c>
      <c r="D2135" t="str">
        <f>IF('Boletins Nuppa Site'!G2135&lt;&gt;0,'Boletins Nuppa Site'!G2135,"NULL")</f>
        <v>NULL</v>
      </c>
      <c r="E2135" s="14" t="str">
        <f>IF('Boletins Nuppa Site'!H2135&lt;&gt;0,'Boletins Nuppa Site'!H2135,"NULL")</f>
        <v xml:space="preserve"> 60.00</v>
      </c>
      <c r="F2135" s="14" t="str">
        <f>IF('Boletins Nuppa Site'!I2135&lt;&gt;0,'Boletins Nuppa Site'!I2135,"NULL")</f>
        <v xml:space="preserve"> 80.00</v>
      </c>
      <c r="G2135" s="14" t="str">
        <f>IF('Boletins Nuppa Site'!J2135&lt;&gt;0,'Boletins Nuppa Site'!J2135,"NULL")</f>
        <v xml:space="preserve"> 70.00</v>
      </c>
      <c r="H2135" s="14" t="str">
        <f>IF('Boletins Nuppa Site'!K2135&lt;&gt;0,'Boletins Nuppa Site'!K2135,"NULL")</f>
        <v xml:space="preserve"> 70.00</v>
      </c>
      <c r="I2135" t="str">
        <f t="shared" si="66"/>
        <v>INSERT INTO COTACAO (cot_id, cot_blt_id, cot_pap_id, cot_prc_comum, cot_prc_min, cot_prc_max, cot_prc_med, cot_prc_mediana) VALUES (2134, 91, 24, NULL,  60.00,  80.00,  70.00,  70.00);</v>
      </c>
      <c r="J2135" t="str">
        <f t="shared" si="67"/>
        <v>UPDATE COTACAO SET cot_id = 2134, cot_blt_id = 91, cot_pap_id = 24, cot_prc_comum = NULL, cot_prc_min =  60.00, cot_prc_max =  80.00, cot_prc_med =  70.00, cot_prc_mediana =  70.00 WHERE cot_id = 2134;</v>
      </c>
    </row>
    <row r="2136" spans="1:10" x14ac:dyDescent="0.3">
      <c r="A2136">
        <v>2135</v>
      </c>
      <c r="B2136">
        <f>IF('Boletins Nuppa Site'!A2136&lt;&gt;0,'Boletins Nuppa Site'!A2136,"NULL")</f>
        <v>91</v>
      </c>
      <c r="C2136">
        <v>25</v>
      </c>
      <c r="D2136" t="str">
        <f>IF('Boletins Nuppa Site'!G2136&lt;&gt;0,'Boletins Nuppa Site'!G2136,"NULL")</f>
        <v xml:space="preserve"> 50.00</v>
      </c>
      <c r="E2136" s="14" t="str">
        <f>IF('Boletins Nuppa Site'!H2136&lt;&gt;0,'Boletins Nuppa Site'!H2136,"NULL")</f>
        <v xml:space="preserve"> 60.00</v>
      </c>
      <c r="F2136" s="14" t="str">
        <f>IF('Boletins Nuppa Site'!I2136&lt;&gt;0,'Boletins Nuppa Site'!I2136,"NULL")</f>
        <v xml:space="preserve"> 60.00</v>
      </c>
      <c r="G2136" s="14" t="str">
        <f>IF('Boletins Nuppa Site'!J2136&lt;&gt;0,'Boletins Nuppa Site'!J2136,"NULL")</f>
        <v xml:space="preserve"> 57.00</v>
      </c>
      <c r="H2136" s="14" t="str">
        <f>IF('Boletins Nuppa Site'!K2136&lt;&gt;0,'Boletins Nuppa Site'!K2136,"NULL")</f>
        <v xml:space="preserve"> 59.00</v>
      </c>
      <c r="I2136" t="str">
        <f t="shared" si="66"/>
        <v>INSERT INTO COTACAO (cot_id, cot_blt_id, cot_pap_id, cot_prc_comum, cot_prc_min, cot_prc_max, cot_prc_med, cot_prc_mediana) VALUES (2135, 91, 25,  50.00,  60.00,  60.00,  57.00,  59.00);</v>
      </c>
      <c r="J2136" t="str">
        <f t="shared" si="67"/>
        <v>UPDATE COTACAO SET cot_id = 2135, cot_blt_id = 91, cot_pap_id = 25, cot_prc_comum =  50.00, cot_prc_min =  60.00, cot_prc_max =  60.00, cot_prc_med =  57.00, cot_prc_mediana =  59.00 WHERE cot_id = 2135;</v>
      </c>
    </row>
    <row r="2137" spans="1:10" x14ac:dyDescent="0.3">
      <c r="A2137">
        <v>2136</v>
      </c>
      <c r="B2137">
        <f>IF('Boletins Nuppa Site'!A2137&lt;&gt;0,'Boletins Nuppa Site'!A2137,"NULL")</f>
        <v>91</v>
      </c>
      <c r="C2137">
        <v>26</v>
      </c>
      <c r="D2137" t="str">
        <f>IF('Boletins Nuppa Site'!G2137&lt;&gt;0,'Boletins Nuppa Site'!G2137,"NULL")</f>
        <v xml:space="preserve"> 65.00</v>
      </c>
      <c r="E2137" s="14" t="str">
        <f>IF('Boletins Nuppa Site'!H2137&lt;&gt;0,'Boletins Nuppa Site'!H2137,"NULL")</f>
        <v xml:space="preserve"> 90.00</v>
      </c>
      <c r="F2137" s="14" t="str">
        <f>IF('Boletins Nuppa Site'!I2137&lt;&gt;0,'Boletins Nuppa Site'!I2137,"NULL")</f>
        <v xml:space="preserve"> 90.00</v>
      </c>
      <c r="G2137" s="14" t="str">
        <f>IF('Boletins Nuppa Site'!J2137&lt;&gt;0,'Boletins Nuppa Site'!J2137,"NULL")</f>
        <v xml:space="preserve"> 81.25</v>
      </c>
      <c r="H2137" s="14" t="str">
        <f>IF('Boletins Nuppa Site'!K2137&lt;&gt;0,'Boletins Nuppa Site'!K2137,"NULL")</f>
        <v xml:space="preserve"> 85.00</v>
      </c>
      <c r="I2137" t="str">
        <f t="shared" si="66"/>
        <v>INSERT INTO COTACAO (cot_id, cot_blt_id, cot_pap_id, cot_prc_comum, cot_prc_min, cot_prc_max, cot_prc_med, cot_prc_mediana) VALUES (2136, 91, 26,  65.00,  90.00,  90.00,  81.25,  85.00);</v>
      </c>
      <c r="J2137" t="str">
        <f t="shared" si="67"/>
        <v>UPDATE COTACAO SET cot_id = 2136, cot_blt_id = 91, cot_pap_id = 26, cot_prc_comum =  65.00, cot_prc_min =  90.00, cot_prc_max =  90.00, cot_prc_med =  81.25, cot_prc_mediana =  85.00 WHERE cot_id = 2136;</v>
      </c>
    </row>
    <row r="2138" spans="1:10" x14ac:dyDescent="0.3">
      <c r="A2138">
        <v>2137</v>
      </c>
      <c r="B2138">
        <f>IF('Boletins Nuppa Site'!A2138&lt;&gt;0,'Boletins Nuppa Site'!A2138,"NULL")</f>
        <v>91</v>
      </c>
      <c r="C2138">
        <v>27</v>
      </c>
      <c r="D2138" t="str">
        <f>IF('Boletins Nuppa Site'!G2138&lt;&gt;0,'Boletins Nuppa Site'!G2138,"NULL")</f>
        <v xml:space="preserve"> 70.00</v>
      </c>
      <c r="E2138" s="14" t="str">
        <f>IF('Boletins Nuppa Site'!H2138&lt;&gt;0,'Boletins Nuppa Site'!H2138,"NULL")</f>
        <v xml:space="preserve"> 70.00</v>
      </c>
      <c r="F2138" s="14" t="str">
        <f>IF('Boletins Nuppa Site'!I2138&lt;&gt;0,'Boletins Nuppa Site'!I2138,"NULL")</f>
        <v xml:space="preserve"> 90.00</v>
      </c>
      <c r="G2138" s="14" t="str">
        <f>IF('Boletins Nuppa Site'!J2138&lt;&gt;0,'Boletins Nuppa Site'!J2138,"NULL")</f>
        <v xml:space="preserve"> 77.50</v>
      </c>
      <c r="H2138" s="14" t="str">
        <f>IF('Boletins Nuppa Site'!K2138&lt;&gt;0,'Boletins Nuppa Site'!K2138,"NULL")</f>
        <v xml:space="preserve"> 75.00</v>
      </c>
      <c r="I2138" t="str">
        <f t="shared" si="66"/>
        <v>INSERT INTO COTACAO (cot_id, cot_blt_id, cot_pap_id, cot_prc_comum, cot_prc_min, cot_prc_max, cot_prc_med, cot_prc_mediana) VALUES (2137, 91, 27,  70.00,  70.00,  90.00,  77.50,  75.00);</v>
      </c>
      <c r="J2138" t="str">
        <f t="shared" si="67"/>
        <v>UPDATE COTACAO SET cot_id = 2137, cot_blt_id = 91, cot_pap_id = 27, cot_prc_comum =  70.00, cot_prc_min =  70.00, cot_prc_max =  90.00, cot_prc_med =  77.50, cot_prc_mediana =  75.00 WHERE cot_id = 2137;</v>
      </c>
    </row>
    <row r="2139" spans="1:10" x14ac:dyDescent="0.3">
      <c r="A2139">
        <v>2138</v>
      </c>
      <c r="B2139">
        <f>IF('Boletins Nuppa Site'!A2139&lt;&gt;0,'Boletins Nuppa Site'!A2139,"NULL")</f>
        <v>91</v>
      </c>
      <c r="C2139">
        <v>28</v>
      </c>
      <c r="D2139" t="str">
        <f>IF('Boletins Nuppa Site'!G2139&lt;&gt;0,'Boletins Nuppa Site'!G2139,"NULL")</f>
        <v>NULL</v>
      </c>
      <c r="E2139" s="14" t="str">
        <f>IF('Boletins Nuppa Site'!H2139&lt;&gt;0,'Boletins Nuppa Site'!H2139,"NULL")</f>
        <v xml:space="preserve"> 60.00</v>
      </c>
      <c r="F2139" s="14" t="str">
        <f>IF('Boletins Nuppa Site'!I2139&lt;&gt;0,'Boletins Nuppa Site'!I2139,"NULL")</f>
        <v xml:space="preserve"> 100.00</v>
      </c>
      <c r="G2139" s="14" t="str">
        <f>IF('Boletins Nuppa Site'!J2139&lt;&gt;0,'Boletins Nuppa Site'!J2139,"NULL")</f>
        <v xml:space="preserve"> 82.50</v>
      </c>
      <c r="H2139" s="14" t="str">
        <f>IF('Boletins Nuppa Site'!K2139&lt;&gt;0,'Boletins Nuppa Site'!K2139,"NULL")</f>
        <v xml:space="preserve"> 85.00</v>
      </c>
      <c r="I2139" t="str">
        <f t="shared" si="66"/>
        <v>INSERT INTO COTACAO (cot_id, cot_blt_id, cot_pap_id, cot_prc_comum, cot_prc_min, cot_prc_max, cot_prc_med, cot_prc_mediana) VALUES (2138, 91, 28, NULL,  60.00,  100.00,  82.50,  85.00);</v>
      </c>
      <c r="J2139" t="str">
        <f t="shared" si="67"/>
        <v>UPDATE COTACAO SET cot_id = 2138, cot_blt_id = 91, cot_pap_id = 28, cot_prc_comum = NULL, cot_prc_min =  60.00, cot_prc_max =  100.00, cot_prc_med =  82.50, cot_prc_mediana =  85.00 WHERE cot_id = 2138;</v>
      </c>
    </row>
    <row r="2140" spans="1:10" x14ac:dyDescent="0.3">
      <c r="A2140">
        <v>2139</v>
      </c>
      <c r="B2140">
        <f>IF('Boletins Nuppa Site'!A2140&lt;&gt;0,'Boletins Nuppa Site'!A2140,"NULL")</f>
        <v>91</v>
      </c>
      <c r="C2140">
        <v>29</v>
      </c>
      <c r="D2140" t="str">
        <f>IF('Boletins Nuppa Site'!G2140&lt;&gt;0,'Boletins Nuppa Site'!G2140,"NULL")</f>
        <v>NULL</v>
      </c>
      <c r="E2140" s="14" t="str">
        <f>IF('Boletins Nuppa Site'!H2140&lt;&gt;0,'Boletins Nuppa Site'!H2140,"NULL")</f>
        <v xml:space="preserve"> 50.00</v>
      </c>
      <c r="F2140" s="14" t="str">
        <f>IF('Boletins Nuppa Site'!I2140&lt;&gt;0,'Boletins Nuppa Site'!I2140,"NULL")</f>
        <v xml:space="preserve"> 85.00</v>
      </c>
      <c r="G2140" s="14" t="str">
        <f>IF('Boletins Nuppa Site'!J2140&lt;&gt;0,'Boletins Nuppa Site'!J2140,"NULL")</f>
        <v xml:space="preserve"> 67.50</v>
      </c>
      <c r="H2140" s="14" t="str">
        <f>IF('Boletins Nuppa Site'!K2140&lt;&gt;0,'Boletins Nuppa Site'!K2140,"NULL")</f>
        <v xml:space="preserve"> 67.50</v>
      </c>
      <c r="I2140" t="str">
        <f t="shared" si="66"/>
        <v>INSERT INTO COTACAO (cot_id, cot_blt_id, cot_pap_id, cot_prc_comum, cot_prc_min, cot_prc_max, cot_prc_med, cot_prc_mediana) VALUES (2139, 91, 29, NULL,  50.00,  85.00,  67.50,  67.50);</v>
      </c>
      <c r="J2140" t="str">
        <f t="shared" si="67"/>
        <v>UPDATE COTACAO SET cot_id = 2139, cot_blt_id = 91, cot_pap_id = 29, cot_prc_comum = NULL, cot_prc_min =  50.00, cot_prc_max =  85.00, cot_prc_med =  67.50, cot_prc_mediana =  67.50 WHERE cot_id = 2139;</v>
      </c>
    </row>
    <row r="2141" spans="1:10" x14ac:dyDescent="0.3">
      <c r="A2141">
        <v>2140</v>
      </c>
      <c r="B2141">
        <f>IF('Boletins Nuppa Site'!A2141&lt;&gt;0,'Boletins Nuppa Site'!A2141,"NULL")</f>
        <v>91</v>
      </c>
      <c r="C2141">
        <v>30</v>
      </c>
      <c r="D2141" t="str">
        <f>IF('Boletins Nuppa Site'!G2141&lt;&gt;0,'Boletins Nuppa Site'!G2141,"NULL")</f>
        <v xml:space="preserve"> 70.00</v>
      </c>
      <c r="E2141" s="14" t="str">
        <f>IF('Boletins Nuppa Site'!H2141&lt;&gt;0,'Boletins Nuppa Site'!H2141,"NULL")</f>
        <v xml:space="preserve"> 70.00</v>
      </c>
      <c r="F2141" s="14" t="str">
        <f>IF('Boletins Nuppa Site'!I2141&lt;&gt;0,'Boletins Nuppa Site'!I2141,"NULL")</f>
        <v xml:space="preserve"> 80.00</v>
      </c>
      <c r="G2141" s="14" t="str">
        <f>IF('Boletins Nuppa Site'!J2141&lt;&gt;0,'Boletins Nuppa Site'!J2141,"NULL")</f>
        <v xml:space="preserve"> 73.33</v>
      </c>
      <c r="H2141" s="14" t="str">
        <f>IF('Boletins Nuppa Site'!K2141&lt;&gt;0,'Boletins Nuppa Site'!K2141,"NULL")</f>
        <v xml:space="preserve"> 70.00</v>
      </c>
      <c r="I2141" t="str">
        <f t="shared" si="66"/>
        <v>INSERT INTO COTACAO (cot_id, cot_blt_id, cot_pap_id, cot_prc_comum, cot_prc_min, cot_prc_max, cot_prc_med, cot_prc_mediana) VALUES (2140, 91, 30,  70.00,  70.00,  80.00,  73.33,  70.00);</v>
      </c>
      <c r="J2141" t="str">
        <f t="shared" si="67"/>
        <v>UPDATE COTACAO SET cot_id = 2140, cot_blt_id = 91, cot_pap_id = 30, cot_prc_comum =  70.00, cot_prc_min =  70.00, cot_prc_max =  80.00, cot_prc_med =  73.33, cot_prc_mediana =  70.00 WHERE cot_id = 2140;</v>
      </c>
    </row>
    <row r="2142" spans="1:10" x14ac:dyDescent="0.3">
      <c r="A2142">
        <v>2141</v>
      </c>
      <c r="B2142">
        <f>IF('Boletins Nuppa Site'!A2142&lt;&gt;0,'Boletins Nuppa Site'!A2142,"NULL")</f>
        <v>91</v>
      </c>
      <c r="C2142">
        <v>31</v>
      </c>
      <c r="D2142" t="str">
        <f>IF('Boletins Nuppa Site'!G2142&lt;&gt;0,'Boletins Nuppa Site'!G2142,"NULL")</f>
        <v xml:space="preserve"> 90.00</v>
      </c>
      <c r="E2142" s="14" t="str">
        <f>IF('Boletins Nuppa Site'!H2142&lt;&gt;0,'Boletins Nuppa Site'!H2142,"NULL")</f>
        <v xml:space="preserve"> 120.00</v>
      </c>
      <c r="F2142" s="14" t="str">
        <f>IF('Boletins Nuppa Site'!I2142&lt;&gt;0,'Boletins Nuppa Site'!I2142,"NULL")</f>
        <v xml:space="preserve"> 120.00</v>
      </c>
      <c r="G2142" s="14" t="str">
        <f>IF('Boletins Nuppa Site'!J2142&lt;&gt;0,'Boletins Nuppa Site'!J2142,"NULL")</f>
        <v xml:space="preserve"> 110.00</v>
      </c>
      <c r="H2142" s="14" t="str">
        <f>IF('Boletins Nuppa Site'!K2142&lt;&gt;0,'Boletins Nuppa Site'!K2142,"NULL")</f>
        <v xml:space="preserve"> 115.00</v>
      </c>
      <c r="I2142" t="str">
        <f t="shared" si="66"/>
        <v>INSERT INTO COTACAO (cot_id, cot_blt_id, cot_pap_id, cot_prc_comum, cot_prc_min, cot_prc_max, cot_prc_med, cot_prc_mediana) VALUES (2141, 91, 31,  90.00,  120.00,  120.00,  110.00,  115.00);</v>
      </c>
      <c r="J2142" t="str">
        <f t="shared" si="67"/>
        <v>UPDATE COTACAO SET cot_id = 2141, cot_blt_id = 91, cot_pap_id = 31, cot_prc_comum =  90.00, cot_prc_min =  120.00, cot_prc_max =  120.00, cot_prc_med =  110.00, cot_prc_mediana =  115.00 WHERE cot_id = 2141;</v>
      </c>
    </row>
    <row r="2143" spans="1:10" x14ac:dyDescent="0.3">
      <c r="A2143">
        <v>2142</v>
      </c>
      <c r="B2143">
        <f>IF('Boletins Nuppa Site'!A2143&lt;&gt;0,'Boletins Nuppa Site'!A2143,"NULL")</f>
        <v>91</v>
      </c>
      <c r="C2143">
        <v>32</v>
      </c>
      <c r="D2143" t="str">
        <f>IF('Boletins Nuppa Site'!G2143&lt;&gt;0,'Boletins Nuppa Site'!G2143,"NULL")</f>
        <v xml:space="preserve"> 25.00</v>
      </c>
      <c r="E2143" s="14" t="str">
        <f>IF('Boletins Nuppa Site'!H2143&lt;&gt;0,'Boletins Nuppa Site'!H2143,"NULL")</f>
        <v xml:space="preserve"> 40.00</v>
      </c>
      <c r="F2143" s="14" t="str">
        <f>IF('Boletins Nuppa Site'!I2143&lt;&gt;0,'Boletins Nuppa Site'!I2143,"NULL")</f>
        <v xml:space="preserve"> 45.00</v>
      </c>
      <c r="G2143" s="14" t="str">
        <f>IF('Boletins Nuppa Site'!J2143&lt;&gt;0,'Boletins Nuppa Site'!J2143,"NULL")</f>
        <v xml:space="preserve"> 37.50</v>
      </c>
      <c r="H2143" s="14" t="str">
        <f>IF('Boletins Nuppa Site'!K2143&lt;&gt;0,'Boletins Nuppa Site'!K2143,"NULL")</f>
        <v xml:space="preserve"> 40.00</v>
      </c>
      <c r="I2143" t="str">
        <f t="shared" si="66"/>
        <v>INSERT INTO COTACAO (cot_id, cot_blt_id, cot_pap_id, cot_prc_comum, cot_prc_min, cot_prc_max, cot_prc_med, cot_prc_mediana) VALUES (2142, 91, 32,  25.00,  40.00,  45.00,  37.50,  40.00);</v>
      </c>
      <c r="J2143" t="str">
        <f t="shared" si="67"/>
        <v>UPDATE COTACAO SET cot_id = 2142, cot_blt_id = 91, cot_pap_id = 32, cot_prc_comum =  25.00, cot_prc_min =  40.00, cot_prc_max =  45.00, cot_prc_med =  37.50, cot_prc_mediana =  40.00 WHERE cot_id = 2142;</v>
      </c>
    </row>
    <row r="2144" spans="1:10" x14ac:dyDescent="0.3">
      <c r="A2144">
        <v>2143</v>
      </c>
      <c r="B2144">
        <f>IF('Boletins Nuppa Site'!A2144&lt;&gt;0,'Boletins Nuppa Site'!A2144,"NULL")</f>
        <v>91</v>
      </c>
      <c r="C2144">
        <v>33</v>
      </c>
      <c r="D2144" t="str">
        <f>IF('Boletins Nuppa Site'!G2144&lt;&gt;0,'Boletins Nuppa Site'!G2144,"NULL")</f>
        <v>NULL</v>
      </c>
      <c r="E2144" s="14" t="str">
        <f>IF('Boletins Nuppa Site'!H2144&lt;&gt;0,'Boletins Nuppa Site'!H2144,"NULL")</f>
        <v xml:space="preserve"> 70.00</v>
      </c>
      <c r="F2144" s="14" t="str">
        <f>IF('Boletins Nuppa Site'!I2144&lt;&gt;0,'Boletins Nuppa Site'!I2144,"NULL")</f>
        <v xml:space="preserve"> 100.00</v>
      </c>
      <c r="G2144" s="14" t="str">
        <f>IF('Boletins Nuppa Site'!J2144&lt;&gt;0,'Boletins Nuppa Site'!J2144,"NULL")</f>
        <v xml:space="preserve"> 83.33</v>
      </c>
      <c r="H2144" s="14" t="str">
        <f>IF('Boletins Nuppa Site'!K2144&lt;&gt;0,'Boletins Nuppa Site'!K2144,"NULL")</f>
        <v xml:space="preserve"> 80.00</v>
      </c>
      <c r="I2144" t="str">
        <f t="shared" si="66"/>
        <v>INSERT INTO COTACAO (cot_id, cot_blt_id, cot_pap_id, cot_prc_comum, cot_prc_min, cot_prc_max, cot_prc_med, cot_prc_mediana) VALUES (2143, 91, 33, NULL,  70.00,  100.00,  83.33,  80.00);</v>
      </c>
      <c r="J2144" t="str">
        <f t="shared" si="67"/>
        <v>UPDATE COTACAO SET cot_id = 2143, cot_blt_id = 91, cot_pap_id = 33, cot_prc_comum = NULL, cot_prc_min =  70.00, cot_prc_max =  100.00, cot_prc_med =  83.33, cot_prc_mediana =  80.00 WHERE cot_id = 2143;</v>
      </c>
    </row>
    <row r="2145" spans="1:10" x14ac:dyDescent="0.3">
      <c r="A2145">
        <v>2144</v>
      </c>
      <c r="B2145">
        <f>IF('Boletins Nuppa Site'!A2145&lt;&gt;0,'Boletins Nuppa Site'!A2145,"NULL")</f>
        <v>91</v>
      </c>
      <c r="C2145">
        <v>34</v>
      </c>
      <c r="D2145" t="str">
        <f>IF('Boletins Nuppa Site'!G2145&lt;&gt;0,'Boletins Nuppa Site'!G2145,"NULL")</f>
        <v xml:space="preserve"> 90.00</v>
      </c>
      <c r="E2145" s="14" t="str">
        <f>IF('Boletins Nuppa Site'!H2145&lt;&gt;0,'Boletins Nuppa Site'!H2145,"NULL")</f>
        <v xml:space="preserve"> 120.00</v>
      </c>
      <c r="F2145" s="14" t="str">
        <f>IF('Boletins Nuppa Site'!I2145&lt;&gt;0,'Boletins Nuppa Site'!I2145,"NULL")</f>
        <v xml:space="preserve"> 120.00</v>
      </c>
      <c r="G2145" s="14" t="str">
        <f>IF('Boletins Nuppa Site'!J2145&lt;&gt;0,'Boletins Nuppa Site'!J2145,"NULL")</f>
        <v xml:space="preserve"> 107.50</v>
      </c>
      <c r="H2145" s="14" t="str">
        <f>IF('Boletins Nuppa Site'!K2145&lt;&gt;0,'Boletins Nuppa Site'!K2145,"NULL")</f>
        <v xml:space="preserve"> 110.00</v>
      </c>
      <c r="I2145" t="str">
        <f t="shared" si="66"/>
        <v>INSERT INTO COTACAO (cot_id, cot_blt_id, cot_pap_id, cot_prc_comum, cot_prc_min, cot_prc_max, cot_prc_med, cot_prc_mediana) VALUES (2144, 91, 34,  90.00,  120.00,  120.00,  107.50,  110.00);</v>
      </c>
      <c r="J2145" t="str">
        <f t="shared" si="67"/>
        <v>UPDATE COTACAO SET cot_id = 2144, cot_blt_id = 91, cot_pap_id = 34, cot_prc_comum =  90.00, cot_prc_min =  120.00, cot_prc_max =  120.00, cot_prc_med =  107.50, cot_prc_mediana =  110.00 WHERE cot_id = 2144;</v>
      </c>
    </row>
    <row r="2146" spans="1:10" x14ac:dyDescent="0.3">
      <c r="A2146">
        <v>2145</v>
      </c>
      <c r="B2146">
        <f>IF('Boletins Nuppa Site'!A2146&lt;&gt;0,'Boletins Nuppa Site'!A2146,"NULL")</f>
        <v>91</v>
      </c>
      <c r="C2146">
        <v>35</v>
      </c>
      <c r="D2146" t="str">
        <f>IF('Boletins Nuppa Site'!G2146&lt;&gt;0,'Boletins Nuppa Site'!G2146,"NULL")</f>
        <v>NULL</v>
      </c>
      <c r="E2146" s="14" t="str">
        <f>IF('Boletins Nuppa Site'!H2146&lt;&gt;0,'Boletins Nuppa Site'!H2146,"NULL")</f>
        <v xml:space="preserve"> 150.00</v>
      </c>
      <c r="F2146" s="14" t="str">
        <f>IF('Boletins Nuppa Site'!I2146&lt;&gt;0,'Boletins Nuppa Site'!I2146,"NULL")</f>
        <v xml:space="preserve"> 250.00</v>
      </c>
      <c r="G2146" s="14" t="str">
        <f>IF('Boletins Nuppa Site'!J2146&lt;&gt;0,'Boletins Nuppa Site'!J2146,"NULL")</f>
        <v xml:space="preserve"> 200.00</v>
      </c>
      <c r="H2146" s="14" t="str">
        <f>IF('Boletins Nuppa Site'!K2146&lt;&gt;0,'Boletins Nuppa Site'!K2146,"NULL")</f>
        <v xml:space="preserve"> 200.00</v>
      </c>
      <c r="I2146" t="str">
        <f t="shared" si="66"/>
        <v>INSERT INTO COTACAO (cot_id, cot_blt_id, cot_pap_id, cot_prc_comum, cot_prc_min, cot_prc_max, cot_prc_med, cot_prc_mediana) VALUES (2145, 91, 35, NULL,  150.00,  250.00,  200.00,  200.00);</v>
      </c>
      <c r="J2146" t="str">
        <f t="shared" si="67"/>
        <v>UPDATE COTACAO SET cot_id = 2145, cot_blt_id = 91, cot_pap_id = 35, cot_prc_comum = NULL, cot_prc_min =  150.00, cot_prc_max =  250.00, cot_prc_med =  200.00, cot_prc_mediana =  200.00 WHERE cot_id = 2145;</v>
      </c>
    </row>
    <row r="2147" spans="1:10" x14ac:dyDescent="0.3">
      <c r="A2147">
        <v>2146</v>
      </c>
      <c r="B2147">
        <f>IF('Boletins Nuppa Site'!A2147&lt;&gt;0,'Boletins Nuppa Site'!A2147,"NULL")</f>
        <v>91</v>
      </c>
      <c r="C2147">
        <v>36</v>
      </c>
      <c r="D2147" t="str">
        <f>IF('Boletins Nuppa Site'!G2147&lt;&gt;0,'Boletins Nuppa Site'!G2147,"NULL")</f>
        <v>NULL</v>
      </c>
      <c r="E2147" s="14" t="str">
        <f>IF('Boletins Nuppa Site'!H2147&lt;&gt;0,'Boletins Nuppa Site'!H2147,"NULL")</f>
        <v>NULL</v>
      </c>
      <c r="F2147" s="14" t="str">
        <f>IF('Boletins Nuppa Site'!I2147&lt;&gt;0,'Boletins Nuppa Site'!I2147,"NULL")</f>
        <v>NULL</v>
      </c>
      <c r="G2147" s="14" t="str">
        <f>IF('Boletins Nuppa Site'!J2147&lt;&gt;0,'Boletins Nuppa Site'!J2147,"NULL")</f>
        <v>NULL</v>
      </c>
      <c r="H2147" s="14" t="str">
        <f>IF('Boletins Nuppa Site'!K2147&lt;&gt;0,'Boletins Nuppa Site'!K2147,"NULL")</f>
        <v>NULL</v>
      </c>
      <c r="I2147" t="str">
        <f t="shared" si="66"/>
        <v>INSERT INTO COTACAO (cot_id, cot_blt_id, cot_pap_id, cot_prc_comum, cot_prc_min, cot_prc_max, cot_prc_med, cot_prc_mediana) VALUES (2146, 91, 36, NULL, NULL, NULL, NULL, NULL);</v>
      </c>
      <c r="J2147" t="str">
        <f t="shared" si="67"/>
        <v>UPDATE COTACAO SET cot_id = 2146, cot_blt_id = 91, cot_pap_id = 36, cot_prc_comum = NULL, cot_prc_min = NULL, cot_prc_max = NULL, cot_prc_med = NULL, cot_prc_mediana = NULL WHERE cot_id = 2146;</v>
      </c>
    </row>
    <row r="2148" spans="1:10" x14ac:dyDescent="0.3">
      <c r="A2148">
        <v>2147</v>
      </c>
      <c r="B2148">
        <f>IF('Boletins Nuppa Site'!A2148&lt;&gt;0,'Boletins Nuppa Site'!A2148,"NULL")</f>
        <v>91</v>
      </c>
      <c r="C2148">
        <v>37</v>
      </c>
      <c r="D2148" t="str">
        <f>IF('Boletins Nuppa Site'!G2148&lt;&gt;0,'Boletins Nuppa Site'!G2148,"NULL")</f>
        <v>NULL</v>
      </c>
      <c r="E2148" s="14" t="str">
        <f>IF('Boletins Nuppa Site'!H2148&lt;&gt;0,'Boletins Nuppa Site'!H2148,"NULL")</f>
        <v>NULL</v>
      </c>
      <c r="F2148" s="14" t="str">
        <f>IF('Boletins Nuppa Site'!I2148&lt;&gt;0,'Boletins Nuppa Site'!I2148,"NULL")</f>
        <v>NULL</v>
      </c>
      <c r="G2148" s="14" t="str">
        <f>IF('Boletins Nuppa Site'!J2148&lt;&gt;0,'Boletins Nuppa Site'!J2148,"NULL")</f>
        <v>NULL</v>
      </c>
      <c r="H2148" s="14" t="str">
        <f>IF('Boletins Nuppa Site'!K2148&lt;&gt;0,'Boletins Nuppa Site'!K2148,"NULL")</f>
        <v>NULL</v>
      </c>
      <c r="I2148" t="str">
        <f t="shared" si="66"/>
        <v>INSERT INTO COTACAO (cot_id, cot_blt_id, cot_pap_id, cot_prc_comum, cot_prc_min, cot_prc_max, cot_prc_med, cot_prc_mediana) VALUES (2147, 91, 37, NULL, NULL, NULL, NULL, NULL);</v>
      </c>
      <c r="J2148" t="str">
        <f t="shared" si="67"/>
        <v>UPDATE COTACAO SET cot_id = 2147, cot_blt_id = 91, cot_pap_id = 37, cot_prc_comum = NULL, cot_prc_min = NULL, cot_prc_max = NULL, cot_prc_med = NULL, cot_prc_mediana = NULL WHERE cot_id = 2147;</v>
      </c>
    </row>
    <row r="2149" spans="1:10" x14ac:dyDescent="0.3">
      <c r="A2149">
        <v>2148</v>
      </c>
      <c r="B2149">
        <f>IF('Boletins Nuppa Site'!A2149&lt;&gt;0,'Boletins Nuppa Site'!A2149,"NULL")</f>
        <v>91</v>
      </c>
      <c r="C2149">
        <v>38</v>
      </c>
      <c r="D2149" t="str">
        <f>IF('Boletins Nuppa Site'!G2149&lt;&gt;0,'Boletins Nuppa Site'!G2149,"NULL")</f>
        <v>NULL</v>
      </c>
      <c r="E2149" s="14" t="str">
        <f>IF('Boletins Nuppa Site'!H2149&lt;&gt;0,'Boletins Nuppa Site'!H2149,"NULL")</f>
        <v>NULL</v>
      </c>
      <c r="F2149" s="14" t="str">
        <f>IF('Boletins Nuppa Site'!I2149&lt;&gt;0,'Boletins Nuppa Site'!I2149,"NULL")</f>
        <v>NULL</v>
      </c>
      <c r="G2149" s="14" t="str">
        <f>IF('Boletins Nuppa Site'!J2149&lt;&gt;0,'Boletins Nuppa Site'!J2149,"NULL")</f>
        <v>NULL</v>
      </c>
      <c r="H2149" s="14" t="str">
        <f>IF('Boletins Nuppa Site'!K2149&lt;&gt;0,'Boletins Nuppa Site'!K2149,"NULL")</f>
        <v>NULL</v>
      </c>
      <c r="I2149" t="str">
        <f t="shared" si="66"/>
        <v>INSERT INTO COTACAO (cot_id, cot_blt_id, cot_pap_id, cot_prc_comum, cot_prc_min, cot_prc_max, cot_prc_med, cot_prc_mediana) VALUES (2148, 91, 38, NULL, NULL, NULL, NULL, NULL);</v>
      </c>
      <c r="J2149" t="str">
        <f t="shared" si="67"/>
        <v>UPDATE COTACAO SET cot_id = 2148, cot_blt_id = 91, cot_pap_id = 38, cot_prc_comum = NULL, cot_prc_min = NULL, cot_prc_max = NULL, cot_prc_med = NULL, cot_prc_mediana = NULL WHERE cot_id = 2148;</v>
      </c>
    </row>
    <row r="2150" spans="1:10" x14ac:dyDescent="0.3">
      <c r="A2150">
        <v>2149</v>
      </c>
      <c r="B2150">
        <f>IF('Boletins Nuppa Site'!A2150&lt;&gt;0,'Boletins Nuppa Site'!A2150,"NULL")</f>
        <v>91</v>
      </c>
      <c r="C2150">
        <v>39</v>
      </c>
      <c r="D2150" t="str">
        <f>IF('Boletins Nuppa Site'!G2150&lt;&gt;0,'Boletins Nuppa Site'!G2150,"NULL")</f>
        <v>NULL</v>
      </c>
      <c r="E2150" s="14" t="str">
        <f>IF('Boletins Nuppa Site'!H2150&lt;&gt;0,'Boletins Nuppa Site'!H2150,"NULL")</f>
        <v>NULL</v>
      </c>
      <c r="F2150" s="14" t="str">
        <f>IF('Boletins Nuppa Site'!I2150&lt;&gt;0,'Boletins Nuppa Site'!I2150,"NULL")</f>
        <v>NULL</v>
      </c>
      <c r="G2150" s="14" t="str">
        <f>IF('Boletins Nuppa Site'!J2150&lt;&gt;0,'Boletins Nuppa Site'!J2150,"NULL")</f>
        <v>NULL</v>
      </c>
      <c r="H2150" s="14" t="str">
        <f>IF('Boletins Nuppa Site'!K2150&lt;&gt;0,'Boletins Nuppa Site'!K2150,"NULL")</f>
        <v>NULL</v>
      </c>
      <c r="I2150" t="str">
        <f t="shared" si="66"/>
        <v>INSERT INTO COTACAO (cot_id, cot_blt_id, cot_pap_id, cot_prc_comum, cot_prc_min, cot_prc_max, cot_prc_med, cot_prc_mediana) VALUES (2149, 91, 39, NULL, NULL, NULL, NULL, NULL);</v>
      </c>
      <c r="J2150" t="str">
        <f t="shared" si="67"/>
        <v>UPDATE COTACAO SET cot_id = 2149, cot_blt_id = 91, cot_pap_id = 39, cot_prc_comum = NULL, cot_prc_min = NULL, cot_prc_max = NULL, cot_prc_med = NULL, cot_prc_mediana = NULL WHERE cot_id = 2149;</v>
      </c>
    </row>
    <row r="2151" spans="1:10" x14ac:dyDescent="0.3">
      <c r="A2151">
        <v>2150</v>
      </c>
      <c r="B2151">
        <f>IF('Boletins Nuppa Site'!A2151&lt;&gt;0,'Boletins Nuppa Site'!A2151,"NULL")</f>
        <v>91</v>
      </c>
      <c r="C2151">
        <v>40</v>
      </c>
      <c r="D2151" t="str">
        <f>IF('Boletins Nuppa Site'!G2151&lt;&gt;0,'Boletins Nuppa Site'!G2151,"NULL")</f>
        <v>NULL</v>
      </c>
      <c r="E2151" s="14" t="str">
        <f>IF('Boletins Nuppa Site'!H2151&lt;&gt;0,'Boletins Nuppa Site'!H2151,"NULL")</f>
        <v>NULL</v>
      </c>
      <c r="F2151" s="14" t="str">
        <f>IF('Boletins Nuppa Site'!I2151&lt;&gt;0,'Boletins Nuppa Site'!I2151,"NULL")</f>
        <v>NULL</v>
      </c>
      <c r="G2151" s="14" t="str">
        <f>IF('Boletins Nuppa Site'!J2151&lt;&gt;0,'Boletins Nuppa Site'!J2151,"NULL")</f>
        <v>NULL</v>
      </c>
      <c r="H2151" s="14" t="str">
        <f>IF('Boletins Nuppa Site'!K2151&lt;&gt;0,'Boletins Nuppa Site'!K2151,"NULL")</f>
        <v>NULL</v>
      </c>
      <c r="I2151" t="str">
        <f t="shared" si="66"/>
        <v>INSERT INTO COTACAO (cot_id, cot_blt_id, cot_pap_id, cot_prc_comum, cot_prc_min, cot_prc_max, cot_prc_med, cot_prc_mediana) VALUES (2150, 91, 40, NULL, NULL, NULL, NULL, NULL);</v>
      </c>
      <c r="J2151" t="str">
        <f t="shared" si="67"/>
        <v>UPDATE COTACAO SET cot_id = 2150, cot_blt_id = 91, cot_pap_id = 40, cot_prc_comum = NULL, cot_prc_min = NULL, cot_prc_max = NULL, cot_prc_med = NULL, cot_prc_mediana = NULL WHERE cot_id = 2150;</v>
      </c>
    </row>
    <row r="2152" spans="1:10" x14ac:dyDescent="0.3">
      <c r="A2152">
        <v>2151</v>
      </c>
      <c r="B2152">
        <f>IF('Boletins Nuppa Site'!A2152&lt;&gt;0,'Boletins Nuppa Site'!A2152,"NULL")</f>
        <v>92</v>
      </c>
      <c r="C2152">
        <v>1</v>
      </c>
      <c r="D2152" t="str">
        <f>IF('Boletins Nuppa Site'!G2152&lt;&gt;0,'Boletins Nuppa Site'!G2152,"NULL")</f>
        <v>NULL</v>
      </c>
      <c r="E2152" s="14" t="str">
        <f>IF('Boletins Nuppa Site'!H2152&lt;&gt;0,'Boletins Nuppa Site'!H2152,"NULL")</f>
        <v xml:space="preserve"> 48.00</v>
      </c>
      <c r="F2152" s="14" t="str">
        <f>IF('Boletins Nuppa Site'!I2152&lt;&gt;0,'Boletins Nuppa Site'!I2152,"NULL")</f>
        <v xml:space="preserve"> 60.00</v>
      </c>
      <c r="G2152" s="14" t="str">
        <f>IF('Boletins Nuppa Site'!J2152&lt;&gt;0,'Boletins Nuppa Site'!J2152,"NULL")</f>
        <v xml:space="preserve"> 54.00</v>
      </c>
      <c r="H2152" s="14" t="str">
        <f>IF('Boletins Nuppa Site'!K2152&lt;&gt;0,'Boletins Nuppa Site'!K2152,"NULL")</f>
        <v xml:space="preserve"> 54.00</v>
      </c>
      <c r="I2152" t="str">
        <f t="shared" si="66"/>
        <v>INSERT INTO COTACAO (cot_id, cot_blt_id, cot_pap_id, cot_prc_comum, cot_prc_min, cot_prc_max, cot_prc_med, cot_prc_mediana) VALUES (2151, 92, 1, NULL,  48.00,  60.00,  54.00,  54.00);</v>
      </c>
      <c r="J2152" t="str">
        <f t="shared" si="67"/>
        <v>UPDATE COTACAO SET cot_id = 2151, cot_blt_id = 92, cot_pap_id = 1, cot_prc_comum = NULL, cot_prc_min =  48.00, cot_prc_max =  60.00, cot_prc_med =  54.00, cot_prc_mediana =  54.00 WHERE cot_id = 2151;</v>
      </c>
    </row>
    <row r="2153" spans="1:10" x14ac:dyDescent="0.3">
      <c r="A2153">
        <v>2152</v>
      </c>
      <c r="B2153">
        <f>IF('Boletins Nuppa Site'!A2153&lt;&gt;0,'Boletins Nuppa Site'!A2153,"NULL")</f>
        <v>92</v>
      </c>
      <c r="C2153">
        <v>2</v>
      </c>
      <c r="D2153" t="str">
        <f>IF('Boletins Nuppa Site'!G2153&lt;&gt;0,'Boletins Nuppa Site'!G2153,"NULL")</f>
        <v xml:space="preserve"> 96.00</v>
      </c>
      <c r="E2153" s="14" t="str">
        <f>IF('Boletins Nuppa Site'!H2153&lt;&gt;0,'Boletins Nuppa Site'!H2153,"NULL")</f>
        <v xml:space="preserve"> 72.00</v>
      </c>
      <c r="F2153" s="14" t="str">
        <f>IF('Boletins Nuppa Site'!I2153&lt;&gt;0,'Boletins Nuppa Site'!I2153,"NULL")</f>
        <v xml:space="preserve"> 96.00</v>
      </c>
      <c r="G2153" s="14" t="str">
        <f>IF('Boletins Nuppa Site'!J2153&lt;&gt;0,'Boletins Nuppa Site'!J2153,"NULL")</f>
        <v xml:space="preserve"> 88.00</v>
      </c>
      <c r="H2153" s="14" t="str">
        <f>IF('Boletins Nuppa Site'!K2153&lt;&gt;0,'Boletins Nuppa Site'!K2153,"NULL")</f>
        <v xml:space="preserve"> 96.00</v>
      </c>
      <c r="I2153" t="str">
        <f t="shared" si="66"/>
        <v>INSERT INTO COTACAO (cot_id, cot_blt_id, cot_pap_id, cot_prc_comum, cot_prc_min, cot_prc_max, cot_prc_med, cot_prc_mediana) VALUES (2152, 92, 2,  96.00,  72.00,  96.00,  88.00,  96.00);</v>
      </c>
      <c r="J2153" t="str">
        <f t="shared" si="67"/>
        <v>UPDATE COTACAO SET cot_id = 2152, cot_blt_id = 92, cot_pap_id = 2, cot_prc_comum =  96.00, cot_prc_min =  72.00, cot_prc_max =  96.00, cot_prc_med =  88.00, cot_prc_mediana =  96.00 WHERE cot_id = 2152;</v>
      </c>
    </row>
    <row r="2154" spans="1:10" x14ac:dyDescent="0.3">
      <c r="A2154">
        <v>2153</v>
      </c>
      <c r="B2154">
        <f>IF('Boletins Nuppa Site'!A2154&lt;&gt;0,'Boletins Nuppa Site'!A2154,"NULL")</f>
        <v>92</v>
      </c>
      <c r="C2154">
        <v>3</v>
      </c>
      <c r="D2154" t="str">
        <f>IF('Boletins Nuppa Site'!G2154&lt;&gt;0,'Boletins Nuppa Site'!G2154,"NULL")</f>
        <v xml:space="preserve"> 48.00</v>
      </c>
      <c r="E2154" s="14" t="str">
        <f>IF('Boletins Nuppa Site'!H2154&lt;&gt;0,'Boletins Nuppa Site'!H2154,"NULL")</f>
        <v xml:space="preserve"> 40.00</v>
      </c>
      <c r="F2154" s="14" t="str">
        <f>IF('Boletins Nuppa Site'!I2154&lt;&gt;0,'Boletins Nuppa Site'!I2154,"NULL")</f>
        <v xml:space="preserve"> 60.00</v>
      </c>
      <c r="G2154" s="14" t="str">
        <f>IF('Boletins Nuppa Site'!J2154&lt;&gt;0,'Boletins Nuppa Site'!J2154,"NULL")</f>
        <v xml:space="preserve"> 49.00</v>
      </c>
      <c r="H2154" s="14" t="str">
        <f>IF('Boletins Nuppa Site'!K2154&lt;&gt;0,'Boletins Nuppa Site'!K2154,"NULL")</f>
        <v xml:space="preserve"> 48.00</v>
      </c>
      <c r="I2154" t="str">
        <f t="shared" si="66"/>
        <v>INSERT INTO COTACAO (cot_id, cot_blt_id, cot_pap_id, cot_prc_comum, cot_prc_min, cot_prc_max, cot_prc_med, cot_prc_mediana) VALUES (2153, 92, 3,  48.00,  40.00,  60.00,  49.00,  48.00);</v>
      </c>
      <c r="J2154" t="str">
        <f t="shared" si="67"/>
        <v>UPDATE COTACAO SET cot_id = 2153, cot_blt_id = 92, cot_pap_id = 3, cot_prc_comum =  48.00, cot_prc_min =  40.00, cot_prc_max =  60.00, cot_prc_med =  49.00, cot_prc_mediana =  48.00 WHERE cot_id = 2153;</v>
      </c>
    </row>
    <row r="2155" spans="1:10" x14ac:dyDescent="0.3">
      <c r="A2155">
        <v>2154</v>
      </c>
      <c r="B2155">
        <f>IF('Boletins Nuppa Site'!A2155&lt;&gt;0,'Boletins Nuppa Site'!A2155,"NULL")</f>
        <v>92</v>
      </c>
      <c r="C2155">
        <v>4</v>
      </c>
      <c r="D2155" t="str">
        <f>IF('Boletins Nuppa Site'!G2155&lt;&gt;0,'Boletins Nuppa Site'!G2155,"NULL")</f>
        <v xml:space="preserve"> 30.00</v>
      </c>
      <c r="E2155" s="14" t="str">
        <f>IF('Boletins Nuppa Site'!H2155&lt;&gt;0,'Boletins Nuppa Site'!H2155,"NULL")</f>
        <v xml:space="preserve"> 30.00</v>
      </c>
      <c r="F2155" s="14" t="str">
        <f>IF('Boletins Nuppa Site'!I2155&lt;&gt;0,'Boletins Nuppa Site'!I2155,"NULL")</f>
        <v xml:space="preserve"> 60.00</v>
      </c>
      <c r="G2155" s="14" t="str">
        <f>IF('Boletins Nuppa Site'!J2155&lt;&gt;0,'Boletins Nuppa Site'!J2155,"NULL")</f>
        <v xml:space="preserve"> 37.50</v>
      </c>
      <c r="H2155" s="14" t="str">
        <f>IF('Boletins Nuppa Site'!K2155&lt;&gt;0,'Boletins Nuppa Site'!K2155,"NULL")</f>
        <v xml:space="preserve"> 30.00</v>
      </c>
      <c r="I2155" t="str">
        <f t="shared" si="66"/>
        <v>INSERT INTO COTACAO (cot_id, cot_blt_id, cot_pap_id, cot_prc_comum, cot_prc_min, cot_prc_max, cot_prc_med, cot_prc_mediana) VALUES (2154, 92, 4,  30.00,  30.00,  60.00,  37.50,  30.00);</v>
      </c>
      <c r="J2155" t="str">
        <f t="shared" si="67"/>
        <v>UPDATE COTACAO SET cot_id = 2154, cot_blt_id = 92, cot_pap_id = 4, cot_prc_comum =  30.00, cot_prc_min =  30.00, cot_prc_max =  60.00, cot_prc_med =  37.50, cot_prc_mediana =  30.00 WHERE cot_id = 2154;</v>
      </c>
    </row>
    <row r="2156" spans="1:10" x14ac:dyDescent="0.3">
      <c r="A2156">
        <v>2155</v>
      </c>
      <c r="B2156">
        <f>IF('Boletins Nuppa Site'!A2156&lt;&gt;0,'Boletins Nuppa Site'!A2156,"NULL")</f>
        <v>92</v>
      </c>
      <c r="C2156">
        <v>5</v>
      </c>
      <c r="D2156" t="str">
        <f>IF('Boletins Nuppa Site'!G2156&lt;&gt;0,'Boletins Nuppa Site'!G2156,"NULL")</f>
        <v xml:space="preserve"> 30.00</v>
      </c>
      <c r="E2156" s="14" t="str">
        <f>IF('Boletins Nuppa Site'!H2156&lt;&gt;0,'Boletins Nuppa Site'!H2156,"NULL")</f>
        <v xml:space="preserve"> 30.00</v>
      </c>
      <c r="F2156" s="14" t="str">
        <f>IF('Boletins Nuppa Site'!I2156&lt;&gt;0,'Boletins Nuppa Site'!I2156,"NULL")</f>
        <v xml:space="preserve"> 60.00</v>
      </c>
      <c r="G2156" s="14" t="str">
        <f>IF('Boletins Nuppa Site'!J2156&lt;&gt;0,'Boletins Nuppa Site'!J2156,"NULL")</f>
        <v xml:space="preserve"> 37.50</v>
      </c>
      <c r="H2156" s="14" t="str">
        <f>IF('Boletins Nuppa Site'!K2156&lt;&gt;0,'Boletins Nuppa Site'!K2156,"NULL")</f>
        <v xml:space="preserve"> 30.00</v>
      </c>
      <c r="I2156" t="str">
        <f t="shared" si="66"/>
        <v>INSERT INTO COTACAO (cot_id, cot_blt_id, cot_pap_id, cot_prc_comum, cot_prc_min, cot_prc_max, cot_prc_med, cot_prc_mediana) VALUES (2155, 92, 5,  30.00,  30.00,  60.00,  37.50,  30.00);</v>
      </c>
      <c r="J2156" t="str">
        <f t="shared" si="67"/>
        <v>UPDATE COTACAO SET cot_id = 2155, cot_blt_id = 92, cot_pap_id = 5, cot_prc_comum =  30.00, cot_prc_min =  30.00, cot_prc_max =  60.00, cot_prc_med =  37.50, cot_prc_mediana =  30.00 WHERE cot_id = 2155;</v>
      </c>
    </row>
    <row r="2157" spans="1:10" x14ac:dyDescent="0.3">
      <c r="A2157">
        <v>2156</v>
      </c>
      <c r="B2157">
        <f>IF('Boletins Nuppa Site'!A2157&lt;&gt;0,'Boletins Nuppa Site'!A2157,"NULL")</f>
        <v>92</v>
      </c>
      <c r="C2157">
        <v>6</v>
      </c>
      <c r="D2157" t="str">
        <f>IF('Boletins Nuppa Site'!G2157&lt;&gt;0,'Boletins Nuppa Site'!G2157,"NULL")</f>
        <v xml:space="preserve"> 60.00</v>
      </c>
      <c r="E2157" s="14" t="str">
        <f>IF('Boletins Nuppa Site'!H2157&lt;&gt;0,'Boletins Nuppa Site'!H2157,"NULL")</f>
        <v xml:space="preserve"> 60.00</v>
      </c>
      <c r="F2157" s="14" t="str">
        <f>IF('Boletins Nuppa Site'!I2157&lt;&gt;0,'Boletins Nuppa Site'!I2157,"NULL")</f>
        <v xml:space="preserve"> 60.00</v>
      </c>
      <c r="G2157" s="14" t="str">
        <f>IF('Boletins Nuppa Site'!J2157&lt;&gt;0,'Boletins Nuppa Site'!J2157,"NULL")</f>
        <v xml:space="preserve"> 60.00</v>
      </c>
      <c r="H2157" s="14" t="str">
        <f>IF('Boletins Nuppa Site'!K2157&lt;&gt;0,'Boletins Nuppa Site'!K2157,"NULL")</f>
        <v xml:space="preserve"> 60.00</v>
      </c>
      <c r="I2157" t="str">
        <f t="shared" si="66"/>
        <v>INSERT INTO COTACAO (cot_id, cot_blt_id, cot_pap_id, cot_prc_comum, cot_prc_min, cot_prc_max, cot_prc_med, cot_prc_mediana) VALUES (2156, 92, 6,  60.00,  60.00,  60.00,  60.00,  60.00);</v>
      </c>
      <c r="J2157" t="str">
        <f t="shared" si="67"/>
        <v>UPDATE COTACAO SET cot_id = 2156, cot_blt_id = 92, cot_pap_id = 6, cot_prc_comum =  60.00, cot_prc_min =  60.00, cot_prc_max =  60.00, cot_prc_med =  60.00, cot_prc_mediana =  60.00 WHERE cot_id = 2156;</v>
      </c>
    </row>
    <row r="2158" spans="1:10" x14ac:dyDescent="0.3">
      <c r="A2158">
        <v>2157</v>
      </c>
      <c r="B2158">
        <f>IF('Boletins Nuppa Site'!A2158&lt;&gt;0,'Boletins Nuppa Site'!A2158,"NULL")</f>
        <v>92</v>
      </c>
      <c r="C2158">
        <v>7</v>
      </c>
      <c r="D2158" t="str">
        <f>IF('Boletins Nuppa Site'!G2158&lt;&gt;0,'Boletins Nuppa Site'!G2158,"NULL")</f>
        <v xml:space="preserve"> 96.00</v>
      </c>
      <c r="E2158" s="14" t="str">
        <f>IF('Boletins Nuppa Site'!H2158&lt;&gt;0,'Boletins Nuppa Site'!H2158,"NULL")</f>
        <v xml:space="preserve"> 96.00</v>
      </c>
      <c r="F2158" s="14" t="str">
        <f>IF('Boletins Nuppa Site'!I2158&lt;&gt;0,'Boletins Nuppa Site'!I2158,"NULL")</f>
        <v xml:space="preserve"> 108.00</v>
      </c>
      <c r="G2158" s="14" t="str">
        <f>IF('Boletins Nuppa Site'!J2158&lt;&gt;0,'Boletins Nuppa Site'!J2158,"NULL")</f>
        <v xml:space="preserve"> 100.00</v>
      </c>
      <c r="H2158" s="14" t="str">
        <f>IF('Boletins Nuppa Site'!K2158&lt;&gt;0,'Boletins Nuppa Site'!K2158,"NULL")</f>
        <v xml:space="preserve"> 96.00</v>
      </c>
      <c r="I2158" t="str">
        <f t="shared" si="66"/>
        <v>INSERT INTO COTACAO (cot_id, cot_blt_id, cot_pap_id, cot_prc_comum, cot_prc_min, cot_prc_max, cot_prc_med, cot_prc_mediana) VALUES (2157, 92, 7,  96.00,  96.00,  108.00,  100.00,  96.00);</v>
      </c>
      <c r="J2158" t="str">
        <f t="shared" si="67"/>
        <v>UPDATE COTACAO SET cot_id = 2157, cot_blt_id = 92, cot_pap_id = 7, cot_prc_comum =  96.00, cot_prc_min =  96.00, cot_prc_max =  108.00, cot_prc_med =  100.00, cot_prc_mediana =  96.00 WHERE cot_id = 2157;</v>
      </c>
    </row>
    <row r="2159" spans="1:10" x14ac:dyDescent="0.3">
      <c r="A2159">
        <v>2158</v>
      </c>
      <c r="B2159">
        <f>IF('Boletins Nuppa Site'!A2159&lt;&gt;0,'Boletins Nuppa Site'!A2159,"NULL")</f>
        <v>92</v>
      </c>
      <c r="C2159">
        <v>8</v>
      </c>
      <c r="D2159" t="str">
        <f>IF('Boletins Nuppa Site'!G2159&lt;&gt;0,'Boletins Nuppa Site'!G2159,"NULL")</f>
        <v xml:space="preserve"> 84.00</v>
      </c>
      <c r="E2159" s="14" t="str">
        <f>IF('Boletins Nuppa Site'!H2159&lt;&gt;0,'Boletins Nuppa Site'!H2159,"NULL")</f>
        <v xml:space="preserve"> 96.00</v>
      </c>
      <c r="F2159" s="14" t="str">
        <f>IF('Boletins Nuppa Site'!I2159&lt;&gt;0,'Boletins Nuppa Site'!I2159,"NULL")</f>
        <v xml:space="preserve"> 96.00</v>
      </c>
      <c r="G2159" s="14" t="str">
        <f>IF('Boletins Nuppa Site'!J2159&lt;&gt;0,'Boletins Nuppa Site'!J2159,"NULL")</f>
        <v xml:space="preserve"> 91.50</v>
      </c>
      <c r="H2159" s="14" t="str">
        <f>IF('Boletins Nuppa Site'!K2159&lt;&gt;0,'Boletins Nuppa Site'!K2159,"NULL")</f>
        <v xml:space="preserve"> 93.00</v>
      </c>
      <c r="I2159" t="str">
        <f t="shared" si="66"/>
        <v>INSERT INTO COTACAO (cot_id, cot_blt_id, cot_pap_id, cot_prc_comum, cot_prc_min, cot_prc_max, cot_prc_med, cot_prc_mediana) VALUES (2158, 92, 8,  84.00,  96.00,  96.00,  91.50,  93.00);</v>
      </c>
      <c r="J2159" t="str">
        <f t="shared" si="67"/>
        <v>UPDATE COTACAO SET cot_id = 2158, cot_blt_id = 92, cot_pap_id = 8, cot_prc_comum =  84.00, cot_prc_min =  96.00, cot_prc_max =  96.00, cot_prc_med =  91.50, cot_prc_mediana =  93.00 WHERE cot_id = 2158;</v>
      </c>
    </row>
    <row r="2160" spans="1:10" x14ac:dyDescent="0.3">
      <c r="A2160">
        <v>2159</v>
      </c>
      <c r="B2160">
        <f>IF('Boletins Nuppa Site'!A2160&lt;&gt;0,'Boletins Nuppa Site'!A2160,"NULL")</f>
        <v>92</v>
      </c>
      <c r="C2160">
        <v>9</v>
      </c>
      <c r="D2160" t="str">
        <f>IF('Boletins Nuppa Site'!G2160&lt;&gt;0,'Boletins Nuppa Site'!G2160,"NULL")</f>
        <v xml:space="preserve"> 30.00</v>
      </c>
      <c r="E2160" s="14" t="str">
        <f>IF('Boletins Nuppa Site'!H2160&lt;&gt;0,'Boletins Nuppa Site'!H2160,"NULL")</f>
        <v xml:space="preserve"> 30.00</v>
      </c>
      <c r="F2160" s="14" t="str">
        <f>IF('Boletins Nuppa Site'!I2160&lt;&gt;0,'Boletins Nuppa Site'!I2160,"NULL")</f>
        <v xml:space="preserve"> 36.00</v>
      </c>
      <c r="G2160" s="14" t="str">
        <f>IF('Boletins Nuppa Site'!J2160&lt;&gt;0,'Boletins Nuppa Site'!J2160,"NULL")</f>
        <v xml:space="preserve"> 31.50</v>
      </c>
      <c r="H2160" s="14" t="str">
        <f>IF('Boletins Nuppa Site'!K2160&lt;&gt;0,'Boletins Nuppa Site'!K2160,"NULL")</f>
        <v xml:space="preserve"> 30.00</v>
      </c>
      <c r="I2160" t="str">
        <f t="shared" si="66"/>
        <v>INSERT INTO COTACAO (cot_id, cot_blt_id, cot_pap_id, cot_prc_comum, cot_prc_min, cot_prc_max, cot_prc_med, cot_prc_mediana) VALUES (2159, 92, 9,  30.00,  30.00,  36.00,  31.50,  30.00);</v>
      </c>
      <c r="J2160" t="str">
        <f t="shared" si="67"/>
        <v>UPDATE COTACAO SET cot_id = 2159, cot_blt_id = 92, cot_pap_id = 9, cot_prc_comum =  30.00, cot_prc_min =  30.00, cot_prc_max =  36.00, cot_prc_med =  31.50, cot_prc_mediana =  30.00 WHERE cot_id = 2159;</v>
      </c>
    </row>
    <row r="2161" spans="1:10" x14ac:dyDescent="0.3">
      <c r="A2161">
        <v>2160</v>
      </c>
      <c r="B2161">
        <f>IF('Boletins Nuppa Site'!A2161&lt;&gt;0,'Boletins Nuppa Site'!A2161,"NULL")</f>
        <v>92</v>
      </c>
      <c r="C2161">
        <v>10</v>
      </c>
      <c r="D2161" t="str">
        <f>IF('Boletins Nuppa Site'!G2161&lt;&gt;0,'Boletins Nuppa Site'!G2161,"NULL")</f>
        <v>NULL</v>
      </c>
      <c r="E2161" s="14" t="str">
        <f>IF('Boletins Nuppa Site'!H2161&lt;&gt;0,'Boletins Nuppa Site'!H2161,"NULL")</f>
        <v xml:space="preserve"> 60.00</v>
      </c>
      <c r="F2161" s="14" t="str">
        <f>IF('Boletins Nuppa Site'!I2161&lt;&gt;0,'Boletins Nuppa Site'!I2161,"NULL")</f>
        <v xml:space="preserve"> 120.00</v>
      </c>
      <c r="G2161" s="14" t="str">
        <f>IF('Boletins Nuppa Site'!J2161&lt;&gt;0,'Boletins Nuppa Site'!J2161,"NULL")</f>
        <v xml:space="preserve"> 88.00</v>
      </c>
      <c r="H2161" s="14" t="str">
        <f>IF('Boletins Nuppa Site'!K2161&lt;&gt;0,'Boletins Nuppa Site'!K2161,"NULL")</f>
        <v xml:space="preserve"> 84.00</v>
      </c>
      <c r="I2161" t="str">
        <f t="shared" si="66"/>
        <v>INSERT INTO COTACAO (cot_id, cot_blt_id, cot_pap_id, cot_prc_comum, cot_prc_min, cot_prc_max, cot_prc_med, cot_prc_mediana) VALUES (2160, 92, 10, NULL,  60.00,  120.00,  88.00,  84.00);</v>
      </c>
      <c r="J2161" t="str">
        <f t="shared" si="67"/>
        <v>UPDATE COTACAO SET cot_id = 2160, cot_blt_id = 92, cot_pap_id = 10, cot_prc_comum = NULL, cot_prc_min =  60.00, cot_prc_max =  120.00, cot_prc_med =  88.00, cot_prc_mediana =  84.00 WHERE cot_id = 2160;</v>
      </c>
    </row>
    <row r="2162" spans="1:10" x14ac:dyDescent="0.3">
      <c r="A2162">
        <v>2161</v>
      </c>
      <c r="B2162">
        <f>IF('Boletins Nuppa Site'!A2162&lt;&gt;0,'Boletins Nuppa Site'!A2162,"NULL")</f>
        <v>92</v>
      </c>
      <c r="C2162">
        <v>11</v>
      </c>
      <c r="D2162" t="str">
        <f>IF('Boletins Nuppa Site'!G2162&lt;&gt;0,'Boletins Nuppa Site'!G2162,"NULL")</f>
        <v xml:space="preserve"> 30.00</v>
      </c>
      <c r="E2162" s="14" t="str">
        <f>IF('Boletins Nuppa Site'!H2162&lt;&gt;0,'Boletins Nuppa Site'!H2162,"NULL")</f>
        <v xml:space="preserve"> 30.00</v>
      </c>
      <c r="F2162" s="14" t="str">
        <f>IF('Boletins Nuppa Site'!I2162&lt;&gt;0,'Boletins Nuppa Site'!I2162,"NULL")</f>
        <v xml:space="preserve"> 60.00</v>
      </c>
      <c r="G2162" s="14" t="str">
        <f>IF('Boletins Nuppa Site'!J2162&lt;&gt;0,'Boletins Nuppa Site'!J2162,"NULL")</f>
        <v xml:space="preserve"> 37.50</v>
      </c>
      <c r="H2162" s="14" t="str">
        <f>IF('Boletins Nuppa Site'!K2162&lt;&gt;0,'Boletins Nuppa Site'!K2162,"NULL")</f>
        <v xml:space="preserve"> 30.00</v>
      </c>
      <c r="I2162" t="str">
        <f t="shared" si="66"/>
        <v>INSERT INTO COTACAO (cot_id, cot_blt_id, cot_pap_id, cot_prc_comum, cot_prc_min, cot_prc_max, cot_prc_med, cot_prc_mediana) VALUES (2161, 92, 11,  30.00,  30.00,  60.00,  37.50,  30.00);</v>
      </c>
      <c r="J2162" t="str">
        <f t="shared" si="67"/>
        <v>UPDATE COTACAO SET cot_id = 2161, cot_blt_id = 92, cot_pap_id = 11, cot_prc_comum =  30.00, cot_prc_min =  30.00, cot_prc_max =  60.00, cot_prc_med =  37.50, cot_prc_mediana =  30.00 WHERE cot_id = 2161;</v>
      </c>
    </row>
    <row r="2163" spans="1:10" x14ac:dyDescent="0.3">
      <c r="A2163">
        <v>2162</v>
      </c>
      <c r="B2163">
        <f>IF('Boletins Nuppa Site'!A2163&lt;&gt;0,'Boletins Nuppa Site'!A2163,"NULL")</f>
        <v>92</v>
      </c>
      <c r="C2163">
        <v>12</v>
      </c>
      <c r="D2163" t="str">
        <f>IF('Boletins Nuppa Site'!G2163&lt;&gt;0,'Boletins Nuppa Site'!G2163,"NULL")</f>
        <v xml:space="preserve"> 60.00</v>
      </c>
      <c r="E2163" s="14" t="str">
        <f>IF('Boletins Nuppa Site'!H2163&lt;&gt;0,'Boletins Nuppa Site'!H2163,"NULL")</f>
        <v xml:space="preserve"> 60.00</v>
      </c>
      <c r="F2163" s="14" t="str">
        <f>IF('Boletins Nuppa Site'!I2163&lt;&gt;0,'Boletins Nuppa Site'!I2163,"NULL")</f>
        <v xml:space="preserve"> 84.00</v>
      </c>
      <c r="G2163" s="14" t="str">
        <f>IF('Boletins Nuppa Site'!J2163&lt;&gt;0,'Boletins Nuppa Site'!J2163,"NULL")</f>
        <v xml:space="preserve"> 68.00</v>
      </c>
      <c r="H2163" s="14" t="str">
        <f>IF('Boletins Nuppa Site'!K2163&lt;&gt;0,'Boletins Nuppa Site'!K2163,"NULL")</f>
        <v xml:space="preserve"> 60.00</v>
      </c>
      <c r="I2163" t="str">
        <f t="shared" si="66"/>
        <v>INSERT INTO COTACAO (cot_id, cot_blt_id, cot_pap_id, cot_prc_comum, cot_prc_min, cot_prc_max, cot_prc_med, cot_prc_mediana) VALUES (2162, 92, 12,  60.00,  60.00,  84.00,  68.00,  60.00);</v>
      </c>
      <c r="J2163" t="str">
        <f t="shared" si="67"/>
        <v>UPDATE COTACAO SET cot_id = 2162, cot_blt_id = 92, cot_pap_id = 12, cot_prc_comum =  60.00, cot_prc_min =  60.00, cot_prc_max =  84.00, cot_prc_med =  68.00, cot_prc_mediana =  60.00 WHERE cot_id = 2162;</v>
      </c>
    </row>
    <row r="2164" spans="1:10" x14ac:dyDescent="0.3">
      <c r="A2164">
        <v>2163</v>
      </c>
      <c r="B2164">
        <f>IF('Boletins Nuppa Site'!A2164&lt;&gt;0,'Boletins Nuppa Site'!A2164,"NULL")</f>
        <v>92</v>
      </c>
      <c r="C2164">
        <v>13</v>
      </c>
      <c r="D2164" t="str">
        <f>IF('Boletins Nuppa Site'!G2164&lt;&gt;0,'Boletins Nuppa Site'!G2164,"NULL")</f>
        <v xml:space="preserve"> 60.00</v>
      </c>
      <c r="E2164" s="14" t="str">
        <f>IF('Boletins Nuppa Site'!H2164&lt;&gt;0,'Boletins Nuppa Site'!H2164,"NULL")</f>
        <v xml:space="preserve"> 60.00</v>
      </c>
      <c r="F2164" s="14" t="str">
        <f>IF('Boletins Nuppa Site'!I2164&lt;&gt;0,'Boletins Nuppa Site'!I2164,"NULL")</f>
        <v xml:space="preserve"> 60.00</v>
      </c>
      <c r="G2164" s="14" t="str">
        <f>IF('Boletins Nuppa Site'!J2164&lt;&gt;0,'Boletins Nuppa Site'!J2164,"NULL")</f>
        <v xml:space="preserve"> 60.00</v>
      </c>
      <c r="H2164" s="14" t="str">
        <f>IF('Boletins Nuppa Site'!K2164&lt;&gt;0,'Boletins Nuppa Site'!K2164,"NULL")</f>
        <v xml:space="preserve"> 60.00</v>
      </c>
      <c r="I2164" t="str">
        <f t="shared" si="66"/>
        <v>INSERT INTO COTACAO (cot_id, cot_blt_id, cot_pap_id, cot_prc_comum, cot_prc_min, cot_prc_max, cot_prc_med, cot_prc_mediana) VALUES (2163, 92, 13,  60.00,  60.00,  60.00,  60.00,  60.00);</v>
      </c>
      <c r="J2164" t="str">
        <f t="shared" si="67"/>
        <v>UPDATE COTACAO SET cot_id = 2163, cot_blt_id = 92, cot_pap_id = 13, cot_prc_comum =  60.00, cot_prc_min =  60.00, cot_prc_max =  60.00, cot_prc_med =  60.00, cot_prc_mediana =  60.00 WHERE cot_id = 2163;</v>
      </c>
    </row>
    <row r="2165" spans="1:10" x14ac:dyDescent="0.3">
      <c r="A2165">
        <v>2164</v>
      </c>
      <c r="B2165">
        <f>IF('Boletins Nuppa Site'!A2165&lt;&gt;0,'Boletins Nuppa Site'!A2165,"NULL")</f>
        <v>92</v>
      </c>
      <c r="C2165">
        <v>14</v>
      </c>
      <c r="D2165" t="str">
        <f>IF('Boletins Nuppa Site'!G2165&lt;&gt;0,'Boletins Nuppa Site'!G2165,"NULL")</f>
        <v>NULL</v>
      </c>
      <c r="E2165" s="14" t="str">
        <f>IF('Boletins Nuppa Site'!H2165&lt;&gt;0,'Boletins Nuppa Site'!H2165,"NULL")</f>
        <v xml:space="preserve"> 48.00</v>
      </c>
      <c r="F2165" s="14" t="str">
        <f>IF('Boletins Nuppa Site'!I2165&lt;&gt;0,'Boletins Nuppa Site'!I2165,"NULL")</f>
        <v xml:space="preserve"> 84.00</v>
      </c>
      <c r="G2165" s="14" t="str">
        <f>IF('Boletins Nuppa Site'!J2165&lt;&gt;0,'Boletins Nuppa Site'!J2165,"NULL")</f>
        <v xml:space="preserve"> 62.33</v>
      </c>
      <c r="H2165" s="14" t="str">
        <f>IF('Boletins Nuppa Site'!K2165&lt;&gt;0,'Boletins Nuppa Site'!K2165,"NULL")</f>
        <v xml:space="preserve"> 55.00</v>
      </c>
      <c r="I2165" t="str">
        <f t="shared" si="66"/>
        <v>INSERT INTO COTACAO (cot_id, cot_blt_id, cot_pap_id, cot_prc_comum, cot_prc_min, cot_prc_max, cot_prc_med, cot_prc_mediana) VALUES (2164, 92, 14, NULL,  48.00,  84.00,  62.33,  55.00);</v>
      </c>
      <c r="J2165" t="str">
        <f t="shared" si="67"/>
        <v>UPDATE COTACAO SET cot_id = 2164, cot_blt_id = 92, cot_pap_id = 14, cot_prc_comum = NULL, cot_prc_min =  48.00, cot_prc_max =  84.00, cot_prc_med =  62.33, cot_prc_mediana =  55.00 WHERE cot_id = 2164;</v>
      </c>
    </row>
    <row r="2166" spans="1:10" x14ac:dyDescent="0.3">
      <c r="A2166">
        <v>2165</v>
      </c>
      <c r="B2166">
        <f>IF('Boletins Nuppa Site'!A2166&lt;&gt;0,'Boletins Nuppa Site'!A2166,"NULL")</f>
        <v>92</v>
      </c>
      <c r="C2166">
        <v>15</v>
      </c>
      <c r="D2166" t="str">
        <f>IF('Boletins Nuppa Site'!G2166&lt;&gt;0,'Boletins Nuppa Site'!G2166,"NULL")</f>
        <v xml:space="preserve"> 60.00</v>
      </c>
      <c r="E2166" s="14" t="str">
        <f>IF('Boletins Nuppa Site'!H2166&lt;&gt;0,'Boletins Nuppa Site'!H2166,"NULL")</f>
        <v xml:space="preserve"> 45.00</v>
      </c>
      <c r="F2166" s="14" t="str">
        <f>IF('Boletins Nuppa Site'!I2166&lt;&gt;0,'Boletins Nuppa Site'!I2166,"NULL")</f>
        <v xml:space="preserve"> 60.00</v>
      </c>
      <c r="G2166" s="14" t="str">
        <f>IF('Boletins Nuppa Site'!J2166&lt;&gt;0,'Boletins Nuppa Site'!J2166,"NULL")</f>
        <v xml:space="preserve"> 53.75</v>
      </c>
      <c r="H2166" s="14" t="str">
        <f>IF('Boletins Nuppa Site'!K2166&lt;&gt;0,'Boletins Nuppa Site'!K2166,"NULL")</f>
        <v xml:space="preserve"> 55.00</v>
      </c>
      <c r="I2166" t="str">
        <f t="shared" si="66"/>
        <v>INSERT INTO COTACAO (cot_id, cot_blt_id, cot_pap_id, cot_prc_comum, cot_prc_min, cot_prc_max, cot_prc_med, cot_prc_mediana) VALUES (2165, 92, 15,  60.00,  45.00,  60.00,  53.75,  55.00);</v>
      </c>
      <c r="J2166" t="str">
        <f t="shared" si="67"/>
        <v>UPDATE COTACAO SET cot_id = 2165, cot_blt_id = 92, cot_pap_id = 15, cot_prc_comum =  60.00, cot_prc_min =  45.00, cot_prc_max =  60.00, cot_prc_med =  53.75, cot_prc_mediana =  55.00 WHERE cot_id = 2165;</v>
      </c>
    </row>
    <row r="2167" spans="1:10" x14ac:dyDescent="0.3">
      <c r="A2167">
        <v>2166</v>
      </c>
      <c r="B2167">
        <f>IF('Boletins Nuppa Site'!A2167&lt;&gt;0,'Boletins Nuppa Site'!A2167,"NULL")</f>
        <v>92</v>
      </c>
      <c r="C2167">
        <v>16</v>
      </c>
      <c r="D2167" t="str">
        <f>IF('Boletins Nuppa Site'!G2167&lt;&gt;0,'Boletins Nuppa Site'!G2167,"NULL")</f>
        <v xml:space="preserve"> 60.00</v>
      </c>
      <c r="E2167" s="14" t="str">
        <f>IF('Boletins Nuppa Site'!H2167&lt;&gt;0,'Boletins Nuppa Site'!H2167,"NULL")</f>
        <v xml:space="preserve"> 54.00</v>
      </c>
      <c r="F2167" s="14" t="str">
        <f>IF('Boletins Nuppa Site'!I2167&lt;&gt;0,'Boletins Nuppa Site'!I2167,"NULL")</f>
        <v xml:space="preserve"> 72.00</v>
      </c>
      <c r="G2167" s="14" t="str">
        <f>IF('Boletins Nuppa Site'!J2167&lt;&gt;0,'Boletins Nuppa Site'!J2167,"NULL")</f>
        <v xml:space="preserve"> 61.50</v>
      </c>
      <c r="H2167" s="14" t="str">
        <f>IF('Boletins Nuppa Site'!K2167&lt;&gt;0,'Boletins Nuppa Site'!K2167,"NULL")</f>
        <v xml:space="preserve"> 60.00</v>
      </c>
      <c r="I2167" t="str">
        <f t="shared" si="66"/>
        <v>INSERT INTO COTACAO (cot_id, cot_blt_id, cot_pap_id, cot_prc_comum, cot_prc_min, cot_prc_max, cot_prc_med, cot_prc_mediana) VALUES (2166, 92, 16,  60.00,  54.00,  72.00,  61.50,  60.00);</v>
      </c>
      <c r="J2167" t="str">
        <f t="shared" si="67"/>
        <v>UPDATE COTACAO SET cot_id = 2166, cot_blt_id = 92, cot_pap_id = 16, cot_prc_comum =  60.00, cot_prc_min =  54.00, cot_prc_max =  72.00, cot_prc_med =  61.50, cot_prc_mediana =  60.00 WHERE cot_id = 2166;</v>
      </c>
    </row>
    <row r="2168" spans="1:10" x14ac:dyDescent="0.3">
      <c r="A2168">
        <v>2167</v>
      </c>
      <c r="B2168">
        <f>IF('Boletins Nuppa Site'!A2168&lt;&gt;0,'Boletins Nuppa Site'!A2168,"NULL")</f>
        <v>92</v>
      </c>
      <c r="C2168">
        <v>17</v>
      </c>
      <c r="D2168" t="str">
        <f>IF('Boletins Nuppa Site'!G2168&lt;&gt;0,'Boletins Nuppa Site'!G2168,"NULL")</f>
        <v xml:space="preserve"> 5.00</v>
      </c>
      <c r="E2168" s="14" t="str">
        <f>IF('Boletins Nuppa Site'!H2168&lt;&gt;0,'Boletins Nuppa Site'!H2168,"NULL")</f>
        <v xml:space="preserve"> 5.00</v>
      </c>
      <c r="F2168" s="14" t="str">
        <f>IF('Boletins Nuppa Site'!I2168&lt;&gt;0,'Boletins Nuppa Site'!I2168,"NULL")</f>
        <v xml:space="preserve"> 5.00</v>
      </c>
      <c r="G2168" s="14" t="str">
        <f>IF('Boletins Nuppa Site'!J2168&lt;&gt;0,'Boletins Nuppa Site'!J2168,"NULL")</f>
        <v xml:space="preserve"> 5.00</v>
      </c>
      <c r="H2168" s="14" t="str">
        <f>IF('Boletins Nuppa Site'!K2168&lt;&gt;0,'Boletins Nuppa Site'!K2168,"NULL")</f>
        <v xml:space="preserve"> 5.00</v>
      </c>
      <c r="I2168" t="str">
        <f t="shared" si="66"/>
        <v>INSERT INTO COTACAO (cot_id, cot_blt_id, cot_pap_id, cot_prc_comum, cot_prc_min, cot_prc_max, cot_prc_med, cot_prc_mediana) VALUES (2167, 92, 17,  5.00,  5.00,  5.00,  5.00,  5.00);</v>
      </c>
      <c r="J2168" t="str">
        <f t="shared" si="67"/>
        <v>UPDATE COTACAO SET cot_id = 2167, cot_blt_id = 92, cot_pap_id = 17, cot_prc_comum =  5.00, cot_prc_min =  5.00, cot_prc_max =  5.00, cot_prc_med =  5.00, cot_prc_mediana =  5.00 WHERE cot_id = 2167;</v>
      </c>
    </row>
    <row r="2169" spans="1:10" x14ac:dyDescent="0.3">
      <c r="A2169">
        <v>2168</v>
      </c>
      <c r="B2169">
        <f>IF('Boletins Nuppa Site'!A2169&lt;&gt;0,'Boletins Nuppa Site'!A2169,"NULL")</f>
        <v>92</v>
      </c>
      <c r="C2169">
        <v>18</v>
      </c>
      <c r="D2169" t="str">
        <f>IF('Boletins Nuppa Site'!G2169&lt;&gt;0,'Boletins Nuppa Site'!G2169,"NULL")</f>
        <v xml:space="preserve"> 45.00</v>
      </c>
      <c r="E2169" s="14" t="str">
        <f>IF('Boletins Nuppa Site'!H2169&lt;&gt;0,'Boletins Nuppa Site'!H2169,"NULL")</f>
        <v xml:space="preserve"> 40.00</v>
      </c>
      <c r="F2169" s="14" t="str">
        <f>IF('Boletins Nuppa Site'!I2169&lt;&gt;0,'Boletins Nuppa Site'!I2169,"NULL")</f>
        <v xml:space="preserve"> 48.00</v>
      </c>
      <c r="G2169" s="14" t="str">
        <f>IF('Boletins Nuppa Site'!J2169&lt;&gt;0,'Boletins Nuppa Site'!J2169,"NULL")</f>
        <v xml:space="preserve"> 44.50</v>
      </c>
      <c r="H2169" s="14" t="str">
        <f>IF('Boletins Nuppa Site'!K2169&lt;&gt;0,'Boletins Nuppa Site'!K2169,"NULL")</f>
        <v xml:space="preserve"> 45.00</v>
      </c>
      <c r="I2169" t="str">
        <f t="shared" si="66"/>
        <v>INSERT INTO COTACAO (cot_id, cot_blt_id, cot_pap_id, cot_prc_comum, cot_prc_min, cot_prc_max, cot_prc_med, cot_prc_mediana) VALUES (2168, 92, 18,  45.00,  40.00,  48.00,  44.50,  45.00);</v>
      </c>
      <c r="J2169" t="str">
        <f t="shared" si="67"/>
        <v>UPDATE COTACAO SET cot_id = 2168, cot_blt_id = 92, cot_pap_id = 18, cot_prc_comum =  45.00, cot_prc_min =  40.00, cot_prc_max =  48.00, cot_prc_med =  44.50, cot_prc_mediana =  45.00 WHERE cot_id = 2168;</v>
      </c>
    </row>
    <row r="2170" spans="1:10" x14ac:dyDescent="0.3">
      <c r="A2170">
        <v>2169</v>
      </c>
      <c r="B2170">
        <f>IF('Boletins Nuppa Site'!A2170&lt;&gt;0,'Boletins Nuppa Site'!A2170,"NULL")</f>
        <v>92</v>
      </c>
      <c r="C2170">
        <v>19</v>
      </c>
      <c r="D2170" t="str">
        <f>IF('Boletins Nuppa Site'!G2170&lt;&gt;0,'Boletins Nuppa Site'!G2170,"NULL")</f>
        <v xml:space="preserve"> 30.00</v>
      </c>
      <c r="E2170" s="14" t="str">
        <f>IF('Boletins Nuppa Site'!H2170&lt;&gt;0,'Boletins Nuppa Site'!H2170,"NULL")</f>
        <v xml:space="preserve"> 30.00</v>
      </c>
      <c r="F2170" s="14" t="str">
        <f>IF('Boletins Nuppa Site'!I2170&lt;&gt;0,'Boletins Nuppa Site'!I2170,"NULL")</f>
        <v xml:space="preserve"> 45.00</v>
      </c>
      <c r="G2170" s="14" t="str">
        <f>IF('Boletins Nuppa Site'!J2170&lt;&gt;0,'Boletins Nuppa Site'!J2170,"NULL")</f>
        <v xml:space="preserve"> 36.25</v>
      </c>
      <c r="H2170" s="14" t="str">
        <f>IF('Boletins Nuppa Site'!K2170&lt;&gt;0,'Boletins Nuppa Site'!K2170,"NULL")</f>
        <v xml:space="preserve"> 35.00</v>
      </c>
      <c r="I2170" t="str">
        <f t="shared" si="66"/>
        <v>INSERT INTO COTACAO (cot_id, cot_blt_id, cot_pap_id, cot_prc_comum, cot_prc_min, cot_prc_max, cot_prc_med, cot_prc_mediana) VALUES (2169, 92, 19,  30.00,  30.00,  45.00,  36.25,  35.00);</v>
      </c>
      <c r="J2170" t="str">
        <f t="shared" si="67"/>
        <v>UPDATE COTACAO SET cot_id = 2169, cot_blt_id = 92, cot_pap_id = 19, cot_prc_comum =  30.00, cot_prc_min =  30.00, cot_prc_max =  45.00, cot_prc_med =  36.25, cot_prc_mediana =  35.00 WHERE cot_id = 2169;</v>
      </c>
    </row>
    <row r="2171" spans="1:10" x14ac:dyDescent="0.3">
      <c r="A2171">
        <v>2170</v>
      </c>
      <c r="B2171">
        <f>IF('Boletins Nuppa Site'!A2171&lt;&gt;0,'Boletins Nuppa Site'!A2171,"NULL")</f>
        <v>92</v>
      </c>
      <c r="C2171">
        <v>20</v>
      </c>
      <c r="D2171" t="str">
        <f>IF('Boletins Nuppa Site'!G2171&lt;&gt;0,'Boletins Nuppa Site'!G2171,"NULL")</f>
        <v>NULL</v>
      </c>
      <c r="E2171" s="14" t="str">
        <f>IF('Boletins Nuppa Site'!H2171&lt;&gt;0,'Boletins Nuppa Site'!H2171,"NULL")</f>
        <v xml:space="preserve"> 55.00</v>
      </c>
      <c r="F2171" s="14" t="str">
        <f>IF('Boletins Nuppa Site'!I2171&lt;&gt;0,'Boletins Nuppa Site'!I2171,"NULL")</f>
        <v xml:space="preserve"> 60.00</v>
      </c>
      <c r="G2171" s="14" t="str">
        <f>IF('Boletins Nuppa Site'!J2171&lt;&gt;0,'Boletins Nuppa Site'!J2171,"NULL")</f>
        <v xml:space="preserve"> 57.50</v>
      </c>
      <c r="H2171" s="14" t="str">
        <f>IF('Boletins Nuppa Site'!K2171&lt;&gt;0,'Boletins Nuppa Site'!K2171,"NULL")</f>
        <v xml:space="preserve"> 57.50</v>
      </c>
      <c r="I2171" t="str">
        <f t="shared" si="66"/>
        <v>INSERT INTO COTACAO (cot_id, cot_blt_id, cot_pap_id, cot_prc_comum, cot_prc_min, cot_prc_max, cot_prc_med, cot_prc_mediana) VALUES (2170, 92, 20, NULL,  55.00,  60.00,  57.50,  57.50);</v>
      </c>
      <c r="J2171" t="str">
        <f t="shared" si="67"/>
        <v>UPDATE COTACAO SET cot_id = 2170, cot_blt_id = 92, cot_pap_id = 20, cot_prc_comum = NULL, cot_prc_min =  55.00, cot_prc_max =  60.00, cot_prc_med =  57.50, cot_prc_mediana =  57.50 WHERE cot_id = 2170;</v>
      </c>
    </row>
    <row r="2172" spans="1:10" x14ac:dyDescent="0.3">
      <c r="A2172">
        <v>2171</v>
      </c>
      <c r="B2172">
        <f>IF('Boletins Nuppa Site'!A2172&lt;&gt;0,'Boletins Nuppa Site'!A2172,"NULL")</f>
        <v>92</v>
      </c>
      <c r="C2172">
        <v>21</v>
      </c>
      <c r="D2172" t="str">
        <f>IF('Boletins Nuppa Site'!G2172&lt;&gt;0,'Boletins Nuppa Site'!G2172,"NULL")</f>
        <v xml:space="preserve"> 70.00</v>
      </c>
      <c r="E2172" s="14" t="str">
        <f>IF('Boletins Nuppa Site'!H2172&lt;&gt;0,'Boletins Nuppa Site'!H2172,"NULL")</f>
        <v xml:space="preserve"> 70.00</v>
      </c>
      <c r="F2172" s="14" t="str">
        <f>IF('Boletins Nuppa Site'!I2172&lt;&gt;0,'Boletins Nuppa Site'!I2172,"NULL")</f>
        <v xml:space="preserve"> 70.00</v>
      </c>
      <c r="G2172" s="14" t="str">
        <f>IF('Boletins Nuppa Site'!J2172&lt;&gt;0,'Boletins Nuppa Site'!J2172,"NULL")</f>
        <v xml:space="preserve"> 70.00</v>
      </c>
      <c r="H2172" s="14" t="str">
        <f>IF('Boletins Nuppa Site'!K2172&lt;&gt;0,'Boletins Nuppa Site'!K2172,"NULL")</f>
        <v xml:space="preserve"> 70.00</v>
      </c>
      <c r="I2172" t="str">
        <f t="shared" si="66"/>
        <v>INSERT INTO COTACAO (cot_id, cot_blt_id, cot_pap_id, cot_prc_comum, cot_prc_min, cot_prc_max, cot_prc_med, cot_prc_mediana) VALUES (2171, 92, 21,  70.00,  70.00,  70.00,  70.00,  70.00);</v>
      </c>
      <c r="J2172" t="str">
        <f t="shared" si="67"/>
        <v>UPDATE COTACAO SET cot_id = 2171, cot_blt_id = 92, cot_pap_id = 21, cot_prc_comum =  70.00, cot_prc_min =  70.00, cot_prc_max =  70.00, cot_prc_med =  70.00, cot_prc_mediana =  70.00 WHERE cot_id = 2171;</v>
      </c>
    </row>
    <row r="2173" spans="1:10" x14ac:dyDescent="0.3">
      <c r="A2173">
        <v>2172</v>
      </c>
      <c r="B2173">
        <f>IF('Boletins Nuppa Site'!A2173&lt;&gt;0,'Boletins Nuppa Site'!A2173,"NULL")</f>
        <v>92</v>
      </c>
      <c r="C2173">
        <v>22</v>
      </c>
      <c r="D2173" t="str">
        <f>IF('Boletins Nuppa Site'!G2173&lt;&gt;0,'Boletins Nuppa Site'!G2173,"NULL")</f>
        <v>NULL</v>
      </c>
      <c r="E2173" s="14" t="str">
        <f>IF('Boletins Nuppa Site'!H2173&lt;&gt;0,'Boletins Nuppa Site'!H2173,"NULL")</f>
        <v xml:space="preserve"> 45.00</v>
      </c>
      <c r="F2173" s="14" t="str">
        <f>IF('Boletins Nuppa Site'!I2173&lt;&gt;0,'Boletins Nuppa Site'!I2173,"NULL")</f>
        <v xml:space="preserve"> 65.00</v>
      </c>
      <c r="G2173" s="14" t="str">
        <f>IF('Boletins Nuppa Site'!J2173&lt;&gt;0,'Boletins Nuppa Site'!J2173,"NULL")</f>
        <v xml:space="preserve"> 55.00</v>
      </c>
      <c r="H2173" s="14" t="str">
        <f>IF('Boletins Nuppa Site'!K2173&lt;&gt;0,'Boletins Nuppa Site'!K2173,"NULL")</f>
        <v xml:space="preserve"> 55.00</v>
      </c>
      <c r="I2173" t="str">
        <f t="shared" si="66"/>
        <v>INSERT INTO COTACAO (cot_id, cot_blt_id, cot_pap_id, cot_prc_comum, cot_prc_min, cot_prc_max, cot_prc_med, cot_prc_mediana) VALUES (2172, 92, 22, NULL,  45.00,  65.00,  55.00,  55.00);</v>
      </c>
      <c r="J2173" t="str">
        <f t="shared" si="67"/>
        <v>UPDATE COTACAO SET cot_id = 2172, cot_blt_id = 92, cot_pap_id = 22, cot_prc_comum = NULL, cot_prc_min =  45.00, cot_prc_max =  65.00, cot_prc_med =  55.00, cot_prc_mediana =  55.00 WHERE cot_id = 2172;</v>
      </c>
    </row>
    <row r="2174" spans="1:10" x14ac:dyDescent="0.3">
      <c r="A2174">
        <v>2173</v>
      </c>
      <c r="B2174">
        <f>IF('Boletins Nuppa Site'!A2174&lt;&gt;0,'Boletins Nuppa Site'!A2174,"NULL")</f>
        <v>92</v>
      </c>
      <c r="C2174">
        <v>23</v>
      </c>
      <c r="D2174" t="str">
        <f>IF('Boletins Nuppa Site'!G2174&lt;&gt;0,'Boletins Nuppa Site'!G2174,"NULL")</f>
        <v xml:space="preserve"> 50.00</v>
      </c>
      <c r="E2174" s="14" t="str">
        <f>IF('Boletins Nuppa Site'!H2174&lt;&gt;0,'Boletins Nuppa Site'!H2174,"NULL")</f>
        <v xml:space="preserve"> 50.00</v>
      </c>
      <c r="F2174" s="14" t="str">
        <f>IF('Boletins Nuppa Site'!I2174&lt;&gt;0,'Boletins Nuppa Site'!I2174,"NULL")</f>
        <v xml:space="preserve"> 55.00</v>
      </c>
      <c r="G2174" s="14" t="str">
        <f>IF('Boletins Nuppa Site'!J2174&lt;&gt;0,'Boletins Nuppa Site'!J2174,"NULL")</f>
        <v xml:space="preserve"> 51.25</v>
      </c>
      <c r="H2174" s="14" t="str">
        <f>IF('Boletins Nuppa Site'!K2174&lt;&gt;0,'Boletins Nuppa Site'!K2174,"NULL")</f>
        <v xml:space="preserve"> 50.00</v>
      </c>
      <c r="I2174" t="str">
        <f t="shared" si="66"/>
        <v>INSERT INTO COTACAO (cot_id, cot_blt_id, cot_pap_id, cot_prc_comum, cot_prc_min, cot_prc_max, cot_prc_med, cot_prc_mediana) VALUES (2173, 92, 23,  50.00,  50.00,  55.00,  51.25,  50.00);</v>
      </c>
      <c r="J2174" t="str">
        <f t="shared" si="67"/>
        <v>UPDATE COTACAO SET cot_id = 2173, cot_blt_id = 92, cot_pap_id = 23, cot_prc_comum =  50.00, cot_prc_min =  50.00, cot_prc_max =  55.00, cot_prc_med =  51.25, cot_prc_mediana =  50.00 WHERE cot_id = 2173;</v>
      </c>
    </row>
    <row r="2175" spans="1:10" x14ac:dyDescent="0.3">
      <c r="A2175">
        <v>2174</v>
      </c>
      <c r="B2175">
        <f>IF('Boletins Nuppa Site'!A2175&lt;&gt;0,'Boletins Nuppa Site'!A2175,"NULL")</f>
        <v>92</v>
      </c>
      <c r="C2175">
        <v>24</v>
      </c>
      <c r="D2175" t="str">
        <f>IF('Boletins Nuppa Site'!G2175&lt;&gt;0,'Boletins Nuppa Site'!G2175,"NULL")</f>
        <v>NULL</v>
      </c>
      <c r="E2175" s="14" t="str">
        <f>IF('Boletins Nuppa Site'!H2175&lt;&gt;0,'Boletins Nuppa Site'!H2175,"NULL")</f>
        <v xml:space="preserve"> 80.00</v>
      </c>
      <c r="F2175" s="14" t="str">
        <f>IF('Boletins Nuppa Site'!I2175&lt;&gt;0,'Boletins Nuppa Site'!I2175,"NULL")</f>
        <v xml:space="preserve"> 80.00</v>
      </c>
      <c r="G2175" s="14" t="str">
        <f>IF('Boletins Nuppa Site'!J2175&lt;&gt;0,'Boletins Nuppa Site'!J2175,"NULL")</f>
        <v xml:space="preserve"> 80.00</v>
      </c>
      <c r="H2175" s="14" t="str">
        <f>IF('Boletins Nuppa Site'!K2175&lt;&gt;0,'Boletins Nuppa Site'!K2175,"NULL")</f>
        <v xml:space="preserve"> 80.00</v>
      </c>
      <c r="I2175" t="str">
        <f t="shared" si="66"/>
        <v>INSERT INTO COTACAO (cot_id, cot_blt_id, cot_pap_id, cot_prc_comum, cot_prc_min, cot_prc_max, cot_prc_med, cot_prc_mediana) VALUES (2174, 92, 24, NULL,  80.00,  80.00,  80.00,  80.00);</v>
      </c>
      <c r="J2175" t="str">
        <f t="shared" si="67"/>
        <v>UPDATE COTACAO SET cot_id = 2174, cot_blt_id = 92, cot_pap_id = 24, cot_prc_comum = NULL, cot_prc_min =  80.00, cot_prc_max =  80.00, cot_prc_med =  80.00, cot_prc_mediana =  80.00 WHERE cot_id = 2174;</v>
      </c>
    </row>
    <row r="2176" spans="1:10" x14ac:dyDescent="0.3">
      <c r="A2176">
        <v>2175</v>
      </c>
      <c r="B2176">
        <f>IF('Boletins Nuppa Site'!A2176&lt;&gt;0,'Boletins Nuppa Site'!A2176,"NULL")</f>
        <v>92</v>
      </c>
      <c r="C2176">
        <v>25</v>
      </c>
      <c r="D2176" t="str">
        <f>IF('Boletins Nuppa Site'!G2176&lt;&gt;0,'Boletins Nuppa Site'!G2176,"NULL")</f>
        <v xml:space="preserve"> 55.00</v>
      </c>
      <c r="E2176" s="14" t="str">
        <f>IF('Boletins Nuppa Site'!H2176&lt;&gt;0,'Boletins Nuppa Site'!H2176,"NULL")</f>
        <v xml:space="preserve"> 60.00</v>
      </c>
      <c r="F2176" s="14" t="str">
        <f>IF('Boletins Nuppa Site'!I2176&lt;&gt;0,'Boletins Nuppa Site'!I2176,"NULL")</f>
        <v xml:space="preserve"> 65.00</v>
      </c>
      <c r="G2176" s="14" t="str">
        <f>IF('Boletins Nuppa Site'!J2176&lt;&gt;0,'Boletins Nuppa Site'!J2176,"NULL")</f>
        <v xml:space="preserve"> 60.00</v>
      </c>
      <c r="H2176" s="14" t="str">
        <f>IF('Boletins Nuppa Site'!K2176&lt;&gt;0,'Boletins Nuppa Site'!K2176,"NULL")</f>
        <v xml:space="preserve"> 60.00</v>
      </c>
      <c r="I2176" t="str">
        <f t="shared" si="66"/>
        <v>INSERT INTO COTACAO (cot_id, cot_blt_id, cot_pap_id, cot_prc_comum, cot_prc_min, cot_prc_max, cot_prc_med, cot_prc_mediana) VALUES (2175, 92, 25,  55.00,  60.00,  65.00,  60.00,  60.00);</v>
      </c>
      <c r="J2176" t="str">
        <f t="shared" si="67"/>
        <v>UPDATE COTACAO SET cot_id = 2175, cot_blt_id = 92, cot_pap_id = 25, cot_prc_comum =  55.00, cot_prc_min =  60.00, cot_prc_max =  65.00, cot_prc_med =  60.00, cot_prc_mediana =  60.00 WHERE cot_id = 2175;</v>
      </c>
    </row>
    <row r="2177" spans="1:10" x14ac:dyDescent="0.3">
      <c r="A2177">
        <v>2176</v>
      </c>
      <c r="B2177">
        <f>IF('Boletins Nuppa Site'!A2177&lt;&gt;0,'Boletins Nuppa Site'!A2177,"NULL")</f>
        <v>92</v>
      </c>
      <c r="C2177">
        <v>26</v>
      </c>
      <c r="D2177" t="str">
        <f>IF('Boletins Nuppa Site'!G2177&lt;&gt;0,'Boletins Nuppa Site'!G2177,"NULL")</f>
        <v xml:space="preserve"> 70.00</v>
      </c>
      <c r="E2177" s="14" t="str">
        <f>IF('Boletins Nuppa Site'!H2177&lt;&gt;0,'Boletins Nuppa Site'!H2177,"NULL")</f>
        <v xml:space="preserve"> 70.00</v>
      </c>
      <c r="F2177" s="14" t="str">
        <f>IF('Boletins Nuppa Site'!I2177&lt;&gt;0,'Boletins Nuppa Site'!I2177,"NULL")</f>
        <v xml:space="preserve"> 105.00</v>
      </c>
      <c r="G2177" s="14" t="str">
        <f>IF('Boletins Nuppa Site'!J2177&lt;&gt;0,'Boletins Nuppa Site'!J2177,"NULL")</f>
        <v xml:space="preserve"> 81.67</v>
      </c>
      <c r="H2177" s="14" t="str">
        <f>IF('Boletins Nuppa Site'!K2177&lt;&gt;0,'Boletins Nuppa Site'!K2177,"NULL")</f>
        <v xml:space="preserve"> 70.00</v>
      </c>
      <c r="I2177" t="str">
        <f t="shared" si="66"/>
        <v>INSERT INTO COTACAO (cot_id, cot_blt_id, cot_pap_id, cot_prc_comum, cot_prc_min, cot_prc_max, cot_prc_med, cot_prc_mediana) VALUES (2176, 92, 26,  70.00,  70.00,  105.00,  81.67,  70.00);</v>
      </c>
      <c r="J2177" t="str">
        <f t="shared" si="67"/>
        <v>UPDATE COTACAO SET cot_id = 2176, cot_blt_id = 92, cot_pap_id = 26, cot_prc_comum =  70.00, cot_prc_min =  70.00, cot_prc_max =  105.00, cot_prc_med =  81.67, cot_prc_mediana =  70.00 WHERE cot_id = 2176;</v>
      </c>
    </row>
    <row r="2178" spans="1:10" x14ac:dyDescent="0.3">
      <c r="A2178">
        <v>2177</v>
      </c>
      <c r="B2178">
        <f>IF('Boletins Nuppa Site'!A2178&lt;&gt;0,'Boletins Nuppa Site'!A2178,"NULL")</f>
        <v>92</v>
      </c>
      <c r="C2178">
        <v>27</v>
      </c>
      <c r="D2178" t="str">
        <f>IF('Boletins Nuppa Site'!G2178&lt;&gt;0,'Boletins Nuppa Site'!G2178,"NULL")</f>
        <v xml:space="preserve"> 70.00</v>
      </c>
      <c r="E2178" s="14" t="str">
        <f>IF('Boletins Nuppa Site'!H2178&lt;&gt;0,'Boletins Nuppa Site'!H2178,"NULL")</f>
        <v xml:space="preserve"> 70.00</v>
      </c>
      <c r="F2178" s="14" t="str">
        <f>IF('Boletins Nuppa Site'!I2178&lt;&gt;0,'Boletins Nuppa Site'!I2178,"NULL")</f>
        <v xml:space="preserve"> 90.00</v>
      </c>
      <c r="G2178" s="14" t="str">
        <f>IF('Boletins Nuppa Site'!J2178&lt;&gt;0,'Boletins Nuppa Site'!J2178,"NULL")</f>
        <v xml:space="preserve"> 77.50</v>
      </c>
      <c r="H2178" s="14" t="str">
        <f>IF('Boletins Nuppa Site'!K2178&lt;&gt;0,'Boletins Nuppa Site'!K2178,"NULL")</f>
        <v xml:space="preserve"> 75.00</v>
      </c>
      <c r="I2178" t="str">
        <f t="shared" si="66"/>
        <v>INSERT INTO COTACAO (cot_id, cot_blt_id, cot_pap_id, cot_prc_comum, cot_prc_min, cot_prc_max, cot_prc_med, cot_prc_mediana) VALUES (2177, 92, 27,  70.00,  70.00,  90.00,  77.50,  75.00);</v>
      </c>
      <c r="J2178" t="str">
        <f t="shared" si="67"/>
        <v>UPDATE COTACAO SET cot_id = 2177, cot_blt_id = 92, cot_pap_id = 27, cot_prc_comum =  70.00, cot_prc_min =  70.00, cot_prc_max =  90.00, cot_prc_med =  77.50, cot_prc_mediana =  75.00 WHERE cot_id = 2177;</v>
      </c>
    </row>
    <row r="2179" spans="1:10" x14ac:dyDescent="0.3">
      <c r="A2179">
        <v>2178</v>
      </c>
      <c r="B2179">
        <f>IF('Boletins Nuppa Site'!A2179&lt;&gt;0,'Boletins Nuppa Site'!A2179,"NULL")</f>
        <v>92</v>
      </c>
      <c r="C2179">
        <v>28</v>
      </c>
      <c r="D2179" t="str">
        <f>IF('Boletins Nuppa Site'!G2179&lt;&gt;0,'Boletins Nuppa Site'!G2179,"NULL")</f>
        <v xml:space="preserve"> 60.00</v>
      </c>
      <c r="E2179" s="14" t="str">
        <f>IF('Boletins Nuppa Site'!H2179&lt;&gt;0,'Boletins Nuppa Site'!H2179,"NULL")</f>
        <v xml:space="preserve"> 80.00</v>
      </c>
      <c r="F2179" s="14" t="str">
        <f>IF('Boletins Nuppa Site'!I2179&lt;&gt;0,'Boletins Nuppa Site'!I2179,"NULL")</f>
        <v xml:space="preserve"> 80.00</v>
      </c>
      <c r="G2179" s="14" t="str">
        <f>IF('Boletins Nuppa Site'!J2179&lt;&gt;0,'Boletins Nuppa Site'!J2179,"NULL")</f>
        <v xml:space="preserve"> 73.33</v>
      </c>
      <c r="H2179" s="14" t="str">
        <f>IF('Boletins Nuppa Site'!K2179&lt;&gt;0,'Boletins Nuppa Site'!K2179,"NULL")</f>
        <v xml:space="preserve"> 80.00</v>
      </c>
      <c r="I2179" t="str">
        <f t="shared" ref="I2179:I2242" si="68">"INSERT INTO COTACAO (cot_id, cot_blt_id, cot_pap_id, cot_prc_comum, cot_prc_min, cot_prc_max, cot_prc_med, cot_prc_mediana) VALUES ("&amp;A2179&amp;", "&amp;B2179&amp;", "&amp;C2179&amp;", "&amp;D2179&amp;", "&amp;E2179&amp;", "&amp;F2179&amp;", "&amp;G2179&amp;", "&amp;H2179&amp;");"</f>
        <v>INSERT INTO COTACAO (cot_id, cot_blt_id, cot_pap_id, cot_prc_comum, cot_prc_min, cot_prc_max, cot_prc_med, cot_prc_mediana) VALUES (2178, 92, 28,  60.00,  80.00,  80.00,  73.33,  80.00);</v>
      </c>
      <c r="J2179" t="str">
        <f t="shared" ref="J2179:J2242" si="69">"UPDATE COTACAO SET cot_id = "&amp;A2179&amp;", cot_blt_id = "&amp;B2179&amp;", cot_pap_id = "&amp;C2179&amp;", cot_prc_comum = "&amp;D2179&amp;", cot_prc_min = "&amp;E2179&amp;", cot_prc_max = "&amp;F2179&amp;", cot_prc_med = "&amp;G2179&amp;", cot_prc_mediana = "&amp;H2179&amp;" WHERE cot_id = "&amp;A2179&amp;";"</f>
        <v>UPDATE COTACAO SET cot_id = 2178, cot_blt_id = 92, cot_pap_id = 28, cot_prc_comum =  60.00, cot_prc_min =  80.00, cot_prc_max =  80.00, cot_prc_med =  73.33, cot_prc_mediana =  80.00 WHERE cot_id = 2178;</v>
      </c>
    </row>
    <row r="2180" spans="1:10" x14ac:dyDescent="0.3">
      <c r="A2180">
        <v>2179</v>
      </c>
      <c r="B2180">
        <f>IF('Boletins Nuppa Site'!A2180&lt;&gt;0,'Boletins Nuppa Site'!A2180,"NULL")</f>
        <v>92</v>
      </c>
      <c r="C2180">
        <v>29</v>
      </c>
      <c r="D2180" t="str">
        <f>IF('Boletins Nuppa Site'!G2180&lt;&gt;0,'Boletins Nuppa Site'!G2180,"NULL")</f>
        <v>NULL</v>
      </c>
      <c r="E2180" s="14" t="str">
        <f>IF('Boletins Nuppa Site'!H2180&lt;&gt;0,'Boletins Nuppa Site'!H2180,"NULL")</f>
        <v xml:space="preserve"> 75.00</v>
      </c>
      <c r="F2180" s="14" t="str">
        <f>IF('Boletins Nuppa Site'!I2180&lt;&gt;0,'Boletins Nuppa Site'!I2180,"NULL")</f>
        <v xml:space="preserve"> 75.00</v>
      </c>
      <c r="G2180" s="14" t="str">
        <f>IF('Boletins Nuppa Site'!J2180&lt;&gt;0,'Boletins Nuppa Site'!J2180,"NULL")</f>
        <v xml:space="preserve"> 75.00</v>
      </c>
      <c r="H2180" s="14" t="str">
        <f>IF('Boletins Nuppa Site'!K2180&lt;&gt;0,'Boletins Nuppa Site'!K2180,"NULL")</f>
        <v xml:space="preserve"> 75.00</v>
      </c>
      <c r="I2180" t="str">
        <f t="shared" si="68"/>
        <v>INSERT INTO COTACAO (cot_id, cot_blt_id, cot_pap_id, cot_prc_comum, cot_prc_min, cot_prc_max, cot_prc_med, cot_prc_mediana) VALUES (2179, 92, 29, NULL,  75.00,  75.00,  75.00,  75.00);</v>
      </c>
      <c r="J2180" t="str">
        <f t="shared" si="69"/>
        <v>UPDATE COTACAO SET cot_id = 2179, cot_blt_id = 92, cot_pap_id = 29, cot_prc_comum = NULL, cot_prc_min =  75.00, cot_prc_max =  75.00, cot_prc_med =  75.00, cot_prc_mediana =  75.00 WHERE cot_id = 2179;</v>
      </c>
    </row>
    <row r="2181" spans="1:10" x14ac:dyDescent="0.3">
      <c r="A2181">
        <v>2180</v>
      </c>
      <c r="B2181">
        <f>IF('Boletins Nuppa Site'!A2181&lt;&gt;0,'Boletins Nuppa Site'!A2181,"NULL")</f>
        <v>92</v>
      </c>
      <c r="C2181">
        <v>30</v>
      </c>
      <c r="D2181" t="str">
        <f>IF('Boletins Nuppa Site'!G2181&lt;&gt;0,'Boletins Nuppa Site'!G2181,"NULL")</f>
        <v>NULL</v>
      </c>
      <c r="E2181" s="14" t="str">
        <f>IF('Boletins Nuppa Site'!H2181&lt;&gt;0,'Boletins Nuppa Site'!H2181,"NULL")</f>
        <v xml:space="preserve"> 60.00</v>
      </c>
      <c r="F2181" s="14" t="str">
        <f>IF('Boletins Nuppa Site'!I2181&lt;&gt;0,'Boletins Nuppa Site'!I2181,"NULL")</f>
        <v xml:space="preserve"> 70.00</v>
      </c>
      <c r="G2181" s="14" t="str">
        <f>IF('Boletins Nuppa Site'!J2181&lt;&gt;0,'Boletins Nuppa Site'!J2181,"NULL")</f>
        <v xml:space="preserve"> 65.00</v>
      </c>
      <c r="H2181" s="14" t="str">
        <f>IF('Boletins Nuppa Site'!K2181&lt;&gt;0,'Boletins Nuppa Site'!K2181,"NULL")</f>
        <v xml:space="preserve"> 65.00</v>
      </c>
      <c r="I2181" t="str">
        <f t="shared" si="68"/>
        <v>INSERT INTO COTACAO (cot_id, cot_blt_id, cot_pap_id, cot_prc_comum, cot_prc_min, cot_prc_max, cot_prc_med, cot_prc_mediana) VALUES (2180, 92, 30, NULL,  60.00,  70.00,  65.00,  65.00);</v>
      </c>
      <c r="J2181" t="str">
        <f t="shared" si="69"/>
        <v>UPDATE COTACAO SET cot_id = 2180, cot_blt_id = 92, cot_pap_id = 30, cot_prc_comum = NULL, cot_prc_min =  60.00, cot_prc_max =  70.00, cot_prc_med =  65.00, cot_prc_mediana =  65.00 WHERE cot_id = 2180;</v>
      </c>
    </row>
    <row r="2182" spans="1:10" x14ac:dyDescent="0.3">
      <c r="A2182">
        <v>2181</v>
      </c>
      <c r="B2182">
        <f>IF('Boletins Nuppa Site'!A2182&lt;&gt;0,'Boletins Nuppa Site'!A2182,"NULL")</f>
        <v>92</v>
      </c>
      <c r="C2182">
        <v>31</v>
      </c>
      <c r="D2182" t="str">
        <f>IF('Boletins Nuppa Site'!G2182&lt;&gt;0,'Boletins Nuppa Site'!G2182,"NULL")</f>
        <v xml:space="preserve"> 80.00</v>
      </c>
      <c r="E2182" s="14" t="str">
        <f>IF('Boletins Nuppa Site'!H2182&lt;&gt;0,'Boletins Nuppa Site'!H2182,"NULL")</f>
        <v xml:space="preserve"> 80.00</v>
      </c>
      <c r="F2182" s="14" t="str">
        <f>IF('Boletins Nuppa Site'!I2182&lt;&gt;0,'Boletins Nuppa Site'!I2182,"NULL")</f>
        <v xml:space="preserve"> 115.00</v>
      </c>
      <c r="G2182" s="14" t="str">
        <f>IF('Boletins Nuppa Site'!J2182&lt;&gt;0,'Boletins Nuppa Site'!J2182,"NULL")</f>
        <v xml:space="preserve"> 96.25</v>
      </c>
      <c r="H2182" s="14" t="str">
        <f>IF('Boletins Nuppa Site'!K2182&lt;&gt;0,'Boletins Nuppa Site'!K2182,"NULL")</f>
        <v xml:space="preserve"> 95.00</v>
      </c>
      <c r="I2182" t="str">
        <f t="shared" si="68"/>
        <v>INSERT INTO COTACAO (cot_id, cot_blt_id, cot_pap_id, cot_prc_comum, cot_prc_min, cot_prc_max, cot_prc_med, cot_prc_mediana) VALUES (2181, 92, 31,  80.00,  80.00,  115.00,  96.25,  95.00);</v>
      </c>
      <c r="J2182" t="str">
        <f t="shared" si="69"/>
        <v>UPDATE COTACAO SET cot_id = 2181, cot_blt_id = 92, cot_pap_id = 31, cot_prc_comum =  80.00, cot_prc_min =  80.00, cot_prc_max =  115.00, cot_prc_med =  96.25, cot_prc_mediana =  95.00 WHERE cot_id = 2181;</v>
      </c>
    </row>
    <row r="2183" spans="1:10" x14ac:dyDescent="0.3">
      <c r="A2183">
        <v>2182</v>
      </c>
      <c r="B2183">
        <f>IF('Boletins Nuppa Site'!A2183&lt;&gt;0,'Boletins Nuppa Site'!A2183,"NULL")</f>
        <v>92</v>
      </c>
      <c r="C2183">
        <v>32</v>
      </c>
      <c r="D2183" t="str">
        <f>IF('Boletins Nuppa Site'!G2183&lt;&gt;0,'Boletins Nuppa Site'!G2183,"NULL")</f>
        <v xml:space="preserve"> 20.00</v>
      </c>
      <c r="E2183" s="14" t="str">
        <f>IF('Boletins Nuppa Site'!H2183&lt;&gt;0,'Boletins Nuppa Site'!H2183,"NULL")</f>
        <v xml:space="preserve"> 30.00</v>
      </c>
      <c r="F2183" s="14" t="str">
        <f>IF('Boletins Nuppa Site'!I2183&lt;&gt;0,'Boletins Nuppa Site'!I2183,"NULL")</f>
        <v xml:space="preserve"> 75.00</v>
      </c>
      <c r="G2183" s="14" t="str">
        <f>IF('Boletins Nuppa Site'!J2183&lt;&gt;0,'Boletins Nuppa Site'!J2183,"NULL")</f>
        <v xml:space="preserve"> 38.75</v>
      </c>
      <c r="H2183" s="14" t="str">
        <f>IF('Boletins Nuppa Site'!K2183&lt;&gt;0,'Boletins Nuppa Site'!K2183,"NULL")</f>
        <v xml:space="preserve"> 30.00</v>
      </c>
      <c r="I2183" t="str">
        <f t="shared" si="68"/>
        <v>INSERT INTO COTACAO (cot_id, cot_blt_id, cot_pap_id, cot_prc_comum, cot_prc_min, cot_prc_max, cot_prc_med, cot_prc_mediana) VALUES (2182, 92, 32,  20.00,  30.00,  75.00,  38.75,  30.00);</v>
      </c>
      <c r="J2183" t="str">
        <f t="shared" si="69"/>
        <v>UPDATE COTACAO SET cot_id = 2182, cot_blt_id = 92, cot_pap_id = 32, cot_prc_comum =  20.00, cot_prc_min =  30.00, cot_prc_max =  75.00, cot_prc_med =  38.75, cot_prc_mediana =  30.00 WHERE cot_id = 2182;</v>
      </c>
    </row>
    <row r="2184" spans="1:10" x14ac:dyDescent="0.3">
      <c r="A2184">
        <v>2183</v>
      </c>
      <c r="B2184">
        <f>IF('Boletins Nuppa Site'!A2184&lt;&gt;0,'Boletins Nuppa Site'!A2184,"NULL")</f>
        <v>92</v>
      </c>
      <c r="C2184">
        <v>33</v>
      </c>
      <c r="D2184" t="str">
        <f>IF('Boletins Nuppa Site'!G2184&lt;&gt;0,'Boletins Nuppa Site'!G2184,"NULL")</f>
        <v>NULL</v>
      </c>
      <c r="E2184" s="14" t="str">
        <f>IF('Boletins Nuppa Site'!H2184&lt;&gt;0,'Boletins Nuppa Site'!H2184,"NULL")</f>
        <v xml:space="preserve"> 65.00</v>
      </c>
      <c r="F2184" s="14" t="str">
        <f>IF('Boletins Nuppa Site'!I2184&lt;&gt;0,'Boletins Nuppa Site'!I2184,"NULL")</f>
        <v xml:space="preserve"> 100.00</v>
      </c>
      <c r="G2184" s="14" t="str">
        <f>IF('Boletins Nuppa Site'!J2184&lt;&gt;0,'Boletins Nuppa Site'!J2184,"NULL")</f>
        <v xml:space="preserve"> 78.75</v>
      </c>
      <c r="H2184" s="14" t="str">
        <f>IF('Boletins Nuppa Site'!K2184&lt;&gt;0,'Boletins Nuppa Site'!K2184,"NULL")</f>
        <v xml:space="preserve"> 75.00</v>
      </c>
      <c r="I2184" t="str">
        <f t="shared" si="68"/>
        <v>INSERT INTO COTACAO (cot_id, cot_blt_id, cot_pap_id, cot_prc_comum, cot_prc_min, cot_prc_max, cot_prc_med, cot_prc_mediana) VALUES (2183, 92, 33, NULL,  65.00,  100.00,  78.75,  75.00);</v>
      </c>
      <c r="J2184" t="str">
        <f t="shared" si="69"/>
        <v>UPDATE COTACAO SET cot_id = 2183, cot_blt_id = 92, cot_pap_id = 33, cot_prc_comum = NULL, cot_prc_min =  65.00, cot_prc_max =  100.00, cot_prc_med =  78.75, cot_prc_mediana =  75.00 WHERE cot_id = 2183;</v>
      </c>
    </row>
    <row r="2185" spans="1:10" x14ac:dyDescent="0.3">
      <c r="A2185">
        <v>2184</v>
      </c>
      <c r="B2185">
        <f>IF('Boletins Nuppa Site'!A2185&lt;&gt;0,'Boletins Nuppa Site'!A2185,"NULL")</f>
        <v>92</v>
      </c>
      <c r="C2185">
        <v>34</v>
      </c>
      <c r="D2185" t="str">
        <f>IF('Boletins Nuppa Site'!G2185&lt;&gt;0,'Boletins Nuppa Site'!G2185,"NULL")</f>
        <v>NULL</v>
      </c>
      <c r="E2185" s="14" t="str">
        <f>IF('Boletins Nuppa Site'!H2185&lt;&gt;0,'Boletins Nuppa Site'!H2185,"NULL")</f>
        <v xml:space="preserve"> 70.00</v>
      </c>
      <c r="F2185" s="14" t="str">
        <f>IF('Boletins Nuppa Site'!I2185&lt;&gt;0,'Boletins Nuppa Site'!I2185,"NULL")</f>
        <v xml:space="preserve"> 110.00</v>
      </c>
      <c r="G2185" s="14" t="str">
        <f>IF('Boletins Nuppa Site'!J2185&lt;&gt;0,'Boletins Nuppa Site'!J2185,"NULL")</f>
        <v xml:space="preserve"> 88.75</v>
      </c>
      <c r="H2185" s="14" t="str">
        <f>IF('Boletins Nuppa Site'!K2185&lt;&gt;0,'Boletins Nuppa Site'!K2185,"NULL")</f>
        <v xml:space="preserve"> 87.50</v>
      </c>
      <c r="I2185" t="str">
        <f t="shared" si="68"/>
        <v>INSERT INTO COTACAO (cot_id, cot_blt_id, cot_pap_id, cot_prc_comum, cot_prc_min, cot_prc_max, cot_prc_med, cot_prc_mediana) VALUES (2184, 92, 34, NULL,  70.00,  110.00,  88.75,  87.50);</v>
      </c>
      <c r="J2185" t="str">
        <f t="shared" si="69"/>
        <v>UPDATE COTACAO SET cot_id = 2184, cot_blt_id = 92, cot_pap_id = 34, cot_prc_comum = NULL, cot_prc_min =  70.00, cot_prc_max =  110.00, cot_prc_med =  88.75, cot_prc_mediana =  87.50 WHERE cot_id = 2184;</v>
      </c>
    </row>
    <row r="2186" spans="1:10" x14ac:dyDescent="0.3">
      <c r="A2186">
        <v>2185</v>
      </c>
      <c r="B2186">
        <f>IF('Boletins Nuppa Site'!A2186&lt;&gt;0,'Boletins Nuppa Site'!A2186,"NULL")</f>
        <v>92</v>
      </c>
      <c r="C2186">
        <v>35</v>
      </c>
      <c r="D2186" t="str">
        <f>IF('Boletins Nuppa Site'!G2186&lt;&gt;0,'Boletins Nuppa Site'!G2186,"NULL")</f>
        <v>NULL</v>
      </c>
      <c r="E2186" s="14" t="str">
        <f>IF('Boletins Nuppa Site'!H2186&lt;&gt;0,'Boletins Nuppa Site'!H2186,"NULL")</f>
        <v xml:space="preserve"> 70.00</v>
      </c>
      <c r="F2186" s="14" t="str">
        <f>IF('Boletins Nuppa Site'!I2186&lt;&gt;0,'Boletins Nuppa Site'!I2186,"NULL")</f>
        <v xml:space="preserve"> 140.00</v>
      </c>
      <c r="G2186" s="14" t="str">
        <f>IF('Boletins Nuppa Site'!J2186&lt;&gt;0,'Boletins Nuppa Site'!J2186,"NULL")</f>
        <v xml:space="preserve"> 110.00</v>
      </c>
      <c r="H2186" s="14" t="str">
        <f>IF('Boletins Nuppa Site'!K2186&lt;&gt;0,'Boletins Nuppa Site'!K2186,"NULL")</f>
        <v xml:space="preserve"> 120.00</v>
      </c>
      <c r="I2186" t="str">
        <f t="shared" si="68"/>
        <v>INSERT INTO COTACAO (cot_id, cot_blt_id, cot_pap_id, cot_prc_comum, cot_prc_min, cot_prc_max, cot_prc_med, cot_prc_mediana) VALUES (2185, 92, 35, NULL,  70.00,  140.00,  110.00,  120.00);</v>
      </c>
      <c r="J2186" t="str">
        <f t="shared" si="69"/>
        <v>UPDATE COTACAO SET cot_id = 2185, cot_blt_id = 92, cot_pap_id = 35, cot_prc_comum = NULL, cot_prc_min =  70.00, cot_prc_max =  140.00, cot_prc_med =  110.00, cot_prc_mediana =  120.00 WHERE cot_id = 2185;</v>
      </c>
    </row>
    <row r="2187" spans="1:10" x14ac:dyDescent="0.3">
      <c r="A2187">
        <v>2186</v>
      </c>
      <c r="B2187">
        <f>IF('Boletins Nuppa Site'!A2187&lt;&gt;0,'Boletins Nuppa Site'!A2187,"NULL")</f>
        <v>92</v>
      </c>
      <c r="C2187">
        <v>36</v>
      </c>
      <c r="D2187" t="str">
        <f>IF('Boletins Nuppa Site'!G2187&lt;&gt;0,'Boletins Nuppa Site'!G2187,"NULL")</f>
        <v>NULL</v>
      </c>
      <c r="E2187" s="14" t="str">
        <f>IF('Boletins Nuppa Site'!H2187&lt;&gt;0,'Boletins Nuppa Site'!H2187,"NULL")</f>
        <v>NULL</v>
      </c>
      <c r="F2187" s="14" t="str">
        <f>IF('Boletins Nuppa Site'!I2187&lt;&gt;0,'Boletins Nuppa Site'!I2187,"NULL")</f>
        <v>NULL</v>
      </c>
      <c r="G2187" s="14" t="str">
        <f>IF('Boletins Nuppa Site'!J2187&lt;&gt;0,'Boletins Nuppa Site'!J2187,"NULL")</f>
        <v>NULL</v>
      </c>
      <c r="H2187" s="14" t="str">
        <f>IF('Boletins Nuppa Site'!K2187&lt;&gt;0,'Boletins Nuppa Site'!K2187,"NULL")</f>
        <v>NULL</v>
      </c>
      <c r="I2187" t="str">
        <f t="shared" si="68"/>
        <v>INSERT INTO COTACAO (cot_id, cot_blt_id, cot_pap_id, cot_prc_comum, cot_prc_min, cot_prc_max, cot_prc_med, cot_prc_mediana) VALUES (2186, 92, 36, NULL, NULL, NULL, NULL, NULL);</v>
      </c>
      <c r="J2187" t="str">
        <f t="shared" si="69"/>
        <v>UPDATE COTACAO SET cot_id = 2186, cot_blt_id = 92, cot_pap_id = 36, cot_prc_comum = NULL, cot_prc_min = NULL, cot_prc_max = NULL, cot_prc_med = NULL, cot_prc_mediana = NULL WHERE cot_id = 2186;</v>
      </c>
    </row>
    <row r="2188" spans="1:10" x14ac:dyDescent="0.3">
      <c r="A2188">
        <v>2187</v>
      </c>
      <c r="B2188">
        <f>IF('Boletins Nuppa Site'!A2188&lt;&gt;0,'Boletins Nuppa Site'!A2188,"NULL")</f>
        <v>92</v>
      </c>
      <c r="C2188">
        <v>37</v>
      </c>
      <c r="D2188" t="str">
        <f>IF('Boletins Nuppa Site'!G2188&lt;&gt;0,'Boletins Nuppa Site'!G2188,"NULL")</f>
        <v>NULL</v>
      </c>
      <c r="E2188" s="14" t="str">
        <f>IF('Boletins Nuppa Site'!H2188&lt;&gt;0,'Boletins Nuppa Site'!H2188,"NULL")</f>
        <v>NULL</v>
      </c>
      <c r="F2188" s="14" t="str">
        <f>IF('Boletins Nuppa Site'!I2188&lt;&gt;0,'Boletins Nuppa Site'!I2188,"NULL")</f>
        <v>NULL</v>
      </c>
      <c r="G2188" s="14" t="str">
        <f>IF('Boletins Nuppa Site'!J2188&lt;&gt;0,'Boletins Nuppa Site'!J2188,"NULL")</f>
        <v>NULL</v>
      </c>
      <c r="H2188" s="14" t="str">
        <f>IF('Boletins Nuppa Site'!K2188&lt;&gt;0,'Boletins Nuppa Site'!K2188,"NULL")</f>
        <v>NULL</v>
      </c>
      <c r="I2188" t="str">
        <f t="shared" si="68"/>
        <v>INSERT INTO COTACAO (cot_id, cot_blt_id, cot_pap_id, cot_prc_comum, cot_prc_min, cot_prc_max, cot_prc_med, cot_prc_mediana) VALUES (2187, 92, 37, NULL, NULL, NULL, NULL, NULL);</v>
      </c>
      <c r="J2188" t="str">
        <f t="shared" si="69"/>
        <v>UPDATE COTACAO SET cot_id = 2187, cot_blt_id = 92, cot_pap_id = 37, cot_prc_comum = NULL, cot_prc_min = NULL, cot_prc_max = NULL, cot_prc_med = NULL, cot_prc_mediana = NULL WHERE cot_id = 2187;</v>
      </c>
    </row>
    <row r="2189" spans="1:10" x14ac:dyDescent="0.3">
      <c r="A2189">
        <v>2188</v>
      </c>
      <c r="B2189">
        <f>IF('Boletins Nuppa Site'!A2189&lt;&gt;0,'Boletins Nuppa Site'!A2189,"NULL")</f>
        <v>92</v>
      </c>
      <c r="C2189">
        <v>38</v>
      </c>
      <c r="D2189" t="str">
        <f>IF('Boletins Nuppa Site'!G2189&lt;&gt;0,'Boletins Nuppa Site'!G2189,"NULL")</f>
        <v>NULL</v>
      </c>
      <c r="E2189" s="14" t="str">
        <f>IF('Boletins Nuppa Site'!H2189&lt;&gt;0,'Boletins Nuppa Site'!H2189,"NULL")</f>
        <v>NULL</v>
      </c>
      <c r="F2189" s="14" t="str">
        <f>IF('Boletins Nuppa Site'!I2189&lt;&gt;0,'Boletins Nuppa Site'!I2189,"NULL")</f>
        <v>NULL</v>
      </c>
      <c r="G2189" s="14" t="str">
        <f>IF('Boletins Nuppa Site'!J2189&lt;&gt;0,'Boletins Nuppa Site'!J2189,"NULL")</f>
        <v>NULL</v>
      </c>
      <c r="H2189" s="14" t="str">
        <f>IF('Boletins Nuppa Site'!K2189&lt;&gt;0,'Boletins Nuppa Site'!K2189,"NULL")</f>
        <v>NULL</v>
      </c>
      <c r="I2189" t="str">
        <f t="shared" si="68"/>
        <v>INSERT INTO COTACAO (cot_id, cot_blt_id, cot_pap_id, cot_prc_comum, cot_prc_min, cot_prc_max, cot_prc_med, cot_prc_mediana) VALUES (2188, 92, 38, NULL, NULL, NULL, NULL, NULL);</v>
      </c>
      <c r="J2189" t="str">
        <f t="shared" si="69"/>
        <v>UPDATE COTACAO SET cot_id = 2188, cot_blt_id = 92, cot_pap_id = 38, cot_prc_comum = NULL, cot_prc_min = NULL, cot_prc_max = NULL, cot_prc_med = NULL, cot_prc_mediana = NULL WHERE cot_id = 2188;</v>
      </c>
    </row>
    <row r="2190" spans="1:10" x14ac:dyDescent="0.3">
      <c r="A2190">
        <v>2189</v>
      </c>
      <c r="B2190">
        <f>IF('Boletins Nuppa Site'!A2190&lt;&gt;0,'Boletins Nuppa Site'!A2190,"NULL")</f>
        <v>92</v>
      </c>
      <c r="C2190">
        <v>39</v>
      </c>
      <c r="D2190" t="str">
        <f>IF('Boletins Nuppa Site'!G2190&lt;&gt;0,'Boletins Nuppa Site'!G2190,"NULL")</f>
        <v>NULL</v>
      </c>
      <c r="E2190" s="14" t="str">
        <f>IF('Boletins Nuppa Site'!H2190&lt;&gt;0,'Boletins Nuppa Site'!H2190,"NULL")</f>
        <v>NULL</v>
      </c>
      <c r="F2190" s="14" t="str">
        <f>IF('Boletins Nuppa Site'!I2190&lt;&gt;0,'Boletins Nuppa Site'!I2190,"NULL")</f>
        <v>NULL</v>
      </c>
      <c r="G2190" s="14" t="str">
        <f>IF('Boletins Nuppa Site'!J2190&lt;&gt;0,'Boletins Nuppa Site'!J2190,"NULL")</f>
        <v>NULL</v>
      </c>
      <c r="H2190" s="14" t="str">
        <f>IF('Boletins Nuppa Site'!K2190&lt;&gt;0,'Boletins Nuppa Site'!K2190,"NULL")</f>
        <v>NULL</v>
      </c>
      <c r="I2190" t="str">
        <f t="shared" si="68"/>
        <v>INSERT INTO COTACAO (cot_id, cot_blt_id, cot_pap_id, cot_prc_comum, cot_prc_min, cot_prc_max, cot_prc_med, cot_prc_mediana) VALUES (2189, 92, 39, NULL, NULL, NULL, NULL, NULL);</v>
      </c>
      <c r="J2190" t="str">
        <f t="shared" si="69"/>
        <v>UPDATE COTACAO SET cot_id = 2189, cot_blt_id = 92, cot_pap_id = 39, cot_prc_comum = NULL, cot_prc_min = NULL, cot_prc_max = NULL, cot_prc_med = NULL, cot_prc_mediana = NULL WHERE cot_id = 2189;</v>
      </c>
    </row>
    <row r="2191" spans="1:10" x14ac:dyDescent="0.3">
      <c r="A2191">
        <v>2190</v>
      </c>
      <c r="B2191">
        <f>IF('Boletins Nuppa Site'!A2191&lt;&gt;0,'Boletins Nuppa Site'!A2191,"NULL")</f>
        <v>92</v>
      </c>
      <c r="C2191">
        <v>40</v>
      </c>
      <c r="D2191" t="str">
        <f>IF('Boletins Nuppa Site'!G2191&lt;&gt;0,'Boletins Nuppa Site'!G2191,"NULL")</f>
        <v>NULL</v>
      </c>
      <c r="E2191" s="14" t="str">
        <f>IF('Boletins Nuppa Site'!H2191&lt;&gt;0,'Boletins Nuppa Site'!H2191,"NULL")</f>
        <v>NULL</v>
      </c>
      <c r="F2191" s="14" t="str">
        <f>IF('Boletins Nuppa Site'!I2191&lt;&gt;0,'Boletins Nuppa Site'!I2191,"NULL")</f>
        <v>NULL</v>
      </c>
      <c r="G2191" s="14" t="str">
        <f>IF('Boletins Nuppa Site'!J2191&lt;&gt;0,'Boletins Nuppa Site'!J2191,"NULL")</f>
        <v>NULL</v>
      </c>
      <c r="H2191" s="14" t="str">
        <f>IF('Boletins Nuppa Site'!K2191&lt;&gt;0,'Boletins Nuppa Site'!K2191,"NULL")</f>
        <v>NULL</v>
      </c>
      <c r="I2191" t="str">
        <f t="shared" si="68"/>
        <v>INSERT INTO COTACAO (cot_id, cot_blt_id, cot_pap_id, cot_prc_comum, cot_prc_min, cot_prc_max, cot_prc_med, cot_prc_mediana) VALUES (2190, 92, 40, NULL, NULL, NULL, NULL, NULL);</v>
      </c>
      <c r="J2191" t="str">
        <f t="shared" si="69"/>
        <v>UPDATE COTACAO SET cot_id = 2190, cot_blt_id = 92, cot_pap_id = 40, cot_prc_comum = NULL, cot_prc_min = NULL, cot_prc_max = NULL, cot_prc_med = NULL, cot_prc_mediana = NULL WHERE cot_id = 2190;</v>
      </c>
    </row>
    <row r="2192" spans="1:10" x14ac:dyDescent="0.3">
      <c r="A2192">
        <v>2191</v>
      </c>
      <c r="B2192">
        <f>IF('Boletins Nuppa Site'!A2192&lt;&gt;0,'Boletins Nuppa Site'!A2192,"NULL")</f>
        <v>93</v>
      </c>
      <c r="C2192">
        <v>1</v>
      </c>
      <c r="D2192" t="str">
        <f>IF('Boletins Nuppa Site'!G2192&lt;&gt;0,'Boletins Nuppa Site'!G2192,"NULL")</f>
        <v xml:space="preserve"> 60.00</v>
      </c>
      <c r="E2192" s="14" t="str">
        <f>IF('Boletins Nuppa Site'!H2192&lt;&gt;0,'Boletins Nuppa Site'!H2192,"NULL")</f>
        <v xml:space="preserve"> 60.00</v>
      </c>
      <c r="F2192" s="14" t="str">
        <f>IF('Boletins Nuppa Site'!I2192&lt;&gt;0,'Boletins Nuppa Site'!I2192,"NULL")</f>
        <v xml:space="preserve"> 60.00</v>
      </c>
      <c r="G2192" s="14" t="str">
        <f>IF('Boletins Nuppa Site'!J2192&lt;&gt;0,'Boletins Nuppa Site'!J2192,"NULL")</f>
        <v xml:space="preserve"> 60.00</v>
      </c>
      <c r="H2192" s="14" t="str">
        <f>IF('Boletins Nuppa Site'!K2192&lt;&gt;0,'Boletins Nuppa Site'!K2192,"NULL")</f>
        <v xml:space="preserve"> 60.00</v>
      </c>
      <c r="I2192" t="str">
        <f t="shared" si="68"/>
        <v>INSERT INTO COTACAO (cot_id, cot_blt_id, cot_pap_id, cot_prc_comum, cot_prc_min, cot_prc_max, cot_prc_med, cot_prc_mediana) VALUES (2191, 93, 1,  60.00,  60.00,  60.00,  60.00,  60.00);</v>
      </c>
      <c r="J2192" t="str">
        <f t="shared" si="69"/>
        <v>UPDATE COTACAO SET cot_id = 2191, cot_blt_id = 93, cot_pap_id = 1, cot_prc_comum =  60.00, cot_prc_min =  60.00, cot_prc_max =  60.00, cot_prc_med =  60.00, cot_prc_mediana =  60.00 WHERE cot_id = 2191;</v>
      </c>
    </row>
    <row r="2193" spans="1:10" x14ac:dyDescent="0.3">
      <c r="A2193">
        <v>2192</v>
      </c>
      <c r="B2193">
        <f>IF('Boletins Nuppa Site'!A2193&lt;&gt;0,'Boletins Nuppa Site'!A2193,"NULL")</f>
        <v>93</v>
      </c>
      <c r="C2193">
        <v>2</v>
      </c>
      <c r="D2193" t="str">
        <f>IF('Boletins Nuppa Site'!G2193&lt;&gt;0,'Boletins Nuppa Site'!G2193,"NULL")</f>
        <v xml:space="preserve"> 96.00</v>
      </c>
      <c r="E2193" s="14" t="str">
        <f>IF('Boletins Nuppa Site'!H2193&lt;&gt;0,'Boletins Nuppa Site'!H2193,"NULL")</f>
        <v xml:space="preserve"> 60.00</v>
      </c>
      <c r="F2193" s="14" t="str">
        <f>IF('Boletins Nuppa Site'!I2193&lt;&gt;0,'Boletins Nuppa Site'!I2193,"NULL")</f>
        <v xml:space="preserve"> 96.00</v>
      </c>
      <c r="G2193" s="14" t="str">
        <f>IF('Boletins Nuppa Site'!J2193&lt;&gt;0,'Boletins Nuppa Site'!J2193,"NULL")</f>
        <v xml:space="preserve"> 84.00</v>
      </c>
      <c r="H2193" s="14" t="str">
        <f>IF('Boletins Nuppa Site'!K2193&lt;&gt;0,'Boletins Nuppa Site'!K2193,"NULL")</f>
        <v xml:space="preserve"> 96.00</v>
      </c>
      <c r="I2193" t="str">
        <f t="shared" si="68"/>
        <v>INSERT INTO COTACAO (cot_id, cot_blt_id, cot_pap_id, cot_prc_comum, cot_prc_min, cot_prc_max, cot_prc_med, cot_prc_mediana) VALUES (2192, 93, 2,  96.00,  60.00,  96.00,  84.00,  96.00);</v>
      </c>
      <c r="J2193" t="str">
        <f t="shared" si="69"/>
        <v>UPDATE COTACAO SET cot_id = 2192, cot_blt_id = 93, cot_pap_id = 2, cot_prc_comum =  96.00, cot_prc_min =  60.00, cot_prc_max =  96.00, cot_prc_med =  84.00, cot_prc_mediana =  96.00 WHERE cot_id = 2192;</v>
      </c>
    </row>
    <row r="2194" spans="1:10" x14ac:dyDescent="0.3">
      <c r="A2194">
        <v>2193</v>
      </c>
      <c r="B2194">
        <f>IF('Boletins Nuppa Site'!A2194&lt;&gt;0,'Boletins Nuppa Site'!A2194,"NULL")</f>
        <v>93</v>
      </c>
      <c r="C2194">
        <v>3</v>
      </c>
      <c r="D2194" t="str">
        <f>IF('Boletins Nuppa Site'!G2194&lt;&gt;0,'Boletins Nuppa Site'!G2194,"NULL")</f>
        <v xml:space="preserve"> 48.00</v>
      </c>
      <c r="E2194" s="14" t="str">
        <f>IF('Boletins Nuppa Site'!H2194&lt;&gt;0,'Boletins Nuppa Site'!H2194,"NULL")</f>
        <v xml:space="preserve"> 48.00</v>
      </c>
      <c r="F2194" s="14" t="str">
        <f>IF('Boletins Nuppa Site'!I2194&lt;&gt;0,'Boletins Nuppa Site'!I2194,"NULL")</f>
        <v xml:space="preserve"> 54.00</v>
      </c>
      <c r="G2194" s="14" t="str">
        <f>IF('Boletins Nuppa Site'!J2194&lt;&gt;0,'Boletins Nuppa Site'!J2194,"NULL")</f>
        <v xml:space="preserve"> 50.00</v>
      </c>
      <c r="H2194" s="14" t="str">
        <f>IF('Boletins Nuppa Site'!K2194&lt;&gt;0,'Boletins Nuppa Site'!K2194,"NULL")</f>
        <v xml:space="preserve"> 48.00</v>
      </c>
      <c r="I2194" t="str">
        <f t="shared" si="68"/>
        <v>INSERT INTO COTACAO (cot_id, cot_blt_id, cot_pap_id, cot_prc_comum, cot_prc_min, cot_prc_max, cot_prc_med, cot_prc_mediana) VALUES (2193, 93, 3,  48.00,  48.00,  54.00,  50.00,  48.00);</v>
      </c>
      <c r="J2194" t="str">
        <f t="shared" si="69"/>
        <v>UPDATE COTACAO SET cot_id = 2193, cot_blt_id = 93, cot_pap_id = 3, cot_prc_comum =  48.00, cot_prc_min =  48.00, cot_prc_max =  54.00, cot_prc_med =  50.00, cot_prc_mediana =  48.00 WHERE cot_id = 2193;</v>
      </c>
    </row>
    <row r="2195" spans="1:10" x14ac:dyDescent="0.3">
      <c r="A2195">
        <v>2194</v>
      </c>
      <c r="B2195">
        <f>IF('Boletins Nuppa Site'!A2195&lt;&gt;0,'Boletins Nuppa Site'!A2195,"NULL")</f>
        <v>93</v>
      </c>
      <c r="C2195">
        <v>4</v>
      </c>
      <c r="D2195" t="str">
        <f>IF('Boletins Nuppa Site'!G2195&lt;&gt;0,'Boletins Nuppa Site'!G2195,"NULL")</f>
        <v xml:space="preserve"> 30.00</v>
      </c>
      <c r="E2195" s="14" t="str">
        <f>IF('Boletins Nuppa Site'!H2195&lt;&gt;0,'Boletins Nuppa Site'!H2195,"NULL")</f>
        <v xml:space="preserve"> 30.00</v>
      </c>
      <c r="F2195" s="14" t="str">
        <f>IF('Boletins Nuppa Site'!I2195&lt;&gt;0,'Boletins Nuppa Site'!I2195,"NULL")</f>
        <v xml:space="preserve"> 30.00</v>
      </c>
      <c r="G2195" s="14" t="str">
        <f>IF('Boletins Nuppa Site'!J2195&lt;&gt;0,'Boletins Nuppa Site'!J2195,"NULL")</f>
        <v xml:space="preserve"> 30.00</v>
      </c>
      <c r="H2195" s="14" t="str">
        <f>IF('Boletins Nuppa Site'!K2195&lt;&gt;0,'Boletins Nuppa Site'!K2195,"NULL")</f>
        <v xml:space="preserve"> 30.00</v>
      </c>
      <c r="I2195" t="str">
        <f t="shared" si="68"/>
        <v>INSERT INTO COTACAO (cot_id, cot_blt_id, cot_pap_id, cot_prc_comum, cot_prc_min, cot_prc_max, cot_prc_med, cot_prc_mediana) VALUES (2194, 93, 4,  30.00,  30.00,  30.00,  30.00,  30.00);</v>
      </c>
      <c r="J2195" t="str">
        <f t="shared" si="69"/>
        <v>UPDATE COTACAO SET cot_id = 2194, cot_blt_id = 93, cot_pap_id = 4, cot_prc_comum =  30.00, cot_prc_min =  30.00, cot_prc_max =  30.00, cot_prc_med =  30.00, cot_prc_mediana =  30.00 WHERE cot_id = 2194;</v>
      </c>
    </row>
    <row r="2196" spans="1:10" x14ac:dyDescent="0.3">
      <c r="A2196">
        <v>2195</v>
      </c>
      <c r="B2196">
        <f>IF('Boletins Nuppa Site'!A2196&lt;&gt;0,'Boletins Nuppa Site'!A2196,"NULL")</f>
        <v>93</v>
      </c>
      <c r="C2196">
        <v>5</v>
      </c>
      <c r="D2196" t="str">
        <f>IF('Boletins Nuppa Site'!G2196&lt;&gt;0,'Boletins Nuppa Site'!G2196,"NULL")</f>
        <v xml:space="preserve"> 30.00</v>
      </c>
      <c r="E2196" s="14" t="str">
        <f>IF('Boletins Nuppa Site'!H2196&lt;&gt;0,'Boletins Nuppa Site'!H2196,"NULL")</f>
        <v xml:space="preserve"> 30.00</v>
      </c>
      <c r="F2196" s="14" t="str">
        <f>IF('Boletins Nuppa Site'!I2196&lt;&gt;0,'Boletins Nuppa Site'!I2196,"NULL")</f>
        <v xml:space="preserve"> 30.00</v>
      </c>
      <c r="G2196" s="14" t="str">
        <f>IF('Boletins Nuppa Site'!J2196&lt;&gt;0,'Boletins Nuppa Site'!J2196,"NULL")</f>
        <v xml:space="preserve"> 30.00</v>
      </c>
      <c r="H2196" s="14" t="str">
        <f>IF('Boletins Nuppa Site'!K2196&lt;&gt;0,'Boletins Nuppa Site'!K2196,"NULL")</f>
        <v xml:space="preserve"> 30.00</v>
      </c>
      <c r="I2196" t="str">
        <f t="shared" si="68"/>
        <v>INSERT INTO COTACAO (cot_id, cot_blt_id, cot_pap_id, cot_prc_comum, cot_prc_min, cot_prc_max, cot_prc_med, cot_prc_mediana) VALUES (2195, 93, 5,  30.00,  30.00,  30.00,  30.00,  30.00);</v>
      </c>
      <c r="J2196" t="str">
        <f t="shared" si="69"/>
        <v>UPDATE COTACAO SET cot_id = 2195, cot_blt_id = 93, cot_pap_id = 5, cot_prc_comum =  30.00, cot_prc_min =  30.00, cot_prc_max =  30.00, cot_prc_med =  30.00, cot_prc_mediana =  30.00 WHERE cot_id = 2195;</v>
      </c>
    </row>
    <row r="2197" spans="1:10" x14ac:dyDescent="0.3">
      <c r="A2197">
        <v>2196</v>
      </c>
      <c r="B2197">
        <f>IF('Boletins Nuppa Site'!A2197&lt;&gt;0,'Boletins Nuppa Site'!A2197,"NULL")</f>
        <v>93</v>
      </c>
      <c r="C2197">
        <v>6</v>
      </c>
      <c r="D2197" t="str">
        <f>IF('Boletins Nuppa Site'!G2197&lt;&gt;0,'Boletins Nuppa Site'!G2197,"NULL")</f>
        <v xml:space="preserve"> 72.00</v>
      </c>
      <c r="E2197" s="14" t="str">
        <f>IF('Boletins Nuppa Site'!H2197&lt;&gt;0,'Boletins Nuppa Site'!H2197,"NULL")</f>
        <v xml:space="preserve"> 60.00</v>
      </c>
      <c r="F2197" s="14" t="str">
        <f>IF('Boletins Nuppa Site'!I2197&lt;&gt;0,'Boletins Nuppa Site'!I2197,"NULL")</f>
        <v xml:space="preserve"> 72.00</v>
      </c>
      <c r="G2197" s="14" t="str">
        <f>IF('Boletins Nuppa Site'!J2197&lt;&gt;0,'Boletins Nuppa Site'!J2197,"NULL")</f>
        <v xml:space="preserve"> 68.00</v>
      </c>
      <c r="H2197" s="14" t="str">
        <f>IF('Boletins Nuppa Site'!K2197&lt;&gt;0,'Boletins Nuppa Site'!K2197,"NULL")</f>
        <v xml:space="preserve"> 72.00</v>
      </c>
      <c r="I2197" t="str">
        <f t="shared" si="68"/>
        <v>INSERT INTO COTACAO (cot_id, cot_blt_id, cot_pap_id, cot_prc_comum, cot_prc_min, cot_prc_max, cot_prc_med, cot_prc_mediana) VALUES (2196, 93, 6,  72.00,  60.00,  72.00,  68.00,  72.00);</v>
      </c>
      <c r="J2197" t="str">
        <f t="shared" si="69"/>
        <v>UPDATE COTACAO SET cot_id = 2196, cot_blt_id = 93, cot_pap_id = 6, cot_prc_comum =  72.00, cot_prc_min =  60.00, cot_prc_max =  72.00, cot_prc_med =  68.00, cot_prc_mediana =  72.00 WHERE cot_id = 2196;</v>
      </c>
    </row>
    <row r="2198" spans="1:10" x14ac:dyDescent="0.3">
      <c r="A2198">
        <v>2197</v>
      </c>
      <c r="B2198">
        <f>IF('Boletins Nuppa Site'!A2198&lt;&gt;0,'Boletins Nuppa Site'!A2198,"NULL")</f>
        <v>93</v>
      </c>
      <c r="C2198">
        <v>7</v>
      </c>
      <c r="D2198" t="str">
        <f>IF('Boletins Nuppa Site'!G2198&lt;&gt;0,'Boletins Nuppa Site'!G2198,"NULL")</f>
        <v>NULL</v>
      </c>
      <c r="E2198" s="14" t="str">
        <f>IF('Boletins Nuppa Site'!H2198&lt;&gt;0,'Boletins Nuppa Site'!H2198,"NULL")</f>
        <v xml:space="preserve"> 95.00</v>
      </c>
      <c r="F2198" s="14" t="str">
        <f>IF('Boletins Nuppa Site'!I2198&lt;&gt;0,'Boletins Nuppa Site'!I2198,"NULL")</f>
        <v xml:space="preserve"> 108.00</v>
      </c>
      <c r="G2198" s="14" t="str">
        <f>IF('Boletins Nuppa Site'!J2198&lt;&gt;0,'Boletins Nuppa Site'!J2198,"NULL")</f>
        <v xml:space="preserve"> 99.67</v>
      </c>
      <c r="H2198" s="14" t="str">
        <f>IF('Boletins Nuppa Site'!K2198&lt;&gt;0,'Boletins Nuppa Site'!K2198,"NULL")</f>
        <v xml:space="preserve"> 96.00</v>
      </c>
      <c r="I2198" t="str">
        <f t="shared" si="68"/>
        <v>INSERT INTO COTACAO (cot_id, cot_blt_id, cot_pap_id, cot_prc_comum, cot_prc_min, cot_prc_max, cot_prc_med, cot_prc_mediana) VALUES (2197, 93, 7, NULL,  95.00,  108.00,  99.67,  96.00);</v>
      </c>
      <c r="J2198" t="str">
        <f t="shared" si="69"/>
        <v>UPDATE COTACAO SET cot_id = 2197, cot_blt_id = 93, cot_pap_id = 7, cot_prc_comum = NULL, cot_prc_min =  95.00, cot_prc_max =  108.00, cot_prc_med =  99.67, cot_prc_mediana =  96.00 WHERE cot_id = 2197;</v>
      </c>
    </row>
    <row r="2199" spans="1:10" x14ac:dyDescent="0.3">
      <c r="A2199">
        <v>2198</v>
      </c>
      <c r="B2199">
        <f>IF('Boletins Nuppa Site'!A2199&lt;&gt;0,'Boletins Nuppa Site'!A2199,"NULL")</f>
        <v>93</v>
      </c>
      <c r="C2199">
        <v>8</v>
      </c>
      <c r="D2199" t="str">
        <f>IF('Boletins Nuppa Site'!G2199&lt;&gt;0,'Boletins Nuppa Site'!G2199,"NULL")</f>
        <v>NULL</v>
      </c>
      <c r="E2199" s="14" t="str">
        <f>IF('Boletins Nuppa Site'!H2199&lt;&gt;0,'Boletins Nuppa Site'!H2199,"NULL")</f>
        <v xml:space="preserve"> 84.00</v>
      </c>
      <c r="F2199" s="14" t="str">
        <f>IF('Boletins Nuppa Site'!I2199&lt;&gt;0,'Boletins Nuppa Site'!I2199,"NULL")</f>
        <v xml:space="preserve"> 102.00</v>
      </c>
      <c r="G2199" s="14" t="str">
        <f>IF('Boletins Nuppa Site'!J2199&lt;&gt;0,'Boletins Nuppa Site'!J2199,"NULL")</f>
        <v xml:space="preserve"> 95.33</v>
      </c>
      <c r="H2199" s="14" t="str">
        <f>IF('Boletins Nuppa Site'!K2199&lt;&gt;0,'Boletins Nuppa Site'!K2199,"NULL")</f>
        <v xml:space="preserve"> 100.00</v>
      </c>
      <c r="I2199" t="str">
        <f t="shared" si="68"/>
        <v>INSERT INTO COTACAO (cot_id, cot_blt_id, cot_pap_id, cot_prc_comum, cot_prc_min, cot_prc_max, cot_prc_med, cot_prc_mediana) VALUES (2198, 93, 8, NULL,  84.00,  102.00,  95.33,  100.00);</v>
      </c>
      <c r="J2199" t="str">
        <f t="shared" si="69"/>
        <v>UPDATE COTACAO SET cot_id = 2198, cot_blt_id = 93, cot_pap_id = 8, cot_prc_comum = NULL, cot_prc_min =  84.00, cot_prc_max =  102.00, cot_prc_med =  95.33, cot_prc_mediana =  100.00 WHERE cot_id = 2198;</v>
      </c>
    </row>
    <row r="2200" spans="1:10" x14ac:dyDescent="0.3">
      <c r="A2200">
        <v>2199</v>
      </c>
      <c r="B2200">
        <f>IF('Boletins Nuppa Site'!A2200&lt;&gt;0,'Boletins Nuppa Site'!A2200,"NULL")</f>
        <v>93</v>
      </c>
      <c r="C2200">
        <v>9</v>
      </c>
      <c r="D2200" t="str">
        <f>IF('Boletins Nuppa Site'!G2200&lt;&gt;0,'Boletins Nuppa Site'!G2200,"NULL")</f>
        <v>NULL</v>
      </c>
      <c r="E2200" s="14" t="str">
        <f>IF('Boletins Nuppa Site'!H2200&lt;&gt;0,'Boletins Nuppa Site'!H2200,"NULL")</f>
        <v xml:space="preserve"> 30.00</v>
      </c>
      <c r="F2200" s="14" t="str">
        <f>IF('Boletins Nuppa Site'!I2200&lt;&gt;0,'Boletins Nuppa Site'!I2200,"NULL")</f>
        <v xml:space="preserve"> 36.00</v>
      </c>
      <c r="G2200" s="14" t="str">
        <f>IF('Boletins Nuppa Site'!J2200&lt;&gt;0,'Boletins Nuppa Site'!J2200,"NULL")</f>
        <v xml:space="preserve"> 32.67</v>
      </c>
      <c r="H2200" s="14" t="str">
        <f>IF('Boletins Nuppa Site'!K2200&lt;&gt;0,'Boletins Nuppa Site'!K2200,"NULL")</f>
        <v xml:space="preserve"> 32.00</v>
      </c>
      <c r="I2200" t="str">
        <f t="shared" si="68"/>
        <v>INSERT INTO COTACAO (cot_id, cot_blt_id, cot_pap_id, cot_prc_comum, cot_prc_min, cot_prc_max, cot_prc_med, cot_prc_mediana) VALUES (2199, 93, 9, NULL,  30.00,  36.00,  32.67,  32.00);</v>
      </c>
      <c r="J2200" t="str">
        <f t="shared" si="69"/>
        <v>UPDATE COTACAO SET cot_id = 2199, cot_blt_id = 93, cot_pap_id = 9, cot_prc_comum = NULL, cot_prc_min =  30.00, cot_prc_max =  36.00, cot_prc_med =  32.67, cot_prc_mediana =  32.00 WHERE cot_id = 2199;</v>
      </c>
    </row>
    <row r="2201" spans="1:10" x14ac:dyDescent="0.3">
      <c r="A2201">
        <v>2200</v>
      </c>
      <c r="B2201">
        <f>IF('Boletins Nuppa Site'!A2201&lt;&gt;0,'Boletins Nuppa Site'!A2201,"NULL")</f>
        <v>93</v>
      </c>
      <c r="C2201">
        <v>10</v>
      </c>
      <c r="D2201" t="str">
        <f>IF('Boletins Nuppa Site'!G2201&lt;&gt;0,'Boletins Nuppa Site'!G2201,"NULL")</f>
        <v>NULL</v>
      </c>
      <c r="E2201" s="14" t="str">
        <f>IF('Boletins Nuppa Site'!H2201&lt;&gt;0,'Boletins Nuppa Site'!H2201,"NULL")</f>
        <v xml:space="preserve"> 105.00</v>
      </c>
      <c r="F2201" s="14" t="str">
        <f>IF('Boletins Nuppa Site'!I2201&lt;&gt;0,'Boletins Nuppa Site'!I2201,"NULL")</f>
        <v xml:space="preserve"> 120.00</v>
      </c>
      <c r="G2201" s="14" t="str">
        <f>IF('Boletins Nuppa Site'!J2201&lt;&gt;0,'Boletins Nuppa Site'!J2201,"NULL")</f>
        <v xml:space="preserve"> 111.00</v>
      </c>
      <c r="H2201" s="14" t="str">
        <f>IF('Boletins Nuppa Site'!K2201&lt;&gt;0,'Boletins Nuppa Site'!K2201,"NULL")</f>
        <v xml:space="preserve"> 108.00</v>
      </c>
      <c r="I2201" t="str">
        <f t="shared" si="68"/>
        <v>INSERT INTO COTACAO (cot_id, cot_blt_id, cot_pap_id, cot_prc_comum, cot_prc_min, cot_prc_max, cot_prc_med, cot_prc_mediana) VALUES (2200, 93, 10, NULL,  105.00,  120.00,  111.00,  108.00);</v>
      </c>
      <c r="J2201" t="str">
        <f t="shared" si="69"/>
        <v>UPDATE COTACAO SET cot_id = 2200, cot_blt_id = 93, cot_pap_id = 10, cot_prc_comum = NULL, cot_prc_min =  105.00, cot_prc_max =  120.00, cot_prc_med =  111.00, cot_prc_mediana =  108.00 WHERE cot_id = 2200;</v>
      </c>
    </row>
    <row r="2202" spans="1:10" x14ac:dyDescent="0.3">
      <c r="A2202">
        <v>2201</v>
      </c>
      <c r="B2202">
        <f>IF('Boletins Nuppa Site'!A2202&lt;&gt;0,'Boletins Nuppa Site'!A2202,"NULL")</f>
        <v>93</v>
      </c>
      <c r="C2202">
        <v>11</v>
      </c>
      <c r="D2202" t="str">
        <f>IF('Boletins Nuppa Site'!G2202&lt;&gt;0,'Boletins Nuppa Site'!G2202,"NULL")</f>
        <v xml:space="preserve"> 30.00</v>
      </c>
      <c r="E2202" s="14" t="str">
        <f>IF('Boletins Nuppa Site'!H2202&lt;&gt;0,'Boletins Nuppa Site'!H2202,"NULL")</f>
        <v xml:space="preserve"> 30.00</v>
      </c>
      <c r="F2202" s="14" t="str">
        <f>IF('Boletins Nuppa Site'!I2202&lt;&gt;0,'Boletins Nuppa Site'!I2202,"NULL")</f>
        <v xml:space="preserve"> 30.00</v>
      </c>
      <c r="G2202" s="14" t="str">
        <f>IF('Boletins Nuppa Site'!J2202&lt;&gt;0,'Boletins Nuppa Site'!J2202,"NULL")</f>
        <v xml:space="preserve"> 30.00</v>
      </c>
      <c r="H2202" s="14" t="str">
        <f>IF('Boletins Nuppa Site'!K2202&lt;&gt;0,'Boletins Nuppa Site'!K2202,"NULL")</f>
        <v xml:space="preserve"> 30.00</v>
      </c>
      <c r="I2202" t="str">
        <f t="shared" si="68"/>
        <v>INSERT INTO COTACAO (cot_id, cot_blt_id, cot_pap_id, cot_prc_comum, cot_prc_min, cot_prc_max, cot_prc_med, cot_prc_mediana) VALUES (2201, 93, 11,  30.00,  30.00,  30.00,  30.00,  30.00);</v>
      </c>
      <c r="J2202" t="str">
        <f t="shared" si="69"/>
        <v>UPDATE COTACAO SET cot_id = 2201, cot_blt_id = 93, cot_pap_id = 11, cot_prc_comum =  30.00, cot_prc_min =  30.00, cot_prc_max =  30.00, cot_prc_med =  30.00, cot_prc_mediana =  30.00 WHERE cot_id = 2201;</v>
      </c>
    </row>
    <row r="2203" spans="1:10" x14ac:dyDescent="0.3">
      <c r="A2203">
        <v>2202</v>
      </c>
      <c r="B2203">
        <f>IF('Boletins Nuppa Site'!A2203&lt;&gt;0,'Boletins Nuppa Site'!A2203,"NULL")</f>
        <v>93</v>
      </c>
      <c r="C2203">
        <v>12</v>
      </c>
      <c r="D2203" t="str">
        <f>IF('Boletins Nuppa Site'!G2203&lt;&gt;0,'Boletins Nuppa Site'!G2203,"NULL")</f>
        <v xml:space="preserve"> 70.00</v>
      </c>
      <c r="E2203" s="14" t="str">
        <f>IF('Boletins Nuppa Site'!H2203&lt;&gt;0,'Boletins Nuppa Site'!H2203,"NULL")</f>
        <v xml:space="preserve"> 60.00</v>
      </c>
      <c r="F2203" s="14" t="str">
        <f>IF('Boletins Nuppa Site'!I2203&lt;&gt;0,'Boletins Nuppa Site'!I2203,"NULL")</f>
        <v xml:space="preserve"> 70.00</v>
      </c>
      <c r="G2203" s="14" t="str">
        <f>IF('Boletins Nuppa Site'!J2203&lt;&gt;0,'Boletins Nuppa Site'!J2203,"NULL")</f>
        <v xml:space="preserve"> 66.67</v>
      </c>
      <c r="H2203" s="14" t="str">
        <f>IF('Boletins Nuppa Site'!K2203&lt;&gt;0,'Boletins Nuppa Site'!K2203,"NULL")</f>
        <v xml:space="preserve"> 70.00</v>
      </c>
      <c r="I2203" t="str">
        <f t="shared" si="68"/>
        <v>INSERT INTO COTACAO (cot_id, cot_blt_id, cot_pap_id, cot_prc_comum, cot_prc_min, cot_prc_max, cot_prc_med, cot_prc_mediana) VALUES (2202, 93, 12,  70.00,  60.00,  70.00,  66.67,  70.00);</v>
      </c>
      <c r="J2203" t="str">
        <f t="shared" si="69"/>
        <v>UPDATE COTACAO SET cot_id = 2202, cot_blt_id = 93, cot_pap_id = 12, cot_prc_comum =  70.00, cot_prc_min =  60.00, cot_prc_max =  70.00, cot_prc_med =  66.67, cot_prc_mediana =  70.00 WHERE cot_id = 2202;</v>
      </c>
    </row>
    <row r="2204" spans="1:10" x14ac:dyDescent="0.3">
      <c r="A2204">
        <v>2203</v>
      </c>
      <c r="B2204">
        <f>IF('Boletins Nuppa Site'!A2204&lt;&gt;0,'Boletins Nuppa Site'!A2204,"NULL")</f>
        <v>93</v>
      </c>
      <c r="C2204">
        <v>13</v>
      </c>
      <c r="D2204" t="str">
        <f>IF('Boletins Nuppa Site'!G2204&lt;&gt;0,'Boletins Nuppa Site'!G2204,"NULL")</f>
        <v xml:space="preserve"> 60.00</v>
      </c>
      <c r="E2204" s="14" t="str">
        <f>IF('Boletins Nuppa Site'!H2204&lt;&gt;0,'Boletins Nuppa Site'!H2204,"NULL")</f>
        <v xml:space="preserve"> 60.00</v>
      </c>
      <c r="F2204" s="14" t="str">
        <f>IF('Boletins Nuppa Site'!I2204&lt;&gt;0,'Boletins Nuppa Site'!I2204,"NULL")</f>
        <v xml:space="preserve"> 60.00</v>
      </c>
      <c r="G2204" s="14" t="str">
        <f>IF('Boletins Nuppa Site'!J2204&lt;&gt;0,'Boletins Nuppa Site'!J2204,"NULL")</f>
        <v xml:space="preserve"> 60.00</v>
      </c>
      <c r="H2204" s="14" t="str">
        <f>IF('Boletins Nuppa Site'!K2204&lt;&gt;0,'Boletins Nuppa Site'!K2204,"NULL")</f>
        <v xml:space="preserve"> 60.00</v>
      </c>
      <c r="I2204" t="str">
        <f t="shared" si="68"/>
        <v>INSERT INTO COTACAO (cot_id, cot_blt_id, cot_pap_id, cot_prc_comum, cot_prc_min, cot_prc_max, cot_prc_med, cot_prc_mediana) VALUES (2203, 93, 13,  60.00,  60.00,  60.00,  60.00,  60.00);</v>
      </c>
      <c r="J2204" t="str">
        <f t="shared" si="69"/>
        <v>UPDATE COTACAO SET cot_id = 2203, cot_blt_id = 93, cot_pap_id = 13, cot_prc_comum =  60.00, cot_prc_min =  60.00, cot_prc_max =  60.00, cot_prc_med =  60.00, cot_prc_mediana =  60.00 WHERE cot_id = 2203;</v>
      </c>
    </row>
    <row r="2205" spans="1:10" x14ac:dyDescent="0.3">
      <c r="A2205">
        <v>2204</v>
      </c>
      <c r="B2205">
        <f>IF('Boletins Nuppa Site'!A2205&lt;&gt;0,'Boletins Nuppa Site'!A2205,"NULL")</f>
        <v>93</v>
      </c>
      <c r="C2205">
        <v>14</v>
      </c>
      <c r="D2205" t="str">
        <f>IF('Boletins Nuppa Site'!G2205&lt;&gt;0,'Boletins Nuppa Site'!G2205,"NULL")</f>
        <v xml:space="preserve"> 84.00</v>
      </c>
      <c r="E2205" s="14" t="str">
        <f>IF('Boletins Nuppa Site'!H2205&lt;&gt;0,'Boletins Nuppa Site'!H2205,"NULL")</f>
        <v xml:space="preserve"> 84.00</v>
      </c>
      <c r="F2205" s="14" t="str">
        <f>IF('Boletins Nuppa Site'!I2205&lt;&gt;0,'Boletins Nuppa Site'!I2205,"NULL")</f>
        <v xml:space="preserve"> 86.00</v>
      </c>
      <c r="G2205" s="14" t="str">
        <f>IF('Boletins Nuppa Site'!J2205&lt;&gt;0,'Boletins Nuppa Site'!J2205,"NULL")</f>
        <v xml:space="preserve"> 84.67</v>
      </c>
      <c r="H2205" s="14" t="str">
        <f>IF('Boletins Nuppa Site'!K2205&lt;&gt;0,'Boletins Nuppa Site'!K2205,"NULL")</f>
        <v xml:space="preserve"> 84.00</v>
      </c>
      <c r="I2205" t="str">
        <f t="shared" si="68"/>
        <v>INSERT INTO COTACAO (cot_id, cot_blt_id, cot_pap_id, cot_prc_comum, cot_prc_min, cot_prc_max, cot_prc_med, cot_prc_mediana) VALUES (2204, 93, 14,  84.00,  84.00,  86.00,  84.67,  84.00);</v>
      </c>
      <c r="J2205" t="str">
        <f t="shared" si="69"/>
        <v>UPDATE COTACAO SET cot_id = 2204, cot_blt_id = 93, cot_pap_id = 14, cot_prc_comum =  84.00, cot_prc_min =  84.00, cot_prc_max =  86.00, cot_prc_med =  84.67, cot_prc_mediana =  84.00 WHERE cot_id = 2204;</v>
      </c>
    </row>
    <row r="2206" spans="1:10" x14ac:dyDescent="0.3">
      <c r="A2206">
        <v>2205</v>
      </c>
      <c r="B2206">
        <f>IF('Boletins Nuppa Site'!A2206&lt;&gt;0,'Boletins Nuppa Site'!A2206,"NULL")</f>
        <v>93</v>
      </c>
      <c r="C2206">
        <v>15</v>
      </c>
      <c r="D2206" t="str">
        <f>IF('Boletins Nuppa Site'!G2206&lt;&gt;0,'Boletins Nuppa Site'!G2206,"NULL")</f>
        <v xml:space="preserve"> 90.00</v>
      </c>
      <c r="E2206" s="14" t="str">
        <f>IF('Boletins Nuppa Site'!H2206&lt;&gt;0,'Boletins Nuppa Site'!H2206,"NULL")</f>
        <v xml:space="preserve"> 60.00</v>
      </c>
      <c r="F2206" s="14" t="str">
        <f>IF('Boletins Nuppa Site'!I2206&lt;&gt;0,'Boletins Nuppa Site'!I2206,"NULL")</f>
        <v xml:space="preserve"> 90.00</v>
      </c>
      <c r="G2206" s="14" t="str">
        <f>IF('Boletins Nuppa Site'!J2206&lt;&gt;0,'Boletins Nuppa Site'!J2206,"NULL")</f>
        <v xml:space="preserve"> 80.00</v>
      </c>
      <c r="H2206" s="14" t="str">
        <f>IF('Boletins Nuppa Site'!K2206&lt;&gt;0,'Boletins Nuppa Site'!K2206,"NULL")</f>
        <v xml:space="preserve"> 90.00</v>
      </c>
      <c r="I2206" t="str">
        <f t="shared" si="68"/>
        <v>INSERT INTO COTACAO (cot_id, cot_blt_id, cot_pap_id, cot_prc_comum, cot_prc_min, cot_prc_max, cot_prc_med, cot_prc_mediana) VALUES (2205, 93, 15,  90.00,  60.00,  90.00,  80.00,  90.00);</v>
      </c>
      <c r="J2206" t="str">
        <f t="shared" si="69"/>
        <v>UPDATE COTACAO SET cot_id = 2205, cot_blt_id = 93, cot_pap_id = 15, cot_prc_comum =  90.00, cot_prc_min =  60.00, cot_prc_max =  90.00, cot_prc_med =  80.00, cot_prc_mediana =  90.00 WHERE cot_id = 2205;</v>
      </c>
    </row>
    <row r="2207" spans="1:10" x14ac:dyDescent="0.3">
      <c r="A2207">
        <v>2206</v>
      </c>
      <c r="B2207">
        <f>IF('Boletins Nuppa Site'!A2207&lt;&gt;0,'Boletins Nuppa Site'!A2207,"NULL")</f>
        <v>93</v>
      </c>
      <c r="C2207">
        <v>16</v>
      </c>
      <c r="D2207" t="str">
        <f>IF('Boletins Nuppa Site'!G2207&lt;&gt;0,'Boletins Nuppa Site'!G2207,"NULL")</f>
        <v xml:space="preserve"> 60.00</v>
      </c>
      <c r="E2207" s="14" t="str">
        <f>IF('Boletins Nuppa Site'!H2207&lt;&gt;0,'Boletins Nuppa Site'!H2207,"NULL")</f>
        <v xml:space="preserve"> 60.00</v>
      </c>
      <c r="F2207" s="14" t="str">
        <f>IF('Boletins Nuppa Site'!I2207&lt;&gt;0,'Boletins Nuppa Site'!I2207,"NULL")</f>
        <v xml:space="preserve"> 61.00</v>
      </c>
      <c r="G2207" s="14" t="str">
        <f>IF('Boletins Nuppa Site'!J2207&lt;&gt;0,'Boletins Nuppa Site'!J2207,"NULL")</f>
        <v xml:space="preserve"> 60.33</v>
      </c>
      <c r="H2207" s="14" t="str">
        <f>IF('Boletins Nuppa Site'!K2207&lt;&gt;0,'Boletins Nuppa Site'!K2207,"NULL")</f>
        <v xml:space="preserve"> 60.00</v>
      </c>
      <c r="I2207" t="str">
        <f t="shared" si="68"/>
        <v>INSERT INTO COTACAO (cot_id, cot_blt_id, cot_pap_id, cot_prc_comum, cot_prc_min, cot_prc_max, cot_prc_med, cot_prc_mediana) VALUES (2206, 93, 16,  60.00,  60.00,  61.00,  60.33,  60.00);</v>
      </c>
      <c r="J2207" t="str">
        <f t="shared" si="69"/>
        <v>UPDATE COTACAO SET cot_id = 2206, cot_blt_id = 93, cot_pap_id = 16, cot_prc_comum =  60.00, cot_prc_min =  60.00, cot_prc_max =  61.00, cot_prc_med =  60.33, cot_prc_mediana =  60.00 WHERE cot_id = 2206;</v>
      </c>
    </row>
    <row r="2208" spans="1:10" x14ac:dyDescent="0.3">
      <c r="A2208">
        <v>2207</v>
      </c>
      <c r="B2208">
        <f>IF('Boletins Nuppa Site'!A2208&lt;&gt;0,'Boletins Nuppa Site'!A2208,"NULL")</f>
        <v>93</v>
      </c>
      <c r="C2208">
        <v>17</v>
      </c>
      <c r="D2208" t="str">
        <f>IF('Boletins Nuppa Site'!G2208&lt;&gt;0,'Boletins Nuppa Site'!G2208,"NULL")</f>
        <v xml:space="preserve"> 5.00</v>
      </c>
      <c r="E2208" s="14" t="str">
        <f>IF('Boletins Nuppa Site'!H2208&lt;&gt;0,'Boletins Nuppa Site'!H2208,"NULL")</f>
        <v xml:space="preserve"> 5.00</v>
      </c>
      <c r="F2208" s="14" t="str">
        <f>IF('Boletins Nuppa Site'!I2208&lt;&gt;0,'Boletins Nuppa Site'!I2208,"NULL")</f>
        <v xml:space="preserve"> 5.00</v>
      </c>
      <c r="G2208" s="14" t="str">
        <f>IF('Boletins Nuppa Site'!J2208&lt;&gt;0,'Boletins Nuppa Site'!J2208,"NULL")</f>
        <v xml:space="preserve"> 5.00</v>
      </c>
      <c r="H2208" s="14" t="str">
        <f>IF('Boletins Nuppa Site'!K2208&lt;&gt;0,'Boletins Nuppa Site'!K2208,"NULL")</f>
        <v xml:space="preserve"> 5.00</v>
      </c>
      <c r="I2208" t="str">
        <f t="shared" si="68"/>
        <v>INSERT INTO COTACAO (cot_id, cot_blt_id, cot_pap_id, cot_prc_comum, cot_prc_min, cot_prc_max, cot_prc_med, cot_prc_mediana) VALUES (2207, 93, 17,  5.00,  5.00,  5.00,  5.00,  5.00);</v>
      </c>
      <c r="J2208" t="str">
        <f t="shared" si="69"/>
        <v>UPDATE COTACAO SET cot_id = 2207, cot_blt_id = 93, cot_pap_id = 17, cot_prc_comum =  5.00, cot_prc_min =  5.00, cot_prc_max =  5.00, cot_prc_med =  5.00, cot_prc_mediana =  5.00 WHERE cot_id = 2207;</v>
      </c>
    </row>
    <row r="2209" spans="1:10" x14ac:dyDescent="0.3">
      <c r="A2209">
        <v>2208</v>
      </c>
      <c r="B2209">
        <f>IF('Boletins Nuppa Site'!A2209&lt;&gt;0,'Boletins Nuppa Site'!A2209,"NULL")</f>
        <v>93</v>
      </c>
      <c r="C2209">
        <v>18</v>
      </c>
      <c r="D2209" t="str">
        <f>IF('Boletins Nuppa Site'!G2209&lt;&gt;0,'Boletins Nuppa Site'!G2209,"NULL")</f>
        <v xml:space="preserve"> 35.00</v>
      </c>
      <c r="E2209" s="14" t="str">
        <f>IF('Boletins Nuppa Site'!H2209&lt;&gt;0,'Boletins Nuppa Site'!H2209,"NULL")</f>
        <v xml:space="preserve"> 35.00</v>
      </c>
      <c r="F2209" s="14" t="str">
        <f>IF('Boletins Nuppa Site'!I2209&lt;&gt;0,'Boletins Nuppa Site'!I2209,"NULL")</f>
        <v xml:space="preserve"> 40.00</v>
      </c>
      <c r="G2209" s="14" t="str">
        <f>IF('Boletins Nuppa Site'!J2209&lt;&gt;0,'Boletins Nuppa Site'!J2209,"NULL")</f>
        <v xml:space="preserve"> 36.67</v>
      </c>
      <c r="H2209" s="14" t="str">
        <f>IF('Boletins Nuppa Site'!K2209&lt;&gt;0,'Boletins Nuppa Site'!K2209,"NULL")</f>
        <v xml:space="preserve"> 35.00</v>
      </c>
      <c r="I2209" t="str">
        <f t="shared" si="68"/>
        <v>INSERT INTO COTACAO (cot_id, cot_blt_id, cot_pap_id, cot_prc_comum, cot_prc_min, cot_prc_max, cot_prc_med, cot_prc_mediana) VALUES (2208, 93, 18,  35.00,  35.00,  40.00,  36.67,  35.00);</v>
      </c>
      <c r="J2209" t="str">
        <f t="shared" si="69"/>
        <v>UPDATE COTACAO SET cot_id = 2208, cot_blt_id = 93, cot_pap_id = 18, cot_prc_comum =  35.00, cot_prc_min =  35.00, cot_prc_max =  40.00, cot_prc_med =  36.67, cot_prc_mediana =  35.00 WHERE cot_id = 2208;</v>
      </c>
    </row>
    <row r="2210" spans="1:10" x14ac:dyDescent="0.3">
      <c r="A2210">
        <v>2209</v>
      </c>
      <c r="B2210">
        <f>IF('Boletins Nuppa Site'!A2210&lt;&gt;0,'Boletins Nuppa Site'!A2210,"NULL")</f>
        <v>93</v>
      </c>
      <c r="C2210">
        <v>19</v>
      </c>
      <c r="D2210" t="str">
        <f>IF('Boletins Nuppa Site'!G2210&lt;&gt;0,'Boletins Nuppa Site'!G2210,"NULL")</f>
        <v xml:space="preserve"> 45.00</v>
      </c>
      <c r="E2210" s="14" t="str">
        <f>IF('Boletins Nuppa Site'!H2210&lt;&gt;0,'Boletins Nuppa Site'!H2210,"NULL")</f>
        <v xml:space="preserve"> 30.00</v>
      </c>
      <c r="F2210" s="14" t="str">
        <f>IF('Boletins Nuppa Site'!I2210&lt;&gt;0,'Boletins Nuppa Site'!I2210,"NULL")</f>
        <v xml:space="preserve"> 45.00</v>
      </c>
      <c r="G2210" s="14" t="str">
        <f>IF('Boletins Nuppa Site'!J2210&lt;&gt;0,'Boletins Nuppa Site'!J2210,"NULL")</f>
        <v xml:space="preserve"> 40.00</v>
      </c>
      <c r="H2210" s="14" t="str">
        <f>IF('Boletins Nuppa Site'!K2210&lt;&gt;0,'Boletins Nuppa Site'!K2210,"NULL")</f>
        <v xml:space="preserve"> 45.00</v>
      </c>
      <c r="I2210" t="str">
        <f t="shared" si="68"/>
        <v>INSERT INTO COTACAO (cot_id, cot_blt_id, cot_pap_id, cot_prc_comum, cot_prc_min, cot_prc_max, cot_prc_med, cot_prc_mediana) VALUES (2209, 93, 19,  45.00,  30.00,  45.00,  40.00,  45.00);</v>
      </c>
      <c r="J2210" t="str">
        <f t="shared" si="69"/>
        <v>UPDATE COTACAO SET cot_id = 2209, cot_blt_id = 93, cot_pap_id = 19, cot_prc_comum =  45.00, cot_prc_min =  30.00, cot_prc_max =  45.00, cot_prc_med =  40.00, cot_prc_mediana =  45.00 WHERE cot_id = 2209;</v>
      </c>
    </row>
    <row r="2211" spans="1:10" x14ac:dyDescent="0.3">
      <c r="A2211">
        <v>2210</v>
      </c>
      <c r="B2211">
        <f>IF('Boletins Nuppa Site'!A2211&lt;&gt;0,'Boletins Nuppa Site'!A2211,"NULL")</f>
        <v>93</v>
      </c>
      <c r="C2211">
        <v>20</v>
      </c>
      <c r="D2211" t="str">
        <f>IF('Boletins Nuppa Site'!G2211&lt;&gt;0,'Boletins Nuppa Site'!G2211,"NULL")</f>
        <v>NULL</v>
      </c>
      <c r="E2211" s="14" t="str">
        <f>IF('Boletins Nuppa Site'!H2211&lt;&gt;0,'Boletins Nuppa Site'!H2211,"NULL")</f>
        <v xml:space="preserve"> 55.00</v>
      </c>
      <c r="F2211" s="14" t="str">
        <f>IF('Boletins Nuppa Site'!I2211&lt;&gt;0,'Boletins Nuppa Site'!I2211,"NULL")</f>
        <v xml:space="preserve"> 65.00</v>
      </c>
      <c r="G2211" s="14" t="str">
        <f>IF('Boletins Nuppa Site'!J2211&lt;&gt;0,'Boletins Nuppa Site'!J2211,"NULL")</f>
        <v xml:space="preserve"> 60.00</v>
      </c>
      <c r="H2211" s="14" t="str">
        <f>IF('Boletins Nuppa Site'!K2211&lt;&gt;0,'Boletins Nuppa Site'!K2211,"NULL")</f>
        <v xml:space="preserve"> 60.00</v>
      </c>
      <c r="I2211" t="str">
        <f t="shared" si="68"/>
        <v>INSERT INTO COTACAO (cot_id, cot_blt_id, cot_pap_id, cot_prc_comum, cot_prc_min, cot_prc_max, cot_prc_med, cot_prc_mediana) VALUES (2210, 93, 20, NULL,  55.00,  65.00,  60.00,  60.00);</v>
      </c>
      <c r="J2211" t="str">
        <f t="shared" si="69"/>
        <v>UPDATE COTACAO SET cot_id = 2210, cot_blt_id = 93, cot_pap_id = 20, cot_prc_comum = NULL, cot_prc_min =  55.00, cot_prc_max =  65.00, cot_prc_med =  60.00, cot_prc_mediana =  60.00 WHERE cot_id = 2210;</v>
      </c>
    </row>
    <row r="2212" spans="1:10" x14ac:dyDescent="0.3">
      <c r="A2212">
        <v>2211</v>
      </c>
      <c r="B2212">
        <f>IF('Boletins Nuppa Site'!A2212&lt;&gt;0,'Boletins Nuppa Site'!A2212,"NULL")</f>
        <v>93</v>
      </c>
      <c r="C2212">
        <v>21</v>
      </c>
      <c r="D2212" t="str">
        <f>IF('Boletins Nuppa Site'!G2212&lt;&gt;0,'Boletins Nuppa Site'!G2212,"NULL")</f>
        <v xml:space="preserve"> 70.00</v>
      </c>
      <c r="E2212" s="14" t="str">
        <f>IF('Boletins Nuppa Site'!H2212&lt;&gt;0,'Boletins Nuppa Site'!H2212,"NULL")</f>
        <v xml:space="preserve"> 40.00</v>
      </c>
      <c r="F2212" s="14" t="str">
        <f>IF('Boletins Nuppa Site'!I2212&lt;&gt;0,'Boletins Nuppa Site'!I2212,"NULL")</f>
        <v xml:space="preserve"> 70.00</v>
      </c>
      <c r="G2212" s="14" t="str">
        <f>IF('Boletins Nuppa Site'!J2212&lt;&gt;0,'Boletins Nuppa Site'!J2212,"NULL")</f>
        <v xml:space="preserve"> 61.00</v>
      </c>
      <c r="H2212" s="14" t="str">
        <f>IF('Boletins Nuppa Site'!K2212&lt;&gt;0,'Boletins Nuppa Site'!K2212,"NULL")</f>
        <v xml:space="preserve"> 70.00</v>
      </c>
      <c r="I2212" t="str">
        <f t="shared" si="68"/>
        <v>INSERT INTO COTACAO (cot_id, cot_blt_id, cot_pap_id, cot_prc_comum, cot_prc_min, cot_prc_max, cot_prc_med, cot_prc_mediana) VALUES (2211, 93, 21,  70.00,  40.00,  70.00,  61.00,  70.00);</v>
      </c>
      <c r="J2212" t="str">
        <f t="shared" si="69"/>
        <v>UPDATE COTACAO SET cot_id = 2211, cot_blt_id = 93, cot_pap_id = 21, cot_prc_comum =  70.00, cot_prc_min =  40.00, cot_prc_max =  70.00, cot_prc_med =  61.00, cot_prc_mediana =  70.00 WHERE cot_id = 2211;</v>
      </c>
    </row>
    <row r="2213" spans="1:10" x14ac:dyDescent="0.3">
      <c r="A2213">
        <v>2212</v>
      </c>
      <c r="B2213">
        <f>IF('Boletins Nuppa Site'!A2213&lt;&gt;0,'Boletins Nuppa Site'!A2213,"NULL")</f>
        <v>93</v>
      </c>
      <c r="C2213">
        <v>22</v>
      </c>
      <c r="D2213" t="str">
        <f>IF('Boletins Nuppa Site'!G2213&lt;&gt;0,'Boletins Nuppa Site'!G2213,"NULL")</f>
        <v xml:space="preserve"> 60.00</v>
      </c>
      <c r="E2213" s="14" t="str">
        <f>IF('Boletins Nuppa Site'!H2213&lt;&gt;0,'Boletins Nuppa Site'!H2213,"NULL")</f>
        <v xml:space="preserve"> 45.00</v>
      </c>
      <c r="F2213" s="14" t="str">
        <f>IF('Boletins Nuppa Site'!I2213&lt;&gt;0,'Boletins Nuppa Site'!I2213,"NULL")</f>
        <v xml:space="preserve"> 70.00</v>
      </c>
      <c r="G2213" s="14" t="str">
        <f>IF('Boletins Nuppa Site'!J2213&lt;&gt;0,'Boletins Nuppa Site'!J2213,"NULL")</f>
        <v xml:space="preserve"> 59.00</v>
      </c>
      <c r="H2213" s="14" t="str">
        <f>IF('Boletins Nuppa Site'!K2213&lt;&gt;0,'Boletins Nuppa Site'!K2213,"NULL")</f>
        <v xml:space="preserve"> 60.00</v>
      </c>
      <c r="I2213" t="str">
        <f t="shared" si="68"/>
        <v>INSERT INTO COTACAO (cot_id, cot_blt_id, cot_pap_id, cot_prc_comum, cot_prc_min, cot_prc_max, cot_prc_med, cot_prc_mediana) VALUES (2212, 93, 22,  60.00,  45.00,  70.00,  59.00,  60.00);</v>
      </c>
      <c r="J2213" t="str">
        <f t="shared" si="69"/>
        <v>UPDATE COTACAO SET cot_id = 2212, cot_blt_id = 93, cot_pap_id = 22, cot_prc_comum =  60.00, cot_prc_min =  45.00, cot_prc_max =  70.00, cot_prc_med =  59.00, cot_prc_mediana =  60.00 WHERE cot_id = 2212;</v>
      </c>
    </row>
    <row r="2214" spans="1:10" x14ac:dyDescent="0.3">
      <c r="A2214">
        <v>2213</v>
      </c>
      <c r="B2214">
        <f>IF('Boletins Nuppa Site'!A2214&lt;&gt;0,'Boletins Nuppa Site'!A2214,"NULL")</f>
        <v>93</v>
      </c>
      <c r="C2214">
        <v>23</v>
      </c>
      <c r="D2214" t="str">
        <f>IF('Boletins Nuppa Site'!G2214&lt;&gt;0,'Boletins Nuppa Site'!G2214,"NULL")</f>
        <v>NULL</v>
      </c>
      <c r="E2214" s="14" t="str">
        <f>IF('Boletins Nuppa Site'!H2214&lt;&gt;0,'Boletins Nuppa Site'!H2214,"NULL")</f>
        <v xml:space="preserve"> 45.00</v>
      </c>
      <c r="F2214" s="14" t="str">
        <f>IF('Boletins Nuppa Site'!I2214&lt;&gt;0,'Boletins Nuppa Site'!I2214,"NULL")</f>
        <v xml:space="preserve"> 70.00</v>
      </c>
      <c r="G2214" s="14" t="str">
        <f>IF('Boletins Nuppa Site'!J2214&lt;&gt;0,'Boletins Nuppa Site'!J2214,"NULL")</f>
        <v xml:space="preserve"> 56.00</v>
      </c>
      <c r="H2214" s="14" t="str">
        <f>IF('Boletins Nuppa Site'!K2214&lt;&gt;0,'Boletins Nuppa Site'!K2214,"NULL")</f>
        <v xml:space="preserve"> 55.00</v>
      </c>
      <c r="I2214" t="str">
        <f t="shared" si="68"/>
        <v>INSERT INTO COTACAO (cot_id, cot_blt_id, cot_pap_id, cot_prc_comum, cot_prc_min, cot_prc_max, cot_prc_med, cot_prc_mediana) VALUES (2213, 93, 23, NULL,  45.00,  70.00,  56.00,  55.00);</v>
      </c>
      <c r="J2214" t="str">
        <f t="shared" si="69"/>
        <v>UPDATE COTACAO SET cot_id = 2213, cot_blt_id = 93, cot_pap_id = 23, cot_prc_comum = NULL, cot_prc_min =  45.00, cot_prc_max =  70.00, cot_prc_med =  56.00, cot_prc_mediana =  55.00 WHERE cot_id = 2213;</v>
      </c>
    </row>
    <row r="2215" spans="1:10" x14ac:dyDescent="0.3">
      <c r="A2215">
        <v>2214</v>
      </c>
      <c r="B2215">
        <f>IF('Boletins Nuppa Site'!A2215&lt;&gt;0,'Boletins Nuppa Site'!A2215,"NULL")</f>
        <v>93</v>
      </c>
      <c r="C2215">
        <v>24</v>
      </c>
      <c r="D2215" t="str">
        <f>IF('Boletins Nuppa Site'!G2215&lt;&gt;0,'Boletins Nuppa Site'!G2215,"NULL")</f>
        <v>NULL</v>
      </c>
      <c r="E2215" s="14" t="str">
        <f>IF('Boletins Nuppa Site'!H2215&lt;&gt;0,'Boletins Nuppa Site'!H2215,"NULL")</f>
        <v xml:space="preserve"> 80.00</v>
      </c>
      <c r="F2215" s="14" t="str">
        <f>IF('Boletins Nuppa Site'!I2215&lt;&gt;0,'Boletins Nuppa Site'!I2215,"NULL")</f>
        <v xml:space="preserve"> 90.00</v>
      </c>
      <c r="G2215" s="14" t="str">
        <f>IF('Boletins Nuppa Site'!J2215&lt;&gt;0,'Boletins Nuppa Site'!J2215,"NULL")</f>
        <v xml:space="preserve"> 85.00</v>
      </c>
      <c r="H2215" s="14" t="str">
        <f>IF('Boletins Nuppa Site'!K2215&lt;&gt;0,'Boletins Nuppa Site'!K2215,"NULL")</f>
        <v xml:space="preserve"> 85.00</v>
      </c>
      <c r="I2215" t="str">
        <f t="shared" si="68"/>
        <v>INSERT INTO COTACAO (cot_id, cot_blt_id, cot_pap_id, cot_prc_comum, cot_prc_min, cot_prc_max, cot_prc_med, cot_prc_mediana) VALUES (2214, 93, 24, NULL,  80.00,  90.00,  85.00,  85.00);</v>
      </c>
      <c r="J2215" t="str">
        <f t="shared" si="69"/>
        <v>UPDATE COTACAO SET cot_id = 2214, cot_blt_id = 93, cot_pap_id = 24, cot_prc_comum = NULL, cot_prc_min =  80.00, cot_prc_max =  90.00, cot_prc_med =  85.00, cot_prc_mediana =  85.00 WHERE cot_id = 2214;</v>
      </c>
    </row>
    <row r="2216" spans="1:10" x14ac:dyDescent="0.3">
      <c r="A2216">
        <v>2215</v>
      </c>
      <c r="B2216">
        <f>IF('Boletins Nuppa Site'!A2216&lt;&gt;0,'Boletins Nuppa Site'!A2216,"NULL")</f>
        <v>93</v>
      </c>
      <c r="C2216">
        <v>25</v>
      </c>
      <c r="D2216" t="str">
        <f>IF('Boletins Nuppa Site'!G2216&lt;&gt;0,'Boletins Nuppa Site'!G2216,"NULL")</f>
        <v xml:space="preserve"> 60.00</v>
      </c>
      <c r="E2216" s="14" t="str">
        <f>IF('Boletins Nuppa Site'!H2216&lt;&gt;0,'Boletins Nuppa Site'!H2216,"NULL")</f>
        <v xml:space="preserve"> 55.00</v>
      </c>
      <c r="F2216" s="14" t="str">
        <f>IF('Boletins Nuppa Site'!I2216&lt;&gt;0,'Boletins Nuppa Site'!I2216,"NULL")</f>
        <v xml:space="preserve"> 65.00</v>
      </c>
      <c r="G2216" s="14" t="str">
        <f>IF('Boletins Nuppa Site'!J2216&lt;&gt;0,'Boletins Nuppa Site'!J2216,"NULL")</f>
        <v xml:space="preserve"> 60.00</v>
      </c>
      <c r="H2216" s="14" t="str">
        <f>IF('Boletins Nuppa Site'!K2216&lt;&gt;0,'Boletins Nuppa Site'!K2216,"NULL")</f>
        <v xml:space="preserve"> 60.00</v>
      </c>
      <c r="I2216" t="str">
        <f t="shared" si="68"/>
        <v>INSERT INTO COTACAO (cot_id, cot_blt_id, cot_pap_id, cot_prc_comum, cot_prc_min, cot_prc_max, cot_prc_med, cot_prc_mediana) VALUES (2215, 93, 25,  60.00,  55.00,  65.00,  60.00,  60.00);</v>
      </c>
      <c r="J2216" t="str">
        <f t="shared" si="69"/>
        <v>UPDATE COTACAO SET cot_id = 2215, cot_blt_id = 93, cot_pap_id = 25, cot_prc_comum =  60.00, cot_prc_min =  55.00, cot_prc_max =  65.00, cot_prc_med =  60.00, cot_prc_mediana =  60.00 WHERE cot_id = 2215;</v>
      </c>
    </row>
    <row r="2217" spans="1:10" x14ac:dyDescent="0.3">
      <c r="A2217">
        <v>2216</v>
      </c>
      <c r="B2217">
        <f>IF('Boletins Nuppa Site'!A2217&lt;&gt;0,'Boletins Nuppa Site'!A2217,"NULL")</f>
        <v>93</v>
      </c>
      <c r="C2217">
        <v>26</v>
      </c>
      <c r="D2217" t="str">
        <f>IF('Boletins Nuppa Site'!G2217&lt;&gt;0,'Boletins Nuppa Site'!G2217,"NULL")</f>
        <v>NULL</v>
      </c>
      <c r="E2217" s="14" t="str">
        <f>IF('Boletins Nuppa Site'!H2217&lt;&gt;0,'Boletins Nuppa Site'!H2217,"NULL")</f>
        <v xml:space="preserve"> 60.00</v>
      </c>
      <c r="F2217" s="14" t="str">
        <f>IF('Boletins Nuppa Site'!I2217&lt;&gt;0,'Boletins Nuppa Site'!I2217,"NULL")</f>
        <v xml:space="preserve"> 110.00</v>
      </c>
      <c r="G2217" s="14" t="str">
        <f>IF('Boletins Nuppa Site'!J2217&lt;&gt;0,'Boletins Nuppa Site'!J2217,"NULL")</f>
        <v xml:space="preserve"> 85.00</v>
      </c>
      <c r="H2217" s="14" t="str">
        <f>IF('Boletins Nuppa Site'!K2217&lt;&gt;0,'Boletins Nuppa Site'!K2217,"NULL")</f>
        <v xml:space="preserve"> 90.00</v>
      </c>
      <c r="I2217" t="str">
        <f t="shared" si="68"/>
        <v>INSERT INTO COTACAO (cot_id, cot_blt_id, cot_pap_id, cot_prc_comum, cot_prc_min, cot_prc_max, cot_prc_med, cot_prc_mediana) VALUES (2216, 93, 26, NULL,  60.00,  110.00,  85.00,  90.00);</v>
      </c>
      <c r="J2217" t="str">
        <f t="shared" si="69"/>
        <v>UPDATE COTACAO SET cot_id = 2216, cot_blt_id = 93, cot_pap_id = 26, cot_prc_comum = NULL, cot_prc_min =  60.00, cot_prc_max =  110.00, cot_prc_med =  85.00, cot_prc_mediana =  90.00 WHERE cot_id = 2216;</v>
      </c>
    </row>
    <row r="2218" spans="1:10" x14ac:dyDescent="0.3">
      <c r="A2218">
        <v>2217</v>
      </c>
      <c r="B2218">
        <f>IF('Boletins Nuppa Site'!A2218&lt;&gt;0,'Boletins Nuppa Site'!A2218,"NULL")</f>
        <v>93</v>
      </c>
      <c r="C2218">
        <v>27</v>
      </c>
      <c r="D2218" t="str">
        <f>IF('Boletins Nuppa Site'!G2218&lt;&gt;0,'Boletins Nuppa Site'!G2218,"NULL")</f>
        <v>NULL</v>
      </c>
      <c r="E2218" s="14" t="str">
        <f>IF('Boletins Nuppa Site'!H2218&lt;&gt;0,'Boletins Nuppa Site'!H2218,"NULL")</f>
        <v xml:space="preserve"> 50.00</v>
      </c>
      <c r="F2218" s="14" t="str">
        <f>IF('Boletins Nuppa Site'!I2218&lt;&gt;0,'Boletins Nuppa Site'!I2218,"NULL")</f>
        <v xml:space="preserve"> 80.00</v>
      </c>
      <c r="G2218" s="14" t="str">
        <f>IF('Boletins Nuppa Site'!J2218&lt;&gt;0,'Boletins Nuppa Site'!J2218,"NULL")</f>
        <v xml:space="preserve"> 63.75</v>
      </c>
      <c r="H2218" s="14" t="str">
        <f>IF('Boletins Nuppa Site'!K2218&lt;&gt;0,'Boletins Nuppa Site'!K2218,"NULL")</f>
        <v xml:space="preserve"> 62.50</v>
      </c>
      <c r="I2218" t="str">
        <f t="shared" si="68"/>
        <v>INSERT INTO COTACAO (cot_id, cot_blt_id, cot_pap_id, cot_prc_comum, cot_prc_min, cot_prc_max, cot_prc_med, cot_prc_mediana) VALUES (2217, 93, 27, NULL,  50.00,  80.00,  63.75,  62.50);</v>
      </c>
      <c r="J2218" t="str">
        <f t="shared" si="69"/>
        <v>UPDATE COTACAO SET cot_id = 2217, cot_blt_id = 93, cot_pap_id = 27, cot_prc_comum = NULL, cot_prc_min =  50.00, cot_prc_max =  80.00, cot_prc_med =  63.75, cot_prc_mediana =  62.50 WHERE cot_id = 2217;</v>
      </c>
    </row>
    <row r="2219" spans="1:10" x14ac:dyDescent="0.3">
      <c r="A2219">
        <v>2218</v>
      </c>
      <c r="B2219">
        <f>IF('Boletins Nuppa Site'!A2219&lt;&gt;0,'Boletins Nuppa Site'!A2219,"NULL")</f>
        <v>93</v>
      </c>
      <c r="C2219">
        <v>28</v>
      </c>
      <c r="D2219" t="str">
        <f>IF('Boletins Nuppa Site'!G2219&lt;&gt;0,'Boletins Nuppa Site'!G2219,"NULL")</f>
        <v xml:space="preserve"> 90.00</v>
      </c>
      <c r="E2219" s="14" t="str">
        <f>IF('Boletins Nuppa Site'!H2219&lt;&gt;0,'Boletins Nuppa Site'!H2219,"NULL")</f>
        <v xml:space="preserve"> 70.00</v>
      </c>
      <c r="F2219" s="14" t="str">
        <f>IF('Boletins Nuppa Site'!I2219&lt;&gt;0,'Boletins Nuppa Site'!I2219,"NULL")</f>
        <v xml:space="preserve"> 90.00</v>
      </c>
      <c r="G2219" s="14" t="str">
        <f>IF('Boletins Nuppa Site'!J2219&lt;&gt;0,'Boletins Nuppa Site'!J2219,"NULL")</f>
        <v xml:space="preserve"> 82.50</v>
      </c>
      <c r="H2219" s="14" t="str">
        <f>IF('Boletins Nuppa Site'!K2219&lt;&gt;0,'Boletins Nuppa Site'!K2219,"NULL")</f>
        <v xml:space="preserve"> 85.00</v>
      </c>
      <c r="I2219" t="str">
        <f t="shared" si="68"/>
        <v>INSERT INTO COTACAO (cot_id, cot_blt_id, cot_pap_id, cot_prc_comum, cot_prc_min, cot_prc_max, cot_prc_med, cot_prc_mediana) VALUES (2218, 93, 28,  90.00,  70.00,  90.00,  82.50,  85.00);</v>
      </c>
      <c r="J2219" t="str">
        <f t="shared" si="69"/>
        <v>UPDATE COTACAO SET cot_id = 2218, cot_blt_id = 93, cot_pap_id = 28, cot_prc_comum =  90.00, cot_prc_min =  70.00, cot_prc_max =  90.00, cot_prc_med =  82.50, cot_prc_mediana =  85.00 WHERE cot_id = 2218;</v>
      </c>
    </row>
    <row r="2220" spans="1:10" x14ac:dyDescent="0.3">
      <c r="A2220">
        <v>2219</v>
      </c>
      <c r="B2220">
        <f>IF('Boletins Nuppa Site'!A2220&lt;&gt;0,'Boletins Nuppa Site'!A2220,"NULL")</f>
        <v>93</v>
      </c>
      <c r="C2220">
        <v>29</v>
      </c>
      <c r="D2220" t="str">
        <f>IF('Boletins Nuppa Site'!G2220&lt;&gt;0,'Boletins Nuppa Site'!G2220,"NULL")</f>
        <v>NULL</v>
      </c>
      <c r="E2220" s="14" t="str">
        <f>IF('Boletins Nuppa Site'!H2220&lt;&gt;0,'Boletins Nuppa Site'!H2220,"NULL")</f>
        <v xml:space="preserve"> 70.00</v>
      </c>
      <c r="F2220" s="14" t="str">
        <f>IF('Boletins Nuppa Site'!I2220&lt;&gt;0,'Boletins Nuppa Site'!I2220,"NULL")</f>
        <v xml:space="preserve"> 75.00</v>
      </c>
      <c r="G2220" s="14" t="str">
        <f>IF('Boletins Nuppa Site'!J2220&lt;&gt;0,'Boletins Nuppa Site'!J2220,"NULL")</f>
        <v xml:space="preserve"> 72.50</v>
      </c>
      <c r="H2220" s="14" t="str">
        <f>IF('Boletins Nuppa Site'!K2220&lt;&gt;0,'Boletins Nuppa Site'!K2220,"NULL")</f>
        <v xml:space="preserve"> 72.50</v>
      </c>
      <c r="I2220" t="str">
        <f t="shared" si="68"/>
        <v>INSERT INTO COTACAO (cot_id, cot_blt_id, cot_pap_id, cot_prc_comum, cot_prc_min, cot_prc_max, cot_prc_med, cot_prc_mediana) VALUES (2219, 93, 29, NULL,  70.00,  75.00,  72.50,  72.50);</v>
      </c>
      <c r="J2220" t="str">
        <f t="shared" si="69"/>
        <v>UPDATE COTACAO SET cot_id = 2219, cot_blt_id = 93, cot_pap_id = 29, cot_prc_comum = NULL, cot_prc_min =  70.00, cot_prc_max =  75.00, cot_prc_med =  72.50, cot_prc_mediana =  72.50 WHERE cot_id = 2219;</v>
      </c>
    </row>
    <row r="2221" spans="1:10" x14ac:dyDescent="0.3">
      <c r="A2221">
        <v>2220</v>
      </c>
      <c r="B2221">
        <f>IF('Boletins Nuppa Site'!A2221&lt;&gt;0,'Boletins Nuppa Site'!A2221,"NULL")</f>
        <v>93</v>
      </c>
      <c r="C2221">
        <v>30</v>
      </c>
      <c r="D2221" t="str">
        <f>IF('Boletins Nuppa Site'!G2221&lt;&gt;0,'Boletins Nuppa Site'!G2221,"NULL")</f>
        <v>NULL</v>
      </c>
      <c r="E2221" s="14" t="str">
        <f>IF('Boletins Nuppa Site'!H2221&lt;&gt;0,'Boletins Nuppa Site'!H2221,"NULL")</f>
        <v xml:space="preserve"> 70.00</v>
      </c>
      <c r="F2221" s="14" t="str">
        <f>IF('Boletins Nuppa Site'!I2221&lt;&gt;0,'Boletins Nuppa Site'!I2221,"NULL")</f>
        <v xml:space="preserve"> 80.00</v>
      </c>
      <c r="G2221" s="14" t="str">
        <f>IF('Boletins Nuppa Site'!J2221&lt;&gt;0,'Boletins Nuppa Site'!J2221,"NULL")</f>
        <v xml:space="preserve"> 75.00</v>
      </c>
      <c r="H2221" s="14" t="str">
        <f>IF('Boletins Nuppa Site'!K2221&lt;&gt;0,'Boletins Nuppa Site'!K2221,"NULL")</f>
        <v xml:space="preserve"> 75.00</v>
      </c>
      <c r="I2221" t="str">
        <f t="shared" si="68"/>
        <v>INSERT INTO COTACAO (cot_id, cot_blt_id, cot_pap_id, cot_prc_comum, cot_prc_min, cot_prc_max, cot_prc_med, cot_prc_mediana) VALUES (2220, 93, 30, NULL,  70.00,  80.00,  75.00,  75.00);</v>
      </c>
      <c r="J2221" t="str">
        <f t="shared" si="69"/>
        <v>UPDATE COTACAO SET cot_id = 2220, cot_blt_id = 93, cot_pap_id = 30, cot_prc_comum = NULL, cot_prc_min =  70.00, cot_prc_max =  80.00, cot_prc_med =  75.00, cot_prc_mediana =  75.00 WHERE cot_id = 2220;</v>
      </c>
    </row>
    <row r="2222" spans="1:10" x14ac:dyDescent="0.3">
      <c r="A2222">
        <v>2221</v>
      </c>
      <c r="B2222">
        <f>IF('Boletins Nuppa Site'!A2222&lt;&gt;0,'Boletins Nuppa Site'!A2222,"NULL")</f>
        <v>93</v>
      </c>
      <c r="C2222">
        <v>31</v>
      </c>
      <c r="D2222" t="str">
        <f>IF('Boletins Nuppa Site'!G2222&lt;&gt;0,'Boletins Nuppa Site'!G2222,"NULL")</f>
        <v xml:space="preserve"> 100.00</v>
      </c>
      <c r="E2222" s="14" t="str">
        <f>IF('Boletins Nuppa Site'!H2222&lt;&gt;0,'Boletins Nuppa Site'!H2222,"NULL")</f>
        <v xml:space="preserve"> 80.00</v>
      </c>
      <c r="F2222" s="14" t="str">
        <f>IF('Boletins Nuppa Site'!I2222&lt;&gt;0,'Boletins Nuppa Site'!I2222,"NULL")</f>
        <v xml:space="preserve"> 120.00</v>
      </c>
      <c r="G2222" s="14" t="str">
        <f>IF('Boletins Nuppa Site'!J2222&lt;&gt;0,'Boletins Nuppa Site'!J2222,"NULL")</f>
        <v xml:space="preserve"> 98.00</v>
      </c>
      <c r="H2222" s="14" t="str">
        <f>IF('Boletins Nuppa Site'!K2222&lt;&gt;0,'Boletins Nuppa Site'!K2222,"NULL")</f>
        <v xml:space="preserve"> 100.00</v>
      </c>
      <c r="I2222" t="str">
        <f t="shared" si="68"/>
        <v>INSERT INTO COTACAO (cot_id, cot_blt_id, cot_pap_id, cot_prc_comum, cot_prc_min, cot_prc_max, cot_prc_med, cot_prc_mediana) VALUES (2221, 93, 31,  100.00,  80.00,  120.00,  98.00,  100.00);</v>
      </c>
      <c r="J2222" t="str">
        <f t="shared" si="69"/>
        <v>UPDATE COTACAO SET cot_id = 2221, cot_blt_id = 93, cot_pap_id = 31, cot_prc_comum =  100.00, cot_prc_min =  80.00, cot_prc_max =  120.00, cot_prc_med =  98.00, cot_prc_mediana =  100.00 WHERE cot_id = 2221;</v>
      </c>
    </row>
    <row r="2223" spans="1:10" x14ac:dyDescent="0.3">
      <c r="A2223">
        <v>2222</v>
      </c>
      <c r="B2223">
        <f>IF('Boletins Nuppa Site'!A2223&lt;&gt;0,'Boletins Nuppa Site'!A2223,"NULL")</f>
        <v>93</v>
      </c>
      <c r="C2223">
        <v>32</v>
      </c>
      <c r="D2223" t="str">
        <f>IF('Boletins Nuppa Site'!G2223&lt;&gt;0,'Boletins Nuppa Site'!G2223,"NULL")</f>
        <v xml:space="preserve"> 30.00</v>
      </c>
      <c r="E2223" s="14" t="str">
        <f>IF('Boletins Nuppa Site'!H2223&lt;&gt;0,'Boletins Nuppa Site'!H2223,"NULL")</f>
        <v xml:space="preserve"> 30.00</v>
      </c>
      <c r="F2223" s="14" t="str">
        <f>IF('Boletins Nuppa Site'!I2223&lt;&gt;0,'Boletins Nuppa Site'!I2223,"NULL")</f>
        <v xml:space="preserve"> 70.00</v>
      </c>
      <c r="G2223" s="14" t="str">
        <f>IF('Boletins Nuppa Site'!J2223&lt;&gt;0,'Boletins Nuppa Site'!J2223,"NULL")</f>
        <v xml:space="preserve"> 45.00</v>
      </c>
      <c r="H2223" s="14" t="str">
        <f>IF('Boletins Nuppa Site'!K2223&lt;&gt;0,'Boletins Nuppa Site'!K2223,"NULL")</f>
        <v xml:space="preserve"> 40.00</v>
      </c>
      <c r="I2223" t="str">
        <f t="shared" si="68"/>
        <v>INSERT INTO COTACAO (cot_id, cot_blt_id, cot_pap_id, cot_prc_comum, cot_prc_min, cot_prc_max, cot_prc_med, cot_prc_mediana) VALUES (2222, 93, 32,  30.00,  30.00,  70.00,  45.00,  40.00);</v>
      </c>
      <c r="J2223" t="str">
        <f t="shared" si="69"/>
        <v>UPDATE COTACAO SET cot_id = 2222, cot_blt_id = 93, cot_pap_id = 32, cot_prc_comum =  30.00, cot_prc_min =  30.00, cot_prc_max =  70.00, cot_prc_med =  45.00, cot_prc_mediana =  40.00 WHERE cot_id = 2222;</v>
      </c>
    </row>
    <row r="2224" spans="1:10" x14ac:dyDescent="0.3">
      <c r="A2224">
        <v>2223</v>
      </c>
      <c r="B2224">
        <f>IF('Boletins Nuppa Site'!A2224&lt;&gt;0,'Boletins Nuppa Site'!A2224,"NULL")</f>
        <v>93</v>
      </c>
      <c r="C2224">
        <v>33</v>
      </c>
      <c r="D2224" t="str">
        <f>IF('Boletins Nuppa Site'!G2224&lt;&gt;0,'Boletins Nuppa Site'!G2224,"NULL")</f>
        <v xml:space="preserve"> 60.00</v>
      </c>
      <c r="E2224" s="14" t="str">
        <f>IF('Boletins Nuppa Site'!H2224&lt;&gt;0,'Boletins Nuppa Site'!H2224,"NULL")</f>
        <v xml:space="preserve"> 60.00</v>
      </c>
      <c r="F2224" s="14" t="str">
        <f>IF('Boletins Nuppa Site'!I2224&lt;&gt;0,'Boletins Nuppa Site'!I2224,"NULL")</f>
        <v xml:space="preserve"> 100.00</v>
      </c>
      <c r="G2224" s="14" t="str">
        <f>IF('Boletins Nuppa Site'!J2224&lt;&gt;0,'Boletins Nuppa Site'!J2224,"NULL")</f>
        <v xml:space="preserve"> 70.00</v>
      </c>
      <c r="H2224" s="14" t="str">
        <f>IF('Boletins Nuppa Site'!K2224&lt;&gt;0,'Boletins Nuppa Site'!K2224,"NULL")</f>
        <v xml:space="preserve"> 60.00</v>
      </c>
      <c r="I2224" t="str">
        <f t="shared" si="68"/>
        <v>INSERT INTO COTACAO (cot_id, cot_blt_id, cot_pap_id, cot_prc_comum, cot_prc_min, cot_prc_max, cot_prc_med, cot_prc_mediana) VALUES (2223, 93, 33,  60.00,  60.00,  100.00,  70.00,  60.00);</v>
      </c>
      <c r="J2224" t="str">
        <f t="shared" si="69"/>
        <v>UPDATE COTACAO SET cot_id = 2223, cot_blt_id = 93, cot_pap_id = 33, cot_prc_comum =  60.00, cot_prc_min =  60.00, cot_prc_max =  100.00, cot_prc_med =  70.00, cot_prc_mediana =  60.00 WHERE cot_id = 2223;</v>
      </c>
    </row>
    <row r="2225" spans="1:10" x14ac:dyDescent="0.3">
      <c r="A2225">
        <v>2224</v>
      </c>
      <c r="B2225">
        <f>IF('Boletins Nuppa Site'!A2225&lt;&gt;0,'Boletins Nuppa Site'!A2225,"NULL")</f>
        <v>93</v>
      </c>
      <c r="C2225">
        <v>34</v>
      </c>
      <c r="D2225" t="str">
        <f>IF('Boletins Nuppa Site'!G2225&lt;&gt;0,'Boletins Nuppa Site'!G2225,"NULL")</f>
        <v>NULL</v>
      </c>
      <c r="E2225" s="14" t="str">
        <f>IF('Boletins Nuppa Site'!H2225&lt;&gt;0,'Boletins Nuppa Site'!H2225,"NULL")</f>
        <v xml:space="preserve"> 65.00</v>
      </c>
      <c r="F2225" s="14" t="str">
        <f>IF('Boletins Nuppa Site'!I2225&lt;&gt;0,'Boletins Nuppa Site'!I2225,"NULL")</f>
        <v xml:space="preserve"> 120.00</v>
      </c>
      <c r="G2225" s="14" t="str">
        <f>IF('Boletins Nuppa Site'!J2225&lt;&gt;0,'Boletins Nuppa Site'!J2225,"NULL")</f>
        <v xml:space="preserve"> 89.00</v>
      </c>
      <c r="H2225" s="14" t="str">
        <f>IF('Boletins Nuppa Site'!K2225&lt;&gt;0,'Boletins Nuppa Site'!K2225,"NULL")</f>
        <v xml:space="preserve"> 90.00</v>
      </c>
      <c r="I2225" t="str">
        <f t="shared" si="68"/>
        <v>INSERT INTO COTACAO (cot_id, cot_blt_id, cot_pap_id, cot_prc_comum, cot_prc_min, cot_prc_max, cot_prc_med, cot_prc_mediana) VALUES (2224, 93, 34, NULL,  65.00,  120.00,  89.00,  90.00);</v>
      </c>
      <c r="J2225" t="str">
        <f t="shared" si="69"/>
        <v>UPDATE COTACAO SET cot_id = 2224, cot_blt_id = 93, cot_pap_id = 34, cot_prc_comum = NULL, cot_prc_min =  65.00, cot_prc_max =  120.00, cot_prc_med =  89.00, cot_prc_mediana =  90.00 WHERE cot_id = 2224;</v>
      </c>
    </row>
    <row r="2226" spans="1:10" x14ac:dyDescent="0.3">
      <c r="A2226">
        <v>2225</v>
      </c>
      <c r="B2226">
        <f>IF('Boletins Nuppa Site'!A2226&lt;&gt;0,'Boletins Nuppa Site'!A2226,"NULL")</f>
        <v>93</v>
      </c>
      <c r="C2226">
        <v>35</v>
      </c>
      <c r="D2226" t="str">
        <f>IF('Boletins Nuppa Site'!G2226&lt;&gt;0,'Boletins Nuppa Site'!G2226,"NULL")</f>
        <v xml:space="preserve"> 150.00</v>
      </c>
      <c r="E2226" s="14" t="str">
        <f>IF('Boletins Nuppa Site'!H2226&lt;&gt;0,'Boletins Nuppa Site'!H2226,"NULL")</f>
        <v xml:space="preserve"> 90.00</v>
      </c>
      <c r="F2226" s="14" t="str">
        <f>IF('Boletins Nuppa Site'!I2226&lt;&gt;0,'Boletins Nuppa Site'!I2226,"NULL")</f>
        <v xml:space="preserve"> 150.00</v>
      </c>
      <c r="G2226" s="14" t="str">
        <f>IF('Boletins Nuppa Site'!J2226&lt;&gt;0,'Boletins Nuppa Site'!J2226,"NULL")</f>
        <v xml:space="preserve"> 122.50</v>
      </c>
      <c r="H2226" s="14" t="str">
        <f>IF('Boletins Nuppa Site'!K2226&lt;&gt;0,'Boletins Nuppa Site'!K2226,"NULL")</f>
        <v xml:space="preserve"> 125.00</v>
      </c>
      <c r="I2226" t="str">
        <f t="shared" si="68"/>
        <v>INSERT INTO COTACAO (cot_id, cot_blt_id, cot_pap_id, cot_prc_comum, cot_prc_min, cot_prc_max, cot_prc_med, cot_prc_mediana) VALUES (2225, 93, 35,  150.00,  90.00,  150.00,  122.50,  125.00);</v>
      </c>
      <c r="J2226" t="str">
        <f t="shared" si="69"/>
        <v>UPDATE COTACAO SET cot_id = 2225, cot_blt_id = 93, cot_pap_id = 35, cot_prc_comum =  150.00, cot_prc_min =  90.00, cot_prc_max =  150.00, cot_prc_med =  122.50, cot_prc_mediana =  125.00 WHERE cot_id = 2225;</v>
      </c>
    </row>
    <row r="2227" spans="1:10" x14ac:dyDescent="0.3">
      <c r="A2227">
        <v>2226</v>
      </c>
      <c r="B2227">
        <f>IF('Boletins Nuppa Site'!A2227&lt;&gt;0,'Boletins Nuppa Site'!A2227,"NULL")</f>
        <v>93</v>
      </c>
      <c r="C2227">
        <v>36</v>
      </c>
      <c r="D2227" t="str">
        <f>IF('Boletins Nuppa Site'!G2227&lt;&gt;0,'Boletins Nuppa Site'!G2227,"NULL")</f>
        <v>NULL</v>
      </c>
      <c r="E2227" s="14" t="str">
        <f>IF('Boletins Nuppa Site'!H2227&lt;&gt;0,'Boletins Nuppa Site'!H2227,"NULL")</f>
        <v>NULL</v>
      </c>
      <c r="F2227" s="14" t="str">
        <f>IF('Boletins Nuppa Site'!I2227&lt;&gt;0,'Boletins Nuppa Site'!I2227,"NULL")</f>
        <v>NULL</v>
      </c>
      <c r="G2227" s="14" t="str">
        <f>IF('Boletins Nuppa Site'!J2227&lt;&gt;0,'Boletins Nuppa Site'!J2227,"NULL")</f>
        <v>NULL</v>
      </c>
      <c r="H2227" s="14" t="str">
        <f>IF('Boletins Nuppa Site'!K2227&lt;&gt;0,'Boletins Nuppa Site'!K2227,"NULL")</f>
        <v>NULL</v>
      </c>
      <c r="I2227" t="str">
        <f t="shared" si="68"/>
        <v>INSERT INTO COTACAO (cot_id, cot_blt_id, cot_pap_id, cot_prc_comum, cot_prc_min, cot_prc_max, cot_prc_med, cot_prc_mediana) VALUES (2226, 93, 36, NULL, NULL, NULL, NULL, NULL);</v>
      </c>
      <c r="J2227" t="str">
        <f t="shared" si="69"/>
        <v>UPDATE COTACAO SET cot_id = 2226, cot_blt_id = 93, cot_pap_id = 36, cot_prc_comum = NULL, cot_prc_min = NULL, cot_prc_max = NULL, cot_prc_med = NULL, cot_prc_mediana = NULL WHERE cot_id = 2226;</v>
      </c>
    </row>
    <row r="2228" spans="1:10" x14ac:dyDescent="0.3">
      <c r="A2228">
        <v>2227</v>
      </c>
      <c r="B2228">
        <f>IF('Boletins Nuppa Site'!A2228&lt;&gt;0,'Boletins Nuppa Site'!A2228,"NULL")</f>
        <v>93</v>
      </c>
      <c r="C2228">
        <v>37</v>
      </c>
      <c r="D2228" t="str">
        <f>IF('Boletins Nuppa Site'!G2228&lt;&gt;0,'Boletins Nuppa Site'!G2228,"NULL")</f>
        <v>NULL</v>
      </c>
      <c r="E2228" s="14" t="str">
        <f>IF('Boletins Nuppa Site'!H2228&lt;&gt;0,'Boletins Nuppa Site'!H2228,"NULL")</f>
        <v>NULL</v>
      </c>
      <c r="F2228" s="14" t="str">
        <f>IF('Boletins Nuppa Site'!I2228&lt;&gt;0,'Boletins Nuppa Site'!I2228,"NULL")</f>
        <v>NULL</v>
      </c>
      <c r="G2228" s="14" t="str">
        <f>IF('Boletins Nuppa Site'!J2228&lt;&gt;0,'Boletins Nuppa Site'!J2228,"NULL")</f>
        <v>NULL</v>
      </c>
      <c r="H2228" s="14" t="str">
        <f>IF('Boletins Nuppa Site'!K2228&lt;&gt;0,'Boletins Nuppa Site'!K2228,"NULL")</f>
        <v>NULL</v>
      </c>
      <c r="I2228" t="str">
        <f t="shared" si="68"/>
        <v>INSERT INTO COTACAO (cot_id, cot_blt_id, cot_pap_id, cot_prc_comum, cot_prc_min, cot_prc_max, cot_prc_med, cot_prc_mediana) VALUES (2227, 93, 37, NULL, NULL, NULL, NULL, NULL);</v>
      </c>
      <c r="J2228" t="str">
        <f t="shared" si="69"/>
        <v>UPDATE COTACAO SET cot_id = 2227, cot_blt_id = 93, cot_pap_id = 37, cot_prc_comum = NULL, cot_prc_min = NULL, cot_prc_max = NULL, cot_prc_med = NULL, cot_prc_mediana = NULL WHERE cot_id = 2227;</v>
      </c>
    </row>
    <row r="2229" spans="1:10" x14ac:dyDescent="0.3">
      <c r="A2229">
        <v>2228</v>
      </c>
      <c r="B2229">
        <f>IF('Boletins Nuppa Site'!A2229&lt;&gt;0,'Boletins Nuppa Site'!A2229,"NULL")</f>
        <v>93</v>
      </c>
      <c r="C2229">
        <v>38</v>
      </c>
      <c r="D2229" t="str">
        <f>IF('Boletins Nuppa Site'!G2229&lt;&gt;0,'Boletins Nuppa Site'!G2229,"NULL")</f>
        <v>NULL</v>
      </c>
      <c r="E2229" s="14" t="str">
        <f>IF('Boletins Nuppa Site'!H2229&lt;&gt;0,'Boletins Nuppa Site'!H2229,"NULL")</f>
        <v>NULL</v>
      </c>
      <c r="F2229" s="14" t="str">
        <f>IF('Boletins Nuppa Site'!I2229&lt;&gt;0,'Boletins Nuppa Site'!I2229,"NULL")</f>
        <v>NULL</v>
      </c>
      <c r="G2229" s="14" t="str">
        <f>IF('Boletins Nuppa Site'!J2229&lt;&gt;0,'Boletins Nuppa Site'!J2229,"NULL")</f>
        <v>NULL</v>
      </c>
      <c r="H2229" s="14" t="str">
        <f>IF('Boletins Nuppa Site'!K2229&lt;&gt;0,'Boletins Nuppa Site'!K2229,"NULL")</f>
        <v>NULL</v>
      </c>
      <c r="I2229" t="str">
        <f t="shared" si="68"/>
        <v>INSERT INTO COTACAO (cot_id, cot_blt_id, cot_pap_id, cot_prc_comum, cot_prc_min, cot_prc_max, cot_prc_med, cot_prc_mediana) VALUES (2228, 93, 38, NULL, NULL, NULL, NULL, NULL);</v>
      </c>
      <c r="J2229" t="str">
        <f t="shared" si="69"/>
        <v>UPDATE COTACAO SET cot_id = 2228, cot_blt_id = 93, cot_pap_id = 38, cot_prc_comum = NULL, cot_prc_min = NULL, cot_prc_max = NULL, cot_prc_med = NULL, cot_prc_mediana = NULL WHERE cot_id = 2228;</v>
      </c>
    </row>
    <row r="2230" spans="1:10" x14ac:dyDescent="0.3">
      <c r="A2230">
        <v>2229</v>
      </c>
      <c r="B2230">
        <f>IF('Boletins Nuppa Site'!A2230&lt;&gt;0,'Boletins Nuppa Site'!A2230,"NULL")</f>
        <v>93</v>
      </c>
      <c r="C2230">
        <v>39</v>
      </c>
      <c r="D2230" t="str">
        <f>IF('Boletins Nuppa Site'!G2230&lt;&gt;0,'Boletins Nuppa Site'!G2230,"NULL")</f>
        <v>NULL</v>
      </c>
      <c r="E2230" s="14" t="str">
        <f>IF('Boletins Nuppa Site'!H2230&lt;&gt;0,'Boletins Nuppa Site'!H2230,"NULL")</f>
        <v>NULL</v>
      </c>
      <c r="F2230" s="14" t="str">
        <f>IF('Boletins Nuppa Site'!I2230&lt;&gt;0,'Boletins Nuppa Site'!I2230,"NULL")</f>
        <v>NULL</v>
      </c>
      <c r="G2230" s="14" t="str">
        <f>IF('Boletins Nuppa Site'!J2230&lt;&gt;0,'Boletins Nuppa Site'!J2230,"NULL")</f>
        <v>NULL</v>
      </c>
      <c r="H2230" s="14" t="str">
        <f>IF('Boletins Nuppa Site'!K2230&lt;&gt;0,'Boletins Nuppa Site'!K2230,"NULL")</f>
        <v>NULL</v>
      </c>
      <c r="I2230" t="str">
        <f t="shared" si="68"/>
        <v>INSERT INTO COTACAO (cot_id, cot_blt_id, cot_pap_id, cot_prc_comum, cot_prc_min, cot_prc_max, cot_prc_med, cot_prc_mediana) VALUES (2229, 93, 39, NULL, NULL, NULL, NULL, NULL);</v>
      </c>
      <c r="J2230" t="str">
        <f t="shared" si="69"/>
        <v>UPDATE COTACAO SET cot_id = 2229, cot_blt_id = 93, cot_pap_id = 39, cot_prc_comum = NULL, cot_prc_min = NULL, cot_prc_max = NULL, cot_prc_med = NULL, cot_prc_mediana = NULL WHERE cot_id = 2229;</v>
      </c>
    </row>
    <row r="2231" spans="1:10" x14ac:dyDescent="0.3">
      <c r="A2231">
        <v>2230</v>
      </c>
      <c r="B2231">
        <f>IF('Boletins Nuppa Site'!A2231&lt;&gt;0,'Boletins Nuppa Site'!A2231,"NULL")</f>
        <v>93</v>
      </c>
      <c r="C2231">
        <v>40</v>
      </c>
      <c r="D2231" t="str">
        <f>IF('Boletins Nuppa Site'!G2231&lt;&gt;0,'Boletins Nuppa Site'!G2231,"NULL")</f>
        <v>NULL</v>
      </c>
      <c r="E2231" s="14" t="str">
        <f>IF('Boletins Nuppa Site'!H2231&lt;&gt;0,'Boletins Nuppa Site'!H2231,"NULL")</f>
        <v>NULL</v>
      </c>
      <c r="F2231" s="14" t="str">
        <f>IF('Boletins Nuppa Site'!I2231&lt;&gt;0,'Boletins Nuppa Site'!I2231,"NULL")</f>
        <v>NULL</v>
      </c>
      <c r="G2231" s="14" t="str">
        <f>IF('Boletins Nuppa Site'!J2231&lt;&gt;0,'Boletins Nuppa Site'!J2231,"NULL")</f>
        <v>NULL</v>
      </c>
      <c r="H2231" s="14" t="str">
        <f>IF('Boletins Nuppa Site'!K2231&lt;&gt;0,'Boletins Nuppa Site'!K2231,"NULL")</f>
        <v>NULL</v>
      </c>
      <c r="I2231" t="str">
        <f t="shared" si="68"/>
        <v>INSERT INTO COTACAO (cot_id, cot_blt_id, cot_pap_id, cot_prc_comum, cot_prc_min, cot_prc_max, cot_prc_med, cot_prc_mediana) VALUES (2230, 93, 40, NULL, NULL, NULL, NULL, NULL);</v>
      </c>
      <c r="J2231" t="str">
        <f t="shared" si="69"/>
        <v>UPDATE COTACAO SET cot_id = 2230, cot_blt_id = 93, cot_pap_id = 40, cot_prc_comum = NULL, cot_prc_min = NULL, cot_prc_max = NULL, cot_prc_med = NULL, cot_prc_mediana = NULL WHERE cot_id = 2230;</v>
      </c>
    </row>
    <row r="2232" spans="1:10" x14ac:dyDescent="0.3">
      <c r="A2232">
        <v>2231</v>
      </c>
      <c r="B2232">
        <f>IF('Boletins Nuppa Site'!A2232&lt;&gt;0,'Boletins Nuppa Site'!A2232,"NULL")</f>
        <v>94</v>
      </c>
      <c r="C2232">
        <v>1</v>
      </c>
      <c r="D2232" t="str">
        <f>IF('Boletins Nuppa Site'!G2232&lt;&gt;0,'Boletins Nuppa Site'!G2232,"NULL")</f>
        <v xml:space="preserve"> 60.00</v>
      </c>
      <c r="E2232" s="14" t="str">
        <f>IF('Boletins Nuppa Site'!H2232&lt;&gt;0,'Boletins Nuppa Site'!H2232,"NULL")</f>
        <v xml:space="preserve"> 48.00</v>
      </c>
      <c r="F2232" s="14" t="str">
        <f>IF('Boletins Nuppa Site'!I2232&lt;&gt;0,'Boletins Nuppa Site'!I2232,"NULL")</f>
        <v xml:space="preserve"> 60.00</v>
      </c>
      <c r="G2232" s="14" t="str">
        <f>IF('Boletins Nuppa Site'!J2232&lt;&gt;0,'Boletins Nuppa Site'!J2232,"NULL")</f>
        <v xml:space="preserve"> 56.00</v>
      </c>
      <c r="H2232" s="14" t="str">
        <f>IF('Boletins Nuppa Site'!K2232&lt;&gt;0,'Boletins Nuppa Site'!K2232,"NULL")</f>
        <v xml:space="preserve"> 60.00</v>
      </c>
      <c r="I2232" t="str">
        <f t="shared" si="68"/>
        <v>INSERT INTO COTACAO (cot_id, cot_blt_id, cot_pap_id, cot_prc_comum, cot_prc_min, cot_prc_max, cot_prc_med, cot_prc_mediana) VALUES (2231, 94, 1,  60.00,  48.00,  60.00,  56.00,  60.00);</v>
      </c>
      <c r="J2232" t="str">
        <f t="shared" si="69"/>
        <v>UPDATE COTACAO SET cot_id = 2231, cot_blt_id = 94, cot_pap_id = 1, cot_prc_comum =  60.00, cot_prc_min =  48.00, cot_prc_max =  60.00, cot_prc_med =  56.00, cot_prc_mediana =  60.00 WHERE cot_id = 2231;</v>
      </c>
    </row>
    <row r="2233" spans="1:10" x14ac:dyDescent="0.3">
      <c r="A2233">
        <v>2232</v>
      </c>
      <c r="B2233">
        <f>IF('Boletins Nuppa Site'!A2233&lt;&gt;0,'Boletins Nuppa Site'!A2233,"NULL")</f>
        <v>94</v>
      </c>
      <c r="C2233">
        <v>2</v>
      </c>
      <c r="D2233" t="str">
        <f>IF('Boletins Nuppa Site'!G2233&lt;&gt;0,'Boletins Nuppa Site'!G2233,"NULL")</f>
        <v>NULL</v>
      </c>
      <c r="E2233" s="14" t="str">
        <f>IF('Boletins Nuppa Site'!H2233&lt;&gt;0,'Boletins Nuppa Site'!H2233,"NULL")</f>
        <v xml:space="preserve"> 84.00</v>
      </c>
      <c r="F2233" s="14" t="str">
        <f>IF('Boletins Nuppa Site'!I2233&lt;&gt;0,'Boletins Nuppa Site'!I2233,"NULL")</f>
        <v xml:space="preserve"> 96.00</v>
      </c>
      <c r="G2233" s="14" t="str">
        <f>IF('Boletins Nuppa Site'!J2233&lt;&gt;0,'Boletins Nuppa Site'!J2233,"NULL")</f>
        <v xml:space="preserve"> 90.00</v>
      </c>
      <c r="H2233" s="14" t="str">
        <f>IF('Boletins Nuppa Site'!K2233&lt;&gt;0,'Boletins Nuppa Site'!K2233,"NULL")</f>
        <v xml:space="preserve"> 90.00</v>
      </c>
      <c r="I2233" t="str">
        <f t="shared" si="68"/>
        <v>INSERT INTO COTACAO (cot_id, cot_blt_id, cot_pap_id, cot_prc_comum, cot_prc_min, cot_prc_max, cot_prc_med, cot_prc_mediana) VALUES (2232, 94, 2, NULL,  84.00,  96.00,  90.00,  90.00);</v>
      </c>
      <c r="J2233" t="str">
        <f t="shared" si="69"/>
        <v>UPDATE COTACAO SET cot_id = 2232, cot_blt_id = 94, cot_pap_id = 2, cot_prc_comum = NULL, cot_prc_min =  84.00, cot_prc_max =  96.00, cot_prc_med =  90.00, cot_prc_mediana =  90.00 WHERE cot_id = 2232;</v>
      </c>
    </row>
    <row r="2234" spans="1:10" x14ac:dyDescent="0.3">
      <c r="A2234">
        <v>2233</v>
      </c>
      <c r="B2234">
        <f>IF('Boletins Nuppa Site'!A2234&lt;&gt;0,'Boletins Nuppa Site'!A2234,"NULL")</f>
        <v>94</v>
      </c>
      <c r="C2234">
        <v>3</v>
      </c>
      <c r="D2234" t="str">
        <f>IF('Boletins Nuppa Site'!G2234&lt;&gt;0,'Boletins Nuppa Site'!G2234,"NULL")</f>
        <v xml:space="preserve"> 48.00</v>
      </c>
      <c r="E2234" s="14" t="str">
        <f>IF('Boletins Nuppa Site'!H2234&lt;&gt;0,'Boletins Nuppa Site'!H2234,"NULL")</f>
        <v xml:space="preserve"> 48.00</v>
      </c>
      <c r="F2234" s="14" t="str">
        <f>IF('Boletins Nuppa Site'!I2234&lt;&gt;0,'Boletins Nuppa Site'!I2234,"NULL")</f>
        <v xml:space="preserve"> 48.00</v>
      </c>
      <c r="G2234" s="14" t="str">
        <f>IF('Boletins Nuppa Site'!J2234&lt;&gt;0,'Boletins Nuppa Site'!J2234,"NULL")</f>
        <v xml:space="preserve"> 48.00</v>
      </c>
      <c r="H2234" s="14" t="str">
        <f>IF('Boletins Nuppa Site'!K2234&lt;&gt;0,'Boletins Nuppa Site'!K2234,"NULL")</f>
        <v xml:space="preserve"> 48.00</v>
      </c>
      <c r="I2234" t="str">
        <f t="shared" si="68"/>
        <v>INSERT INTO COTACAO (cot_id, cot_blt_id, cot_pap_id, cot_prc_comum, cot_prc_min, cot_prc_max, cot_prc_med, cot_prc_mediana) VALUES (2233, 94, 3,  48.00,  48.00,  48.00,  48.00,  48.00);</v>
      </c>
      <c r="J2234" t="str">
        <f t="shared" si="69"/>
        <v>UPDATE COTACAO SET cot_id = 2233, cot_blt_id = 94, cot_pap_id = 3, cot_prc_comum =  48.00, cot_prc_min =  48.00, cot_prc_max =  48.00, cot_prc_med =  48.00, cot_prc_mediana =  48.00 WHERE cot_id = 2233;</v>
      </c>
    </row>
    <row r="2235" spans="1:10" x14ac:dyDescent="0.3">
      <c r="A2235">
        <v>2234</v>
      </c>
      <c r="B2235">
        <f>IF('Boletins Nuppa Site'!A2235&lt;&gt;0,'Boletins Nuppa Site'!A2235,"NULL")</f>
        <v>94</v>
      </c>
      <c r="C2235">
        <v>4</v>
      </c>
      <c r="D2235" t="str">
        <f>IF('Boletins Nuppa Site'!G2235&lt;&gt;0,'Boletins Nuppa Site'!G2235,"NULL")</f>
        <v xml:space="preserve"> 30.00</v>
      </c>
      <c r="E2235" s="14" t="str">
        <f>IF('Boletins Nuppa Site'!H2235&lt;&gt;0,'Boletins Nuppa Site'!H2235,"NULL")</f>
        <v xml:space="preserve"> 30.00</v>
      </c>
      <c r="F2235" s="14" t="str">
        <f>IF('Boletins Nuppa Site'!I2235&lt;&gt;0,'Boletins Nuppa Site'!I2235,"NULL")</f>
        <v xml:space="preserve"> 30.00</v>
      </c>
      <c r="G2235" s="14" t="str">
        <f>IF('Boletins Nuppa Site'!J2235&lt;&gt;0,'Boletins Nuppa Site'!J2235,"NULL")</f>
        <v xml:space="preserve"> 30.00</v>
      </c>
      <c r="H2235" s="14" t="str">
        <f>IF('Boletins Nuppa Site'!K2235&lt;&gt;0,'Boletins Nuppa Site'!K2235,"NULL")</f>
        <v xml:space="preserve"> 30.00</v>
      </c>
      <c r="I2235" t="str">
        <f t="shared" si="68"/>
        <v>INSERT INTO COTACAO (cot_id, cot_blt_id, cot_pap_id, cot_prc_comum, cot_prc_min, cot_prc_max, cot_prc_med, cot_prc_mediana) VALUES (2234, 94, 4,  30.00,  30.00,  30.00,  30.00,  30.00);</v>
      </c>
      <c r="J2235" t="str">
        <f t="shared" si="69"/>
        <v>UPDATE COTACAO SET cot_id = 2234, cot_blt_id = 94, cot_pap_id = 4, cot_prc_comum =  30.00, cot_prc_min =  30.00, cot_prc_max =  30.00, cot_prc_med =  30.00, cot_prc_mediana =  30.00 WHERE cot_id = 2234;</v>
      </c>
    </row>
    <row r="2236" spans="1:10" x14ac:dyDescent="0.3">
      <c r="A2236">
        <v>2235</v>
      </c>
      <c r="B2236">
        <f>IF('Boletins Nuppa Site'!A2236&lt;&gt;0,'Boletins Nuppa Site'!A2236,"NULL")</f>
        <v>94</v>
      </c>
      <c r="C2236">
        <v>5</v>
      </c>
      <c r="D2236" t="str">
        <f>IF('Boletins Nuppa Site'!G2236&lt;&gt;0,'Boletins Nuppa Site'!G2236,"NULL")</f>
        <v xml:space="preserve"> 30.00</v>
      </c>
      <c r="E2236" s="14" t="str">
        <f>IF('Boletins Nuppa Site'!H2236&lt;&gt;0,'Boletins Nuppa Site'!H2236,"NULL")</f>
        <v xml:space="preserve"> 30.00</v>
      </c>
      <c r="F2236" s="14" t="str">
        <f>IF('Boletins Nuppa Site'!I2236&lt;&gt;0,'Boletins Nuppa Site'!I2236,"NULL")</f>
        <v xml:space="preserve"> 30.00</v>
      </c>
      <c r="G2236" s="14" t="str">
        <f>IF('Boletins Nuppa Site'!J2236&lt;&gt;0,'Boletins Nuppa Site'!J2236,"NULL")</f>
        <v xml:space="preserve"> 30.00</v>
      </c>
      <c r="H2236" s="14" t="str">
        <f>IF('Boletins Nuppa Site'!K2236&lt;&gt;0,'Boletins Nuppa Site'!K2236,"NULL")</f>
        <v xml:space="preserve"> 30.00</v>
      </c>
      <c r="I2236" t="str">
        <f t="shared" si="68"/>
        <v>INSERT INTO COTACAO (cot_id, cot_blt_id, cot_pap_id, cot_prc_comum, cot_prc_min, cot_prc_max, cot_prc_med, cot_prc_mediana) VALUES (2235, 94, 5,  30.00,  30.00,  30.00,  30.00,  30.00);</v>
      </c>
      <c r="J2236" t="str">
        <f t="shared" si="69"/>
        <v>UPDATE COTACAO SET cot_id = 2235, cot_blt_id = 94, cot_pap_id = 5, cot_prc_comum =  30.00, cot_prc_min =  30.00, cot_prc_max =  30.00, cot_prc_med =  30.00, cot_prc_mediana =  30.00 WHERE cot_id = 2235;</v>
      </c>
    </row>
    <row r="2237" spans="1:10" x14ac:dyDescent="0.3">
      <c r="A2237">
        <v>2236</v>
      </c>
      <c r="B2237">
        <f>IF('Boletins Nuppa Site'!A2237&lt;&gt;0,'Boletins Nuppa Site'!A2237,"NULL")</f>
        <v>94</v>
      </c>
      <c r="C2237">
        <v>6</v>
      </c>
      <c r="D2237" t="str">
        <f>IF('Boletins Nuppa Site'!G2237&lt;&gt;0,'Boletins Nuppa Site'!G2237,"NULL")</f>
        <v>NULL</v>
      </c>
      <c r="E2237" s="14" t="str">
        <f>IF('Boletins Nuppa Site'!H2237&lt;&gt;0,'Boletins Nuppa Site'!H2237,"NULL")</f>
        <v xml:space="preserve"> 72.00</v>
      </c>
      <c r="F2237" s="14" t="str">
        <f>IF('Boletins Nuppa Site'!I2237&lt;&gt;0,'Boletins Nuppa Site'!I2237,"NULL")</f>
        <v xml:space="preserve"> 120.00</v>
      </c>
      <c r="G2237" s="14" t="str">
        <f>IF('Boletins Nuppa Site'!J2237&lt;&gt;0,'Boletins Nuppa Site'!J2237,"NULL")</f>
        <v xml:space="preserve"> 96.00</v>
      </c>
      <c r="H2237" s="14" t="str">
        <f>IF('Boletins Nuppa Site'!K2237&lt;&gt;0,'Boletins Nuppa Site'!K2237,"NULL")</f>
        <v xml:space="preserve"> 96.00</v>
      </c>
      <c r="I2237" t="str">
        <f t="shared" si="68"/>
        <v>INSERT INTO COTACAO (cot_id, cot_blt_id, cot_pap_id, cot_prc_comum, cot_prc_min, cot_prc_max, cot_prc_med, cot_prc_mediana) VALUES (2236, 94, 6, NULL,  72.00,  120.00,  96.00,  96.00);</v>
      </c>
      <c r="J2237" t="str">
        <f t="shared" si="69"/>
        <v>UPDATE COTACAO SET cot_id = 2236, cot_blt_id = 94, cot_pap_id = 6, cot_prc_comum = NULL, cot_prc_min =  72.00, cot_prc_max =  120.00, cot_prc_med =  96.00, cot_prc_mediana =  96.00 WHERE cot_id = 2236;</v>
      </c>
    </row>
    <row r="2238" spans="1:10" x14ac:dyDescent="0.3">
      <c r="A2238">
        <v>2237</v>
      </c>
      <c r="B2238">
        <f>IF('Boletins Nuppa Site'!A2238&lt;&gt;0,'Boletins Nuppa Site'!A2238,"NULL")</f>
        <v>94</v>
      </c>
      <c r="C2238">
        <v>7</v>
      </c>
      <c r="D2238" t="str">
        <f>IF('Boletins Nuppa Site'!G2238&lt;&gt;0,'Boletins Nuppa Site'!G2238,"NULL")</f>
        <v>NULL</v>
      </c>
      <c r="E2238" s="14" t="str">
        <f>IF('Boletins Nuppa Site'!H2238&lt;&gt;0,'Boletins Nuppa Site'!H2238,"NULL")</f>
        <v xml:space="preserve"> 78.00</v>
      </c>
      <c r="F2238" s="14" t="str">
        <f>IF('Boletins Nuppa Site'!I2238&lt;&gt;0,'Boletins Nuppa Site'!I2238,"NULL")</f>
        <v xml:space="preserve"> 84.00</v>
      </c>
      <c r="G2238" s="14" t="str">
        <f>IF('Boletins Nuppa Site'!J2238&lt;&gt;0,'Boletins Nuppa Site'!J2238,"NULL")</f>
        <v xml:space="preserve"> 81.00</v>
      </c>
      <c r="H2238" s="14" t="str">
        <f>IF('Boletins Nuppa Site'!K2238&lt;&gt;0,'Boletins Nuppa Site'!K2238,"NULL")</f>
        <v xml:space="preserve"> 81.00</v>
      </c>
      <c r="I2238" t="str">
        <f t="shared" si="68"/>
        <v>INSERT INTO COTACAO (cot_id, cot_blt_id, cot_pap_id, cot_prc_comum, cot_prc_min, cot_prc_max, cot_prc_med, cot_prc_mediana) VALUES (2237, 94, 7, NULL,  78.00,  84.00,  81.00,  81.00);</v>
      </c>
      <c r="J2238" t="str">
        <f t="shared" si="69"/>
        <v>UPDATE COTACAO SET cot_id = 2237, cot_blt_id = 94, cot_pap_id = 7, cot_prc_comum = NULL, cot_prc_min =  78.00, cot_prc_max =  84.00, cot_prc_med =  81.00, cot_prc_mediana =  81.00 WHERE cot_id = 2237;</v>
      </c>
    </row>
    <row r="2239" spans="1:10" x14ac:dyDescent="0.3">
      <c r="A2239">
        <v>2238</v>
      </c>
      <c r="B2239">
        <f>IF('Boletins Nuppa Site'!A2239&lt;&gt;0,'Boletins Nuppa Site'!A2239,"NULL")</f>
        <v>94</v>
      </c>
      <c r="C2239">
        <v>8</v>
      </c>
      <c r="D2239" t="str">
        <f>IF('Boletins Nuppa Site'!G2239&lt;&gt;0,'Boletins Nuppa Site'!G2239,"NULL")</f>
        <v>NULL</v>
      </c>
      <c r="E2239" s="14" t="str">
        <f>IF('Boletins Nuppa Site'!H2239&lt;&gt;0,'Boletins Nuppa Site'!H2239,"NULL")</f>
        <v xml:space="preserve"> 72.00</v>
      </c>
      <c r="F2239" s="14" t="str">
        <f>IF('Boletins Nuppa Site'!I2239&lt;&gt;0,'Boletins Nuppa Site'!I2239,"NULL")</f>
        <v xml:space="preserve"> 102.00</v>
      </c>
      <c r="G2239" s="14" t="str">
        <f>IF('Boletins Nuppa Site'!J2239&lt;&gt;0,'Boletins Nuppa Site'!J2239,"NULL")</f>
        <v xml:space="preserve"> 88.00</v>
      </c>
      <c r="H2239" s="14" t="str">
        <f>IF('Boletins Nuppa Site'!K2239&lt;&gt;0,'Boletins Nuppa Site'!K2239,"NULL")</f>
        <v xml:space="preserve"> 90.00</v>
      </c>
      <c r="I2239" t="str">
        <f t="shared" si="68"/>
        <v>INSERT INTO COTACAO (cot_id, cot_blt_id, cot_pap_id, cot_prc_comum, cot_prc_min, cot_prc_max, cot_prc_med, cot_prc_mediana) VALUES (2238, 94, 8, NULL,  72.00,  102.00,  88.00,  90.00);</v>
      </c>
      <c r="J2239" t="str">
        <f t="shared" si="69"/>
        <v>UPDATE COTACAO SET cot_id = 2238, cot_blt_id = 94, cot_pap_id = 8, cot_prc_comum = NULL, cot_prc_min =  72.00, cot_prc_max =  102.00, cot_prc_med =  88.00, cot_prc_mediana =  90.00 WHERE cot_id = 2238;</v>
      </c>
    </row>
    <row r="2240" spans="1:10" x14ac:dyDescent="0.3">
      <c r="A2240">
        <v>2239</v>
      </c>
      <c r="B2240">
        <f>IF('Boletins Nuppa Site'!A2240&lt;&gt;0,'Boletins Nuppa Site'!A2240,"NULL")</f>
        <v>94</v>
      </c>
      <c r="C2240">
        <v>9</v>
      </c>
      <c r="D2240" t="str">
        <f>IF('Boletins Nuppa Site'!G2240&lt;&gt;0,'Boletins Nuppa Site'!G2240,"NULL")</f>
        <v>NULL</v>
      </c>
      <c r="E2240" s="14" t="str">
        <f>IF('Boletins Nuppa Site'!H2240&lt;&gt;0,'Boletins Nuppa Site'!H2240,"NULL")</f>
        <v xml:space="preserve"> 24.00</v>
      </c>
      <c r="F2240" s="14" t="str">
        <f>IF('Boletins Nuppa Site'!I2240&lt;&gt;0,'Boletins Nuppa Site'!I2240,"NULL")</f>
        <v xml:space="preserve"> 36.00</v>
      </c>
      <c r="G2240" s="14" t="str">
        <f>IF('Boletins Nuppa Site'!J2240&lt;&gt;0,'Boletins Nuppa Site'!J2240,"NULL")</f>
        <v xml:space="preserve"> 28.00</v>
      </c>
      <c r="H2240" s="14" t="str">
        <f>IF('Boletins Nuppa Site'!K2240&lt;&gt;0,'Boletins Nuppa Site'!K2240,"NULL")</f>
        <v xml:space="preserve"> 24.00</v>
      </c>
      <c r="I2240" t="str">
        <f t="shared" si="68"/>
        <v>INSERT INTO COTACAO (cot_id, cot_blt_id, cot_pap_id, cot_prc_comum, cot_prc_min, cot_prc_max, cot_prc_med, cot_prc_mediana) VALUES (2239, 94, 9, NULL,  24.00,  36.00,  28.00,  24.00);</v>
      </c>
      <c r="J2240" t="str">
        <f t="shared" si="69"/>
        <v>UPDATE COTACAO SET cot_id = 2239, cot_blt_id = 94, cot_pap_id = 9, cot_prc_comum = NULL, cot_prc_min =  24.00, cot_prc_max =  36.00, cot_prc_med =  28.00, cot_prc_mediana =  24.00 WHERE cot_id = 2239;</v>
      </c>
    </row>
    <row r="2241" spans="1:10" x14ac:dyDescent="0.3">
      <c r="A2241">
        <v>2240</v>
      </c>
      <c r="B2241">
        <f>IF('Boletins Nuppa Site'!A2241&lt;&gt;0,'Boletins Nuppa Site'!A2241,"NULL")</f>
        <v>94</v>
      </c>
      <c r="C2241">
        <v>10</v>
      </c>
      <c r="D2241" t="str">
        <f>IF('Boletins Nuppa Site'!G2241&lt;&gt;0,'Boletins Nuppa Site'!G2241,"NULL")</f>
        <v>NULL</v>
      </c>
      <c r="E2241" s="14" t="str">
        <f>IF('Boletins Nuppa Site'!H2241&lt;&gt;0,'Boletins Nuppa Site'!H2241,"NULL")</f>
        <v xml:space="preserve"> 84.00</v>
      </c>
      <c r="F2241" s="14" t="str">
        <f>IF('Boletins Nuppa Site'!I2241&lt;&gt;0,'Boletins Nuppa Site'!I2241,"NULL")</f>
        <v xml:space="preserve"> 120.00</v>
      </c>
      <c r="G2241" s="14" t="str">
        <f>IF('Boletins Nuppa Site'!J2241&lt;&gt;0,'Boletins Nuppa Site'!J2241,"NULL")</f>
        <v xml:space="preserve"> 102.00</v>
      </c>
      <c r="H2241" s="14" t="str">
        <f>IF('Boletins Nuppa Site'!K2241&lt;&gt;0,'Boletins Nuppa Site'!K2241,"NULL")</f>
        <v xml:space="preserve"> 102.00</v>
      </c>
      <c r="I2241" t="str">
        <f t="shared" si="68"/>
        <v>INSERT INTO COTACAO (cot_id, cot_blt_id, cot_pap_id, cot_prc_comum, cot_prc_min, cot_prc_max, cot_prc_med, cot_prc_mediana) VALUES (2240, 94, 10, NULL,  84.00,  120.00,  102.00,  102.00);</v>
      </c>
      <c r="J2241" t="str">
        <f t="shared" si="69"/>
        <v>UPDATE COTACAO SET cot_id = 2240, cot_blt_id = 94, cot_pap_id = 10, cot_prc_comum = NULL, cot_prc_min =  84.00, cot_prc_max =  120.00, cot_prc_med =  102.00, cot_prc_mediana =  102.00 WHERE cot_id = 2240;</v>
      </c>
    </row>
    <row r="2242" spans="1:10" x14ac:dyDescent="0.3">
      <c r="A2242">
        <v>2241</v>
      </c>
      <c r="B2242">
        <f>IF('Boletins Nuppa Site'!A2242&lt;&gt;0,'Boletins Nuppa Site'!A2242,"NULL")</f>
        <v>94</v>
      </c>
      <c r="C2242">
        <v>11</v>
      </c>
      <c r="D2242" t="str">
        <f>IF('Boletins Nuppa Site'!G2242&lt;&gt;0,'Boletins Nuppa Site'!G2242,"NULL")</f>
        <v>NULL</v>
      </c>
      <c r="E2242" s="14" t="str">
        <f>IF('Boletins Nuppa Site'!H2242&lt;&gt;0,'Boletins Nuppa Site'!H2242,"NULL")</f>
        <v xml:space="preserve"> 30.00</v>
      </c>
      <c r="F2242" s="14" t="str">
        <f>IF('Boletins Nuppa Site'!I2242&lt;&gt;0,'Boletins Nuppa Site'!I2242,"NULL")</f>
        <v xml:space="preserve"> 30.00</v>
      </c>
      <c r="G2242" s="14" t="str">
        <f>IF('Boletins Nuppa Site'!J2242&lt;&gt;0,'Boletins Nuppa Site'!J2242,"NULL")</f>
        <v xml:space="preserve"> 28.00</v>
      </c>
      <c r="H2242" s="14" t="str">
        <f>IF('Boletins Nuppa Site'!K2242&lt;&gt;0,'Boletins Nuppa Site'!K2242,"NULL")</f>
        <v xml:space="preserve"> 30.00</v>
      </c>
      <c r="I2242" t="str">
        <f t="shared" si="68"/>
        <v>INSERT INTO COTACAO (cot_id, cot_blt_id, cot_pap_id, cot_prc_comum, cot_prc_min, cot_prc_max, cot_prc_med, cot_prc_mediana) VALUES (2241, 94, 11, NULL,  30.00,  30.00,  28.00,  30.00);</v>
      </c>
      <c r="J2242" t="str">
        <f t="shared" si="69"/>
        <v>UPDATE COTACAO SET cot_id = 2241, cot_blt_id = 94, cot_pap_id = 11, cot_prc_comum = NULL, cot_prc_min =  30.00, cot_prc_max =  30.00, cot_prc_med =  28.00, cot_prc_mediana =  30.00 WHERE cot_id = 2241;</v>
      </c>
    </row>
    <row r="2243" spans="1:10" x14ac:dyDescent="0.3">
      <c r="A2243">
        <v>2242</v>
      </c>
      <c r="B2243">
        <f>IF('Boletins Nuppa Site'!A2243&lt;&gt;0,'Boletins Nuppa Site'!A2243,"NULL")</f>
        <v>94</v>
      </c>
      <c r="C2243">
        <v>12</v>
      </c>
      <c r="D2243" t="str">
        <f>IF('Boletins Nuppa Site'!G2243&lt;&gt;0,'Boletins Nuppa Site'!G2243,"NULL")</f>
        <v>NULL</v>
      </c>
      <c r="E2243" s="14" t="str">
        <f>IF('Boletins Nuppa Site'!H2243&lt;&gt;0,'Boletins Nuppa Site'!H2243,"NULL")</f>
        <v xml:space="preserve"> 72.00</v>
      </c>
      <c r="F2243" s="14" t="str">
        <f>IF('Boletins Nuppa Site'!I2243&lt;&gt;0,'Boletins Nuppa Site'!I2243,"NULL")</f>
        <v xml:space="preserve"> 120.00</v>
      </c>
      <c r="G2243" s="14" t="str">
        <f>IF('Boletins Nuppa Site'!J2243&lt;&gt;0,'Boletins Nuppa Site'!J2243,"NULL")</f>
        <v xml:space="preserve"> 96.00</v>
      </c>
      <c r="H2243" s="14" t="str">
        <f>IF('Boletins Nuppa Site'!K2243&lt;&gt;0,'Boletins Nuppa Site'!K2243,"NULL")</f>
        <v xml:space="preserve"> 96.00</v>
      </c>
      <c r="I2243" t="str">
        <f t="shared" ref="I2243:I2306" si="70">"INSERT INTO COTACAO (cot_id, cot_blt_id, cot_pap_id, cot_prc_comum, cot_prc_min, cot_prc_max, cot_prc_med, cot_prc_mediana) VALUES ("&amp;A2243&amp;", "&amp;B2243&amp;", "&amp;C2243&amp;", "&amp;D2243&amp;", "&amp;E2243&amp;", "&amp;F2243&amp;", "&amp;G2243&amp;", "&amp;H2243&amp;");"</f>
        <v>INSERT INTO COTACAO (cot_id, cot_blt_id, cot_pap_id, cot_prc_comum, cot_prc_min, cot_prc_max, cot_prc_med, cot_prc_mediana) VALUES (2242, 94, 12, NULL,  72.00,  120.00,  96.00,  96.00);</v>
      </c>
      <c r="J2243" t="str">
        <f t="shared" ref="J2243:J2306" si="71">"UPDATE COTACAO SET cot_id = "&amp;A2243&amp;", cot_blt_id = "&amp;B2243&amp;", cot_pap_id = "&amp;C2243&amp;", cot_prc_comum = "&amp;D2243&amp;", cot_prc_min = "&amp;E2243&amp;", cot_prc_max = "&amp;F2243&amp;", cot_prc_med = "&amp;G2243&amp;", cot_prc_mediana = "&amp;H2243&amp;" WHERE cot_id = "&amp;A2243&amp;";"</f>
        <v>UPDATE COTACAO SET cot_id = 2242, cot_blt_id = 94, cot_pap_id = 12, cot_prc_comum = NULL, cot_prc_min =  72.00, cot_prc_max =  120.00, cot_prc_med =  96.00, cot_prc_mediana =  96.00 WHERE cot_id = 2242;</v>
      </c>
    </row>
    <row r="2244" spans="1:10" x14ac:dyDescent="0.3">
      <c r="A2244">
        <v>2243</v>
      </c>
      <c r="B2244">
        <f>IF('Boletins Nuppa Site'!A2244&lt;&gt;0,'Boletins Nuppa Site'!A2244,"NULL")</f>
        <v>94</v>
      </c>
      <c r="C2244">
        <v>13</v>
      </c>
      <c r="D2244" t="str">
        <f>IF('Boletins Nuppa Site'!G2244&lt;&gt;0,'Boletins Nuppa Site'!G2244,"NULL")</f>
        <v>NULL</v>
      </c>
      <c r="E2244" s="14" t="str">
        <f>IF('Boletins Nuppa Site'!H2244&lt;&gt;0,'Boletins Nuppa Site'!H2244,"NULL")</f>
        <v xml:space="preserve"> 60.00</v>
      </c>
      <c r="F2244" s="14" t="str">
        <f>IF('Boletins Nuppa Site'!I2244&lt;&gt;0,'Boletins Nuppa Site'!I2244,"NULL")</f>
        <v xml:space="preserve"> 72.00</v>
      </c>
      <c r="G2244" s="14" t="str">
        <f>IF('Boletins Nuppa Site'!J2244&lt;&gt;0,'Boletins Nuppa Site'!J2244,"NULL")</f>
        <v xml:space="preserve"> 64.00</v>
      </c>
      <c r="H2244" s="14" t="str">
        <f>IF('Boletins Nuppa Site'!K2244&lt;&gt;0,'Boletins Nuppa Site'!K2244,"NULL")</f>
        <v xml:space="preserve"> 60.00</v>
      </c>
      <c r="I2244" t="str">
        <f t="shared" si="70"/>
        <v>INSERT INTO COTACAO (cot_id, cot_blt_id, cot_pap_id, cot_prc_comum, cot_prc_min, cot_prc_max, cot_prc_med, cot_prc_mediana) VALUES (2243, 94, 13, NULL,  60.00,  72.00,  64.00,  60.00);</v>
      </c>
      <c r="J2244" t="str">
        <f t="shared" si="71"/>
        <v>UPDATE COTACAO SET cot_id = 2243, cot_blt_id = 94, cot_pap_id = 13, cot_prc_comum = NULL, cot_prc_min =  60.00, cot_prc_max =  72.00, cot_prc_med =  64.00, cot_prc_mediana =  60.00 WHERE cot_id = 2243;</v>
      </c>
    </row>
    <row r="2245" spans="1:10" x14ac:dyDescent="0.3">
      <c r="A2245">
        <v>2244</v>
      </c>
      <c r="B2245">
        <f>IF('Boletins Nuppa Site'!A2245&lt;&gt;0,'Boletins Nuppa Site'!A2245,"NULL")</f>
        <v>94</v>
      </c>
      <c r="C2245">
        <v>14</v>
      </c>
      <c r="D2245" t="str">
        <f>IF('Boletins Nuppa Site'!G2245&lt;&gt;0,'Boletins Nuppa Site'!G2245,"NULL")</f>
        <v>NULL</v>
      </c>
      <c r="E2245" s="14" t="str">
        <f>IF('Boletins Nuppa Site'!H2245&lt;&gt;0,'Boletins Nuppa Site'!H2245,"NULL")</f>
        <v xml:space="preserve"> 84.00</v>
      </c>
      <c r="F2245" s="14" t="str">
        <f>IF('Boletins Nuppa Site'!I2245&lt;&gt;0,'Boletins Nuppa Site'!I2245,"NULL")</f>
        <v xml:space="preserve"> 84.00</v>
      </c>
      <c r="G2245" s="14" t="str">
        <f>IF('Boletins Nuppa Site'!J2245&lt;&gt;0,'Boletins Nuppa Site'!J2245,"NULL")</f>
        <v xml:space="preserve"> 84.00</v>
      </c>
      <c r="H2245" s="14" t="str">
        <f>IF('Boletins Nuppa Site'!K2245&lt;&gt;0,'Boletins Nuppa Site'!K2245,"NULL")</f>
        <v xml:space="preserve"> 84.00</v>
      </c>
      <c r="I2245" t="str">
        <f t="shared" si="70"/>
        <v>INSERT INTO COTACAO (cot_id, cot_blt_id, cot_pap_id, cot_prc_comum, cot_prc_min, cot_prc_max, cot_prc_med, cot_prc_mediana) VALUES (2244, 94, 14, NULL,  84.00,  84.00,  84.00,  84.00);</v>
      </c>
      <c r="J2245" t="str">
        <f t="shared" si="71"/>
        <v>UPDATE COTACAO SET cot_id = 2244, cot_blt_id = 94, cot_pap_id = 14, cot_prc_comum = NULL, cot_prc_min =  84.00, cot_prc_max =  84.00, cot_prc_med =  84.00, cot_prc_mediana =  84.00 WHERE cot_id = 2244;</v>
      </c>
    </row>
    <row r="2246" spans="1:10" x14ac:dyDescent="0.3">
      <c r="A2246">
        <v>2245</v>
      </c>
      <c r="B2246">
        <f>IF('Boletins Nuppa Site'!A2246&lt;&gt;0,'Boletins Nuppa Site'!A2246,"NULL")</f>
        <v>94</v>
      </c>
      <c r="C2246">
        <v>15</v>
      </c>
      <c r="D2246" t="str">
        <f>IF('Boletins Nuppa Site'!G2246&lt;&gt;0,'Boletins Nuppa Site'!G2246,"NULL")</f>
        <v>NULL</v>
      </c>
      <c r="E2246" s="14" t="str">
        <f>IF('Boletins Nuppa Site'!H2246&lt;&gt;0,'Boletins Nuppa Site'!H2246,"NULL")</f>
        <v xml:space="preserve"> 50.00</v>
      </c>
      <c r="F2246" s="14" t="str">
        <f>IF('Boletins Nuppa Site'!I2246&lt;&gt;0,'Boletins Nuppa Site'!I2246,"NULL")</f>
        <v xml:space="preserve"> 60.00</v>
      </c>
      <c r="G2246" s="14" t="str">
        <f>IF('Boletins Nuppa Site'!J2246&lt;&gt;0,'Boletins Nuppa Site'!J2246,"NULL")</f>
        <v xml:space="preserve"> 56.67</v>
      </c>
      <c r="H2246" s="14" t="str">
        <f>IF('Boletins Nuppa Site'!K2246&lt;&gt;0,'Boletins Nuppa Site'!K2246,"NULL")</f>
        <v xml:space="preserve"> 60.00</v>
      </c>
      <c r="I2246" t="str">
        <f t="shared" si="70"/>
        <v>INSERT INTO COTACAO (cot_id, cot_blt_id, cot_pap_id, cot_prc_comum, cot_prc_min, cot_prc_max, cot_prc_med, cot_prc_mediana) VALUES (2245, 94, 15, NULL,  50.00,  60.00,  56.67,  60.00);</v>
      </c>
      <c r="J2246" t="str">
        <f t="shared" si="71"/>
        <v>UPDATE COTACAO SET cot_id = 2245, cot_blt_id = 94, cot_pap_id = 15, cot_prc_comum = NULL, cot_prc_min =  50.00, cot_prc_max =  60.00, cot_prc_med =  56.67, cot_prc_mediana =  60.00 WHERE cot_id = 2245;</v>
      </c>
    </row>
    <row r="2247" spans="1:10" x14ac:dyDescent="0.3">
      <c r="A2247">
        <v>2246</v>
      </c>
      <c r="B2247">
        <f>IF('Boletins Nuppa Site'!A2247&lt;&gt;0,'Boletins Nuppa Site'!A2247,"NULL")</f>
        <v>94</v>
      </c>
      <c r="C2247">
        <v>16</v>
      </c>
      <c r="D2247" t="str">
        <f>IF('Boletins Nuppa Site'!G2247&lt;&gt;0,'Boletins Nuppa Site'!G2247,"NULL")</f>
        <v xml:space="preserve"> 54.00</v>
      </c>
      <c r="E2247" s="14" t="str">
        <f>IF('Boletins Nuppa Site'!H2247&lt;&gt;0,'Boletins Nuppa Site'!H2247,"NULL")</f>
        <v xml:space="preserve"> 60.00</v>
      </c>
      <c r="F2247" s="14" t="str">
        <f>IF('Boletins Nuppa Site'!I2247&lt;&gt;0,'Boletins Nuppa Site'!I2247,"NULL")</f>
        <v xml:space="preserve"> 60.00</v>
      </c>
      <c r="G2247" s="14" t="str">
        <f>IF('Boletins Nuppa Site'!J2247&lt;&gt;0,'Boletins Nuppa Site'!J2247,"NULL")</f>
        <v xml:space="preserve"> 58.00</v>
      </c>
      <c r="H2247" s="14" t="str">
        <f>IF('Boletins Nuppa Site'!K2247&lt;&gt;0,'Boletins Nuppa Site'!K2247,"NULL")</f>
        <v xml:space="preserve"> 60.00</v>
      </c>
      <c r="I2247" t="str">
        <f t="shared" si="70"/>
        <v>INSERT INTO COTACAO (cot_id, cot_blt_id, cot_pap_id, cot_prc_comum, cot_prc_min, cot_prc_max, cot_prc_med, cot_prc_mediana) VALUES (2246, 94, 16,  54.00,  60.00,  60.00,  58.00,  60.00);</v>
      </c>
      <c r="J2247" t="str">
        <f t="shared" si="71"/>
        <v>UPDATE COTACAO SET cot_id = 2246, cot_blt_id = 94, cot_pap_id = 16, cot_prc_comum =  54.00, cot_prc_min =  60.00, cot_prc_max =  60.00, cot_prc_med =  58.00, cot_prc_mediana =  60.00 WHERE cot_id = 2246;</v>
      </c>
    </row>
    <row r="2248" spans="1:10" x14ac:dyDescent="0.3">
      <c r="A2248">
        <v>2247</v>
      </c>
      <c r="B2248">
        <f>IF('Boletins Nuppa Site'!A2248&lt;&gt;0,'Boletins Nuppa Site'!A2248,"NULL")</f>
        <v>94</v>
      </c>
      <c r="C2248">
        <v>17</v>
      </c>
      <c r="D2248" t="str">
        <f>IF('Boletins Nuppa Site'!G2248&lt;&gt;0,'Boletins Nuppa Site'!G2248,"NULL")</f>
        <v xml:space="preserve"> 60.00</v>
      </c>
      <c r="E2248" s="14" t="str">
        <f>IF('Boletins Nuppa Site'!H2248&lt;&gt;0,'Boletins Nuppa Site'!H2248,"NULL")</f>
        <v xml:space="preserve"> 48.00</v>
      </c>
      <c r="F2248" s="14" t="str">
        <f>IF('Boletins Nuppa Site'!I2248&lt;&gt;0,'Boletins Nuppa Site'!I2248,"NULL")</f>
        <v xml:space="preserve"> 60.00</v>
      </c>
      <c r="G2248" s="14" t="str">
        <f>IF('Boletins Nuppa Site'!J2248&lt;&gt;0,'Boletins Nuppa Site'!J2248,"NULL")</f>
        <v xml:space="preserve"> 56.00</v>
      </c>
      <c r="H2248" s="14" t="str">
        <f>IF('Boletins Nuppa Site'!K2248&lt;&gt;0,'Boletins Nuppa Site'!K2248,"NULL")</f>
        <v xml:space="preserve"> 60.00</v>
      </c>
      <c r="I2248" t="str">
        <f t="shared" si="70"/>
        <v>INSERT INTO COTACAO (cot_id, cot_blt_id, cot_pap_id, cot_prc_comum, cot_prc_min, cot_prc_max, cot_prc_med, cot_prc_mediana) VALUES (2247, 94, 17,  60.00,  48.00,  60.00,  56.00,  60.00);</v>
      </c>
      <c r="J2248" t="str">
        <f t="shared" si="71"/>
        <v>UPDATE COTACAO SET cot_id = 2247, cot_blt_id = 94, cot_pap_id = 17, cot_prc_comum =  60.00, cot_prc_min =  48.00, cot_prc_max =  60.00, cot_prc_med =  56.00, cot_prc_mediana =  60.00 WHERE cot_id = 2247;</v>
      </c>
    </row>
    <row r="2249" spans="1:10" x14ac:dyDescent="0.3">
      <c r="A2249">
        <v>2248</v>
      </c>
      <c r="B2249">
        <f>IF('Boletins Nuppa Site'!A2249&lt;&gt;0,'Boletins Nuppa Site'!A2249,"NULL")</f>
        <v>94</v>
      </c>
      <c r="C2249">
        <v>18</v>
      </c>
      <c r="D2249" t="str">
        <f>IF('Boletins Nuppa Site'!G2249&lt;&gt;0,'Boletins Nuppa Site'!G2249,"NULL")</f>
        <v>NULL</v>
      </c>
      <c r="E2249" s="14" t="str">
        <f>IF('Boletins Nuppa Site'!H2249&lt;&gt;0,'Boletins Nuppa Site'!H2249,"NULL")</f>
        <v xml:space="preserve"> 84.00</v>
      </c>
      <c r="F2249" s="14" t="str">
        <f>IF('Boletins Nuppa Site'!I2249&lt;&gt;0,'Boletins Nuppa Site'!I2249,"NULL")</f>
        <v xml:space="preserve"> 96.00</v>
      </c>
      <c r="G2249" s="14" t="str">
        <f>IF('Boletins Nuppa Site'!J2249&lt;&gt;0,'Boletins Nuppa Site'!J2249,"NULL")</f>
        <v xml:space="preserve"> 90.00</v>
      </c>
      <c r="H2249" s="14" t="str">
        <f>IF('Boletins Nuppa Site'!K2249&lt;&gt;0,'Boletins Nuppa Site'!K2249,"NULL")</f>
        <v xml:space="preserve"> 90.00</v>
      </c>
      <c r="I2249" t="str">
        <f t="shared" si="70"/>
        <v>INSERT INTO COTACAO (cot_id, cot_blt_id, cot_pap_id, cot_prc_comum, cot_prc_min, cot_prc_max, cot_prc_med, cot_prc_mediana) VALUES (2248, 94, 18, NULL,  84.00,  96.00,  90.00,  90.00);</v>
      </c>
      <c r="J2249" t="str">
        <f t="shared" si="71"/>
        <v>UPDATE COTACAO SET cot_id = 2248, cot_blt_id = 94, cot_pap_id = 18, cot_prc_comum = NULL, cot_prc_min =  84.00, cot_prc_max =  96.00, cot_prc_med =  90.00, cot_prc_mediana =  90.00 WHERE cot_id = 2248;</v>
      </c>
    </row>
    <row r="2250" spans="1:10" x14ac:dyDescent="0.3">
      <c r="A2250">
        <v>2249</v>
      </c>
      <c r="B2250">
        <f>IF('Boletins Nuppa Site'!A2250&lt;&gt;0,'Boletins Nuppa Site'!A2250,"NULL")</f>
        <v>94</v>
      </c>
      <c r="C2250">
        <v>19</v>
      </c>
      <c r="D2250" t="str">
        <f>IF('Boletins Nuppa Site'!G2250&lt;&gt;0,'Boletins Nuppa Site'!G2250,"NULL")</f>
        <v xml:space="preserve"> 48.00</v>
      </c>
      <c r="E2250" s="14" t="str">
        <f>IF('Boletins Nuppa Site'!H2250&lt;&gt;0,'Boletins Nuppa Site'!H2250,"NULL")</f>
        <v xml:space="preserve"> 48.00</v>
      </c>
      <c r="F2250" s="14" t="str">
        <f>IF('Boletins Nuppa Site'!I2250&lt;&gt;0,'Boletins Nuppa Site'!I2250,"NULL")</f>
        <v xml:space="preserve"> 48.00</v>
      </c>
      <c r="G2250" s="14" t="str">
        <f>IF('Boletins Nuppa Site'!J2250&lt;&gt;0,'Boletins Nuppa Site'!J2250,"NULL")</f>
        <v xml:space="preserve"> 48.00</v>
      </c>
      <c r="H2250" s="14" t="str">
        <f>IF('Boletins Nuppa Site'!K2250&lt;&gt;0,'Boletins Nuppa Site'!K2250,"NULL")</f>
        <v xml:space="preserve"> 48.00</v>
      </c>
      <c r="I2250" t="str">
        <f t="shared" si="70"/>
        <v>INSERT INTO COTACAO (cot_id, cot_blt_id, cot_pap_id, cot_prc_comum, cot_prc_min, cot_prc_max, cot_prc_med, cot_prc_mediana) VALUES (2249, 94, 19,  48.00,  48.00,  48.00,  48.00,  48.00);</v>
      </c>
      <c r="J2250" t="str">
        <f t="shared" si="71"/>
        <v>UPDATE COTACAO SET cot_id = 2249, cot_blt_id = 94, cot_pap_id = 19, cot_prc_comum =  48.00, cot_prc_min =  48.00, cot_prc_max =  48.00, cot_prc_med =  48.00, cot_prc_mediana =  48.00 WHERE cot_id = 2249;</v>
      </c>
    </row>
    <row r="2251" spans="1:10" x14ac:dyDescent="0.3">
      <c r="A2251">
        <v>2250</v>
      </c>
      <c r="B2251">
        <f>IF('Boletins Nuppa Site'!A2251&lt;&gt;0,'Boletins Nuppa Site'!A2251,"NULL")</f>
        <v>94</v>
      </c>
      <c r="C2251">
        <v>20</v>
      </c>
      <c r="D2251" t="str">
        <f>IF('Boletins Nuppa Site'!G2251&lt;&gt;0,'Boletins Nuppa Site'!G2251,"NULL")</f>
        <v xml:space="preserve"> 60.00</v>
      </c>
      <c r="E2251" s="14" t="str">
        <f>IF('Boletins Nuppa Site'!H2251&lt;&gt;0,'Boletins Nuppa Site'!H2251,"NULL")</f>
        <v xml:space="preserve"> 60.00</v>
      </c>
      <c r="F2251" s="14" t="str">
        <f>IF('Boletins Nuppa Site'!I2251&lt;&gt;0,'Boletins Nuppa Site'!I2251,"NULL")</f>
        <v xml:space="preserve"> 70.00</v>
      </c>
      <c r="G2251" s="14" t="str">
        <f>IF('Boletins Nuppa Site'!J2251&lt;&gt;0,'Boletins Nuppa Site'!J2251,"NULL")</f>
        <v xml:space="preserve"> 63.33</v>
      </c>
      <c r="H2251" s="14" t="str">
        <f>IF('Boletins Nuppa Site'!K2251&lt;&gt;0,'Boletins Nuppa Site'!K2251,"NULL")</f>
        <v xml:space="preserve"> 60.00</v>
      </c>
      <c r="I2251" t="str">
        <f t="shared" si="70"/>
        <v>INSERT INTO COTACAO (cot_id, cot_blt_id, cot_pap_id, cot_prc_comum, cot_prc_min, cot_prc_max, cot_prc_med, cot_prc_mediana) VALUES (2250, 94, 20,  60.00,  60.00,  70.00,  63.33,  60.00);</v>
      </c>
      <c r="J2251" t="str">
        <f t="shared" si="71"/>
        <v>UPDATE COTACAO SET cot_id = 2250, cot_blt_id = 94, cot_pap_id = 20, cot_prc_comum =  60.00, cot_prc_min =  60.00, cot_prc_max =  70.00, cot_prc_med =  63.33, cot_prc_mediana =  60.00 WHERE cot_id = 2250;</v>
      </c>
    </row>
    <row r="2252" spans="1:10" x14ac:dyDescent="0.3">
      <c r="A2252">
        <v>2251</v>
      </c>
      <c r="B2252">
        <f>IF('Boletins Nuppa Site'!A2252&lt;&gt;0,'Boletins Nuppa Site'!A2252,"NULL")</f>
        <v>94</v>
      </c>
      <c r="C2252">
        <v>21</v>
      </c>
      <c r="D2252" t="str">
        <f>IF('Boletins Nuppa Site'!G2252&lt;&gt;0,'Boletins Nuppa Site'!G2252,"NULL")</f>
        <v xml:space="preserve"> 40.00</v>
      </c>
      <c r="E2252" s="14" t="str">
        <f>IF('Boletins Nuppa Site'!H2252&lt;&gt;0,'Boletins Nuppa Site'!H2252,"NULL")</f>
        <v xml:space="preserve"> 50.00</v>
      </c>
      <c r="F2252" s="14" t="str">
        <f>IF('Boletins Nuppa Site'!I2252&lt;&gt;0,'Boletins Nuppa Site'!I2252,"NULL")</f>
        <v xml:space="preserve"> 60.00</v>
      </c>
      <c r="G2252" s="14" t="str">
        <f>IF('Boletins Nuppa Site'!J2252&lt;&gt;0,'Boletins Nuppa Site'!J2252,"NULL")</f>
        <v xml:space="preserve"> 50.00</v>
      </c>
      <c r="H2252" s="14" t="str">
        <f>IF('Boletins Nuppa Site'!K2252&lt;&gt;0,'Boletins Nuppa Site'!K2252,"NULL")</f>
        <v xml:space="preserve"> 50.00</v>
      </c>
      <c r="I2252" t="str">
        <f t="shared" si="70"/>
        <v>INSERT INTO COTACAO (cot_id, cot_blt_id, cot_pap_id, cot_prc_comum, cot_prc_min, cot_prc_max, cot_prc_med, cot_prc_mediana) VALUES (2251, 94, 21,  40.00,  50.00,  60.00,  50.00,  50.00);</v>
      </c>
      <c r="J2252" t="str">
        <f t="shared" si="71"/>
        <v>UPDATE COTACAO SET cot_id = 2251, cot_blt_id = 94, cot_pap_id = 21, cot_prc_comum =  40.00, cot_prc_min =  50.00, cot_prc_max =  60.00, cot_prc_med =  50.00, cot_prc_mediana =  50.00 WHERE cot_id = 2251;</v>
      </c>
    </row>
    <row r="2253" spans="1:10" x14ac:dyDescent="0.3">
      <c r="A2253">
        <v>2252</v>
      </c>
      <c r="B2253">
        <f>IF('Boletins Nuppa Site'!A2253&lt;&gt;0,'Boletins Nuppa Site'!A2253,"NULL")</f>
        <v>94</v>
      </c>
      <c r="C2253">
        <v>22</v>
      </c>
      <c r="D2253" t="str">
        <f>IF('Boletins Nuppa Site'!G2253&lt;&gt;0,'Boletins Nuppa Site'!G2253,"NULL")</f>
        <v xml:space="preserve"> 60.00</v>
      </c>
      <c r="E2253" s="14" t="str">
        <f>IF('Boletins Nuppa Site'!H2253&lt;&gt;0,'Boletins Nuppa Site'!H2253,"NULL")</f>
        <v xml:space="preserve"> 30.00</v>
      </c>
      <c r="F2253" s="14" t="str">
        <f>IF('Boletins Nuppa Site'!I2253&lt;&gt;0,'Boletins Nuppa Site'!I2253,"NULL")</f>
        <v xml:space="preserve"> 65.00</v>
      </c>
      <c r="G2253" s="14" t="str">
        <f>IF('Boletins Nuppa Site'!J2253&lt;&gt;0,'Boletins Nuppa Site'!J2253,"NULL")</f>
        <v xml:space="preserve"> 52.00</v>
      </c>
      <c r="H2253" s="14" t="str">
        <f>IF('Boletins Nuppa Site'!K2253&lt;&gt;0,'Boletins Nuppa Site'!K2253,"NULL")</f>
        <v xml:space="preserve"> 60.00</v>
      </c>
      <c r="I2253" t="str">
        <f t="shared" si="70"/>
        <v>INSERT INTO COTACAO (cot_id, cot_blt_id, cot_pap_id, cot_prc_comum, cot_prc_min, cot_prc_max, cot_prc_med, cot_prc_mediana) VALUES (2252, 94, 22,  60.00,  30.00,  65.00,  52.00,  60.00);</v>
      </c>
      <c r="J2253" t="str">
        <f t="shared" si="71"/>
        <v>UPDATE COTACAO SET cot_id = 2252, cot_blt_id = 94, cot_pap_id = 22, cot_prc_comum =  60.00, cot_prc_min =  30.00, cot_prc_max =  65.00, cot_prc_med =  52.00, cot_prc_mediana =  60.00 WHERE cot_id = 2252;</v>
      </c>
    </row>
    <row r="2254" spans="1:10" x14ac:dyDescent="0.3">
      <c r="A2254">
        <v>2253</v>
      </c>
      <c r="B2254">
        <f>IF('Boletins Nuppa Site'!A2254&lt;&gt;0,'Boletins Nuppa Site'!A2254,"NULL")</f>
        <v>94</v>
      </c>
      <c r="C2254">
        <v>23</v>
      </c>
      <c r="D2254" t="str">
        <f>IF('Boletins Nuppa Site'!G2254&lt;&gt;0,'Boletins Nuppa Site'!G2254,"NULL")</f>
        <v xml:space="preserve"> 55.00</v>
      </c>
      <c r="E2254" s="14" t="str">
        <f>IF('Boletins Nuppa Site'!H2254&lt;&gt;0,'Boletins Nuppa Site'!H2254,"NULL")</f>
        <v xml:space="preserve"> 35.00</v>
      </c>
      <c r="F2254" s="14" t="str">
        <f>IF('Boletins Nuppa Site'!I2254&lt;&gt;0,'Boletins Nuppa Site'!I2254,"NULL")</f>
        <v xml:space="preserve"> 55.00</v>
      </c>
      <c r="G2254" s="14" t="str">
        <f>IF('Boletins Nuppa Site'!J2254&lt;&gt;0,'Boletins Nuppa Site'!J2254,"NULL")</f>
        <v xml:space="preserve"> 47.50</v>
      </c>
      <c r="H2254" s="14" t="str">
        <f>IF('Boletins Nuppa Site'!K2254&lt;&gt;0,'Boletins Nuppa Site'!K2254,"NULL")</f>
        <v xml:space="preserve"> 50.00</v>
      </c>
      <c r="I2254" t="str">
        <f t="shared" si="70"/>
        <v>INSERT INTO COTACAO (cot_id, cot_blt_id, cot_pap_id, cot_prc_comum, cot_prc_min, cot_prc_max, cot_prc_med, cot_prc_mediana) VALUES (2253, 94, 23,  55.00,  35.00,  55.00,  47.50,  50.00);</v>
      </c>
      <c r="J2254" t="str">
        <f t="shared" si="71"/>
        <v>UPDATE COTACAO SET cot_id = 2253, cot_blt_id = 94, cot_pap_id = 23, cot_prc_comum =  55.00, cot_prc_min =  35.00, cot_prc_max =  55.00, cot_prc_med =  47.50, cot_prc_mediana =  50.00 WHERE cot_id = 2253;</v>
      </c>
    </row>
    <row r="2255" spans="1:10" x14ac:dyDescent="0.3">
      <c r="A2255">
        <v>2254</v>
      </c>
      <c r="B2255">
        <f>IF('Boletins Nuppa Site'!A2255&lt;&gt;0,'Boletins Nuppa Site'!A2255,"NULL")</f>
        <v>94</v>
      </c>
      <c r="C2255">
        <v>24</v>
      </c>
      <c r="D2255" t="str">
        <f>IF('Boletins Nuppa Site'!G2255&lt;&gt;0,'Boletins Nuppa Site'!G2255,"NULL")</f>
        <v xml:space="preserve"> 80.00</v>
      </c>
      <c r="E2255" s="14" t="str">
        <f>IF('Boletins Nuppa Site'!H2255&lt;&gt;0,'Boletins Nuppa Site'!H2255,"NULL")</f>
        <v xml:space="preserve"> 80.00</v>
      </c>
      <c r="F2255" s="14" t="str">
        <f>IF('Boletins Nuppa Site'!I2255&lt;&gt;0,'Boletins Nuppa Site'!I2255,"NULL")</f>
        <v xml:space="preserve"> 80.00</v>
      </c>
      <c r="G2255" s="14" t="str">
        <f>IF('Boletins Nuppa Site'!J2255&lt;&gt;0,'Boletins Nuppa Site'!J2255,"NULL")</f>
        <v xml:space="preserve"> 80.00</v>
      </c>
      <c r="H2255" s="14" t="str">
        <f>IF('Boletins Nuppa Site'!K2255&lt;&gt;0,'Boletins Nuppa Site'!K2255,"NULL")</f>
        <v xml:space="preserve"> 80.00</v>
      </c>
      <c r="I2255" t="str">
        <f t="shared" si="70"/>
        <v>INSERT INTO COTACAO (cot_id, cot_blt_id, cot_pap_id, cot_prc_comum, cot_prc_min, cot_prc_max, cot_prc_med, cot_prc_mediana) VALUES (2254, 94, 24,  80.00,  80.00,  80.00,  80.00,  80.00);</v>
      </c>
      <c r="J2255" t="str">
        <f t="shared" si="71"/>
        <v>UPDATE COTACAO SET cot_id = 2254, cot_blt_id = 94, cot_pap_id = 24, cot_prc_comum =  80.00, cot_prc_min =  80.00, cot_prc_max =  80.00, cot_prc_med =  80.00, cot_prc_mediana =  80.00 WHERE cot_id = 2254;</v>
      </c>
    </row>
    <row r="2256" spans="1:10" x14ac:dyDescent="0.3">
      <c r="A2256">
        <v>2255</v>
      </c>
      <c r="B2256">
        <f>IF('Boletins Nuppa Site'!A2256&lt;&gt;0,'Boletins Nuppa Site'!A2256,"NULL")</f>
        <v>94</v>
      </c>
      <c r="C2256">
        <v>25</v>
      </c>
      <c r="D2256" t="str">
        <f>IF('Boletins Nuppa Site'!G2256&lt;&gt;0,'Boletins Nuppa Site'!G2256,"NULL")</f>
        <v xml:space="preserve"> 50.00</v>
      </c>
      <c r="E2256" s="14" t="str">
        <f>IF('Boletins Nuppa Site'!H2256&lt;&gt;0,'Boletins Nuppa Site'!H2256,"NULL")</f>
        <v xml:space="preserve"> 50.00</v>
      </c>
      <c r="F2256" s="14" t="str">
        <f>IF('Boletins Nuppa Site'!I2256&lt;&gt;0,'Boletins Nuppa Site'!I2256,"NULL")</f>
        <v xml:space="preserve"> 65.00</v>
      </c>
      <c r="G2256" s="14" t="str">
        <f>IF('Boletins Nuppa Site'!J2256&lt;&gt;0,'Boletins Nuppa Site'!J2256,"NULL")</f>
        <v xml:space="preserve"> 57.00</v>
      </c>
      <c r="H2256" s="14" t="str">
        <f>IF('Boletins Nuppa Site'!K2256&lt;&gt;0,'Boletins Nuppa Site'!K2256,"NULL")</f>
        <v xml:space="preserve"> 55.00</v>
      </c>
      <c r="I2256" t="str">
        <f t="shared" si="70"/>
        <v>INSERT INTO COTACAO (cot_id, cot_blt_id, cot_pap_id, cot_prc_comum, cot_prc_min, cot_prc_max, cot_prc_med, cot_prc_mediana) VALUES (2255, 94, 25,  50.00,  50.00,  65.00,  57.00,  55.00);</v>
      </c>
      <c r="J2256" t="str">
        <f t="shared" si="71"/>
        <v>UPDATE COTACAO SET cot_id = 2255, cot_blt_id = 94, cot_pap_id = 25, cot_prc_comum =  50.00, cot_prc_min =  50.00, cot_prc_max =  65.00, cot_prc_med =  57.00, cot_prc_mediana =  55.00 WHERE cot_id = 2255;</v>
      </c>
    </row>
    <row r="2257" spans="1:10" x14ac:dyDescent="0.3">
      <c r="A2257">
        <v>2256</v>
      </c>
      <c r="B2257">
        <f>IF('Boletins Nuppa Site'!A2257&lt;&gt;0,'Boletins Nuppa Site'!A2257,"NULL")</f>
        <v>94</v>
      </c>
      <c r="C2257">
        <v>26</v>
      </c>
      <c r="D2257" t="str">
        <f>IF('Boletins Nuppa Site'!G2257&lt;&gt;0,'Boletins Nuppa Site'!G2257,"NULL")</f>
        <v xml:space="preserve"> 50.00</v>
      </c>
      <c r="E2257" s="14" t="str">
        <f>IF('Boletins Nuppa Site'!H2257&lt;&gt;0,'Boletins Nuppa Site'!H2257,"NULL")</f>
        <v xml:space="preserve"> 45.00</v>
      </c>
      <c r="F2257" s="14" t="str">
        <f>IF('Boletins Nuppa Site'!I2257&lt;&gt;0,'Boletins Nuppa Site'!I2257,"NULL")</f>
        <v xml:space="preserve"> 100.00</v>
      </c>
      <c r="G2257" s="14" t="str">
        <f>IF('Boletins Nuppa Site'!J2257&lt;&gt;0,'Boletins Nuppa Site'!J2257,"NULL")</f>
        <v xml:space="preserve"> 77.50</v>
      </c>
      <c r="H2257" s="14" t="str">
        <f>IF('Boletins Nuppa Site'!K2257&lt;&gt;0,'Boletins Nuppa Site'!K2257,"NULL")</f>
        <v xml:space="preserve"> 80.00</v>
      </c>
      <c r="I2257" t="str">
        <f t="shared" si="70"/>
        <v>INSERT INTO COTACAO (cot_id, cot_blt_id, cot_pap_id, cot_prc_comum, cot_prc_min, cot_prc_max, cot_prc_med, cot_prc_mediana) VALUES (2256, 94, 26,  50.00,  45.00,  100.00,  77.50,  80.00);</v>
      </c>
      <c r="J2257" t="str">
        <f t="shared" si="71"/>
        <v>UPDATE COTACAO SET cot_id = 2256, cot_blt_id = 94, cot_pap_id = 26, cot_prc_comum =  50.00, cot_prc_min =  45.00, cot_prc_max =  100.00, cot_prc_med =  77.50, cot_prc_mediana =  80.00 WHERE cot_id = 2256;</v>
      </c>
    </row>
    <row r="2258" spans="1:10" x14ac:dyDescent="0.3">
      <c r="A2258">
        <v>2257</v>
      </c>
      <c r="B2258">
        <f>IF('Boletins Nuppa Site'!A2258&lt;&gt;0,'Boletins Nuppa Site'!A2258,"NULL")</f>
        <v>94</v>
      </c>
      <c r="C2258">
        <v>27</v>
      </c>
      <c r="D2258" t="str">
        <f>IF('Boletins Nuppa Site'!G2258&lt;&gt;0,'Boletins Nuppa Site'!G2258,"NULL")</f>
        <v xml:space="preserve"> 70.00</v>
      </c>
      <c r="E2258" s="14" t="str">
        <f>IF('Boletins Nuppa Site'!H2258&lt;&gt;0,'Boletins Nuppa Site'!H2258,"NULL")</f>
        <v xml:space="preserve"> 90.00</v>
      </c>
      <c r="F2258" s="14" t="str">
        <f>IF('Boletins Nuppa Site'!I2258&lt;&gt;0,'Boletins Nuppa Site'!I2258,"NULL")</f>
        <v xml:space="preserve"> 80.00</v>
      </c>
      <c r="G2258" s="14" t="str">
        <f>IF('Boletins Nuppa Site'!J2258&lt;&gt;0,'Boletins Nuppa Site'!J2258,"NULL")</f>
        <v xml:space="preserve"> 65.00</v>
      </c>
      <c r="H2258" s="14" t="str">
        <f>IF('Boletins Nuppa Site'!K2258&lt;&gt;0,'Boletins Nuppa Site'!K2258,"NULL")</f>
        <v xml:space="preserve"> 70.00</v>
      </c>
      <c r="I2258" t="str">
        <f t="shared" si="70"/>
        <v>INSERT INTO COTACAO (cot_id, cot_blt_id, cot_pap_id, cot_prc_comum, cot_prc_min, cot_prc_max, cot_prc_med, cot_prc_mediana) VALUES (2257, 94, 27,  70.00,  90.00,  80.00,  65.00,  70.00);</v>
      </c>
      <c r="J2258" t="str">
        <f t="shared" si="71"/>
        <v>UPDATE COTACAO SET cot_id = 2257, cot_blt_id = 94, cot_pap_id = 27, cot_prc_comum =  70.00, cot_prc_min =  90.00, cot_prc_max =  80.00, cot_prc_med =  65.00, cot_prc_mediana =  70.00 WHERE cot_id = 2257;</v>
      </c>
    </row>
    <row r="2259" spans="1:10" x14ac:dyDescent="0.3">
      <c r="A2259">
        <v>2258</v>
      </c>
      <c r="B2259">
        <f>IF('Boletins Nuppa Site'!A2259&lt;&gt;0,'Boletins Nuppa Site'!A2259,"NULL")</f>
        <v>94</v>
      </c>
      <c r="C2259">
        <v>28</v>
      </c>
      <c r="D2259" t="str">
        <f>IF('Boletins Nuppa Site'!G2259&lt;&gt;0,'Boletins Nuppa Site'!G2259,"NULL")</f>
        <v>NULL</v>
      </c>
      <c r="E2259" s="14" t="str">
        <f>IF('Boletins Nuppa Site'!H2259&lt;&gt;0,'Boletins Nuppa Site'!H2259,"NULL")</f>
        <v xml:space="preserve"> 60.00</v>
      </c>
      <c r="F2259" s="14" t="str">
        <f>IF('Boletins Nuppa Site'!I2259&lt;&gt;0,'Boletins Nuppa Site'!I2259,"NULL")</f>
        <v xml:space="preserve"> 100.00</v>
      </c>
      <c r="G2259" s="14" t="str">
        <f>IF('Boletins Nuppa Site'!J2259&lt;&gt;0,'Boletins Nuppa Site'!J2259,"NULL")</f>
        <v xml:space="preserve"> 81.67</v>
      </c>
      <c r="H2259" s="14" t="str">
        <f>IF('Boletins Nuppa Site'!K2259&lt;&gt;0,'Boletins Nuppa Site'!K2259,"NULL")</f>
        <v xml:space="preserve"> 85.00</v>
      </c>
      <c r="I2259" t="str">
        <f t="shared" si="70"/>
        <v>INSERT INTO COTACAO (cot_id, cot_blt_id, cot_pap_id, cot_prc_comum, cot_prc_min, cot_prc_max, cot_prc_med, cot_prc_mediana) VALUES (2258, 94, 28, NULL,  60.00,  100.00,  81.67,  85.00);</v>
      </c>
      <c r="J2259" t="str">
        <f t="shared" si="71"/>
        <v>UPDATE COTACAO SET cot_id = 2258, cot_blt_id = 94, cot_pap_id = 28, cot_prc_comum = NULL, cot_prc_min =  60.00, cot_prc_max =  100.00, cot_prc_med =  81.67, cot_prc_mediana =  85.00 WHERE cot_id = 2258;</v>
      </c>
    </row>
    <row r="2260" spans="1:10" x14ac:dyDescent="0.3">
      <c r="A2260">
        <v>2259</v>
      </c>
      <c r="B2260">
        <f>IF('Boletins Nuppa Site'!A2260&lt;&gt;0,'Boletins Nuppa Site'!A2260,"NULL")</f>
        <v>94</v>
      </c>
      <c r="C2260">
        <v>29</v>
      </c>
      <c r="D2260" t="str">
        <f>IF('Boletins Nuppa Site'!G2260&lt;&gt;0,'Boletins Nuppa Site'!G2260,"NULL")</f>
        <v>NULL</v>
      </c>
      <c r="E2260" s="14" t="str">
        <f>IF('Boletins Nuppa Site'!H2260&lt;&gt;0,'Boletins Nuppa Site'!H2260,"NULL")</f>
        <v xml:space="preserve"> 45.00</v>
      </c>
      <c r="F2260" s="14" t="str">
        <f>IF('Boletins Nuppa Site'!I2260&lt;&gt;0,'Boletins Nuppa Site'!I2260,"NULL")</f>
        <v xml:space="preserve"> 80.00</v>
      </c>
      <c r="G2260" s="14" t="str">
        <f>IF('Boletins Nuppa Site'!J2260&lt;&gt;0,'Boletins Nuppa Site'!J2260,"NULL")</f>
        <v xml:space="preserve"> 66.67</v>
      </c>
      <c r="H2260" s="14" t="str">
        <f>IF('Boletins Nuppa Site'!K2260&lt;&gt;0,'Boletins Nuppa Site'!K2260,"NULL")</f>
        <v xml:space="preserve"> 75.00</v>
      </c>
      <c r="I2260" t="str">
        <f t="shared" si="70"/>
        <v>INSERT INTO COTACAO (cot_id, cot_blt_id, cot_pap_id, cot_prc_comum, cot_prc_min, cot_prc_max, cot_prc_med, cot_prc_mediana) VALUES (2259, 94, 29, NULL,  45.00,  80.00,  66.67,  75.00);</v>
      </c>
      <c r="J2260" t="str">
        <f t="shared" si="71"/>
        <v>UPDATE COTACAO SET cot_id = 2259, cot_blt_id = 94, cot_pap_id = 29, cot_prc_comum = NULL, cot_prc_min =  45.00, cot_prc_max =  80.00, cot_prc_med =  66.67, cot_prc_mediana =  75.00 WHERE cot_id = 2259;</v>
      </c>
    </row>
    <row r="2261" spans="1:10" x14ac:dyDescent="0.3">
      <c r="A2261">
        <v>2260</v>
      </c>
      <c r="B2261">
        <f>IF('Boletins Nuppa Site'!A2261&lt;&gt;0,'Boletins Nuppa Site'!A2261,"NULL")</f>
        <v>94</v>
      </c>
      <c r="C2261">
        <v>30</v>
      </c>
      <c r="D2261" t="str">
        <f>IF('Boletins Nuppa Site'!G2261&lt;&gt;0,'Boletins Nuppa Site'!G2261,"NULL")</f>
        <v xml:space="preserve"> 70.00</v>
      </c>
      <c r="E2261" s="14" t="str">
        <f>IF('Boletins Nuppa Site'!H2261&lt;&gt;0,'Boletins Nuppa Site'!H2261,"NULL")</f>
        <v xml:space="preserve"> 70.00</v>
      </c>
      <c r="F2261" s="14" t="str">
        <f>IF('Boletins Nuppa Site'!I2261&lt;&gt;0,'Boletins Nuppa Site'!I2261,"NULL")</f>
        <v xml:space="preserve"> 70.00</v>
      </c>
      <c r="G2261" s="14" t="str">
        <f>IF('Boletins Nuppa Site'!J2261&lt;&gt;0,'Boletins Nuppa Site'!J2261,"NULL")</f>
        <v xml:space="preserve"> 70.00</v>
      </c>
      <c r="H2261" s="14" t="str">
        <f>IF('Boletins Nuppa Site'!K2261&lt;&gt;0,'Boletins Nuppa Site'!K2261,"NULL")</f>
        <v xml:space="preserve"> 70.00</v>
      </c>
      <c r="I2261" t="str">
        <f t="shared" si="70"/>
        <v>INSERT INTO COTACAO (cot_id, cot_blt_id, cot_pap_id, cot_prc_comum, cot_prc_min, cot_prc_max, cot_prc_med, cot_prc_mediana) VALUES (2260, 94, 30,  70.00,  70.00,  70.00,  70.00,  70.00);</v>
      </c>
      <c r="J2261" t="str">
        <f t="shared" si="71"/>
        <v>UPDATE COTACAO SET cot_id = 2260, cot_blt_id = 94, cot_pap_id = 30, cot_prc_comum =  70.00, cot_prc_min =  70.00, cot_prc_max =  70.00, cot_prc_med =  70.00, cot_prc_mediana =  70.00 WHERE cot_id = 2260;</v>
      </c>
    </row>
    <row r="2262" spans="1:10" x14ac:dyDescent="0.3">
      <c r="A2262">
        <v>2261</v>
      </c>
      <c r="B2262">
        <f>IF('Boletins Nuppa Site'!A2262&lt;&gt;0,'Boletins Nuppa Site'!A2262,"NULL")</f>
        <v>94</v>
      </c>
      <c r="C2262">
        <v>31</v>
      </c>
      <c r="D2262" t="str">
        <f>IF('Boletins Nuppa Site'!G2262&lt;&gt;0,'Boletins Nuppa Site'!G2262,"NULL")</f>
        <v>NULL</v>
      </c>
      <c r="E2262" s="14" t="str">
        <f>IF('Boletins Nuppa Site'!H2262&lt;&gt;0,'Boletins Nuppa Site'!H2262,"NULL")</f>
        <v xml:space="preserve"> 70.00</v>
      </c>
      <c r="F2262" s="14" t="str">
        <f>IF('Boletins Nuppa Site'!I2262&lt;&gt;0,'Boletins Nuppa Site'!I2262,"NULL")</f>
        <v xml:space="preserve"> 100.00</v>
      </c>
      <c r="G2262" s="14" t="str">
        <f>IF('Boletins Nuppa Site'!J2262&lt;&gt;0,'Boletins Nuppa Site'!J2262,"NULL")</f>
        <v xml:space="preserve"> 77.00</v>
      </c>
      <c r="H2262" s="14" t="str">
        <f>IF('Boletins Nuppa Site'!K2262&lt;&gt;0,'Boletins Nuppa Site'!K2262,"NULL")</f>
        <v xml:space="preserve"> 75.00</v>
      </c>
      <c r="I2262" t="str">
        <f t="shared" si="70"/>
        <v>INSERT INTO COTACAO (cot_id, cot_blt_id, cot_pap_id, cot_prc_comum, cot_prc_min, cot_prc_max, cot_prc_med, cot_prc_mediana) VALUES (2261, 94, 31, NULL,  70.00,  100.00,  77.00,  75.00);</v>
      </c>
      <c r="J2262" t="str">
        <f t="shared" si="71"/>
        <v>UPDATE COTACAO SET cot_id = 2261, cot_blt_id = 94, cot_pap_id = 31, cot_prc_comum = NULL, cot_prc_min =  70.00, cot_prc_max =  100.00, cot_prc_med =  77.00, cot_prc_mediana =  75.00 WHERE cot_id = 2261;</v>
      </c>
    </row>
    <row r="2263" spans="1:10" x14ac:dyDescent="0.3">
      <c r="A2263">
        <v>2262</v>
      </c>
      <c r="B2263">
        <f>IF('Boletins Nuppa Site'!A2263&lt;&gt;0,'Boletins Nuppa Site'!A2263,"NULL")</f>
        <v>94</v>
      </c>
      <c r="C2263">
        <v>32</v>
      </c>
      <c r="D2263" t="str">
        <f>IF('Boletins Nuppa Site'!G2263&lt;&gt;0,'Boletins Nuppa Site'!G2263,"NULL")</f>
        <v xml:space="preserve"> 60.00</v>
      </c>
      <c r="E2263" s="14" t="str">
        <f>IF('Boletins Nuppa Site'!H2263&lt;&gt;0,'Boletins Nuppa Site'!H2263,"NULL")</f>
        <v xml:space="preserve"> 60.00</v>
      </c>
      <c r="F2263" s="14" t="str">
        <f>IF('Boletins Nuppa Site'!I2263&lt;&gt;0,'Boletins Nuppa Site'!I2263,"NULL")</f>
        <v xml:space="preserve"> 60.00</v>
      </c>
      <c r="G2263" s="14" t="str">
        <f>IF('Boletins Nuppa Site'!J2263&lt;&gt;0,'Boletins Nuppa Site'!J2263,"NULL")</f>
        <v xml:space="preserve"> 44.17</v>
      </c>
      <c r="H2263" s="14" t="str">
        <f>IF('Boletins Nuppa Site'!K2263&lt;&gt;0,'Boletins Nuppa Site'!K2263,"NULL")</f>
        <v xml:space="preserve"> 42.50</v>
      </c>
      <c r="I2263" t="str">
        <f t="shared" si="70"/>
        <v>INSERT INTO COTACAO (cot_id, cot_blt_id, cot_pap_id, cot_prc_comum, cot_prc_min, cot_prc_max, cot_prc_med, cot_prc_mediana) VALUES (2262, 94, 32,  60.00,  60.00,  60.00,  44.17,  42.50);</v>
      </c>
      <c r="J2263" t="str">
        <f t="shared" si="71"/>
        <v>UPDATE COTACAO SET cot_id = 2262, cot_blt_id = 94, cot_pap_id = 32, cot_prc_comum =  60.00, cot_prc_min =  60.00, cot_prc_max =  60.00, cot_prc_med =  44.17, cot_prc_mediana =  42.50 WHERE cot_id = 2262;</v>
      </c>
    </row>
    <row r="2264" spans="1:10" x14ac:dyDescent="0.3">
      <c r="A2264">
        <v>2263</v>
      </c>
      <c r="B2264">
        <f>IF('Boletins Nuppa Site'!A2264&lt;&gt;0,'Boletins Nuppa Site'!A2264,"NULL")</f>
        <v>94</v>
      </c>
      <c r="C2264">
        <v>33</v>
      </c>
      <c r="D2264" t="str">
        <f>IF('Boletins Nuppa Site'!G2264&lt;&gt;0,'Boletins Nuppa Site'!G2264,"NULL")</f>
        <v xml:space="preserve"> 35.00</v>
      </c>
      <c r="E2264" s="14" t="str">
        <f>IF('Boletins Nuppa Site'!H2264&lt;&gt;0,'Boletins Nuppa Site'!H2264,"NULL")</f>
        <v xml:space="preserve"> 35.00</v>
      </c>
      <c r="F2264" s="14" t="str">
        <f>IF('Boletins Nuppa Site'!I2264&lt;&gt;0,'Boletins Nuppa Site'!I2264,"NULL")</f>
        <v xml:space="preserve"> 70.00</v>
      </c>
      <c r="G2264" s="14" t="str">
        <f>IF('Boletins Nuppa Site'!J2264&lt;&gt;0,'Boletins Nuppa Site'!J2264,"NULL")</f>
        <v xml:space="preserve"> 60.00</v>
      </c>
      <c r="H2264" s="14" t="str">
        <f>IF('Boletins Nuppa Site'!K2264&lt;&gt;0,'Boletins Nuppa Site'!K2264,"NULL")</f>
        <v xml:space="preserve"> 60.00</v>
      </c>
      <c r="I2264" t="str">
        <f t="shared" si="70"/>
        <v>INSERT INTO COTACAO (cot_id, cot_blt_id, cot_pap_id, cot_prc_comum, cot_prc_min, cot_prc_max, cot_prc_med, cot_prc_mediana) VALUES (2263, 94, 33,  35.00,  35.00,  70.00,  60.00,  60.00);</v>
      </c>
      <c r="J2264" t="str">
        <f t="shared" si="71"/>
        <v>UPDATE COTACAO SET cot_id = 2263, cot_blt_id = 94, cot_pap_id = 33, cot_prc_comum =  35.00, cot_prc_min =  35.00, cot_prc_max =  70.00, cot_prc_med =  60.00, cot_prc_mediana =  60.00 WHERE cot_id = 2263;</v>
      </c>
    </row>
    <row r="2265" spans="1:10" x14ac:dyDescent="0.3">
      <c r="A2265">
        <v>2264</v>
      </c>
      <c r="B2265">
        <f>IF('Boletins Nuppa Site'!A2265&lt;&gt;0,'Boletins Nuppa Site'!A2265,"NULL")</f>
        <v>94</v>
      </c>
      <c r="C2265">
        <v>34</v>
      </c>
      <c r="D2265" t="str">
        <f>IF('Boletins Nuppa Site'!G2265&lt;&gt;0,'Boletins Nuppa Site'!G2265,"NULL")</f>
        <v xml:space="preserve"> 60.00</v>
      </c>
      <c r="E2265" s="14" t="str">
        <f>IF('Boletins Nuppa Site'!H2265&lt;&gt;0,'Boletins Nuppa Site'!H2265,"NULL")</f>
        <v xml:space="preserve"> 50.00</v>
      </c>
      <c r="F2265" s="14" t="str">
        <f>IF('Boletins Nuppa Site'!I2265&lt;&gt;0,'Boletins Nuppa Site'!I2265,"NULL")</f>
        <v xml:space="preserve"> 130.00</v>
      </c>
      <c r="G2265" s="14" t="str">
        <f>IF('Boletins Nuppa Site'!J2265&lt;&gt;0,'Boletins Nuppa Site'!J2265,"NULL")</f>
        <v xml:space="preserve"> 106.00</v>
      </c>
      <c r="H2265" s="14" t="str">
        <f>IF('Boletins Nuppa Site'!K2265&lt;&gt;0,'Boletins Nuppa Site'!K2265,"NULL")</f>
        <v xml:space="preserve"> 110.00</v>
      </c>
      <c r="I2265" t="str">
        <f t="shared" si="70"/>
        <v>INSERT INTO COTACAO (cot_id, cot_blt_id, cot_pap_id, cot_prc_comum, cot_prc_min, cot_prc_max, cot_prc_med, cot_prc_mediana) VALUES (2264, 94, 34,  60.00,  50.00,  130.00,  106.00,  110.00);</v>
      </c>
      <c r="J2265" t="str">
        <f t="shared" si="71"/>
        <v>UPDATE COTACAO SET cot_id = 2264, cot_blt_id = 94, cot_pap_id = 34, cot_prc_comum =  60.00, cot_prc_min =  50.00, cot_prc_max =  130.00, cot_prc_med =  106.00, cot_prc_mediana =  110.00 WHERE cot_id = 2264;</v>
      </c>
    </row>
    <row r="2266" spans="1:10" x14ac:dyDescent="0.3">
      <c r="A2266">
        <v>2265</v>
      </c>
      <c r="B2266">
        <f>IF('Boletins Nuppa Site'!A2266&lt;&gt;0,'Boletins Nuppa Site'!A2266,"NULL")</f>
        <v>94</v>
      </c>
      <c r="C2266">
        <v>35</v>
      </c>
      <c r="D2266" t="str">
        <f>IF('Boletins Nuppa Site'!G2266&lt;&gt;0,'Boletins Nuppa Site'!G2266,"NULL")</f>
        <v>NULL</v>
      </c>
      <c r="E2266" s="14" t="str">
        <f>IF('Boletins Nuppa Site'!H2266&lt;&gt;0,'Boletins Nuppa Site'!H2266,"NULL")</f>
        <v xml:space="preserve"> 80.00</v>
      </c>
      <c r="F2266" s="14" t="str">
        <f>IF('Boletins Nuppa Site'!I2266&lt;&gt;0,'Boletins Nuppa Site'!I2266,"NULL")</f>
        <v xml:space="preserve"> 150.00</v>
      </c>
      <c r="G2266" s="14" t="str">
        <f>IF('Boletins Nuppa Site'!J2266&lt;&gt;0,'Boletins Nuppa Site'!J2266,"NULL")</f>
        <v xml:space="preserve"> 116.67</v>
      </c>
      <c r="H2266" s="14" t="str">
        <f>IF('Boletins Nuppa Site'!K2266&lt;&gt;0,'Boletins Nuppa Site'!K2266,"NULL")</f>
        <v xml:space="preserve"> 100.00</v>
      </c>
      <c r="I2266" t="str">
        <f t="shared" si="70"/>
        <v>INSERT INTO COTACAO (cot_id, cot_blt_id, cot_pap_id, cot_prc_comum, cot_prc_min, cot_prc_max, cot_prc_med, cot_prc_mediana) VALUES (2265, 94, 35, NULL,  80.00,  150.00,  116.67,  100.00);</v>
      </c>
      <c r="J2266" t="str">
        <f t="shared" si="71"/>
        <v>UPDATE COTACAO SET cot_id = 2265, cot_blt_id = 94, cot_pap_id = 35, cot_prc_comum = NULL, cot_prc_min =  80.00, cot_prc_max =  150.00, cot_prc_med =  116.67, cot_prc_mediana =  100.00 WHERE cot_id = 2265;</v>
      </c>
    </row>
    <row r="2267" spans="1:10" x14ac:dyDescent="0.3">
      <c r="A2267">
        <v>2266</v>
      </c>
      <c r="B2267">
        <f>IF('Boletins Nuppa Site'!A2267&lt;&gt;0,'Boletins Nuppa Site'!A2267,"NULL")</f>
        <v>94</v>
      </c>
      <c r="C2267">
        <v>36</v>
      </c>
      <c r="D2267" t="str">
        <f>IF('Boletins Nuppa Site'!G2267&lt;&gt;0,'Boletins Nuppa Site'!G2267,"NULL")</f>
        <v>NULL</v>
      </c>
      <c r="E2267" s="14" t="str">
        <f>IF('Boletins Nuppa Site'!H2267&lt;&gt;0,'Boletins Nuppa Site'!H2267,"NULL")</f>
        <v>NULL</v>
      </c>
      <c r="F2267" s="14" t="str">
        <f>IF('Boletins Nuppa Site'!I2267&lt;&gt;0,'Boletins Nuppa Site'!I2267,"NULL")</f>
        <v>NULL</v>
      </c>
      <c r="G2267" s="14" t="str">
        <f>IF('Boletins Nuppa Site'!J2267&lt;&gt;0,'Boletins Nuppa Site'!J2267,"NULL")</f>
        <v>NULL</v>
      </c>
      <c r="H2267" s="14" t="str">
        <f>IF('Boletins Nuppa Site'!K2267&lt;&gt;0,'Boletins Nuppa Site'!K2267,"NULL")</f>
        <v>NULL</v>
      </c>
      <c r="I2267" t="str">
        <f t="shared" si="70"/>
        <v>INSERT INTO COTACAO (cot_id, cot_blt_id, cot_pap_id, cot_prc_comum, cot_prc_min, cot_prc_max, cot_prc_med, cot_prc_mediana) VALUES (2266, 94, 36, NULL, NULL, NULL, NULL, NULL);</v>
      </c>
      <c r="J2267" t="str">
        <f t="shared" si="71"/>
        <v>UPDATE COTACAO SET cot_id = 2266, cot_blt_id = 94, cot_pap_id = 36, cot_prc_comum = NULL, cot_prc_min = NULL, cot_prc_max = NULL, cot_prc_med = NULL, cot_prc_mediana = NULL WHERE cot_id = 2266;</v>
      </c>
    </row>
    <row r="2268" spans="1:10" x14ac:dyDescent="0.3">
      <c r="A2268">
        <v>2267</v>
      </c>
      <c r="B2268">
        <f>IF('Boletins Nuppa Site'!A2268&lt;&gt;0,'Boletins Nuppa Site'!A2268,"NULL")</f>
        <v>94</v>
      </c>
      <c r="C2268">
        <v>37</v>
      </c>
      <c r="D2268" t="str">
        <f>IF('Boletins Nuppa Site'!G2268&lt;&gt;0,'Boletins Nuppa Site'!G2268,"NULL")</f>
        <v>NULL</v>
      </c>
      <c r="E2268" s="14" t="str">
        <f>IF('Boletins Nuppa Site'!H2268&lt;&gt;0,'Boletins Nuppa Site'!H2268,"NULL")</f>
        <v>NULL</v>
      </c>
      <c r="F2268" s="14" t="str">
        <f>IF('Boletins Nuppa Site'!I2268&lt;&gt;0,'Boletins Nuppa Site'!I2268,"NULL")</f>
        <v>NULL</v>
      </c>
      <c r="G2268" s="14" t="str">
        <f>IF('Boletins Nuppa Site'!J2268&lt;&gt;0,'Boletins Nuppa Site'!J2268,"NULL")</f>
        <v>NULL</v>
      </c>
      <c r="H2268" s="14" t="str">
        <f>IF('Boletins Nuppa Site'!K2268&lt;&gt;0,'Boletins Nuppa Site'!K2268,"NULL")</f>
        <v>NULL</v>
      </c>
      <c r="I2268" t="str">
        <f t="shared" si="70"/>
        <v>INSERT INTO COTACAO (cot_id, cot_blt_id, cot_pap_id, cot_prc_comum, cot_prc_min, cot_prc_max, cot_prc_med, cot_prc_mediana) VALUES (2267, 94, 37, NULL, NULL, NULL, NULL, NULL);</v>
      </c>
      <c r="J2268" t="str">
        <f t="shared" si="71"/>
        <v>UPDATE COTACAO SET cot_id = 2267, cot_blt_id = 94, cot_pap_id = 37, cot_prc_comum = NULL, cot_prc_min = NULL, cot_prc_max = NULL, cot_prc_med = NULL, cot_prc_mediana = NULL WHERE cot_id = 2267;</v>
      </c>
    </row>
    <row r="2269" spans="1:10" x14ac:dyDescent="0.3">
      <c r="A2269">
        <v>2268</v>
      </c>
      <c r="B2269">
        <f>IF('Boletins Nuppa Site'!A2269&lt;&gt;0,'Boletins Nuppa Site'!A2269,"NULL")</f>
        <v>94</v>
      </c>
      <c r="C2269">
        <v>38</v>
      </c>
      <c r="D2269" t="str">
        <f>IF('Boletins Nuppa Site'!G2269&lt;&gt;0,'Boletins Nuppa Site'!G2269,"NULL")</f>
        <v>NULL</v>
      </c>
      <c r="E2269" s="14" t="str">
        <f>IF('Boletins Nuppa Site'!H2269&lt;&gt;0,'Boletins Nuppa Site'!H2269,"NULL")</f>
        <v>NULL</v>
      </c>
      <c r="F2269" s="14" t="str">
        <f>IF('Boletins Nuppa Site'!I2269&lt;&gt;0,'Boletins Nuppa Site'!I2269,"NULL")</f>
        <v>NULL</v>
      </c>
      <c r="G2269" s="14" t="str">
        <f>IF('Boletins Nuppa Site'!J2269&lt;&gt;0,'Boletins Nuppa Site'!J2269,"NULL")</f>
        <v>NULL</v>
      </c>
      <c r="H2269" s="14" t="str">
        <f>IF('Boletins Nuppa Site'!K2269&lt;&gt;0,'Boletins Nuppa Site'!K2269,"NULL")</f>
        <v>NULL</v>
      </c>
      <c r="I2269" t="str">
        <f t="shared" si="70"/>
        <v>INSERT INTO COTACAO (cot_id, cot_blt_id, cot_pap_id, cot_prc_comum, cot_prc_min, cot_prc_max, cot_prc_med, cot_prc_mediana) VALUES (2268, 94, 38, NULL, NULL, NULL, NULL, NULL);</v>
      </c>
      <c r="J2269" t="str">
        <f t="shared" si="71"/>
        <v>UPDATE COTACAO SET cot_id = 2268, cot_blt_id = 94, cot_pap_id = 38, cot_prc_comum = NULL, cot_prc_min = NULL, cot_prc_max = NULL, cot_prc_med = NULL, cot_prc_mediana = NULL WHERE cot_id = 2268;</v>
      </c>
    </row>
    <row r="2270" spans="1:10" x14ac:dyDescent="0.3">
      <c r="A2270">
        <v>2269</v>
      </c>
      <c r="B2270">
        <f>IF('Boletins Nuppa Site'!A2270&lt;&gt;0,'Boletins Nuppa Site'!A2270,"NULL")</f>
        <v>94</v>
      </c>
      <c r="C2270">
        <v>39</v>
      </c>
      <c r="D2270" t="str">
        <f>IF('Boletins Nuppa Site'!G2270&lt;&gt;0,'Boletins Nuppa Site'!G2270,"NULL")</f>
        <v>NULL</v>
      </c>
      <c r="E2270" s="14" t="str">
        <f>IF('Boletins Nuppa Site'!H2270&lt;&gt;0,'Boletins Nuppa Site'!H2270,"NULL")</f>
        <v>NULL</v>
      </c>
      <c r="F2270" s="14" t="str">
        <f>IF('Boletins Nuppa Site'!I2270&lt;&gt;0,'Boletins Nuppa Site'!I2270,"NULL")</f>
        <v>NULL</v>
      </c>
      <c r="G2270" s="14" t="str">
        <f>IF('Boletins Nuppa Site'!J2270&lt;&gt;0,'Boletins Nuppa Site'!J2270,"NULL")</f>
        <v>NULL</v>
      </c>
      <c r="H2270" s="14" t="str">
        <f>IF('Boletins Nuppa Site'!K2270&lt;&gt;0,'Boletins Nuppa Site'!K2270,"NULL")</f>
        <v>NULL</v>
      </c>
      <c r="I2270" t="str">
        <f t="shared" si="70"/>
        <v>INSERT INTO COTACAO (cot_id, cot_blt_id, cot_pap_id, cot_prc_comum, cot_prc_min, cot_prc_max, cot_prc_med, cot_prc_mediana) VALUES (2269, 94, 39, NULL, NULL, NULL, NULL, NULL);</v>
      </c>
      <c r="J2270" t="str">
        <f t="shared" si="71"/>
        <v>UPDATE COTACAO SET cot_id = 2269, cot_blt_id = 94, cot_pap_id = 39, cot_prc_comum = NULL, cot_prc_min = NULL, cot_prc_max = NULL, cot_prc_med = NULL, cot_prc_mediana = NULL WHERE cot_id = 2269;</v>
      </c>
    </row>
    <row r="2271" spans="1:10" x14ac:dyDescent="0.3">
      <c r="A2271">
        <v>2270</v>
      </c>
      <c r="B2271">
        <f>IF('Boletins Nuppa Site'!A2271&lt;&gt;0,'Boletins Nuppa Site'!A2271,"NULL")</f>
        <v>94</v>
      </c>
      <c r="C2271">
        <v>40</v>
      </c>
      <c r="D2271" t="str">
        <f>IF('Boletins Nuppa Site'!G2271&lt;&gt;0,'Boletins Nuppa Site'!G2271,"NULL")</f>
        <v>NULL</v>
      </c>
      <c r="E2271" s="14" t="str">
        <f>IF('Boletins Nuppa Site'!H2271&lt;&gt;0,'Boletins Nuppa Site'!H2271,"NULL")</f>
        <v>NULL</v>
      </c>
      <c r="F2271" s="14" t="str">
        <f>IF('Boletins Nuppa Site'!I2271&lt;&gt;0,'Boletins Nuppa Site'!I2271,"NULL")</f>
        <v>NULL</v>
      </c>
      <c r="G2271" s="14" t="str">
        <f>IF('Boletins Nuppa Site'!J2271&lt;&gt;0,'Boletins Nuppa Site'!J2271,"NULL")</f>
        <v>NULL</v>
      </c>
      <c r="H2271" s="14" t="str">
        <f>IF('Boletins Nuppa Site'!K2271&lt;&gt;0,'Boletins Nuppa Site'!K2271,"NULL")</f>
        <v>NULL</v>
      </c>
      <c r="I2271" t="str">
        <f t="shared" si="70"/>
        <v>INSERT INTO COTACAO (cot_id, cot_blt_id, cot_pap_id, cot_prc_comum, cot_prc_min, cot_prc_max, cot_prc_med, cot_prc_mediana) VALUES (2270, 94, 40, NULL, NULL, NULL, NULL, NULL);</v>
      </c>
      <c r="J2271" t="str">
        <f t="shared" si="71"/>
        <v>UPDATE COTACAO SET cot_id = 2270, cot_blt_id = 94, cot_pap_id = 40, cot_prc_comum = NULL, cot_prc_min = NULL, cot_prc_max = NULL, cot_prc_med = NULL, cot_prc_mediana = NULL WHERE cot_id = 2270;</v>
      </c>
    </row>
    <row r="2272" spans="1:10" x14ac:dyDescent="0.3">
      <c r="A2272">
        <v>2271</v>
      </c>
      <c r="B2272">
        <f>IF('Boletins Nuppa Site'!A2272&lt;&gt;0,'Boletins Nuppa Site'!A2272,"NULL")</f>
        <v>95</v>
      </c>
      <c r="C2272">
        <v>1</v>
      </c>
      <c r="D2272" t="str">
        <f>IF('Boletins Nuppa Site'!G2272&lt;&gt;0,'Boletins Nuppa Site'!G2272,"NULL")</f>
        <v>NULL</v>
      </c>
      <c r="E2272" s="14" t="str">
        <f>IF('Boletins Nuppa Site'!H2272&lt;&gt;0,'Boletins Nuppa Site'!H2272,"NULL")</f>
        <v xml:space="preserve"> 60.00</v>
      </c>
      <c r="F2272" s="14" t="str">
        <f>IF('Boletins Nuppa Site'!I2272&lt;&gt;0,'Boletins Nuppa Site'!I2272,"NULL")</f>
        <v xml:space="preserve"> 66.00</v>
      </c>
      <c r="G2272" s="14" t="str">
        <f>IF('Boletins Nuppa Site'!J2272&lt;&gt;0,'Boletins Nuppa Site'!J2272,"NULL")</f>
        <v xml:space="preserve"> 66.00</v>
      </c>
      <c r="H2272" s="14" t="str">
        <f>IF('Boletins Nuppa Site'!K2272&lt;&gt;0,'Boletins Nuppa Site'!K2272,"NULL")</f>
        <v xml:space="preserve"> 72.00</v>
      </c>
      <c r="I2272" t="str">
        <f t="shared" si="70"/>
        <v>INSERT INTO COTACAO (cot_id, cot_blt_id, cot_pap_id, cot_prc_comum, cot_prc_min, cot_prc_max, cot_prc_med, cot_prc_mediana) VALUES (2271, 95, 1, NULL,  60.00,  66.00,  66.00,  72.00);</v>
      </c>
      <c r="J2272" t="str">
        <f t="shared" si="71"/>
        <v>UPDATE COTACAO SET cot_id = 2271, cot_blt_id = 95, cot_pap_id = 1, cot_prc_comum = NULL, cot_prc_min =  60.00, cot_prc_max =  66.00, cot_prc_med =  66.00, cot_prc_mediana =  72.00 WHERE cot_id = 2271;</v>
      </c>
    </row>
    <row r="2273" spans="1:10" x14ac:dyDescent="0.3">
      <c r="A2273">
        <v>2272</v>
      </c>
      <c r="B2273">
        <f>IF('Boletins Nuppa Site'!A2273&lt;&gt;0,'Boletins Nuppa Site'!A2273,"NULL")</f>
        <v>95</v>
      </c>
      <c r="C2273">
        <v>2</v>
      </c>
      <c r="D2273" t="str">
        <f>IF('Boletins Nuppa Site'!G2273&lt;&gt;0,'Boletins Nuppa Site'!G2273,"NULL")</f>
        <v>NULL</v>
      </c>
      <c r="E2273" s="14" t="str">
        <f>IF('Boletins Nuppa Site'!H2273&lt;&gt;0,'Boletins Nuppa Site'!H2273,"NULL")</f>
        <v xml:space="preserve"> 48.00</v>
      </c>
      <c r="F2273" s="14" t="str">
        <f>IF('Boletins Nuppa Site'!I2273&lt;&gt;0,'Boletins Nuppa Site'!I2273,"NULL")</f>
        <v xml:space="preserve"> 72.00</v>
      </c>
      <c r="G2273" s="14" t="str">
        <f>IF('Boletins Nuppa Site'!J2273&lt;&gt;0,'Boletins Nuppa Site'!J2273,"NULL")</f>
        <v xml:space="preserve"> 72.00</v>
      </c>
      <c r="H2273" s="14" t="str">
        <f>IF('Boletins Nuppa Site'!K2273&lt;&gt;0,'Boletins Nuppa Site'!K2273,"NULL")</f>
        <v xml:space="preserve"> 96.00</v>
      </c>
      <c r="I2273" t="str">
        <f t="shared" si="70"/>
        <v>INSERT INTO COTACAO (cot_id, cot_blt_id, cot_pap_id, cot_prc_comum, cot_prc_min, cot_prc_max, cot_prc_med, cot_prc_mediana) VALUES (2272, 95, 2, NULL,  48.00,  72.00,  72.00,  96.00);</v>
      </c>
      <c r="J2273" t="str">
        <f t="shared" si="71"/>
        <v>UPDATE COTACAO SET cot_id = 2272, cot_blt_id = 95, cot_pap_id = 2, cot_prc_comum = NULL, cot_prc_min =  48.00, cot_prc_max =  72.00, cot_prc_med =  72.00, cot_prc_mediana =  96.00 WHERE cot_id = 2272;</v>
      </c>
    </row>
    <row r="2274" spans="1:10" x14ac:dyDescent="0.3">
      <c r="A2274">
        <v>2273</v>
      </c>
      <c r="B2274">
        <f>IF('Boletins Nuppa Site'!A2274&lt;&gt;0,'Boletins Nuppa Site'!A2274,"NULL")</f>
        <v>95</v>
      </c>
      <c r="C2274">
        <v>3</v>
      </c>
      <c r="D2274" t="str">
        <f>IF('Boletins Nuppa Site'!G2274&lt;&gt;0,'Boletins Nuppa Site'!G2274,"NULL")</f>
        <v xml:space="preserve"> 48.00</v>
      </c>
      <c r="E2274" s="14" t="str">
        <f>IF('Boletins Nuppa Site'!H2274&lt;&gt;0,'Boletins Nuppa Site'!H2274,"NULL")</f>
        <v xml:space="preserve"> 42.00</v>
      </c>
      <c r="F2274" s="14" t="str">
        <f>IF('Boletins Nuppa Site'!I2274&lt;&gt;0,'Boletins Nuppa Site'!I2274,"NULL")</f>
        <v xml:space="preserve"> 46.00</v>
      </c>
      <c r="G2274" s="14" t="str">
        <f>IF('Boletins Nuppa Site'!J2274&lt;&gt;0,'Boletins Nuppa Site'!J2274,"NULL")</f>
        <v xml:space="preserve"> 48.00</v>
      </c>
      <c r="H2274" s="14" t="str">
        <f>IF('Boletins Nuppa Site'!K2274&lt;&gt;0,'Boletins Nuppa Site'!K2274,"NULL")</f>
        <v xml:space="preserve"> 48.00</v>
      </c>
      <c r="I2274" t="str">
        <f t="shared" si="70"/>
        <v>INSERT INTO COTACAO (cot_id, cot_blt_id, cot_pap_id, cot_prc_comum, cot_prc_min, cot_prc_max, cot_prc_med, cot_prc_mediana) VALUES (2273, 95, 3,  48.00,  42.00,  46.00,  48.00,  48.00);</v>
      </c>
      <c r="J2274" t="str">
        <f t="shared" si="71"/>
        <v>UPDATE COTACAO SET cot_id = 2273, cot_blt_id = 95, cot_pap_id = 3, cot_prc_comum =  48.00, cot_prc_min =  42.00, cot_prc_max =  46.00, cot_prc_med =  48.00, cot_prc_mediana =  48.00 WHERE cot_id = 2273;</v>
      </c>
    </row>
    <row r="2275" spans="1:10" x14ac:dyDescent="0.3">
      <c r="A2275">
        <v>2274</v>
      </c>
      <c r="B2275">
        <f>IF('Boletins Nuppa Site'!A2275&lt;&gt;0,'Boletins Nuppa Site'!A2275,"NULL")</f>
        <v>95</v>
      </c>
      <c r="C2275">
        <v>4</v>
      </c>
      <c r="D2275" t="str">
        <f>IF('Boletins Nuppa Site'!G2275&lt;&gt;0,'Boletins Nuppa Site'!G2275,"NULL")</f>
        <v xml:space="preserve"> 30.00</v>
      </c>
      <c r="E2275" s="14" t="str">
        <f>IF('Boletins Nuppa Site'!H2275&lt;&gt;0,'Boletins Nuppa Site'!H2275,"NULL")</f>
        <v xml:space="preserve"> 30.00</v>
      </c>
      <c r="F2275" s="14" t="str">
        <f>IF('Boletins Nuppa Site'!I2275&lt;&gt;0,'Boletins Nuppa Site'!I2275,"NULL")</f>
        <v xml:space="preserve"> 32.00</v>
      </c>
      <c r="G2275" s="14" t="str">
        <f>IF('Boletins Nuppa Site'!J2275&lt;&gt;0,'Boletins Nuppa Site'!J2275,"NULL")</f>
        <v xml:space="preserve"> 36.00</v>
      </c>
      <c r="H2275" s="14" t="str">
        <f>IF('Boletins Nuppa Site'!K2275&lt;&gt;0,'Boletins Nuppa Site'!K2275,"NULL")</f>
        <v xml:space="preserve"> 30.00</v>
      </c>
      <c r="I2275" t="str">
        <f t="shared" si="70"/>
        <v>INSERT INTO COTACAO (cot_id, cot_blt_id, cot_pap_id, cot_prc_comum, cot_prc_min, cot_prc_max, cot_prc_med, cot_prc_mediana) VALUES (2274, 95, 4,  30.00,  30.00,  32.00,  36.00,  30.00);</v>
      </c>
      <c r="J2275" t="str">
        <f t="shared" si="71"/>
        <v>UPDATE COTACAO SET cot_id = 2274, cot_blt_id = 95, cot_pap_id = 4, cot_prc_comum =  30.00, cot_prc_min =  30.00, cot_prc_max =  32.00, cot_prc_med =  36.00, cot_prc_mediana =  30.00 WHERE cot_id = 2274;</v>
      </c>
    </row>
    <row r="2276" spans="1:10" x14ac:dyDescent="0.3">
      <c r="A2276">
        <v>2275</v>
      </c>
      <c r="B2276">
        <f>IF('Boletins Nuppa Site'!A2276&lt;&gt;0,'Boletins Nuppa Site'!A2276,"NULL")</f>
        <v>95</v>
      </c>
      <c r="C2276">
        <v>5</v>
      </c>
      <c r="D2276" t="str">
        <f>IF('Boletins Nuppa Site'!G2276&lt;&gt;0,'Boletins Nuppa Site'!G2276,"NULL")</f>
        <v xml:space="preserve"> 30.00</v>
      </c>
      <c r="E2276" s="14" t="str">
        <f>IF('Boletins Nuppa Site'!H2276&lt;&gt;0,'Boletins Nuppa Site'!H2276,"NULL")</f>
        <v xml:space="preserve"> 30.00</v>
      </c>
      <c r="F2276" s="14" t="str">
        <f>IF('Boletins Nuppa Site'!I2276&lt;&gt;0,'Boletins Nuppa Site'!I2276,"NULL")</f>
        <v xml:space="preserve"> 30.00</v>
      </c>
      <c r="G2276" s="14" t="str">
        <f>IF('Boletins Nuppa Site'!J2276&lt;&gt;0,'Boletins Nuppa Site'!J2276,"NULL")</f>
        <v xml:space="preserve"> 30.00</v>
      </c>
      <c r="H2276" s="14" t="str">
        <f>IF('Boletins Nuppa Site'!K2276&lt;&gt;0,'Boletins Nuppa Site'!K2276,"NULL")</f>
        <v xml:space="preserve"> 30.00</v>
      </c>
      <c r="I2276" t="str">
        <f t="shared" si="70"/>
        <v>INSERT INTO COTACAO (cot_id, cot_blt_id, cot_pap_id, cot_prc_comum, cot_prc_min, cot_prc_max, cot_prc_med, cot_prc_mediana) VALUES (2275, 95, 5,  30.00,  30.00,  30.00,  30.00,  30.00);</v>
      </c>
      <c r="J2276" t="str">
        <f t="shared" si="71"/>
        <v>UPDATE COTACAO SET cot_id = 2275, cot_blt_id = 95, cot_pap_id = 5, cot_prc_comum =  30.00, cot_prc_min =  30.00, cot_prc_max =  30.00, cot_prc_med =  30.00, cot_prc_mediana =  30.00 WHERE cot_id = 2275;</v>
      </c>
    </row>
    <row r="2277" spans="1:10" x14ac:dyDescent="0.3">
      <c r="A2277">
        <v>2276</v>
      </c>
      <c r="B2277">
        <f>IF('Boletins Nuppa Site'!A2277&lt;&gt;0,'Boletins Nuppa Site'!A2277,"NULL")</f>
        <v>95</v>
      </c>
      <c r="C2277">
        <v>6</v>
      </c>
      <c r="D2277" t="str">
        <f>IF('Boletins Nuppa Site'!G2277&lt;&gt;0,'Boletins Nuppa Site'!G2277,"NULL")</f>
        <v>NULL</v>
      </c>
      <c r="E2277" s="14" t="str">
        <f>IF('Boletins Nuppa Site'!H2277&lt;&gt;0,'Boletins Nuppa Site'!H2277,"NULL")</f>
        <v xml:space="preserve"> 60.00</v>
      </c>
      <c r="F2277" s="14" t="str">
        <f>IF('Boletins Nuppa Site'!I2277&lt;&gt;0,'Boletins Nuppa Site'!I2277,"NULL")</f>
        <v xml:space="preserve"> 72.00</v>
      </c>
      <c r="G2277" s="14" t="str">
        <f>IF('Boletins Nuppa Site'!J2277&lt;&gt;0,'Boletins Nuppa Site'!J2277,"NULL")</f>
        <v xml:space="preserve"> 72.00</v>
      </c>
      <c r="H2277" s="14" t="str">
        <f>IF('Boletins Nuppa Site'!K2277&lt;&gt;0,'Boletins Nuppa Site'!K2277,"NULL")</f>
        <v xml:space="preserve"> 84.00</v>
      </c>
      <c r="I2277" t="str">
        <f t="shared" si="70"/>
        <v>INSERT INTO COTACAO (cot_id, cot_blt_id, cot_pap_id, cot_prc_comum, cot_prc_min, cot_prc_max, cot_prc_med, cot_prc_mediana) VALUES (2276, 95, 6, NULL,  60.00,  72.00,  72.00,  84.00);</v>
      </c>
      <c r="J2277" t="str">
        <f t="shared" si="71"/>
        <v>UPDATE COTACAO SET cot_id = 2276, cot_blt_id = 95, cot_pap_id = 6, cot_prc_comum = NULL, cot_prc_min =  60.00, cot_prc_max =  72.00, cot_prc_med =  72.00, cot_prc_mediana =  84.00 WHERE cot_id = 2276;</v>
      </c>
    </row>
    <row r="2278" spans="1:10" x14ac:dyDescent="0.3">
      <c r="A2278">
        <v>2277</v>
      </c>
      <c r="B2278">
        <f>IF('Boletins Nuppa Site'!A2278&lt;&gt;0,'Boletins Nuppa Site'!A2278,"NULL")</f>
        <v>95</v>
      </c>
      <c r="C2278">
        <v>7</v>
      </c>
      <c r="D2278" t="str">
        <f>IF('Boletins Nuppa Site'!G2278&lt;&gt;0,'Boletins Nuppa Site'!G2278,"NULL")</f>
        <v>NULL</v>
      </c>
      <c r="E2278" s="14" t="str">
        <f>IF('Boletins Nuppa Site'!H2278&lt;&gt;0,'Boletins Nuppa Site'!H2278,"NULL")</f>
        <v xml:space="preserve"> 90.00</v>
      </c>
      <c r="F2278" s="14" t="str">
        <f>IF('Boletins Nuppa Site'!I2278&lt;&gt;0,'Boletins Nuppa Site'!I2278,"NULL")</f>
        <v xml:space="preserve"> 108.00</v>
      </c>
      <c r="G2278" s="14" t="str">
        <f>IF('Boletins Nuppa Site'!J2278&lt;&gt;0,'Boletins Nuppa Site'!J2278,"NULL")</f>
        <v xml:space="preserve"> 99.00</v>
      </c>
      <c r="H2278" s="14" t="str">
        <f>IF('Boletins Nuppa Site'!K2278&lt;&gt;0,'Boletins Nuppa Site'!K2278,"NULL")</f>
        <v xml:space="preserve"> 99.00</v>
      </c>
      <c r="I2278" t="str">
        <f t="shared" si="70"/>
        <v>INSERT INTO COTACAO (cot_id, cot_blt_id, cot_pap_id, cot_prc_comum, cot_prc_min, cot_prc_max, cot_prc_med, cot_prc_mediana) VALUES (2277, 95, 7, NULL,  90.00,  108.00,  99.00,  99.00);</v>
      </c>
      <c r="J2278" t="str">
        <f t="shared" si="71"/>
        <v>UPDATE COTACAO SET cot_id = 2277, cot_blt_id = 95, cot_pap_id = 7, cot_prc_comum = NULL, cot_prc_min =  90.00, cot_prc_max =  108.00, cot_prc_med =  99.00, cot_prc_mediana =  99.00 WHERE cot_id = 2277;</v>
      </c>
    </row>
    <row r="2279" spans="1:10" x14ac:dyDescent="0.3">
      <c r="A2279">
        <v>2278</v>
      </c>
      <c r="B2279">
        <f>IF('Boletins Nuppa Site'!A2279&lt;&gt;0,'Boletins Nuppa Site'!A2279,"NULL")</f>
        <v>95</v>
      </c>
      <c r="C2279">
        <v>8</v>
      </c>
      <c r="D2279" t="str">
        <f>IF('Boletins Nuppa Site'!G2279&lt;&gt;0,'Boletins Nuppa Site'!G2279,"NULL")</f>
        <v>NULL</v>
      </c>
      <c r="E2279" s="14" t="str">
        <f>IF('Boletins Nuppa Site'!H2279&lt;&gt;0,'Boletins Nuppa Site'!H2279,"NULL")</f>
        <v xml:space="preserve"> 84.00</v>
      </c>
      <c r="F2279" s="14" t="str">
        <f>IF('Boletins Nuppa Site'!I2279&lt;&gt;0,'Boletins Nuppa Site'!I2279,"NULL")</f>
        <v xml:space="preserve"> 90.00</v>
      </c>
      <c r="G2279" s="14" t="str">
        <f>IF('Boletins Nuppa Site'!J2279&lt;&gt;0,'Boletins Nuppa Site'!J2279,"NULL")</f>
        <v xml:space="preserve"> 102.00</v>
      </c>
      <c r="H2279" s="14" t="str">
        <f>IF('Boletins Nuppa Site'!K2279&lt;&gt;0,'Boletins Nuppa Site'!K2279,"NULL")</f>
        <v xml:space="preserve"> 92.00</v>
      </c>
      <c r="I2279" t="str">
        <f t="shared" si="70"/>
        <v>INSERT INTO COTACAO (cot_id, cot_blt_id, cot_pap_id, cot_prc_comum, cot_prc_min, cot_prc_max, cot_prc_med, cot_prc_mediana) VALUES (2278, 95, 8, NULL,  84.00,  90.00,  102.00,  92.00);</v>
      </c>
      <c r="J2279" t="str">
        <f t="shared" si="71"/>
        <v>UPDATE COTACAO SET cot_id = 2278, cot_blt_id = 95, cot_pap_id = 8, cot_prc_comum = NULL, cot_prc_min =  84.00, cot_prc_max =  90.00, cot_prc_med =  102.00, cot_prc_mediana =  92.00 WHERE cot_id = 2278;</v>
      </c>
    </row>
    <row r="2280" spans="1:10" x14ac:dyDescent="0.3">
      <c r="A2280">
        <v>2279</v>
      </c>
      <c r="B2280">
        <f>IF('Boletins Nuppa Site'!A2280&lt;&gt;0,'Boletins Nuppa Site'!A2280,"NULL")</f>
        <v>95</v>
      </c>
      <c r="C2280">
        <v>9</v>
      </c>
      <c r="D2280" t="str">
        <f>IF('Boletins Nuppa Site'!G2280&lt;&gt;0,'Boletins Nuppa Site'!G2280,"NULL")</f>
        <v xml:space="preserve"> 30.00</v>
      </c>
      <c r="E2280" s="14" t="str">
        <f>IF('Boletins Nuppa Site'!H2280&lt;&gt;0,'Boletins Nuppa Site'!H2280,"NULL")</f>
        <v xml:space="preserve"> 30.00</v>
      </c>
      <c r="F2280" s="14" t="str">
        <f>IF('Boletins Nuppa Site'!I2280&lt;&gt;0,'Boletins Nuppa Site'!I2280,"NULL")</f>
        <v xml:space="preserve"> 36.00</v>
      </c>
      <c r="G2280" s="14" t="str">
        <f>IF('Boletins Nuppa Site'!J2280&lt;&gt;0,'Boletins Nuppa Site'!J2280,"NULL")</f>
        <v xml:space="preserve"> 32.00</v>
      </c>
      <c r="H2280" s="14" t="str">
        <f>IF('Boletins Nuppa Site'!K2280&lt;&gt;0,'Boletins Nuppa Site'!K2280,"NULL")</f>
        <v xml:space="preserve"> 30.00</v>
      </c>
      <c r="I2280" t="str">
        <f t="shared" si="70"/>
        <v>INSERT INTO COTACAO (cot_id, cot_blt_id, cot_pap_id, cot_prc_comum, cot_prc_min, cot_prc_max, cot_prc_med, cot_prc_mediana) VALUES (2279, 95, 9,  30.00,  30.00,  36.00,  32.00,  30.00);</v>
      </c>
      <c r="J2280" t="str">
        <f t="shared" si="71"/>
        <v>UPDATE COTACAO SET cot_id = 2279, cot_blt_id = 95, cot_pap_id = 9, cot_prc_comum =  30.00, cot_prc_min =  30.00, cot_prc_max =  36.00, cot_prc_med =  32.00, cot_prc_mediana =  30.00 WHERE cot_id = 2279;</v>
      </c>
    </row>
    <row r="2281" spans="1:10" x14ac:dyDescent="0.3">
      <c r="A2281">
        <v>2280</v>
      </c>
      <c r="B2281">
        <f>IF('Boletins Nuppa Site'!A2281&lt;&gt;0,'Boletins Nuppa Site'!A2281,"NULL")</f>
        <v>95</v>
      </c>
      <c r="C2281">
        <v>10</v>
      </c>
      <c r="D2281" t="str">
        <f>IF('Boletins Nuppa Site'!G2281&lt;&gt;0,'Boletins Nuppa Site'!G2281,"NULL")</f>
        <v>NULL</v>
      </c>
      <c r="E2281" s="14" t="str">
        <f>IF('Boletins Nuppa Site'!H2281&lt;&gt;0,'Boletins Nuppa Site'!H2281,"NULL")</f>
        <v xml:space="preserve"> 96.00</v>
      </c>
      <c r="F2281" s="14" t="str">
        <f>IF('Boletins Nuppa Site'!I2281&lt;&gt;0,'Boletins Nuppa Site'!I2281,"NULL")</f>
        <v xml:space="preserve"> 120.00</v>
      </c>
      <c r="G2281" s="14" t="str">
        <f>IF('Boletins Nuppa Site'!J2281&lt;&gt;0,'Boletins Nuppa Site'!J2281,"NULL")</f>
        <v xml:space="preserve"> 108.00</v>
      </c>
      <c r="H2281" s="14" t="str">
        <f>IF('Boletins Nuppa Site'!K2281&lt;&gt;0,'Boletins Nuppa Site'!K2281,"NULL")</f>
        <v xml:space="preserve"> 108.00</v>
      </c>
      <c r="I2281" t="str">
        <f t="shared" si="70"/>
        <v>INSERT INTO COTACAO (cot_id, cot_blt_id, cot_pap_id, cot_prc_comum, cot_prc_min, cot_prc_max, cot_prc_med, cot_prc_mediana) VALUES (2280, 95, 10, NULL,  96.00,  120.00,  108.00,  108.00);</v>
      </c>
      <c r="J2281" t="str">
        <f t="shared" si="71"/>
        <v>UPDATE COTACAO SET cot_id = 2280, cot_blt_id = 95, cot_pap_id = 10, cot_prc_comum = NULL, cot_prc_min =  96.00, cot_prc_max =  120.00, cot_prc_med =  108.00, cot_prc_mediana =  108.00 WHERE cot_id = 2280;</v>
      </c>
    </row>
    <row r="2282" spans="1:10" x14ac:dyDescent="0.3">
      <c r="A2282">
        <v>2281</v>
      </c>
      <c r="B2282">
        <f>IF('Boletins Nuppa Site'!A2282&lt;&gt;0,'Boletins Nuppa Site'!A2282,"NULL")</f>
        <v>95</v>
      </c>
      <c r="C2282">
        <v>11</v>
      </c>
      <c r="D2282" t="str">
        <f>IF('Boletins Nuppa Site'!G2282&lt;&gt;0,'Boletins Nuppa Site'!G2282,"NULL")</f>
        <v xml:space="preserve"> 30.00</v>
      </c>
      <c r="E2282" s="14" t="str">
        <f>IF('Boletins Nuppa Site'!H2282&lt;&gt;0,'Boletins Nuppa Site'!H2282,"NULL")</f>
        <v xml:space="preserve"> 30.00</v>
      </c>
      <c r="F2282" s="14" t="str">
        <f>IF('Boletins Nuppa Site'!I2282&lt;&gt;0,'Boletins Nuppa Site'!I2282,"NULL")</f>
        <v xml:space="preserve"> 30.00</v>
      </c>
      <c r="G2282" s="14" t="str">
        <f>IF('Boletins Nuppa Site'!J2282&lt;&gt;0,'Boletins Nuppa Site'!J2282,"NULL")</f>
        <v xml:space="preserve"> 30.00</v>
      </c>
      <c r="H2282" s="14" t="str">
        <f>IF('Boletins Nuppa Site'!K2282&lt;&gt;0,'Boletins Nuppa Site'!K2282,"NULL")</f>
        <v xml:space="preserve"> 30.00</v>
      </c>
      <c r="I2282" t="str">
        <f t="shared" si="70"/>
        <v>INSERT INTO COTACAO (cot_id, cot_blt_id, cot_pap_id, cot_prc_comum, cot_prc_min, cot_prc_max, cot_prc_med, cot_prc_mediana) VALUES (2281, 95, 11,  30.00,  30.00,  30.00,  30.00,  30.00);</v>
      </c>
      <c r="J2282" t="str">
        <f t="shared" si="71"/>
        <v>UPDATE COTACAO SET cot_id = 2281, cot_blt_id = 95, cot_pap_id = 11, cot_prc_comum =  30.00, cot_prc_min =  30.00, cot_prc_max =  30.00, cot_prc_med =  30.00, cot_prc_mediana =  30.00 WHERE cot_id = 2281;</v>
      </c>
    </row>
    <row r="2283" spans="1:10" x14ac:dyDescent="0.3">
      <c r="A2283">
        <v>2282</v>
      </c>
      <c r="B2283">
        <f>IF('Boletins Nuppa Site'!A2283&lt;&gt;0,'Boletins Nuppa Site'!A2283,"NULL")</f>
        <v>95</v>
      </c>
      <c r="C2283">
        <v>12</v>
      </c>
      <c r="D2283" t="str">
        <f>IF('Boletins Nuppa Site'!G2283&lt;&gt;0,'Boletins Nuppa Site'!G2283,"NULL")</f>
        <v>NULL</v>
      </c>
      <c r="E2283" s="14" t="str">
        <f>IF('Boletins Nuppa Site'!H2283&lt;&gt;0,'Boletins Nuppa Site'!H2283,"NULL")</f>
        <v xml:space="preserve"> 72.00</v>
      </c>
      <c r="F2283" s="14" t="str">
        <f>IF('Boletins Nuppa Site'!I2283&lt;&gt;0,'Boletins Nuppa Site'!I2283,"NULL")</f>
        <v xml:space="preserve"> 96.00</v>
      </c>
      <c r="G2283" s="14" t="str">
        <f>IF('Boletins Nuppa Site'!J2283&lt;&gt;0,'Boletins Nuppa Site'!J2283,"NULL")</f>
        <v xml:space="preserve"> 84.00</v>
      </c>
      <c r="H2283" s="14" t="str">
        <f>IF('Boletins Nuppa Site'!K2283&lt;&gt;0,'Boletins Nuppa Site'!K2283,"NULL")</f>
        <v xml:space="preserve"> 84.00</v>
      </c>
      <c r="I2283" t="str">
        <f t="shared" si="70"/>
        <v>INSERT INTO COTACAO (cot_id, cot_blt_id, cot_pap_id, cot_prc_comum, cot_prc_min, cot_prc_max, cot_prc_med, cot_prc_mediana) VALUES (2282, 95, 12, NULL,  72.00,  96.00,  84.00,  84.00);</v>
      </c>
      <c r="J2283" t="str">
        <f t="shared" si="71"/>
        <v>UPDATE COTACAO SET cot_id = 2282, cot_blt_id = 95, cot_pap_id = 12, cot_prc_comum = NULL, cot_prc_min =  72.00, cot_prc_max =  96.00, cot_prc_med =  84.00, cot_prc_mediana =  84.00 WHERE cot_id = 2282;</v>
      </c>
    </row>
    <row r="2284" spans="1:10" x14ac:dyDescent="0.3">
      <c r="A2284">
        <v>2283</v>
      </c>
      <c r="B2284">
        <f>IF('Boletins Nuppa Site'!A2284&lt;&gt;0,'Boletins Nuppa Site'!A2284,"NULL")</f>
        <v>95</v>
      </c>
      <c r="C2284">
        <v>13</v>
      </c>
      <c r="D2284" t="str">
        <f>IF('Boletins Nuppa Site'!G2284&lt;&gt;0,'Boletins Nuppa Site'!G2284,"NULL")</f>
        <v xml:space="preserve"> 60.00</v>
      </c>
      <c r="E2284" s="14" t="str">
        <f>IF('Boletins Nuppa Site'!H2284&lt;&gt;0,'Boletins Nuppa Site'!H2284,"NULL")</f>
        <v xml:space="preserve"> 60.00</v>
      </c>
      <c r="F2284" s="14" t="str">
        <f>IF('Boletins Nuppa Site'!I2284&lt;&gt;0,'Boletins Nuppa Site'!I2284,"NULL")</f>
        <v xml:space="preserve"> 72.00</v>
      </c>
      <c r="G2284" s="14" t="str">
        <f>IF('Boletins Nuppa Site'!J2284&lt;&gt;0,'Boletins Nuppa Site'!J2284,"NULL")</f>
        <v xml:space="preserve"> 64.00</v>
      </c>
      <c r="H2284" s="14" t="str">
        <f>IF('Boletins Nuppa Site'!K2284&lt;&gt;0,'Boletins Nuppa Site'!K2284,"NULL")</f>
        <v xml:space="preserve"> 60.00</v>
      </c>
      <c r="I2284" t="str">
        <f t="shared" si="70"/>
        <v>INSERT INTO COTACAO (cot_id, cot_blt_id, cot_pap_id, cot_prc_comum, cot_prc_min, cot_prc_max, cot_prc_med, cot_prc_mediana) VALUES (2283, 95, 13,  60.00,  60.00,  72.00,  64.00,  60.00);</v>
      </c>
      <c r="J2284" t="str">
        <f t="shared" si="71"/>
        <v>UPDATE COTACAO SET cot_id = 2283, cot_blt_id = 95, cot_pap_id = 13, cot_prc_comum =  60.00, cot_prc_min =  60.00, cot_prc_max =  72.00, cot_prc_med =  64.00, cot_prc_mediana =  60.00 WHERE cot_id = 2283;</v>
      </c>
    </row>
    <row r="2285" spans="1:10" x14ac:dyDescent="0.3">
      <c r="A2285">
        <v>2284</v>
      </c>
      <c r="B2285">
        <f>IF('Boletins Nuppa Site'!A2285&lt;&gt;0,'Boletins Nuppa Site'!A2285,"NULL")</f>
        <v>95</v>
      </c>
      <c r="C2285">
        <v>14</v>
      </c>
      <c r="D2285" t="str">
        <f>IF('Boletins Nuppa Site'!G2285&lt;&gt;0,'Boletins Nuppa Site'!G2285,"NULL")</f>
        <v>NULL</v>
      </c>
      <c r="E2285" s="14" t="str">
        <f>IF('Boletins Nuppa Site'!H2285&lt;&gt;0,'Boletins Nuppa Site'!H2285,"NULL")</f>
        <v xml:space="preserve"> 60.00</v>
      </c>
      <c r="F2285" s="14" t="str">
        <f>IF('Boletins Nuppa Site'!I2285&lt;&gt;0,'Boletins Nuppa Site'!I2285,"NULL")</f>
        <v xml:space="preserve"> 96.00</v>
      </c>
      <c r="G2285" s="14" t="str">
        <f>IF('Boletins Nuppa Site'!J2285&lt;&gt;0,'Boletins Nuppa Site'!J2285,"NULL")</f>
        <v xml:space="preserve"> 78.00</v>
      </c>
      <c r="H2285" s="14" t="str">
        <f>IF('Boletins Nuppa Site'!K2285&lt;&gt;0,'Boletins Nuppa Site'!K2285,"NULL")</f>
        <v xml:space="preserve"> 78.00</v>
      </c>
      <c r="I2285" t="str">
        <f t="shared" si="70"/>
        <v>INSERT INTO COTACAO (cot_id, cot_blt_id, cot_pap_id, cot_prc_comum, cot_prc_min, cot_prc_max, cot_prc_med, cot_prc_mediana) VALUES (2284, 95, 14, NULL,  60.00,  96.00,  78.00,  78.00);</v>
      </c>
      <c r="J2285" t="str">
        <f t="shared" si="71"/>
        <v>UPDATE COTACAO SET cot_id = 2284, cot_blt_id = 95, cot_pap_id = 14, cot_prc_comum = NULL, cot_prc_min =  60.00, cot_prc_max =  96.00, cot_prc_med =  78.00, cot_prc_mediana =  78.00 WHERE cot_id = 2284;</v>
      </c>
    </row>
    <row r="2286" spans="1:10" x14ac:dyDescent="0.3">
      <c r="A2286">
        <v>2285</v>
      </c>
      <c r="B2286">
        <f>IF('Boletins Nuppa Site'!A2286&lt;&gt;0,'Boletins Nuppa Site'!A2286,"NULL")</f>
        <v>95</v>
      </c>
      <c r="C2286">
        <v>15</v>
      </c>
      <c r="D2286" t="str">
        <f>IF('Boletins Nuppa Site'!G2286&lt;&gt;0,'Boletins Nuppa Site'!G2286,"NULL")</f>
        <v>NULL</v>
      </c>
      <c r="E2286" s="14" t="str">
        <f>IF('Boletins Nuppa Site'!H2286&lt;&gt;0,'Boletins Nuppa Site'!H2286,"NULL")</f>
        <v xml:space="preserve"> 50.00</v>
      </c>
      <c r="F2286" s="14" t="str">
        <f>IF('Boletins Nuppa Site'!I2286&lt;&gt;0,'Boletins Nuppa Site'!I2286,"NULL")</f>
        <v xml:space="preserve"> 65.00</v>
      </c>
      <c r="G2286" s="14" t="str">
        <f>IF('Boletins Nuppa Site'!J2286&lt;&gt;0,'Boletins Nuppa Site'!J2286,"NULL")</f>
        <v xml:space="preserve"> 66.33</v>
      </c>
      <c r="H2286" s="14" t="str">
        <f>IF('Boletins Nuppa Site'!K2286&lt;&gt;0,'Boletins Nuppa Site'!K2286,"NULL")</f>
        <v xml:space="preserve"> 84.00</v>
      </c>
      <c r="I2286" t="str">
        <f t="shared" si="70"/>
        <v>INSERT INTO COTACAO (cot_id, cot_blt_id, cot_pap_id, cot_prc_comum, cot_prc_min, cot_prc_max, cot_prc_med, cot_prc_mediana) VALUES (2285, 95, 15, NULL,  50.00,  65.00,  66.33,  84.00);</v>
      </c>
      <c r="J2286" t="str">
        <f t="shared" si="71"/>
        <v>UPDATE COTACAO SET cot_id = 2285, cot_blt_id = 95, cot_pap_id = 15, cot_prc_comum = NULL, cot_prc_min =  50.00, cot_prc_max =  65.00, cot_prc_med =  66.33, cot_prc_mediana =  84.00 WHERE cot_id = 2285;</v>
      </c>
    </row>
    <row r="2287" spans="1:10" x14ac:dyDescent="0.3">
      <c r="A2287">
        <v>2286</v>
      </c>
      <c r="B2287">
        <f>IF('Boletins Nuppa Site'!A2287&lt;&gt;0,'Boletins Nuppa Site'!A2287,"NULL")</f>
        <v>95</v>
      </c>
      <c r="C2287">
        <v>16</v>
      </c>
      <c r="D2287" t="str">
        <f>IF('Boletins Nuppa Site'!G2287&lt;&gt;0,'Boletins Nuppa Site'!G2287,"NULL")</f>
        <v>NULL</v>
      </c>
      <c r="E2287" s="14" t="str">
        <f>IF('Boletins Nuppa Site'!H2287&lt;&gt;0,'Boletins Nuppa Site'!H2287,"NULL")</f>
        <v xml:space="preserve"> 48.00</v>
      </c>
      <c r="F2287" s="14" t="str">
        <f>IF('Boletins Nuppa Site'!I2287&lt;&gt;0,'Boletins Nuppa Site'!I2287,"NULL")</f>
        <v xml:space="preserve"> 58.00</v>
      </c>
      <c r="G2287" s="14" t="str">
        <f>IF('Boletins Nuppa Site'!J2287&lt;&gt;0,'Boletins Nuppa Site'!J2287,"NULL")</f>
        <v xml:space="preserve"> 54.00</v>
      </c>
      <c r="H2287" s="14" t="str">
        <f>IF('Boletins Nuppa Site'!K2287&lt;&gt;0,'Boletins Nuppa Site'!K2287,"NULL")</f>
        <v xml:space="preserve"> 72.00</v>
      </c>
      <c r="I2287" t="str">
        <f t="shared" si="70"/>
        <v>INSERT INTO COTACAO (cot_id, cot_blt_id, cot_pap_id, cot_prc_comum, cot_prc_min, cot_prc_max, cot_prc_med, cot_prc_mediana) VALUES (2286, 95, 16, NULL,  48.00,  58.00,  54.00,  72.00);</v>
      </c>
      <c r="J2287" t="str">
        <f t="shared" si="71"/>
        <v>UPDATE COTACAO SET cot_id = 2286, cot_blt_id = 95, cot_pap_id = 16, cot_prc_comum = NULL, cot_prc_min =  48.00, cot_prc_max =  58.00, cot_prc_med =  54.00, cot_prc_mediana =  72.00 WHERE cot_id = 2286;</v>
      </c>
    </row>
    <row r="2288" spans="1:10" x14ac:dyDescent="0.3">
      <c r="A2288">
        <v>2287</v>
      </c>
      <c r="B2288">
        <f>IF('Boletins Nuppa Site'!A2288&lt;&gt;0,'Boletins Nuppa Site'!A2288,"NULL")</f>
        <v>95</v>
      </c>
      <c r="C2288">
        <v>17</v>
      </c>
      <c r="D2288" t="str">
        <f>IF('Boletins Nuppa Site'!G2288&lt;&gt;0,'Boletins Nuppa Site'!G2288,"NULL")</f>
        <v xml:space="preserve"> 5.00</v>
      </c>
      <c r="E2288" s="14" t="str">
        <f>IF('Boletins Nuppa Site'!H2288&lt;&gt;0,'Boletins Nuppa Site'!H2288,"NULL")</f>
        <v xml:space="preserve"> 5.00</v>
      </c>
      <c r="F2288" s="14" t="str">
        <f>IF('Boletins Nuppa Site'!I2288&lt;&gt;0,'Boletins Nuppa Site'!I2288,"NULL")</f>
        <v xml:space="preserve"> 5.50</v>
      </c>
      <c r="G2288" s="14" t="str">
        <f>IF('Boletins Nuppa Site'!J2288&lt;&gt;0,'Boletins Nuppa Site'!J2288,"NULL")</f>
        <v xml:space="preserve"> 5.00</v>
      </c>
      <c r="H2288" s="14" t="str">
        <f>IF('Boletins Nuppa Site'!K2288&lt;&gt;0,'Boletins Nuppa Site'!K2288,"NULL")</f>
        <v xml:space="preserve"> 5.17</v>
      </c>
      <c r="I2288" t="str">
        <f t="shared" si="70"/>
        <v>INSERT INTO COTACAO (cot_id, cot_blt_id, cot_pap_id, cot_prc_comum, cot_prc_min, cot_prc_max, cot_prc_med, cot_prc_mediana) VALUES (2287, 95, 17,  5.00,  5.00,  5.50,  5.00,  5.17);</v>
      </c>
      <c r="J2288" t="str">
        <f t="shared" si="71"/>
        <v>UPDATE COTACAO SET cot_id = 2287, cot_blt_id = 95, cot_pap_id = 17, cot_prc_comum =  5.00, cot_prc_min =  5.00, cot_prc_max =  5.50, cot_prc_med =  5.00, cot_prc_mediana =  5.17 WHERE cot_id = 2287;</v>
      </c>
    </row>
    <row r="2289" spans="1:10" x14ac:dyDescent="0.3">
      <c r="A2289">
        <v>2288</v>
      </c>
      <c r="B2289">
        <f>IF('Boletins Nuppa Site'!A2289&lt;&gt;0,'Boletins Nuppa Site'!A2289,"NULL")</f>
        <v>95</v>
      </c>
      <c r="C2289">
        <v>18</v>
      </c>
      <c r="D2289" t="str">
        <f>IF('Boletins Nuppa Site'!G2289&lt;&gt;0,'Boletins Nuppa Site'!G2289,"NULL")</f>
        <v xml:space="preserve"> 45.00</v>
      </c>
      <c r="E2289" s="14" t="str">
        <f>IF('Boletins Nuppa Site'!H2289&lt;&gt;0,'Boletins Nuppa Site'!H2289,"NULL")</f>
        <v xml:space="preserve"> 45.00</v>
      </c>
      <c r="F2289" s="14" t="str">
        <f>IF('Boletins Nuppa Site'!I2289&lt;&gt;0,'Boletins Nuppa Site'!I2289,"NULL")</f>
        <v xml:space="preserve"> 45.00</v>
      </c>
      <c r="G2289" s="14" t="str">
        <f>IF('Boletins Nuppa Site'!J2289&lt;&gt;0,'Boletins Nuppa Site'!J2289,"NULL")</f>
        <v xml:space="preserve"> 45.00</v>
      </c>
      <c r="H2289" s="14" t="str">
        <f>IF('Boletins Nuppa Site'!K2289&lt;&gt;0,'Boletins Nuppa Site'!K2289,"NULL")</f>
        <v xml:space="preserve"> 45.00</v>
      </c>
      <c r="I2289" t="str">
        <f t="shared" si="70"/>
        <v>INSERT INTO COTACAO (cot_id, cot_blt_id, cot_pap_id, cot_prc_comum, cot_prc_min, cot_prc_max, cot_prc_med, cot_prc_mediana) VALUES (2288, 95, 18,  45.00,  45.00,  45.00,  45.00,  45.00);</v>
      </c>
      <c r="J2289" t="str">
        <f t="shared" si="71"/>
        <v>UPDATE COTACAO SET cot_id = 2288, cot_blt_id = 95, cot_pap_id = 18, cot_prc_comum =  45.00, cot_prc_min =  45.00, cot_prc_max =  45.00, cot_prc_med =  45.00, cot_prc_mediana =  45.00 WHERE cot_id = 2288;</v>
      </c>
    </row>
    <row r="2290" spans="1:10" x14ac:dyDescent="0.3">
      <c r="A2290">
        <v>2289</v>
      </c>
      <c r="B2290">
        <f>IF('Boletins Nuppa Site'!A2290&lt;&gt;0,'Boletins Nuppa Site'!A2290,"NULL")</f>
        <v>95</v>
      </c>
      <c r="C2290">
        <v>19</v>
      </c>
      <c r="D2290" t="str">
        <f>IF('Boletins Nuppa Site'!G2290&lt;&gt;0,'Boletins Nuppa Site'!G2290,"NULL")</f>
        <v>NULL</v>
      </c>
      <c r="E2290" s="14" t="str">
        <f>IF('Boletins Nuppa Site'!H2290&lt;&gt;0,'Boletins Nuppa Site'!H2290,"NULL")</f>
        <v xml:space="preserve"> 30.00</v>
      </c>
      <c r="F2290" s="14" t="str">
        <f>IF('Boletins Nuppa Site'!I2290&lt;&gt;0,'Boletins Nuppa Site'!I2290,"NULL")</f>
        <v xml:space="preserve"> 40.00</v>
      </c>
      <c r="G2290" s="14" t="str">
        <f>IF('Boletins Nuppa Site'!J2290&lt;&gt;0,'Boletins Nuppa Site'!J2290,"NULL")</f>
        <v xml:space="preserve"> 35.00</v>
      </c>
      <c r="H2290" s="14" t="str">
        <f>IF('Boletins Nuppa Site'!K2290&lt;&gt;0,'Boletins Nuppa Site'!K2290,"NULL")</f>
        <v xml:space="preserve"> 35.00</v>
      </c>
      <c r="I2290" t="str">
        <f t="shared" si="70"/>
        <v>INSERT INTO COTACAO (cot_id, cot_blt_id, cot_pap_id, cot_prc_comum, cot_prc_min, cot_prc_max, cot_prc_med, cot_prc_mediana) VALUES (2289, 95, 19, NULL,  30.00,  40.00,  35.00,  35.00);</v>
      </c>
      <c r="J2290" t="str">
        <f t="shared" si="71"/>
        <v>UPDATE COTACAO SET cot_id = 2289, cot_blt_id = 95, cot_pap_id = 19, cot_prc_comum = NULL, cot_prc_min =  30.00, cot_prc_max =  40.00, cot_prc_med =  35.00, cot_prc_mediana =  35.00 WHERE cot_id = 2289;</v>
      </c>
    </row>
    <row r="2291" spans="1:10" x14ac:dyDescent="0.3">
      <c r="A2291">
        <v>2290</v>
      </c>
      <c r="B2291">
        <f>IF('Boletins Nuppa Site'!A2291&lt;&gt;0,'Boletins Nuppa Site'!A2291,"NULL")</f>
        <v>95</v>
      </c>
      <c r="C2291">
        <v>20</v>
      </c>
      <c r="D2291" t="str">
        <f>IF('Boletins Nuppa Site'!G2291&lt;&gt;0,'Boletins Nuppa Site'!G2291,"NULL")</f>
        <v xml:space="preserve"> 55.00</v>
      </c>
      <c r="E2291" s="14" t="str">
        <f>IF('Boletins Nuppa Site'!H2291&lt;&gt;0,'Boletins Nuppa Site'!H2291,"NULL")</f>
        <v xml:space="preserve"> 60.00</v>
      </c>
      <c r="F2291" s="14" t="str">
        <f>IF('Boletins Nuppa Site'!I2291&lt;&gt;0,'Boletins Nuppa Site'!I2291,"NULL")</f>
        <v xml:space="preserve"> 60.00</v>
      </c>
      <c r="G2291" s="14" t="str">
        <f>IF('Boletins Nuppa Site'!J2291&lt;&gt;0,'Boletins Nuppa Site'!J2291,"NULL")</f>
        <v xml:space="preserve"> 62.00</v>
      </c>
      <c r="H2291" s="14" t="str">
        <f>IF('Boletins Nuppa Site'!K2291&lt;&gt;0,'Boletins Nuppa Site'!K2291,"NULL")</f>
        <v xml:space="preserve"> 70.00</v>
      </c>
      <c r="I2291" t="str">
        <f t="shared" si="70"/>
        <v>INSERT INTO COTACAO (cot_id, cot_blt_id, cot_pap_id, cot_prc_comum, cot_prc_min, cot_prc_max, cot_prc_med, cot_prc_mediana) VALUES (2290, 95, 20,  55.00,  60.00,  60.00,  62.00,  70.00);</v>
      </c>
      <c r="J2291" t="str">
        <f t="shared" si="71"/>
        <v>UPDATE COTACAO SET cot_id = 2290, cot_blt_id = 95, cot_pap_id = 20, cot_prc_comum =  55.00, cot_prc_min =  60.00, cot_prc_max =  60.00, cot_prc_med =  62.00, cot_prc_mediana =  70.00 WHERE cot_id = 2290;</v>
      </c>
    </row>
    <row r="2292" spans="1:10" x14ac:dyDescent="0.3">
      <c r="A2292">
        <v>2291</v>
      </c>
      <c r="B2292">
        <f>IF('Boletins Nuppa Site'!A2292&lt;&gt;0,'Boletins Nuppa Site'!A2292,"NULL")</f>
        <v>95</v>
      </c>
      <c r="C2292">
        <v>21</v>
      </c>
      <c r="D2292" t="str">
        <f>IF('Boletins Nuppa Site'!G2292&lt;&gt;0,'Boletins Nuppa Site'!G2292,"NULL")</f>
        <v xml:space="preserve"> 50.00</v>
      </c>
      <c r="E2292" s="14" t="str">
        <f>IF('Boletins Nuppa Site'!H2292&lt;&gt;0,'Boletins Nuppa Site'!H2292,"NULL")</f>
        <v xml:space="preserve"> 50.00</v>
      </c>
      <c r="F2292" s="14" t="str">
        <f>IF('Boletins Nuppa Site'!I2292&lt;&gt;0,'Boletins Nuppa Site'!I2292,"NULL")</f>
        <v xml:space="preserve"> 54.00</v>
      </c>
      <c r="G2292" s="14" t="str">
        <f>IF('Boletins Nuppa Site'!J2292&lt;&gt;0,'Boletins Nuppa Site'!J2292,"NULL")</f>
        <v xml:space="preserve"> 50.00</v>
      </c>
      <c r="H2292" s="14" t="str">
        <f>IF('Boletins Nuppa Site'!K2292&lt;&gt;0,'Boletins Nuppa Site'!K2292,"NULL")</f>
        <v xml:space="preserve"> 60.00</v>
      </c>
      <c r="I2292" t="str">
        <f t="shared" si="70"/>
        <v>INSERT INTO COTACAO (cot_id, cot_blt_id, cot_pap_id, cot_prc_comum, cot_prc_min, cot_prc_max, cot_prc_med, cot_prc_mediana) VALUES (2291, 95, 21,  50.00,  50.00,  54.00,  50.00,  60.00);</v>
      </c>
      <c r="J2292" t="str">
        <f t="shared" si="71"/>
        <v>UPDATE COTACAO SET cot_id = 2291, cot_blt_id = 95, cot_pap_id = 21, cot_prc_comum =  50.00, cot_prc_min =  50.00, cot_prc_max =  54.00, cot_prc_med =  50.00, cot_prc_mediana =  60.00 WHERE cot_id = 2291;</v>
      </c>
    </row>
    <row r="2293" spans="1:10" x14ac:dyDescent="0.3">
      <c r="A2293">
        <v>2292</v>
      </c>
      <c r="B2293">
        <f>IF('Boletins Nuppa Site'!A2293&lt;&gt;0,'Boletins Nuppa Site'!A2293,"NULL")</f>
        <v>95</v>
      </c>
      <c r="C2293">
        <v>22</v>
      </c>
      <c r="D2293" t="str">
        <f>IF('Boletins Nuppa Site'!G2293&lt;&gt;0,'Boletins Nuppa Site'!G2293,"NULL")</f>
        <v xml:space="preserve"> 60.00</v>
      </c>
      <c r="E2293" s="14" t="str">
        <f>IF('Boletins Nuppa Site'!H2293&lt;&gt;0,'Boletins Nuppa Site'!H2293,"NULL")</f>
        <v xml:space="preserve"> 65.00</v>
      </c>
      <c r="F2293" s="14" t="str">
        <f>IF('Boletins Nuppa Site'!I2293&lt;&gt;0,'Boletins Nuppa Site'!I2293,"NULL")</f>
        <v xml:space="preserve"> 63.00</v>
      </c>
      <c r="G2293" s="14" t="str">
        <f>IF('Boletins Nuppa Site'!J2293&lt;&gt;0,'Boletins Nuppa Site'!J2293,"NULL")</f>
        <v xml:space="preserve"> 65.00</v>
      </c>
      <c r="H2293" s="14" t="str">
        <f>IF('Boletins Nuppa Site'!K2293&lt;&gt;0,'Boletins Nuppa Site'!K2293,"NULL")</f>
        <v xml:space="preserve"> 65.00</v>
      </c>
      <c r="I2293" t="str">
        <f t="shared" si="70"/>
        <v>INSERT INTO COTACAO (cot_id, cot_blt_id, cot_pap_id, cot_prc_comum, cot_prc_min, cot_prc_max, cot_prc_med, cot_prc_mediana) VALUES (2292, 95, 22,  60.00,  65.00,  63.00,  65.00,  65.00);</v>
      </c>
      <c r="J2293" t="str">
        <f t="shared" si="71"/>
        <v>UPDATE COTACAO SET cot_id = 2292, cot_blt_id = 95, cot_pap_id = 22, cot_prc_comum =  60.00, cot_prc_min =  65.00, cot_prc_max =  63.00, cot_prc_med =  65.00, cot_prc_mediana =  65.00 WHERE cot_id = 2292;</v>
      </c>
    </row>
    <row r="2294" spans="1:10" x14ac:dyDescent="0.3">
      <c r="A2294">
        <v>2293</v>
      </c>
      <c r="B2294">
        <f>IF('Boletins Nuppa Site'!A2294&lt;&gt;0,'Boletins Nuppa Site'!A2294,"NULL")</f>
        <v>95</v>
      </c>
      <c r="C2294">
        <v>23</v>
      </c>
      <c r="D2294" t="str">
        <f>IF('Boletins Nuppa Site'!G2294&lt;&gt;0,'Boletins Nuppa Site'!G2294,"NULL")</f>
        <v xml:space="preserve"> 60.00</v>
      </c>
      <c r="E2294" s="14" t="str">
        <f>IF('Boletins Nuppa Site'!H2294&lt;&gt;0,'Boletins Nuppa Site'!H2294,"NULL")</f>
        <v xml:space="preserve"> 50.00</v>
      </c>
      <c r="F2294" s="14" t="str">
        <f>IF('Boletins Nuppa Site'!I2294&lt;&gt;0,'Boletins Nuppa Site'!I2294,"NULL")</f>
        <v xml:space="preserve"> 65.00</v>
      </c>
      <c r="G2294" s="14" t="str">
        <f>IF('Boletins Nuppa Site'!J2294&lt;&gt;0,'Boletins Nuppa Site'!J2294,"NULL")</f>
        <v xml:space="preserve"> 58.75</v>
      </c>
      <c r="H2294" s="14" t="str">
        <f>IF('Boletins Nuppa Site'!K2294&lt;&gt;0,'Boletins Nuppa Site'!K2294,"NULL")</f>
        <v xml:space="preserve"> 60.00</v>
      </c>
      <c r="I2294" t="str">
        <f t="shared" si="70"/>
        <v>INSERT INTO COTACAO (cot_id, cot_blt_id, cot_pap_id, cot_prc_comum, cot_prc_min, cot_prc_max, cot_prc_med, cot_prc_mediana) VALUES (2293, 95, 23,  60.00,  50.00,  65.00,  58.75,  60.00);</v>
      </c>
      <c r="J2294" t="str">
        <f t="shared" si="71"/>
        <v>UPDATE COTACAO SET cot_id = 2293, cot_blt_id = 95, cot_pap_id = 23, cot_prc_comum =  60.00, cot_prc_min =  50.00, cot_prc_max =  65.00, cot_prc_med =  58.75, cot_prc_mediana =  60.00 WHERE cot_id = 2293;</v>
      </c>
    </row>
    <row r="2295" spans="1:10" x14ac:dyDescent="0.3">
      <c r="A2295">
        <v>2294</v>
      </c>
      <c r="B2295">
        <f>IF('Boletins Nuppa Site'!A2295&lt;&gt;0,'Boletins Nuppa Site'!A2295,"NULL")</f>
        <v>95</v>
      </c>
      <c r="C2295">
        <v>24</v>
      </c>
      <c r="D2295" t="str">
        <f>IF('Boletins Nuppa Site'!G2295&lt;&gt;0,'Boletins Nuppa Site'!G2295,"NULL")</f>
        <v xml:space="preserve"> 80.00</v>
      </c>
      <c r="E2295" s="14" t="str">
        <f>IF('Boletins Nuppa Site'!H2295&lt;&gt;0,'Boletins Nuppa Site'!H2295,"NULL")</f>
        <v xml:space="preserve"> 80.00</v>
      </c>
      <c r="F2295" s="14" t="str">
        <f>IF('Boletins Nuppa Site'!I2295&lt;&gt;0,'Boletins Nuppa Site'!I2295,"NULL")</f>
        <v xml:space="preserve"> 92.50</v>
      </c>
      <c r="G2295" s="14" t="str">
        <f>IF('Boletins Nuppa Site'!J2295&lt;&gt;0,'Boletins Nuppa Site'!J2295,"NULL")</f>
        <v xml:space="preserve"> 120.00</v>
      </c>
      <c r="H2295" s="14" t="str">
        <f>IF('Boletins Nuppa Site'!K2295&lt;&gt;0,'Boletins Nuppa Site'!K2295,"NULL")</f>
        <v xml:space="preserve"> 85.00</v>
      </c>
      <c r="I2295" t="str">
        <f t="shared" si="70"/>
        <v>INSERT INTO COTACAO (cot_id, cot_blt_id, cot_pap_id, cot_prc_comum, cot_prc_min, cot_prc_max, cot_prc_med, cot_prc_mediana) VALUES (2294, 95, 24,  80.00,  80.00,  92.50,  120.00,  85.00);</v>
      </c>
      <c r="J2295" t="str">
        <f t="shared" si="71"/>
        <v>UPDATE COTACAO SET cot_id = 2294, cot_blt_id = 95, cot_pap_id = 24, cot_prc_comum =  80.00, cot_prc_min =  80.00, cot_prc_max =  92.50, cot_prc_med =  120.00, cot_prc_mediana =  85.00 WHERE cot_id = 2294;</v>
      </c>
    </row>
    <row r="2296" spans="1:10" x14ac:dyDescent="0.3">
      <c r="A2296">
        <v>2295</v>
      </c>
      <c r="B2296">
        <f>IF('Boletins Nuppa Site'!A2296&lt;&gt;0,'Boletins Nuppa Site'!A2296,"NULL")</f>
        <v>95</v>
      </c>
      <c r="C2296">
        <v>25</v>
      </c>
      <c r="D2296" t="str">
        <f>IF('Boletins Nuppa Site'!G2296&lt;&gt;0,'Boletins Nuppa Site'!G2296,"NULL")</f>
        <v xml:space="preserve"> 55.00</v>
      </c>
      <c r="E2296" s="14" t="str">
        <f>IF('Boletins Nuppa Site'!H2296&lt;&gt;0,'Boletins Nuppa Site'!H2296,"NULL")</f>
        <v xml:space="preserve"> 60.00</v>
      </c>
      <c r="F2296" s="14" t="str">
        <f>IF('Boletins Nuppa Site'!I2296&lt;&gt;0,'Boletins Nuppa Site'!I2296,"NULL")</f>
        <v xml:space="preserve"> 61.00</v>
      </c>
      <c r="G2296" s="14" t="str">
        <f>IF('Boletins Nuppa Site'!J2296&lt;&gt;0,'Boletins Nuppa Site'!J2296,"NULL")</f>
        <v xml:space="preserve"> 65.00</v>
      </c>
      <c r="H2296" s="14" t="str">
        <f>IF('Boletins Nuppa Site'!K2296&lt;&gt;0,'Boletins Nuppa Site'!K2296,"NULL")</f>
        <v xml:space="preserve"> 60.00</v>
      </c>
      <c r="I2296" t="str">
        <f t="shared" si="70"/>
        <v>INSERT INTO COTACAO (cot_id, cot_blt_id, cot_pap_id, cot_prc_comum, cot_prc_min, cot_prc_max, cot_prc_med, cot_prc_mediana) VALUES (2295, 95, 25,  55.00,  60.00,  61.00,  65.00,  60.00);</v>
      </c>
      <c r="J2296" t="str">
        <f t="shared" si="71"/>
        <v>UPDATE COTACAO SET cot_id = 2295, cot_blt_id = 95, cot_pap_id = 25, cot_prc_comum =  55.00, cot_prc_min =  60.00, cot_prc_max =  61.00, cot_prc_med =  65.00, cot_prc_mediana =  60.00 WHERE cot_id = 2295;</v>
      </c>
    </row>
    <row r="2297" spans="1:10" x14ac:dyDescent="0.3">
      <c r="A2297">
        <v>2296</v>
      </c>
      <c r="B2297">
        <f>IF('Boletins Nuppa Site'!A2297&lt;&gt;0,'Boletins Nuppa Site'!A2297,"NULL")</f>
        <v>95</v>
      </c>
      <c r="C2297">
        <v>26</v>
      </c>
      <c r="D2297" t="str">
        <f>IF('Boletins Nuppa Site'!G2297&lt;&gt;0,'Boletins Nuppa Site'!G2297,"NULL")</f>
        <v xml:space="preserve"> 90.00</v>
      </c>
      <c r="E2297" s="14" t="str">
        <f>IF('Boletins Nuppa Site'!H2297&lt;&gt;0,'Boletins Nuppa Site'!H2297,"NULL")</f>
        <v xml:space="preserve"> 80.00</v>
      </c>
      <c r="F2297" s="14" t="str">
        <f>IF('Boletins Nuppa Site'!I2297&lt;&gt;0,'Boletins Nuppa Site'!I2297,"NULL")</f>
        <v xml:space="preserve"> 94.00</v>
      </c>
      <c r="G2297" s="14" t="str">
        <f>IF('Boletins Nuppa Site'!J2297&lt;&gt;0,'Boletins Nuppa Site'!J2297,"NULL")</f>
        <v xml:space="preserve"> 110.00</v>
      </c>
      <c r="H2297" s="14" t="str">
        <f>IF('Boletins Nuppa Site'!K2297&lt;&gt;0,'Boletins Nuppa Site'!K2297,"NULL")</f>
        <v xml:space="preserve"> 90.00</v>
      </c>
      <c r="I2297" t="str">
        <f t="shared" si="70"/>
        <v>INSERT INTO COTACAO (cot_id, cot_blt_id, cot_pap_id, cot_prc_comum, cot_prc_min, cot_prc_max, cot_prc_med, cot_prc_mediana) VALUES (2296, 95, 26,  90.00,  80.00,  94.00,  110.00,  90.00);</v>
      </c>
      <c r="J2297" t="str">
        <f t="shared" si="71"/>
        <v>UPDATE COTACAO SET cot_id = 2296, cot_blt_id = 95, cot_pap_id = 26, cot_prc_comum =  90.00, cot_prc_min =  80.00, cot_prc_max =  94.00, cot_prc_med =  110.00, cot_prc_mediana =  90.00 WHERE cot_id = 2296;</v>
      </c>
    </row>
    <row r="2298" spans="1:10" x14ac:dyDescent="0.3">
      <c r="A2298">
        <v>2297</v>
      </c>
      <c r="B2298">
        <f>IF('Boletins Nuppa Site'!A2298&lt;&gt;0,'Boletins Nuppa Site'!A2298,"NULL")</f>
        <v>95</v>
      </c>
      <c r="C2298">
        <v>27</v>
      </c>
      <c r="D2298" t="str">
        <f>IF('Boletins Nuppa Site'!G2298&lt;&gt;0,'Boletins Nuppa Site'!G2298,"NULL")</f>
        <v xml:space="preserve"> 60.00</v>
      </c>
      <c r="E2298" s="14" t="str">
        <f>IF('Boletins Nuppa Site'!H2298&lt;&gt;0,'Boletins Nuppa Site'!H2298,"NULL")</f>
        <v xml:space="preserve"> 60.00</v>
      </c>
      <c r="F2298" s="14" t="str">
        <f>IF('Boletins Nuppa Site'!I2298&lt;&gt;0,'Boletins Nuppa Site'!I2298,"NULL")</f>
        <v xml:space="preserve"> 80.00</v>
      </c>
      <c r="G2298" s="14" t="str">
        <f>IF('Boletins Nuppa Site'!J2298&lt;&gt;0,'Boletins Nuppa Site'!J2298,"NULL")</f>
        <v xml:space="preserve"> 67.50</v>
      </c>
      <c r="H2298" s="14" t="str">
        <f>IF('Boletins Nuppa Site'!K2298&lt;&gt;0,'Boletins Nuppa Site'!K2298,"NULL")</f>
        <v xml:space="preserve"> 65.00</v>
      </c>
      <c r="I2298" t="str">
        <f t="shared" si="70"/>
        <v>INSERT INTO COTACAO (cot_id, cot_blt_id, cot_pap_id, cot_prc_comum, cot_prc_min, cot_prc_max, cot_prc_med, cot_prc_mediana) VALUES (2297, 95, 27,  60.00,  60.00,  80.00,  67.50,  65.00);</v>
      </c>
      <c r="J2298" t="str">
        <f t="shared" si="71"/>
        <v>UPDATE COTACAO SET cot_id = 2297, cot_blt_id = 95, cot_pap_id = 27, cot_prc_comum =  60.00, cot_prc_min =  60.00, cot_prc_max =  80.00, cot_prc_med =  67.50, cot_prc_mediana =  65.00 WHERE cot_id = 2297;</v>
      </c>
    </row>
    <row r="2299" spans="1:10" x14ac:dyDescent="0.3">
      <c r="A2299">
        <v>2298</v>
      </c>
      <c r="B2299">
        <f>IF('Boletins Nuppa Site'!A2299&lt;&gt;0,'Boletins Nuppa Site'!A2299,"NULL")</f>
        <v>95</v>
      </c>
      <c r="C2299">
        <v>28</v>
      </c>
      <c r="D2299" t="str">
        <f>IF('Boletins Nuppa Site'!G2299&lt;&gt;0,'Boletins Nuppa Site'!G2299,"NULL")</f>
        <v xml:space="preserve"> 70.00</v>
      </c>
      <c r="E2299" s="14" t="str">
        <f>IF('Boletins Nuppa Site'!H2299&lt;&gt;0,'Boletins Nuppa Site'!H2299,"NULL")</f>
        <v xml:space="preserve"> 70.00</v>
      </c>
      <c r="F2299" s="14" t="str">
        <f>IF('Boletins Nuppa Site'!I2299&lt;&gt;0,'Boletins Nuppa Site'!I2299,"NULL")</f>
        <v xml:space="preserve"> 100.00</v>
      </c>
      <c r="G2299" s="14" t="str">
        <f>IF('Boletins Nuppa Site'!J2299&lt;&gt;0,'Boletins Nuppa Site'!J2299,"NULL")</f>
        <v xml:space="preserve"> 82.00</v>
      </c>
      <c r="H2299" s="14" t="str">
        <f>IF('Boletins Nuppa Site'!K2299&lt;&gt;0,'Boletins Nuppa Site'!K2299,"NULL")</f>
        <v xml:space="preserve"> 80.00</v>
      </c>
      <c r="I2299" t="str">
        <f t="shared" si="70"/>
        <v>INSERT INTO COTACAO (cot_id, cot_blt_id, cot_pap_id, cot_prc_comum, cot_prc_min, cot_prc_max, cot_prc_med, cot_prc_mediana) VALUES (2298, 95, 28,  70.00,  70.00,  100.00,  82.00,  80.00);</v>
      </c>
      <c r="J2299" t="str">
        <f t="shared" si="71"/>
        <v>UPDATE COTACAO SET cot_id = 2298, cot_blt_id = 95, cot_pap_id = 28, cot_prc_comum =  70.00, cot_prc_min =  70.00, cot_prc_max =  100.00, cot_prc_med =  82.00, cot_prc_mediana =  80.00 WHERE cot_id = 2298;</v>
      </c>
    </row>
    <row r="2300" spans="1:10" x14ac:dyDescent="0.3">
      <c r="A2300">
        <v>2299</v>
      </c>
      <c r="B2300">
        <f>IF('Boletins Nuppa Site'!A2300&lt;&gt;0,'Boletins Nuppa Site'!A2300,"NULL")</f>
        <v>95</v>
      </c>
      <c r="C2300">
        <v>29</v>
      </c>
      <c r="D2300" t="str">
        <f>IF('Boletins Nuppa Site'!G2300&lt;&gt;0,'Boletins Nuppa Site'!G2300,"NULL")</f>
        <v>NULL</v>
      </c>
      <c r="E2300" s="14" t="str">
        <f>IF('Boletins Nuppa Site'!H2300&lt;&gt;0,'Boletins Nuppa Site'!H2300,"NULL")</f>
        <v xml:space="preserve"> 50.00</v>
      </c>
      <c r="F2300" s="14" t="str">
        <f>IF('Boletins Nuppa Site'!I2300&lt;&gt;0,'Boletins Nuppa Site'!I2300,"NULL")</f>
        <v xml:space="preserve"> 80.00</v>
      </c>
      <c r="G2300" s="14" t="str">
        <f>IF('Boletins Nuppa Site'!J2300&lt;&gt;0,'Boletins Nuppa Site'!J2300,"NULL")</f>
        <v xml:space="preserve"> 68.33</v>
      </c>
      <c r="H2300" s="14" t="str">
        <f>IF('Boletins Nuppa Site'!K2300&lt;&gt;0,'Boletins Nuppa Site'!K2300,"NULL")</f>
        <v xml:space="preserve"> 75.00</v>
      </c>
      <c r="I2300" t="str">
        <f t="shared" si="70"/>
        <v>INSERT INTO COTACAO (cot_id, cot_blt_id, cot_pap_id, cot_prc_comum, cot_prc_min, cot_prc_max, cot_prc_med, cot_prc_mediana) VALUES (2299, 95, 29, NULL,  50.00,  80.00,  68.33,  75.00);</v>
      </c>
      <c r="J2300" t="str">
        <f t="shared" si="71"/>
        <v>UPDATE COTACAO SET cot_id = 2299, cot_blt_id = 95, cot_pap_id = 29, cot_prc_comum = NULL, cot_prc_min =  50.00, cot_prc_max =  80.00, cot_prc_med =  68.33, cot_prc_mediana =  75.00 WHERE cot_id = 2299;</v>
      </c>
    </row>
    <row r="2301" spans="1:10" x14ac:dyDescent="0.3">
      <c r="A2301">
        <v>2300</v>
      </c>
      <c r="B2301">
        <f>IF('Boletins Nuppa Site'!A2301&lt;&gt;0,'Boletins Nuppa Site'!A2301,"NULL")</f>
        <v>95</v>
      </c>
      <c r="C2301">
        <v>30</v>
      </c>
      <c r="D2301" t="str">
        <f>IF('Boletins Nuppa Site'!G2301&lt;&gt;0,'Boletins Nuppa Site'!G2301,"NULL")</f>
        <v>NULL</v>
      </c>
      <c r="E2301" s="14" t="str">
        <f>IF('Boletins Nuppa Site'!H2301&lt;&gt;0,'Boletins Nuppa Site'!H2301,"NULL")</f>
        <v xml:space="preserve"> 45.00</v>
      </c>
      <c r="F2301" s="14" t="str">
        <f>IF('Boletins Nuppa Site'!I2301&lt;&gt;0,'Boletins Nuppa Site'!I2301,"NULL")</f>
        <v xml:space="preserve"> 80.00</v>
      </c>
      <c r="G2301" s="14" t="str">
        <f>IF('Boletins Nuppa Site'!J2301&lt;&gt;0,'Boletins Nuppa Site'!J2301,"NULL")</f>
        <v xml:space="preserve"> 62.50</v>
      </c>
      <c r="H2301" s="14" t="str">
        <f>IF('Boletins Nuppa Site'!K2301&lt;&gt;0,'Boletins Nuppa Site'!K2301,"NULL")</f>
        <v xml:space="preserve"> 62.50</v>
      </c>
      <c r="I2301" t="str">
        <f t="shared" si="70"/>
        <v>INSERT INTO COTACAO (cot_id, cot_blt_id, cot_pap_id, cot_prc_comum, cot_prc_min, cot_prc_max, cot_prc_med, cot_prc_mediana) VALUES (2300, 95, 30, NULL,  45.00,  80.00,  62.50,  62.50);</v>
      </c>
      <c r="J2301" t="str">
        <f t="shared" si="71"/>
        <v>UPDATE COTACAO SET cot_id = 2300, cot_blt_id = 95, cot_pap_id = 30, cot_prc_comum = NULL, cot_prc_min =  45.00, cot_prc_max =  80.00, cot_prc_med =  62.50, cot_prc_mediana =  62.50 WHERE cot_id = 2300;</v>
      </c>
    </row>
    <row r="2302" spans="1:10" x14ac:dyDescent="0.3">
      <c r="A2302">
        <v>2301</v>
      </c>
      <c r="B2302">
        <f>IF('Boletins Nuppa Site'!A2302&lt;&gt;0,'Boletins Nuppa Site'!A2302,"NULL")</f>
        <v>95</v>
      </c>
      <c r="C2302">
        <v>31</v>
      </c>
      <c r="D2302" t="str">
        <f>IF('Boletins Nuppa Site'!G2302&lt;&gt;0,'Boletins Nuppa Site'!G2302,"NULL")</f>
        <v xml:space="preserve"> 80.00</v>
      </c>
      <c r="E2302" s="14" t="str">
        <f>IF('Boletins Nuppa Site'!H2302&lt;&gt;0,'Boletins Nuppa Site'!H2302,"NULL")</f>
        <v xml:space="preserve"> 100.00</v>
      </c>
      <c r="F2302" s="14" t="str">
        <f>IF('Boletins Nuppa Site'!I2302&lt;&gt;0,'Boletins Nuppa Site'!I2302,"NULL")</f>
        <v xml:space="preserve"> 100.00</v>
      </c>
      <c r="G2302" s="14" t="str">
        <f>IF('Boletins Nuppa Site'!J2302&lt;&gt;0,'Boletins Nuppa Site'!J2302,"NULL")</f>
        <v xml:space="preserve"> 110.00</v>
      </c>
      <c r="H2302" s="14" t="str">
        <f>IF('Boletins Nuppa Site'!K2302&lt;&gt;0,'Boletins Nuppa Site'!K2302,"NULL")</f>
        <v xml:space="preserve"> 97.00</v>
      </c>
      <c r="I2302" t="str">
        <f t="shared" si="70"/>
        <v>INSERT INTO COTACAO (cot_id, cot_blt_id, cot_pap_id, cot_prc_comum, cot_prc_min, cot_prc_max, cot_prc_med, cot_prc_mediana) VALUES (2301, 95, 31,  80.00,  100.00,  100.00,  110.00,  97.00);</v>
      </c>
      <c r="J2302" t="str">
        <f t="shared" si="71"/>
        <v>UPDATE COTACAO SET cot_id = 2301, cot_blt_id = 95, cot_pap_id = 31, cot_prc_comum =  80.00, cot_prc_min =  100.00, cot_prc_max =  100.00, cot_prc_med =  110.00, cot_prc_mediana =  97.00 WHERE cot_id = 2301;</v>
      </c>
    </row>
    <row r="2303" spans="1:10" x14ac:dyDescent="0.3">
      <c r="A2303">
        <v>2302</v>
      </c>
      <c r="B2303">
        <f>IF('Boletins Nuppa Site'!A2303&lt;&gt;0,'Boletins Nuppa Site'!A2303,"NULL")</f>
        <v>95</v>
      </c>
      <c r="C2303">
        <v>32</v>
      </c>
      <c r="D2303" t="str">
        <f>IF('Boletins Nuppa Site'!G2303&lt;&gt;0,'Boletins Nuppa Site'!G2303,"NULL")</f>
        <v xml:space="preserve"> 60.00</v>
      </c>
      <c r="E2303" s="14" t="str">
        <f>IF('Boletins Nuppa Site'!H2303&lt;&gt;0,'Boletins Nuppa Site'!H2303,"NULL")</f>
        <v xml:space="preserve"> 40.00</v>
      </c>
      <c r="F2303" s="14" t="str">
        <f>IF('Boletins Nuppa Site'!I2303&lt;&gt;0,'Boletins Nuppa Site'!I2303,"NULL")</f>
        <v xml:space="preserve"> 56.00</v>
      </c>
      <c r="G2303" s="14" t="str">
        <f>IF('Boletins Nuppa Site'!J2303&lt;&gt;0,'Boletins Nuppa Site'!J2303,"NULL")</f>
        <v xml:space="preserve"> 70.00</v>
      </c>
      <c r="H2303" s="14" t="str">
        <f>IF('Boletins Nuppa Site'!K2303&lt;&gt;0,'Boletins Nuppa Site'!K2303,"NULL")</f>
        <v xml:space="preserve"> 60.00</v>
      </c>
      <c r="I2303" t="str">
        <f t="shared" si="70"/>
        <v>INSERT INTO COTACAO (cot_id, cot_blt_id, cot_pap_id, cot_prc_comum, cot_prc_min, cot_prc_max, cot_prc_med, cot_prc_mediana) VALUES (2302, 95, 32,  60.00,  40.00,  56.00,  70.00,  60.00);</v>
      </c>
      <c r="J2303" t="str">
        <f t="shared" si="71"/>
        <v>UPDATE COTACAO SET cot_id = 2302, cot_blt_id = 95, cot_pap_id = 32, cot_prc_comum =  60.00, cot_prc_min =  40.00, cot_prc_max =  56.00, cot_prc_med =  70.00, cot_prc_mediana =  60.00 WHERE cot_id = 2302;</v>
      </c>
    </row>
    <row r="2304" spans="1:10" x14ac:dyDescent="0.3">
      <c r="A2304">
        <v>2303</v>
      </c>
      <c r="B2304">
        <f>IF('Boletins Nuppa Site'!A2304&lt;&gt;0,'Boletins Nuppa Site'!A2304,"NULL")</f>
        <v>95</v>
      </c>
      <c r="C2304">
        <v>33</v>
      </c>
      <c r="D2304" t="str">
        <f>IF('Boletins Nuppa Site'!G2304&lt;&gt;0,'Boletins Nuppa Site'!G2304,"NULL")</f>
        <v xml:space="preserve"> 100.00</v>
      </c>
      <c r="E2304" s="14" t="str">
        <f>IF('Boletins Nuppa Site'!H2304&lt;&gt;0,'Boletins Nuppa Site'!H2304,"NULL")</f>
        <v xml:space="preserve"> 80.00</v>
      </c>
      <c r="F2304" s="14" t="str">
        <f>IF('Boletins Nuppa Site'!I2304&lt;&gt;0,'Boletins Nuppa Site'!I2304,"NULL")</f>
        <v xml:space="preserve"> 100.00</v>
      </c>
      <c r="G2304" s="14" t="str">
        <f>IF('Boletins Nuppa Site'!J2304&lt;&gt;0,'Boletins Nuppa Site'!J2304,"NULL")</f>
        <v xml:space="preserve"> 107.50</v>
      </c>
      <c r="H2304" s="14" t="str">
        <f>IF('Boletins Nuppa Site'!K2304&lt;&gt;0,'Boletins Nuppa Site'!K2304,"NULL")</f>
        <v xml:space="preserve"> 150.00</v>
      </c>
      <c r="I2304" t="str">
        <f t="shared" si="70"/>
        <v>INSERT INTO COTACAO (cot_id, cot_blt_id, cot_pap_id, cot_prc_comum, cot_prc_min, cot_prc_max, cot_prc_med, cot_prc_mediana) VALUES (2303, 95, 33,  100.00,  80.00,  100.00,  107.50,  150.00);</v>
      </c>
      <c r="J2304" t="str">
        <f t="shared" si="71"/>
        <v>UPDATE COTACAO SET cot_id = 2303, cot_blt_id = 95, cot_pap_id = 33, cot_prc_comum =  100.00, cot_prc_min =  80.00, cot_prc_max =  100.00, cot_prc_med =  107.50, cot_prc_mediana =  150.00 WHERE cot_id = 2303;</v>
      </c>
    </row>
    <row r="2305" spans="1:10" x14ac:dyDescent="0.3">
      <c r="A2305">
        <v>2304</v>
      </c>
      <c r="B2305">
        <f>IF('Boletins Nuppa Site'!A2305&lt;&gt;0,'Boletins Nuppa Site'!A2305,"NULL")</f>
        <v>95</v>
      </c>
      <c r="C2305">
        <v>34</v>
      </c>
      <c r="D2305" t="str">
        <f>IF('Boletins Nuppa Site'!G2305&lt;&gt;0,'Boletins Nuppa Site'!G2305,"NULL")</f>
        <v>NULL</v>
      </c>
      <c r="E2305" s="14" t="str">
        <f>IF('Boletins Nuppa Site'!H2305&lt;&gt;0,'Boletins Nuppa Site'!H2305,"NULL")</f>
        <v xml:space="preserve"> 140.00</v>
      </c>
      <c r="F2305" s="14" t="str">
        <f>IF('Boletins Nuppa Site'!I2305&lt;&gt;0,'Boletins Nuppa Site'!I2305,"NULL")</f>
        <v xml:space="preserve"> 160.00</v>
      </c>
      <c r="G2305" s="14" t="str">
        <f>IF('Boletins Nuppa Site'!J2305&lt;&gt;0,'Boletins Nuppa Site'!J2305,"NULL")</f>
        <v xml:space="preserve"> 180.00</v>
      </c>
      <c r="H2305" s="14" t="str">
        <f>IF('Boletins Nuppa Site'!K2305&lt;&gt;0,'Boletins Nuppa Site'!K2305,"NULL")</f>
        <v xml:space="preserve"> 160.00</v>
      </c>
      <c r="I2305" t="str">
        <f t="shared" si="70"/>
        <v>INSERT INTO COTACAO (cot_id, cot_blt_id, cot_pap_id, cot_prc_comum, cot_prc_min, cot_prc_max, cot_prc_med, cot_prc_mediana) VALUES (2304, 95, 34, NULL,  140.00,  160.00,  180.00,  160.00);</v>
      </c>
      <c r="J2305" t="str">
        <f t="shared" si="71"/>
        <v>UPDATE COTACAO SET cot_id = 2304, cot_blt_id = 95, cot_pap_id = 34, cot_prc_comum = NULL, cot_prc_min =  140.00, cot_prc_max =  160.00, cot_prc_med =  180.00, cot_prc_mediana =  160.00 WHERE cot_id = 2304;</v>
      </c>
    </row>
    <row r="2306" spans="1:10" x14ac:dyDescent="0.3">
      <c r="A2306">
        <v>2305</v>
      </c>
      <c r="B2306">
        <f>IF('Boletins Nuppa Site'!A2306&lt;&gt;0,'Boletins Nuppa Site'!A2306,"NULL")</f>
        <v>95</v>
      </c>
      <c r="C2306">
        <v>35</v>
      </c>
      <c r="D2306" t="str">
        <f>IF('Boletins Nuppa Site'!G2306&lt;&gt;0,'Boletins Nuppa Site'!G2306,"NULL")</f>
        <v xml:space="preserve"> 100.00</v>
      </c>
      <c r="E2306" s="14" t="str">
        <f>IF('Boletins Nuppa Site'!H2306&lt;&gt;0,'Boletins Nuppa Site'!H2306,"NULL")</f>
        <v xml:space="preserve"> 100.00</v>
      </c>
      <c r="F2306" s="14" t="str">
        <f>IF('Boletins Nuppa Site'!I2306&lt;&gt;0,'Boletins Nuppa Site'!I2306,"NULL")</f>
        <v xml:space="preserve"> 115.00</v>
      </c>
      <c r="G2306" s="14" t="str">
        <f>IF('Boletins Nuppa Site'!J2306&lt;&gt;0,'Boletins Nuppa Site'!J2306,"NULL")</f>
        <v xml:space="preserve"> 140.00</v>
      </c>
      <c r="H2306" s="14" t="str">
        <f>IF('Boletins Nuppa Site'!K2306&lt;&gt;0,'Boletins Nuppa Site'!K2306,"NULL")</f>
        <v xml:space="preserve"> 110.00</v>
      </c>
      <c r="I2306" t="str">
        <f t="shared" si="70"/>
        <v>INSERT INTO COTACAO (cot_id, cot_blt_id, cot_pap_id, cot_prc_comum, cot_prc_min, cot_prc_max, cot_prc_med, cot_prc_mediana) VALUES (2305, 95, 35,  100.00,  100.00,  115.00,  140.00,  110.00);</v>
      </c>
      <c r="J2306" t="str">
        <f t="shared" si="71"/>
        <v>UPDATE COTACAO SET cot_id = 2305, cot_blt_id = 95, cot_pap_id = 35, cot_prc_comum =  100.00, cot_prc_min =  100.00, cot_prc_max =  115.00, cot_prc_med =  140.00, cot_prc_mediana =  110.00 WHERE cot_id = 2305;</v>
      </c>
    </row>
    <row r="2307" spans="1:10" x14ac:dyDescent="0.3">
      <c r="A2307">
        <v>2306</v>
      </c>
      <c r="B2307">
        <f>IF('Boletins Nuppa Site'!A2307&lt;&gt;0,'Boletins Nuppa Site'!A2307,"NULL")</f>
        <v>95</v>
      </c>
      <c r="C2307">
        <v>36</v>
      </c>
      <c r="D2307" t="str">
        <f>IF('Boletins Nuppa Site'!G2307&lt;&gt;0,'Boletins Nuppa Site'!G2307,"NULL")</f>
        <v>NULL</v>
      </c>
      <c r="E2307" s="14" t="str">
        <f>IF('Boletins Nuppa Site'!H2307&lt;&gt;0,'Boletins Nuppa Site'!H2307,"NULL")</f>
        <v>NULL</v>
      </c>
      <c r="F2307" s="14" t="str">
        <f>IF('Boletins Nuppa Site'!I2307&lt;&gt;0,'Boletins Nuppa Site'!I2307,"NULL")</f>
        <v>NULL</v>
      </c>
      <c r="G2307" s="14" t="str">
        <f>IF('Boletins Nuppa Site'!J2307&lt;&gt;0,'Boletins Nuppa Site'!J2307,"NULL")</f>
        <v>NULL</v>
      </c>
      <c r="H2307" s="14" t="str">
        <f>IF('Boletins Nuppa Site'!K2307&lt;&gt;0,'Boletins Nuppa Site'!K2307,"NULL")</f>
        <v>NULL</v>
      </c>
      <c r="I2307" t="str">
        <f t="shared" ref="I2307:I2370" si="72">"INSERT INTO COTACAO (cot_id, cot_blt_id, cot_pap_id, cot_prc_comum, cot_prc_min, cot_prc_max, cot_prc_med, cot_prc_mediana) VALUES ("&amp;A2307&amp;", "&amp;B2307&amp;", "&amp;C2307&amp;", "&amp;D2307&amp;", "&amp;E2307&amp;", "&amp;F2307&amp;", "&amp;G2307&amp;", "&amp;H2307&amp;");"</f>
        <v>INSERT INTO COTACAO (cot_id, cot_blt_id, cot_pap_id, cot_prc_comum, cot_prc_min, cot_prc_max, cot_prc_med, cot_prc_mediana) VALUES (2306, 95, 36, NULL, NULL, NULL, NULL, NULL);</v>
      </c>
      <c r="J2307" t="str">
        <f t="shared" ref="J2307:J2370" si="73">"UPDATE COTACAO SET cot_id = "&amp;A2307&amp;", cot_blt_id = "&amp;B2307&amp;", cot_pap_id = "&amp;C2307&amp;", cot_prc_comum = "&amp;D2307&amp;", cot_prc_min = "&amp;E2307&amp;", cot_prc_max = "&amp;F2307&amp;", cot_prc_med = "&amp;G2307&amp;", cot_prc_mediana = "&amp;H2307&amp;" WHERE cot_id = "&amp;A2307&amp;";"</f>
        <v>UPDATE COTACAO SET cot_id = 2306, cot_blt_id = 95, cot_pap_id = 36, cot_prc_comum = NULL, cot_prc_min = NULL, cot_prc_max = NULL, cot_prc_med = NULL, cot_prc_mediana = NULL WHERE cot_id = 2306;</v>
      </c>
    </row>
    <row r="2308" spans="1:10" x14ac:dyDescent="0.3">
      <c r="A2308">
        <v>2307</v>
      </c>
      <c r="B2308">
        <f>IF('Boletins Nuppa Site'!A2308&lt;&gt;0,'Boletins Nuppa Site'!A2308,"NULL")</f>
        <v>95</v>
      </c>
      <c r="C2308">
        <v>37</v>
      </c>
      <c r="D2308" t="str">
        <f>IF('Boletins Nuppa Site'!G2308&lt;&gt;0,'Boletins Nuppa Site'!G2308,"NULL")</f>
        <v>NULL</v>
      </c>
      <c r="E2308" s="14" t="str">
        <f>IF('Boletins Nuppa Site'!H2308&lt;&gt;0,'Boletins Nuppa Site'!H2308,"NULL")</f>
        <v>NULL</v>
      </c>
      <c r="F2308" s="14" t="str">
        <f>IF('Boletins Nuppa Site'!I2308&lt;&gt;0,'Boletins Nuppa Site'!I2308,"NULL")</f>
        <v>NULL</v>
      </c>
      <c r="G2308" s="14" t="str">
        <f>IF('Boletins Nuppa Site'!J2308&lt;&gt;0,'Boletins Nuppa Site'!J2308,"NULL")</f>
        <v>NULL</v>
      </c>
      <c r="H2308" s="14" t="str">
        <f>IF('Boletins Nuppa Site'!K2308&lt;&gt;0,'Boletins Nuppa Site'!K2308,"NULL")</f>
        <v>NULL</v>
      </c>
      <c r="I2308" t="str">
        <f t="shared" si="72"/>
        <v>INSERT INTO COTACAO (cot_id, cot_blt_id, cot_pap_id, cot_prc_comum, cot_prc_min, cot_prc_max, cot_prc_med, cot_prc_mediana) VALUES (2307, 95, 37, NULL, NULL, NULL, NULL, NULL);</v>
      </c>
      <c r="J2308" t="str">
        <f t="shared" si="73"/>
        <v>UPDATE COTACAO SET cot_id = 2307, cot_blt_id = 95, cot_pap_id = 37, cot_prc_comum = NULL, cot_prc_min = NULL, cot_prc_max = NULL, cot_prc_med = NULL, cot_prc_mediana = NULL WHERE cot_id = 2307;</v>
      </c>
    </row>
    <row r="2309" spans="1:10" x14ac:dyDescent="0.3">
      <c r="A2309">
        <v>2308</v>
      </c>
      <c r="B2309">
        <f>IF('Boletins Nuppa Site'!A2309&lt;&gt;0,'Boletins Nuppa Site'!A2309,"NULL")</f>
        <v>95</v>
      </c>
      <c r="C2309">
        <v>38</v>
      </c>
      <c r="D2309" t="str">
        <f>IF('Boletins Nuppa Site'!G2309&lt;&gt;0,'Boletins Nuppa Site'!G2309,"NULL")</f>
        <v>NULL</v>
      </c>
      <c r="E2309" s="14" t="str">
        <f>IF('Boletins Nuppa Site'!H2309&lt;&gt;0,'Boletins Nuppa Site'!H2309,"NULL")</f>
        <v>NULL</v>
      </c>
      <c r="F2309" s="14" t="str">
        <f>IF('Boletins Nuppa Site'!I2309&lt;&gt;0,'Boletins Nuppa Site'!I2309,"NULL")</f>
        <v>NULL</v>
      </c>
      <c r="G2309" s="14" t="str">
        <f>IF('Boletins Nuppa Site'!J2309&lt;&gt;0,'Boletins Nuppa Site'!J2309,"NULL")</f>
        <v>NULL</v>
      </c>
      <c r="H2309" s="14" t="str">
        <f>IF('Boletins Nuppa Site'!K2309&lt;&gt;0,'Boletins Nuppa Site'!K2309,"NULL")</f>
        <v>NULL</v>
      </c>
      <c r="I2309" t="str">
        <f t="shared" si="72"/>
        <v>INSERT INTO COTACAO (cot_id, cot_blt_id, cot_pap_id, cot_prc_comum, cot_prc_min, cot_prc_max, cot_prc_med, cot_prc_mediana) VALUES (2308, 95, 38, NULL, NULL, NULL, NULL, NULL);</v>
      </c>
      <c r="J2309" t="str">
        <f t="shared" si="73"/>
        <v>UPDATE COTACAO SET cot_id = 2308, cot_blt_id = 95, cot_pap_id = 38, cot_prc_comum = NULL, cot_prc_min = NULL, cot_prc_max = NULL, cot_prc_med = NULL, cot_prc_mediana = NULL WHERE cot_id = 2308;</v>
      </c>
    </row>
    <row r="2310" spans="1:10" x14ac:dyDescent="0.3">
      <c r="A2310">
        <v>2309</v>
      </c>
      <c r="B2310">
        <f>IF('Boletins Nuppa Site'!A2310&lt;&gt;0,'Boletins Nuppa Site'!A2310,"NULL")</f>
        <v>95</v>
      </c>
      <c r="C2310">
        <v>39</v>
      </c>
      <c r="D2310" t="str">
        <f>IF('Boletins Nuppa Site'!G2310&lt;&gt;0,'Boletins Nuppa Site'!G2310,"NULL")</f>
        <v>NULL</v>
      </c>
      <c r="E2310" s="14" t="str">
        <f>IF('Boletins Nuppa Site'!H2310&lt;&gt;0,'Boletins Nuppa Site'!H2310,"NULL")</f>
        <v>NULL</v>
      </c>
      <c r="F2310" s="14" t="str">
        <f>IF('Boletins Nuppa Site'!I2310&lt;&gt;0,'Boletins Nuppa Site'!I2310,"NULL")</f>
        <v>NULL</v>
      </c>
      <c r="G2310" s="14" t="str">
        <f>IF('Boletins Nuppa Site'!J2310&lt;&gt;0,'Boletins Nuppa Site'!J2310,"NULL")</f>
        <v>NULL</v>
      </c>
      <c r="H2310" s="14" t="str">
        <f>IF('Boletins Nuppa Site'!K2310&lt;&gt;0,'Boletins Nuppa Site'!K2310,"NULL")</f>
        <v>NULL</v>
      </c>
      <c r="I2310" t="str">
        <f t="shared" si="72"/>
        <v>INSERT INTO COTACAO (cot_id, cot_blt_id, cot_pap_id, cot_prc_comum, cot_prc_min, cot_prc_max, cot_prc_med, cot_prc_mediana) VALUES (2309, 95, 39, NULL, NULL, NULL, NULL, NULL);</v>
      </c>
      <c r="J2310" t="str">
        <f t="shared" si="73"/>
        <v>UPDATE COTACAO SET cot_id = 2309, cot_blt_id = 95, cot_pap_id = 39, cot_prc_comum = NULL, cot_prc_min = NULL, cot_prc_max = NULL, cot_prc_med = NULL, cot_prc_mediana = NULL WHERE cot_id = 2309;</v>
      </c>
    </row>
    <row r="2311" spans="1:10" x14ac:dyDescent="0.3">
      <c r="A2311">
        <v>2310</v>
      </c>
      <c r="B2311">
        <f>IF('Boletins Nuppa Site'!A2311&lt;&gt;0,'Boletins Nuppa Site'!A2311,"NULL")</f>
        <v>95</v>
      </c>
      <c r="C2311">
        <v>40</v>
      </c>
      <c r="D2311" t="str">
        <f>IF('Boletins Nuppa Site'!G2311&lt;&gt;0,'Boletins Nuppa Site'!G2311,"NULL")</f>
        <v>NULL</v>
      </c>
      <c r="E2311" s="14" t="str">
        <f>IF('Boletins Nuppa Site'!H2311&lt;&gt;0,'Boletins Nuppa Site'!H2311,"NULL")</f>
        <v>NULL</v>
      </c>
      <c r="F2311" s="14" t="str">
        <f>IF('Boletins Nuppa Site'!I2311&lt;&gt;0,'Boletins Nuppa Site'!I2311,"NULL")</f>
        <v>NULL</v>
      </c>
      <c r="G2311" s="14" t="str">
        <f>IF('Boletins Nuppa Site'!J2311&lt;&gt;0,'Boletins Nuppa Site'!J2311,"NULL")</f>
        <v>NULL</v>
      </c>
      <c r="H2311" s="14" t="str">
        <f>IF('Boletins Nuppa Site'!K2311&lt;&gt;0,'Boletins Nuppa Site'!K2311,"NULL")</f>
        <v>NULL</v>
      </c>
      <c r="I2311" t="str">
        <f t="shared" si="72"/>
        <v>INSERT INTO COTACAO (cot_id, cot_blt_id, cot_pap_id, cot_prc_comum, cot_prc_min, cot_prc_max, cot_prc_med, cot_prc_mediana) VALUES (2310, 95, 40, NULL, NULL, NULL, NULL, NULL);</v>
      </c>
      <c r="J2311" t="str">
        <f t="shared" si="73"/>
        <v>UPDATE COTACAO SET cot_id = 2310, cot_blt_id = 95, cot_pap_id = 40, cot_prc_comum = NULL, cot_prc_min = NULL, cot_prc_max = NULL, cot_prc_med = NULL, cot_prc_mediana = NULL WHERE cot_id = 2310;</v>
      </c>
    </row>
    <row r="2312" spans="1:10" x14ac:dyDescent="0.3">
      <c r="A2312">
        <v>2311</v>
      </c>
      <c r="B2312">
        <f>IF('Boletins Nuppa Site'!A2312&lt;&gt;0,'Boletins Nuppa Site'!A2312,"NULL")</f>
        <v>96</v>
      </c>
      <c r="C2312">
        <v>1</v>
      </c>
      <c r="D2312" t="str">
        <f>IF('Boletins Nuppa Site'!G2312&lt;&gt;0,'Boletins Nuppa Site'!G2312,"NULL")</f>
        <v>NULL</v>
      </c>
      <c r="E2312" s="14" t="str">
        <f>IF('Boletins Nuppa Site'!H2312&lt;&gt;0,'Boletins Nuppa Site'!H2312,"NULL")</f>
        <v xml:space="preserve"> 60.00</v>
      </c>
      <c r="F2312" s="14" t="str">
        <f>IF('Boletins Nuppa Site'!I2312&lt;&gt;0,'Boletins Nuppa Site'!I2312,"NULL")</f>
        <v xml:space="preserve"> 72.00</v>
      </c>
      <c r="G2312" s="14" t="str">
        <f>IF('Boletins Nuppa Site'!J2312&lt;&gt;0,'Boletins Nuppa Site'!J2312,"NULL")</f>
        <v xml:space="preserve"> 66.00</v>
      </c>
      <c r="H2312" s="14" t="str">
        <f>IF('Boletins Nuppa Site'!K2312&lt;&gt;0,'Boletins Nuppa Site'!K2312,"NULL")</f>
        <v xml:space="preserve"> 66.00</v>
      </c>
      <c r="I2312" t="str">
        <f t="shared" si="72"/>
        <v>INSERT INTO COTACAO (cot_id, cot_blt_id, cot_pap_id, cot_prc_comum, cot_prc_min, cot_prc_max, cot_prc_med, cot_prc_mediana) VALUES (2311, 96, 1, NULL,  60.00,  72.00,  66.00,  66.00);</v>
      </c>
      <c r="J2312" t="str">
        <f t="shared" si="73"/>
        <v>UPDATE COTACAO SET cot_id = 2311, cot_blt_id = 96, cot_pap_id = 1, cot_prc_comum = NULL, cot_prc_min =  60.00, cot_prc_max =  72.00, cot_prc_med =  66.00, cot_prc_mediana =  66.00 WHERE cot_id = 2311;</v>
      </c>
    </row>
    <row r="2313" spans="1:10" x14ac:dyDescent="0.3">
      <c r="A2313">
        <v>2312</v>
      </c>
      <c r="B2313">
        <f>IF('Boletins Nuppa Site'!A2313&lt;&gt;0,'Boletins Nuppa Site'!A2313,"NULL")</f>
        <v>96</v>
      </c>
      <c r="C2313">
        <v>2</v>
      </c>
      <c r="D2313" t="str">
        <f>IF('Boletins Nuppa Site'!G2313&lt;&gt;0,'Boletins Nuppa Site'!G2313,"NULL")</f>
        <v>NULL</v>
      </c>
      <c r="E2313" s="14" t="str">
        <f>IF('Boletins Nuppa Site'!H2313&lt;&gt;0,'Boletins Nuppa Site'!H2313,"NULL")</f>
        <v xml:space="preserve"> 60.00</v>
      </c>
      <c r="F2313" s="14" t="str">
        <f>IF('Boletins Nuppa Site'!I2313&lt;&gt;0,'Boletins Nuppa Site'!I2313,"NULL")</f>
        <v xml:space="preserve"> 96.00</v>
      </c>
      <c r="G2313" s="14" t="str">
        <f>IF('Boletins Nuppa Site'!J2313&lt;&gt;0,'Boletins Nuppa Site'!J2313,"NULL")</f>
        <v xml:space="preserve"> 78.00</v>
      </c>
      <c r="H2313" s="14" t="str">
        <f>IF('Boletins Nuppa Site'!K2313&lt;&gt;0,'Boletins Nuppa Site'!K2313,"NULL")</f>
        <v xml:space="preserve"> 78.00</v>
      </c>
      <c r="I2313" t="str">
        <f t="shared" si="72"/>
        <v>INSERT INTO COTACAO (cot_id, cot_blt_id, cot_pap_id, cot_prc_comum, cot_prc_min, cot_prc_max, cot_prc_med, cot_prc_mediana) VALUES (2312, 96, 2, NULL,  60.00,  96.00,  78.00,  78.00);</v>
      </c>
      <c r="J2313" t="str">
        <f t="shared" si="73"/>
        <v>UPDATE COTACAO SET cot_id = 2312, cot_blt_id = 96, cot_pap_id = 2, cot_prc_comum = NULL, cot_prc_min =  60.00, cot_prc_max =  96.00, cot_prc_med =  78.00, cot_prc_mediana =  78.00 WHERE cot_id = 2312;</v>
      </c>
    </row>
    <row r="2314" spans="1:10" x14ac:dyDescent="0.3">
      <c r="A2314">
        <v>2313</v>
      </c>
      <c r="B2314">
        <f>IF('Boletins Nuppa Site'!A2314&lt;&gt;0,'Boletins Nuppa Site'!A2314,"NULL")</f>
        <v>96</v>
      </c>
      <c r="C2314">
        <v>3</v>
      </c>
      <c r="D2314" t="str">
        <f>IF('Boletins Nuppa Site'!G2314&lt;&gt;0,'Boletins Nuppa Site'!G2314,"NULL")</f>
        <v>NULL</v>
      </c>
      <c r="E2314" s="14" t="str">
        <f>IF('Boletins Nuppa Site'!H2314&lt;&gt;0,'Boletins Nuppa Site'!H2314,"NULL")</f>
        <v xml:space="preserve"> 60.00</v>
      </c>
      <c r="F2314" s="14" t="str">
        <f>IF('Boletins Nuppa Site'!I2314&lt;&gt;0,'Boletins Nuppa Site'!I2314,"NULL")</f>
        <v xml:space="preserve"> 42.00</v>
      </c>
      <c r="G2314" s="14" t="str">
        <f>IF('Boletins Nuppa Site'!J2314&lt;&gt;0,'Boletins Nuppa Site'!J2314,"NULL")</f>
        <v xml:space="preserve"> 52.00</v>
      </c>
      <c r="H2314" s="14" t="str">
        <f>IF('Boletins Nuppa Site'!K2314&lt;&gt;0,'Boletins Nuppa Site'!K2314,"NULL")</f>
        <v xml:space="preserve"> 54.00</v>
      </c>
      <c r="I2314" t="str">
        <f t="shared" si="72"/>
        <v>INSERT INTO COTACAO (cot_id, cot_blt_id, cot_pap_id, cot_prc_comum, cot_prc_min, cot_prc_max, cot_prc_med, cot_prc_mediana) VALUES (2313, 96, 3, NULL,  60.00,  42.00,  52.00,  54.00);</v>
      </c>
      <c r="J2314" t="str">
        <f t="shared" si="73"/>
        <v>UPDATE COTACAO SET cot_id = 2313, cot_blt_id = 96, cot_pap_id = 3, cot_prc_comum = NULL, cot_prc_min =  60.00, cot_prc_max =  42.00, cot_prc_med =  52.00, cot_prc_mediana =  54.00 WHERE cot_id = 2313;</v>
      </c>
    </row>
    <row r="2315" spans="1:10" x14ac:dyDescent="0.3">
      <c r="A2315">
        <v>2314</v>
      </c>
      <c r="B2315">
        <f>IF('Boletins Nuppa Site'!A2315&lt;&gt;0,'Boletins Nuppa Site'!A2315,"NULL")</f>
        <v>96</v>
      </c>
      <c r="C2315">
        <v>4</v>
      </c>
      <c r="D2315" t="str">
        <f>IF('Boletins Nuppa Site'!G2315&lt;&gt;0,'Boletins Nuppa Site'!G2315,"NULL")</f>
        <v xml:space="preserve"> 30.00</v>
      </c>
      <c r="E2315" s="14" t="str">
        <f>IF('Boletins Nuppa Site'!H2315&lt;&gt;0,'Boletins Nuppa Site'!H2315,"NULL")</f>
        <v xml:space="preserve"> 30.00</v>
      </c>
      <c r="F2315" s="14" t="str">
        <f>IF('Boletins Nuppa Site'!I2315&lt;&gt;0,'Boletins Nuppa Site'!I2315,"NULL")</f>
        <v xml:space="preserve"> 33.00</v>
      </c>
      <c r="G2315" s="14" t="str">
        <f>IF('Boletins Nuppa Site'!J2315&lt;&gt;0,'Boletins Nuppa Site'!J2315,"NULL")</f>
        <v xml:space="preserve"> 31.00</v>
      </c>
      <c r="H2315" s="14" t="str">
        <f>IF('Boletins Nuppa Site'!K2315&lt;&gt;0,'Boletins Nuppa Site'!K2315,"NULL")</f>
        <v xml:space="preserve"> 30.00</v>
      </c>
      <c r="I2315" t="str">
        <f t="shared" si="72"/>
        <v>INSERT INTO COTACAO (cot_id, cot_blt_id, cot_pap_id, cot_prc_comum, cot_prc_min, cot_prc_max, cot_prc_med, cot_prc_mediana) VALUES (2314, 96, 4,  30.00,  30.00,  33.00,  31.00,  30.00);</v>
      </c>
      <c r="J2315" t="str">
        <f t="shared" si="73"/>
        <v>UPDATE COTACAO SET cot_id = 2314, cot_blt_id = 96, cot_pap_id = 4, cot_prc_comum =  30.00, cot_prc_min =  30.00, cot_prc_max =  33.00, cot_prc_med =  31.00, cot_prc_mediana =  30.00 WHERE cot_id = 2314;</v>
      </c>
    </row>
    <row r="2316" spans="1:10" x14ac:dyDescent="0.3">
      <c r="A2316">
        <v>2315</v>
      </c>
      <c r="B2316">
        <f>IF('Boletins Nuppa Site'!A2316&lt;&gt;0,'Boletins Nuppa Site'!A2316,"NULL")</f>
        <v>96</v>
      </c>
      <c r="C2316">
        <v>5</v>
      </c>
      <c r="D2316" t="str">
        <f>IF('Boletins Nuppa Site'!G2316&lt;&gt;0,'Boletins Nuppa Site'!G2316,"NULL")</f>
        <v xml:space="preserve"> 30.00</v>
      </c>
      <c r="E2316" s="14" t="str">
        <f>IF('Boletins Nuppa Site'!H2316&lt;&gt;0,'Boletins Nuppa Site'!H2316,"NULL")</f>
        <v xml:space="preserve"> 33.00</v>
      </c>
      <c r="F2316" s="14" t="str">
        <f>IF('Boletins Nuppa Site'!I2316&lt;&gt;0,'Boletins Nuppa Site'!I2316,"NULL")</f>
        <v xml:space="preserve"> 30.00</v>
      </c>
      <c r="G2316" s="14" t="str">
        <f>IF('Boletins Nuppa Site'!J2316&lt;&gt;0,'Boletins Nuppa Site'!J2316,"NULL")</f>
        <v xml:space="preserve"> 31.00</v>
      </c>
      <c r="H2316" s="14" t="str">
        <f>IF('Boletins Nuppa Site'!K2316&lt;&gt;0,'Boletins Nuppa Site'!K2316,"NULL")</f>
        <v xml:space="preserve"> 30.00</v>
      </c>
      <c r="I2316" t="str">
        <f t="shared" si="72"/>
        <v>INSERT INTO COTACAO (cot_id, cot_blt_id, cot_pap_id, cot_prc_comum, cot_prc_min, cot_prc_max, cot_prc_med, cot_prc_mediana) VALUES (2315, 96, 5,  30.00,  33.00,  30.00,  31.00,  30.00);</v>
      </c>
      <c r="J2316" t="str">
        <f t="shared" si="73"/>
        <v>UPDATE COTACAO SET cot_id = 2315, cot_blt_id = 96, cot_pap_id = 5, cot_prc_comum =  30.00, cot_prc_min =  33.00, cot_prc_max =  30.00, cot_prc_med =  31.00, cot_prc_mediana =  30.00 WHERE cot_id = 2315;</v>
      </c>
    </row>
    <row r="2317" spans="1:10" x14ac:dyDescent="0.3">
      <c r="A2317">
        <v>2316</v>
      </c>
      <c r="B2317">
        <f>IF('Boletins Nuppa Site'!A2317&lt;&gt;0,'Boletins Nuppa Site'!A2317,"NULL")</f>
        <v>96</v>
      </c>
      <c r="C2317">
        <v>6</v>
      </c>
      <c r="D2317" t="str">
        <f>IF('Boletins Nuppa Site'!G2317&lt;&gt;0,'Boletins Nuppa Site'!G2317,"NULL")</f>
        <v>NULL</v>
      </c>
      <c r="E2317" s="14" t="str">
        <f>IF('Boletins Nuppa Site'!H2317&lt;&gt;0,'Boletins Nuppa Site'!H2317,"NULL")</f>
        <v xml:space="preserve"> 96.00</v>
      </c>
      <c r="F2317" s="14" t="str">
        <f>IF('Boletins Nuppa Site'!I2317&lt;&gt;0,'Boletins Nuppa Site'!I2317,"NULL")</f>
        <v xml:space="preserve"> 66.00</v>
      </c>
      <c r="G2317" s="14" t="str">
        <f>IF('Boletins Nuppa Site'!J2317&lt;&gt;0,'Boletins Nuppa Site'!J2317,"NULL")</f>
        <v xml:space="preserve"> 81.00</v>
      </c>
      <c r="H2317" s="14" t="str">
        <f>IF('Boletins Nuppa Site'!K2317&lt;&gt;0,'Boletins Nuppa Site'!K2317,"NULL")</f>
        <v xml:space="preserve"> 81.00</v>
      </c>
      <c r="I2317" t="str">
        <f t="shared" si="72"/>
        <v>INSERT INTO COTACAO (cot_id, cot_blt_id, cot_pap_id, cot_prc_comum, cot_prc_min, cot_prc_max, cot_prc_med, cot_prc_mediana) VALUES (2316, 96, 6, NULL,  96.00,  66.00,  81.00,  81.00);</v>
      </c>
      <c r="J2317" t="str">
        <f t="shared" si="73"/>
        <v>UPDATE COTACAO SET cot_id = 2316, cot_blt_id = 96, cot_pap_id = 6, cot_prc_comum = NULL, cot_prc_min =  96.00, cot_prc_max =  66.00, cot_prc_med =  81.00, cot_prc_mediana =  81.00 WHERE cot_id = 2316;</v>
      </c>
    </row>
    <row r="2318" spans="1:10" x14ac:dyDescent="0.3">
      <c r="A2318">
        <v>2317</v>
      </c>
      <c r="B2318">
        <f>IF('Boletins Nuppa Site'!A2318&lt;&gt;0,'Boletins Nuppa Site'!A2318,"NULL")</f>
        <v>96</v>
      </c>
      <c r="C2318">
        <v>7</v>
      </c>
      <c r="D2318" t="str">
        <f>IF('Boletins Nuppa Site'!G2318&lt;&gt;0,'Boletins Nuppa Site'!G2318,"NULL")</f>
        <v>NULL</v>
      </c>
      <c r="E2318" s="14" t="str">
        <f>IF('Boletins Nuppa Site'!H2318&lt;&gt;0,'Boletins Nuppa Site'!H2318,"NULL")</f>
        <v xml:space="preserve"> 96.00</v>
      </c>
      <c r="F2318" s="14" t="str">
        <f>IF('Boletins Nuppa Site'!I2318&lt;&gt;0,'Boletins Nuppa Site'!I2318,"NULL")</f>
        <v xml:space="preserve"> 114.00</v>
      </c>
      <c r="G2318" s="14" t="str">
        <f>IF('Boletins Nuppa Site'!J2318&lt;&gt;0,'Boletins Nuppa Site'!J2318,"NULL")</f>
        <v xml:space="preserve"> 105.00</v>
      </c>
      <c r="H2318" s="14" t="str">
        <f>IF('Boletins Nuppa Site'!K2318&lt;&gt;0,'Boletins Nuppa Site'!K2318,"NULL")</f>
        <v xml:space="preserve"> 105.00</v>
      </c>
      <c r="I2318" t="str">
        <f t="shared" si="72"/>
        <v>INSERT INTO COTACAO (cot_id, cot_blt_id, cot_pap_id, cot_prc_comum, cot_prc_min, cot_prc_max, cot_prc_med, cot_prc_mediana) VALUES (2317, 96, 7, NULL,  96.00,  114.00,  105.00,  105.00);</v>
      </c>
      <c r="J2318" t="str">
        <f t="shared" si="73"/>
        <v>UPDATE COTACAO SET cot_id = 2317, cot_blt_id = 96, cot_pap_id = 7, cot_prc_comum = NULL, cot_prc_min =  96.00, cot_prc_max =  114.00, cot_prc_med =  105.00, cot_prc_mediana =  105.00 WHERE cot_id = 2317;</v>
      </c>
    </row>
    <row r="2319" spans="1:10" x14ac:dyDescent="0.3">
      <c r="A2319">
        <v>2318</v>
      </c>
      <c r="B2319">
        <f>IF('Boletins Nuppa Site'!A2319&lt;&gt;0,'Boletins Nuppa Site'!A2319,"NULL")</f>
        <v>96</v>
      </c>
      <c r="C2319">
        <v>8</v>
      </c>
      <c r="D2319" t="str">
        <f>IF('Boletins Nuppa Site'!G2319&lt;&gt;0,'Boletins Nuppa Site'!G2319,"NULL")</f>
        <v>NULL</v>
      </c>
      <c r="E2319" s="14" t="str">
        <f>IF('Boletins Nuppa Site'!H2319&lt;&gt;0,'Boletins Nuppa Site'!H2319,"NULL")</f>
        <v xml:space="preserve"> 120.00</v>
      </c>
      <c r="F2319" s="14" t="str">
        <f>IF('Boletins Nuppa Site'!I2319&lt;&gt;0,'Boletins Nuppa Site'!I2319,"NULL")</f>
        <v xml:space="preserve"> 84.00</v>
      </c>
      <c r="G2319" s="14" t="str">
        <f>IF('Boletins Nuppa Site'!J2319&lt;&gt;0,'Boletins Nuppa Site'!J2319,"NULL")</f>
        <v xml:space="preserve"> 100.00</v>
      </c>
      <c r="H2319" s="14" t="str">
        <f>IF('Boletins Nuppa Site'!K2319&lt;&gt;0,'Boletins Nuppa Site'!K2319,"NULL")</f>
        <v xml:space="preserve"> 96.00</v>
      </c>
      <c r="I2319" t="str">
        <f t="shared" si="72"/>
        <v>INSERT INTO COTACAO (cot_id, cot_blt_id, cot_pap_id, cot_prc_comum, cot_prc_min, cot_prc_max, cot_prc_med, cot_prc_mediana) VALUES (2318, 96, 8, NULL,  120.00,  84.00,  100.00,  96.00);</v>
      </c>
      <c r="J2319" t="str">
        <f t="shared" si="73"/>
        <v>UPDATE COTACAO SET cot_id = 2318, cot_blt_id = 96, cot_pap_id = 8, cot_prc_comum = NULL, cot_prc_min =  120.00, cot_prc_max =  84.00, cot_prc_med =  100.00, cot_prc_mediana =  96.00 WHERE cot_id = 2318;</v>
      </c>
    </row>
    <row r="2320" spans="1:10" x14ac:dyDescent="0.3">
      <c r="A2320">
        <v>2319</v>
      </c>
      <c r="B2320">
        <f>IF('Boletins Nuppa Site'!A2320&lt;&gt;0,'Boletins Nuppa Site'!A2320,"NULL")</f>
        <v>96</v>
      </c>
      <c r="C2320">
        <v>9</v>
      </c>
      <c r="D2320" t="str">
        <f>IF('Boletins Nuppa Site'!G2320&lt;&gt;0,'Boletins Nuppa Site'!G2320,"NULL")</f>
        <v>NULL</v>
      </c>
      <c r="E2320" s="14" t="str">
        <f>IF('Boletins Nuppa Site'!H2320&lt;&gt;0,'Boletins Nuppa Site'!H2320,"NULL")</f>
        <v xml:space="preserve"> 24.00</v>
      </c>
      <c r="F2320" s="14" t="str">
        <f>IF('Boletins Nuppa Site'!I2320&lt;&gt;0,'Boletins Nuppa Site'!I2320,"NULL")</f>
        <v xml:space="preserve"> 42.00</v>
      </c>
      <c r="G2320" s="14" t="str">
        <f>IF('Boletins Nuppa Site'!J2320&lt;&gt;0,'Boletins Nuppa Site'!J2320,"NULL")</f>
        <v xml:space="preserve"> 32.00</v>
      </c>
      <c r="H2320" s="14" t="str">
        <f>IF('Boletins Nuppa Site'!K2320&lt;&gt;0,'Boletins Nuppa Site'!K2320,"NULL")</f>
        <v xml:space="preserve"> 30.00</v>
      </c>
      <c r="I2320" t="str">
        <f t="shared" si="72"/>
        <v>INSERT INTO COTACAO (cot_id, cot_blt_id, cot_pap_id, cot_prc_comum, cot_prc_min, cot_prc_max, cot_prc_med, cot_prc_mediana) VALUES (2319, 96, 9, NULL,  24.00,  42.00,  32.00,  30.00);</v>
      </c>
      <c r="J2320" t="str">
        <f t="shared" si="73"/>
        <v>UPDATE COTACAO SET cot_id = 2319, cot_blt_id = 96, cot_pap_id = 9, cot_prc_comum = NULL, cot_prc_min =  24.00, cot_prc_max =  42.00, cot_prc_med =  32.00, cot_prc_mediana =  30.00 WHERE cot_id = 2319;</v>
      </c>
    </row>
    <row r="2321" spans="1:10" x14ac:dyDescent="0.3">
      <c r="A2321">
        <v>2320</v>
      </c>
      <c r="B2321">
        <f>IF('Boletins Nuppa Site'!A2321&lt;&gt;0,'Boletins Nuppa Site'!A2321,"NULL")</f>
        <v>96</v>
      </c>
      <c r="C2321">
        <v>10</v>
      </c>
      <c r="D2321" t="str">
        <f>IF('Boletins Nuppa Site'!G2321&lt;&gt;0,'Boletins Nuppa Site'!G2321,"NULL")</f>
        <v>NULL</v>
      </c>
      <c r="E2321" s="14" t="str">
        <f>IF('Boletins Nuppa Site'!H2321&lt;&gt;0,'Boletins Nuppa Site'!H2321,"NULL")</f>
        <v xml:space="preserve"> 96.00</v>
      </c>
      <c r="F2321" s="14" t="str">
        <f>IF('Boletins Nuppa Site'!I2321&lt;&gt;0,'Boletins Nuppa Site'!I2321,"NULL")</f>
        <v xml:space="preserve"> 120.00</v>
      </c>
      <c r="G2321" s="14" t="str">
        <f>IF('Boletins Nuppa Site'!J2321&lt;&gt;0,'Boletins Nuppa Site'!J2321,"NULL")</f>
        <v xml:space="preserve"> 108.00</v>
      </c>
      <c r="H2321" s="14" t="str">
        <f>IF('Boletins Nuppa Site'!K2321&lt;&gt;0,'Boletins Nuppa Site'!K2321,"NULL")</f>
        <v xml:space="preserve"> 108.00</v>
      </c>
      <c r="I2321" t="str">
        <f t="shared" si="72"/>
        <v>INSERT INTO COTACAO (cot_id, cot_blt_id, cot_pap_id, cot_prc_comum, cot_prc_min, cot_prc_max, cot_prc_med, cot_prc_mediana) VALUES (2320, 96, 10, NULL,  96.00,  120.00,  108.00,  108.00);</v>
      </c>
      <c r="J2321" t="str">
        <f t="shared" si="73"/>
        <v>UPDATE COTACAO SET cot_id = 2320, cot_blt_id = 96, cot_pap_id = 10, cot_prc_comum = NULL, cot_prc_min =  96.00, cot_prc_max =  120.00, cot_prc_med =  108.00, cot_prc_mediana =  108.00 WHERE cot_id = 2320;</v>
      </c>
    </row>
    <row r="2322" spans="1:10" x14ac:dyDescent="0.3">
      <c r="A2322">
        <v>2321</v>
      </c>
      <c r="B2322">
        <f>IF('Boletins Nuppa Site'!A2322&lt;&gt;0,'Boletins Nuppa Site'!A2322,"NULL")</f>
        <v>96</v>
      </c>
      <c r="C2322">
        <v>11</v>
      </c>
      <c r="D2322" t="str">
        <f>IF('Boletins Nuppa Site'!G2322&lt;&gt;0,'Boletins Nuppa Site'!G2322,"NULL")</f>
        <v xml:space="preserve"> 30.00</v>
      </c>
      <c r="E2322" s="14" t="str">
        <f>IF('Boletins Nuppa Site'!H2322&lt;&gt;0,'Boletins Nuppa Site'!H2322,"NULL")</f>
        <v xml:space="preserve"> 30.00</v>
      </c>
      <c r="F2322" s="14" t="str">
        <f>IF('Boletins Nuppa Site'!I2322&lt;&gt;0,'Boletins Nuppa Site'!I2322,"NULL")</f>
        <v xml:space="preserve"> 33.00</v>
      </c>
      <c r="G2322" s="14" t="str">
        <f>IF('Boletins Nuppa Site'!J2322&lt;&gt;0,'Boletins Nuppa Site'!J2322,"NULL")</f>
        <v xml:space="preserve"> 31.00</v>
      </c>
      <c r="H2322" s="14" t="str">
        <f>IF('Boletins Nuppa Site'!K2322&lt;&gt;0,'Boletins Nuppa Site'!K2322,"NULL")</f>
        <v xml:space="preserve"> 30.00</v>
      </c>
      <c r="I2322" t="str">
        <f t="shared" si="72"/>
        <v>INSERT INTO COTACAO (cot_id, cot_blt_id, cot_pap_id, cot_prc_comum, cot_prc_min, cot_prc_max, cot_prc_med, cot_prc_mediana) VALUES (2321, 96, 11,  30.00,  30.00,  33.00,  31.00,  30.00);</v>
      </c>
      <c r="J2322" t="str">
        <f t="shared" si="73"/>
        <v>UPDATE COTACAO SET cot_id = 2321, cot_blt_id = 96, cot_pap_id = 11, cot_prc_comum =  30.00, cot_prc_min =  30.00, cot_prc_max =  33.00, cot_prc_med =  31.00, cot_prc_mediana =  30.00 WHERE cot_id = 2321;</v>
      </c>
    </row>
    <row r="2323" spans="1:10" x14ac:dyDescent="0.3">
      <c r="A2323">
        <v>2322</v>
      </c>
      <c r="B2323">
        <f>IF('Boletins Nuppa Site'!A2323&lt;&gt;0,'Boletins Nuppa Site'!A2323,"NULL")</f>
        <v>96</v>
      </c>
      <c r="C2323">
        <v>12</v>
      </c>
      <c r="D2323" t="str">
        <f>IF('Boletins Nuppa Site'!G2323&lt;&gt;0,'Boletins Nuppa Site'!G2323,"NULL")</f>
        <v>NULL</v>
      </c>
      <c r="E2323" s="14" t="str">
        <f>IF('Boletins Nuppa Site'!H2323&lt;&gt;0,'Boletins Nuppa Site'!H2323,"NULL")</f>
        <v xml:space="preserve"> 72.00</v>
      </c>
      <c r="F2323" s="14" t="str">
        <f>IF('Boletins Nuppa Site'!I2323&lt;&gt;0,'Boletins Nuppa Site'!I2323,"NULL")</f>
        <v xml:space="preserve"> 96.00</v>
      </c>
      <c r="G2323" s="14" t="str">
        <f>IF('Boletins Nuppa Site'!J2323&lt;&gt;0,'Boletins Nuppa Site'!J2323,"NULL")</f>
        <v xml:space="preserve"> 84.00</v>
      </c>
      <c r="H2323" s="14" t="str">
        <f>IF('Boletins Nuppa Site'!K2323&lt;&gt;0,'Boletins Nuppa Site'!K2323,"NULL")</f>
        <v xml:space="preserve"> 84.00</v>
      </c>
      <c r="I2323" t="str">
        <f t="shared" si="72"/>
        <v>INSERT INTO COTACAO (cot_id, cot_blt_id, cot_pap_id, cot_prc_comum, cot_prc_min, cot_prc_max, cot_prc_med, cot_prc_mediana) VALUES (2322, 96, 12, NULL,  72.00,  96.00,  84.00,  84.00);</v>
      </c>
      <c r="J2323" t="str">
        <f t="shared" si="73"/>
        <v>UPDATE COTACAO SET cot_id = 2322, cot_blt_id = 96, cot_pap_id = 12, cot_prc_comum = NULL, cot_prc_min =  72.00, cot_prc_max =  96.00, cot_prc_med =  84.00, cot_prc_mediana =  84.00 WHERE cot_id = 2322;</v>
      </c>
    </row>
    <row r="2324" spans="1:10" x14ac:dyDescent="0.3">
      <c r="A2324">
        <v>2323</v>
      </c>
      <c r="B2324">
        <f>IF('Boletins Nuppa Site'!A2324&lt;&gt;0,'Boletins Nuppa Site'!A2324,"NULL")</f>
        <v>96</v>
      </c>
      <c r="C2324">
        <v>13</v>
      </c>
      <c r="D2324" t="str">
        <f>IF('Boletins Nuppa Site'!G2324&lt;&gt;0,'Boletins Nuppa Site'!G2324,"NULL")</f>
        <v xml:space="preserve"> 60.00</v>
      </c>
      <c r="E2324" s="14" t="str">
        <f>IF('Boletins Nuppa Site'!H2324&lt;&gt;0,'Boletins Nuppa Site'!H2324,"NULL")</f>
        <v xml:space="preserve"> 60.00</v>
      </c>
      <c r="F2324" s="14" t="str">
        <f>IF('Boletins Nuppa Site'!I2324&lt;&gt;0,'Boletins Nuppa Site'!I2324,"NULL")</f>
        <v xml:space="preserve"> 72.00</v>
      </c>
      <c r="G2324" s="14" t="str">
        <f>IF('Boletins Nuppa Site'!J2324&lt;&gt;0,'Boletins Nuppa Site'!J2324,"NULL")</f>
        <v xml:space="preserve"> 64.00</v>
      </c>
      <c r="H2324" s="14" t="str">
        <f>IF('Boletins Nuppa Site'!K2324&lt;&gt;0,'Boletins Nuppa Site'!K2324,"NULL")</f>
        <v xml:space="preserve"> 60.00</v>
      </c>
      <c r="I2324" t="str">
        <f t="shared" si="72"/>
        <v>INSERT INTO COTACAO (cot_id, cot_blt_id, cot_pap_id, cot_prc_comum, cot_prc_min, cot_prc_max, cot_prc_med, cot_prc_mediana) VALUES (2323, 96, 13,  60.00,  60.00,  72.00,  64.00,  60.00);</v>
      </c>
      <c r="J2324" t="str">
        <f t="shared" si="73"/>
        <v>UPDATE COTACAO SET cot_id = 2323, cot_blt_id = 96, cot_pap_id = 13, cot_prc_comum =  60.00, cot_prc_min =  60.00, cot_prc_max =  72.00, cot_prc_med =  64.00, cot_prc_mediana =  60.00 WHERE cot_id = 2323;</v>
      </c>
    </row>
    <row r="2325" spans="1:10" x14ac:dyDescent="0.3">
      <c r="A2325">
        <v>2324</v>
      </c>
      <c r="B2325">
        <f>IF('Boletins Nuppa Site'!A2325&lt;&gt;0,'Boletins Nuppa Site'!A2325,"NULL")</f>
        <v>96</v>
      </c>
      <c r="C2325">
        <v>14</v>
      </c>
      <c r="D2325" t="str">
        <f>IF('Boletins Nuppa Site'!G2325&lt;&gt;0,'Boletins Nuppa Site'!G2325,"NULL")</f>
        <v>NULL</v>
      </c>
      <c r="E2325" s="14" t="str">
        <f>IF('Boletins Nuppa Site'!H2325&lt;&gt;0,'Boletins Nuppa Site'!H2325,"NULL")</f>
        <v xml:space="preserve"> 96.00</v>
      </c>
      <c r="F2325" s="14" t="str">
        <f>IF('Boletins Nuppa Site'!I2325&lt;&gt;0,'Boletins Nuppa Site'!I2325,"NULL")</f>
        <v xml:space="preserve"> 84.00</v>
      </c>
      <c r="G2325" s="14" t="str">
        <f>IF('Boletins Nuppa Site'!J2325&lt;&gt;0,'Boletins Nuppa Site'!J2325,"NULL")</f>
        <v xml:space="preserve"> 90.00</v>
      </c>
      <c r="H2325" s="14" t="str">
        <f>IF('Boletins Nuppa Site'!K2325&lt;&gt;0,'Boletins Nuppa Site'!K2325,"NULL")</f>
        <v xml:space="preserve"> 90.00</v>
      </c>
      <c r="I2325" t="str">
        <f t="shared" si="72"/>
        <v>INSERT INTO COTACAO (cot_id, cot_blt_id, cot_pap_id, cot_prc_comum, cot_prc_min, cot_prc_max, cot_prc_med, cot_prc_mediana) VALUES (2324, 96, 14, NULL,  96.00,  84.00,  90.00,  90.00);</v>
      </c>
      <c r="J2325" t="str">
        <f t="shared" si="73"/>
        <v>UPDATE COTACAO SET cot_id = 2324, cot_blt_id = 96, cot_pap_id = 14, cot_prc_comum = NULL, cot_prc_min =  96.00, cot_prc_max =  84.00, cot_prc_med =  90.00, cot_prc_mediana =  90.00 WHERE cot_id = 2324;</v>
      </c>
    </row>
    <row r="2326" spans="1:10" x14ac:dyDescent="0.3">
      <c r="A2326">
        <v>2325</v>
      </c>
      <c r="B2326">
        <f>IF('Boletins Nuppa Site'!A2326&lt;&gt;0,'Boletins Nuppa Site'!A2326,"NULL")</f>
        <v>96</v>
      </c>
      <c r="C2326">
        <v>15</v>
      </c>
      <c r="D2326" t="str">
        <f>IF('Boletins Nuppa Site'!G2326&lt;&gt;0,'Boletins Nuppa Site'!G2326,"NULL")</f>
        <v>NULL</v>
      </c>
      <c r="E2326" s="14" t="str">
        <f>IF('Boletins Nuppa Site'!H2326&lt;&gt;0,'Boletins Nuppa Site'!H2326,"NULL")</f>
        <v xml:space="preserve"> 45.00</v>
      </c>
      <c r="F2326" s="14" t="str">
        <f>IF('Boletins Nuppa Site'!I2326&lt;&gt;0,'Boletins Nuppa Site'!I2326,"NULL")</f>
        <v xml:space="preserve"> 84.00</v>
      </c>
      <c r="G2326" s="14" t="str">
        <f>IF('Boletins Nuppa Site'!J2326&lt;&gt;0,'Boletins Nuppa Site'!J2326,"NULL")</f>
        <v xml:space="preserve"> 75.00</v>
      </c>
      <c r="H2326" s="14" t="str">
        <f>IF('Boletins Nuppa Site'!K2326&lt;&gt;0,'Boletins Nuppa Site'!K2326,"NULL")</f>
        <v xml:space="preserve"> 68.00</v>
      </c>
      <c r="I2326" t="str">
        <f t="shared" si="72"/>
        <v>INSERT INTO COTACAO (cot_id, cot_blt_id, cot_pap_id, cot_prc_comum, cot_prc_min, cot_prc_max, cot_prc_med, cot_prc_mediana) VALUES (2325, 96, 15, NULL,  45.00,  84.00,  75.00,  68.00);</v>
      </c>
      <c r="J2326" t="str">
        <f t="shared" si="73"/>
        <v>UPDATE COTACAO SET cot_id = 2325, cot_blt_id = 96, cot_pap_id = 15, cot_prc_comum = NULL, cot_prc_min =  45.00, cot_prc_max =  84.00, cot_prc_med =  75.00, cot_prc_mediana =  68.00 WHERE cot_id = 2325;</v>
      </c>
    </row>
    <row r="2327" spans="1:10" x14ac:dyDescent="0.3">
      <c r="A2327">
        <v>2326</v>
      </c>
      <c r="B2327">
        <f>IF('Boletins Nuppa Site'!A2327&lt;&gt;0,'Boletins Nuppa Site'!A2327,"NULL")</f>
        <v>96</v>
      </c>
      <c r="C2327">
        <v>16</v>
      </c>
      <c r="D2327" t="str">
        <f>IF('Boletins Nuppa Site'!G2327&lt;&gt;0,'Boletins Nuppa Site'!G2327,"NULL")</f>
        <v xml:space="preserve"> 60.00</v>
      </c>
      <c r="E2327" s="14" t="str">
        <f>IF('Boletins Nuppa Site'!H2327&lt;&gt;0,'Boletins Nuppa Site'!H2327,"NULL")</f>
        <v xml:space="preserve"> 60.00</v>
      </c>
      <c r="F2327" s="14" t="str">
        <f>IF('Boletins Nuppa Site'!I2327&lt;&gt;0,'Boletins Nuppa Site'!I2327,"NULL")</f>
        <v xml:space="preserve"> 60.00</v>
      </c>
      <c r="G2327" s="14" t="str">
        <f>IF('Boletins Nuppa Site'!J2327&lt;&gt;0,'Boletins Nuppa Site'!J2327,"NULL")</f>
        <v xml:space="preserve"> 60.00</v>
      </c>
      <c r="H2327" s="14" t="str">
        <f>IF('Boletins Nuppa Site'!K2327&lt;&gt;0,'Boletins Nuppa Site'!K2327,"NULL")</f>
        <v xml:space="preserve"> 60.00</v>
      </c>
      <c r="I2327" t="str">
        <f t="shared" si="72"/>
        <v>INSERT INTO COTACAO (cot_id, cot_blt_id, cot_pap_id, cot_prc_comum, cot_prc_min, cot_prc_max, cot_prc_med, cot_prc_mediana) VALUES (2326, 96, 16,  60.00,  60.00,  60.00,  60.00,  60.00);</v>
      </c>
      <c r="J2327" t="str">
        <f t="shared" si="73"/>
        <v>UPDATE COTACAO SET cot_id = 2326, cot_blt_id = 96, cot_pap_id = 16, cot_prc_comum =  60.00, cot_prc_min =  60.00, cot_prc_max =  60.00, cot_prc_med =  60.00, cot_prc_mediana =  60.00 WHERE cot_id = 2326;</v>
      </c>
    </row>
    <row r="2328" spans="1:10" x14ac:dyDescent="0.3">
      <c r="A2328">
        <v>2327</v>
      </c>
      <c r="B2328">
        <f>IF('Boletins Nuppa Site'!A2328&lt;&gt;0,'Boletins Nuppa Site'!A2328,"NULL")</f>
        <v>96</v>
      </c>
      <c r="C2328">
        <v>17</v>
      </c>
      <c r="D2328" t="str">
        <f>IF('Boletins Nuppa Site'!G2328&lt;&gt;0,'Boletins Nuppa Site'!G2328,"NULL")</f>
        <v xml:space="preserve"> 5.50</v>
      </c>
      <c r="E2328" s="14" t="str">
        <f>IF('Boletins Nuppa Site'!H2328&lt;&gt;0,'Boletins Nuppa Site'!H2328,"NULL")</f>
        <v xml:space="preserve"> 5.00</v>
      </c>
      <c r="F2328" s="14" t="str">
        <f>IF('Boletins Nuppa Site'!I2328&lt;&gt;0,'Boletins Nuppa Site'!I2328,"NULL")</f>
        <v xml:space="preserve"> 5.00</v>
      </c>
      <c r="G2328" s="14" t="str">
        <f>IF('Boletins Nuppa Site'!J2328&lt;&gt;0,'Boletins Nuppa Site'!J2328,"NULL")</f>
        <v xml:space="preserve"> 5.00</v>
      </c>
      <c r="H2328" s="14" t="str">
        <f>IF('Boletins Nuppa Site'!K2328&lt;&gt;0,'Boletins Nuppa Site'!K2328,"NULL")</f>
        <v xml:space="preserve"> 5.17</v>
      </c>
      <c r="I2328" t="str">
        <f t="shared" si="72"/>
        <v>INSERT INTO COTACAO (cot_id, cot_blt_id, cot_pap_id, cot_prc_comum, cot_prc_min, cot_prc_max, cot_prc_med, cot_prc_mediana) VALUES (2327, 96, 17,  5.50,  5.00,  5.00,  5.00,  5.17);</v>
      </c>
      <c r="J2328" t="str">
        <f t="shared" si="73"/>
        <v>UPDATE COTACAO SET cot_id = 2327, cot_blt_id = 96, cot_pap_id = 17, cot_prc_comum =  5.50, cot_prc_min =  5.00, cot_prc_max =  5.00, cot_prc_med =  5.00, cot_prc_mediana =  5.17 WHERE cot_id = 2327;</v>
      </c>
    </row>
    <row r="2329" spans="1:10" x14ac:dyDescent="0.3">
      <c r="A2329">
        <v>2328</v>
      </c>
      <c r="B2329">
        <f>IF('Boletins Nuppa Site'!A2329&lt;&gt;0,'Boletins Nuppa Site'!A2329,"NULL")</f>
        <v>96</v>
      </c>
      <c r="C2329">
        <v>18</v>
      </c>
      <c r="D2329" t="str">
        <f>IF('Boletins Nuppa Site'!G2329&lt;&gt;0,'Boletins Nuppa Site'!G2329,"NULL")</f>
        <v xml:space="preserve"> 45.00</v>
      </c>
      <c r="E2329" s="14" t="str">
        <f>IF('Boletins Nuppa Site'!H2329&lt;&gt;0,'Boletins Nuppa Site'!H2329,"NULL")</f>
        <v xml:space="preserve"> 38.00</v>
      </c>
      <c r="F2329" s="14" t="str">
        <f>IF('Boletins Nuppa Site'!I2329&lt;&gt;0,'Boletins Nuppa Site'!I2329,"NULL")</f>
        <v xml:space="preserve"> 45.00</v>
      </c>
      <c r="G2329" s="14" t="str">
        <f>IF('Boletins Nuppa Site'!J2329&lt;&gt;0,'Boletins Nuppa Site'!J2329,"NULL")</f>
        <v xml:space="preserve"> 45.00</v>
      </c>
      <c r="H2329" s="14" t="str">
        <f>IF('Boletins Nuppa Site'!K2329&lt;&gt;0,'Boletins Nuppa Site'!K2329,"NULL")</f>
        <v xml:space="preserve"> 42.67</v>
      </c>
      <c r="I2329" t="str">
        <f t="shared" si="72"/>
        <v>INSERT INTO COTACAO (cot_id, cot_blt_id, cot_pap_id, cot_prc_comum, cot_prc_min, cot_prc_max, cot_prc_med, cot_prc_mediana) VALUES (2328, 96, 18,  45.00,  38.00,  45.00,  45.00,  42.67);</v>
      </c>
      <c r="J2329" t="str">
        <f t="shared" si="73"/>
        <v>UPDATE COTACAO SET cot_id = 2328, cot_blt_id = 96, cot_pap_id = 18, cot_prc_comum =  45.00, cot_prc_min =  38.00, cot_prc_max =  45.00, cot_prc_med =  45.00, cot_prc_mediana =  42.67 WHERE cot_id = 2328;</v>
      </c>
    </row>
    <row r="2330" spans="1:10" x14ac:dyDescent="0.3">
      <c r="A2330">
        <v>2329</v>
      </c>
      <c r="B2330">
        <f>IF('Boletins Nuppa Site'!A2330&lt;&gt;0,'Boletins Nuppa Site'!A2330,"NULL")</f>
        <v>96</v>
      </c>
      <c r="C2330">
        <v>19</v>
      </c>
      <c r="D2330" t="str">
        <f>IF('Boletins Nuppa Site'!G2330&lt;&gt;0,'Boletins Nuppa Site'!G2330,"NULL")</f>
        <v>NULL</v>
      </c>
      <c r="E2330" s="14" t="str">
        <f>IF('Boletins Nuppa Site'!H2330&lt;&gt;0,'Boletins Nuppa Site'!H2330,"NULL")</f>
        <v xml:space="preserve"> 25.00</v>
      </c>
      <c r="F2330" s="14" t="str">
        <f>IF('Boletins Nuppa Site'!I2330&lt;&gt;0,'Boletins Nuppa Site'!I2330,"NULL")</f>
        <v xml:space="preserve"> 40.00</v>
      </c>
      <c r="G2330" s="14" t="str">
        <f>IF('Boletins Nuppa Site'!J2330&lt;&gt;0,'Boletins Nuppa Site'!J2330,"NULL")</f>
        <v xml:space="preserve"> 33.33</v>
      </c>
      <c r="H2330" s="14" t="str">
        <f>IF('Boletins Nuppa Site'!K2330&lt;&gt;0,'Boletins Nuppa Site'!K2330,"NULL")</f>
        <v xml:space="preserve"> 35.00</v>
      </c>
      <c r="I2330" t="str">
        <f t="shared" si="72"/>
        <v>INSERT INTO COTACAO (cot_id, cot_blt_id, cot_pap_id, cot_prc_comum, cot_prc_min, cot_prc_max, cot_prc_med, cot_prc_mediana) VALUES (2329, 96, 19, NULL,  25.00,  40.00,  33.33,  35.00);</v>
      </c>
      <c r="J2330" t="str">
        <f t="shared" si="73"/>
        <v>UPDATE COTACAO SET cot_id = 2329, cot_blt_id = 96, cot_pap_id = 19, cot_prc_comum = NULL, cot_prc_min =  25.00, cot_prc_max =  40.00, cot_prc_med =  33.33, cot_prc_mediana =  35.00 WHERE cot_id = 2329;</v>
      </c>
    </row>
    <row r="2331" spans="1:10" x14ac:dyDescent="0.3">
      <c r="A2331">
        <v>2330</v>
      </c>
      <c r="B2331">
        <f>IF('Boletins Nuppa Site'!A2331&lt;&gt;0,'Boletins Nuppa Site'!A2331,"NULL")</f>
        <v>96</v>
      </c>
      <c r="C2331">
        <v>20</v>
      </c>
      <c r="D2331" t="str">
        <f>IF('Boletins Nuppa Site'!G2331&lt;&gt;0,'Boletins Nuppa Site'!G2331,"NULL")</f>
        <v>NULL</v>
      </c>
      <c r="E2331" s="14" t="str">
        <f>IF('Boletins Nuppa Site'!H2331&lt;&gt;0,'Boletins Nuppa Site'!H2331,"NULL")</f>
        <v xml:space="preserve"> 60.00</v>
      </c>
      <c r="F2331" s="14" t="str">
        <f>IF('Boletins Nuppa Site'!I2331&lt;&gt;0,'Boletins Nuppa Site'!I2331,"NULL")</f>
        <v xml:space="preserve"> 55.00</v>
      </c>
      <c r="G2331" s="14" t="str">
        <f>IF('Boletins Nuppa Site'!J2331&lt;&gt;0,'Boletins Nuppa Site'!J2331,"NULL")</f>
        <v xml:space="preserve"> 57.50</v>
      </c>
      <c r="H2331" s="14" t="str">
        <f>IF('Boletins Nuppa Site'!K2331&lt;&gt;0,'Boletins Nuppa Site'!K2331,"NULL")</f>
        <v xml:space="preserve"> 57.50</v>
      </c>
      <c r="I2331" t="str">
        <f t="shared" si="72"/>
        <v>INSERT INTO COTACAO (cot_id, cot_blt_id, cot_pap_id, cot_prc_comum, cot_prc_min, cot_prc_max, cot_prc_med, cot_prc_mediana) VALUES (2330, 96, 20, NULL,  60.00,  55.00,  57.50,  57.50);</v>
      </c>
      <c r="J2331" t="str">
        <f t="shared" si="73"/>
        <v>UPDATE COTACAO SET cot_id = 2330, cot_blt_id = 96, cot_pap_id = 20, cot_prc_comum = NULL, cot_prc_min =  60.00, cot_prc_max =  55.00, cot_prc_med =  57.50, cot_prc_mediana =  57.50 WHERE cot_id = 2330;</v>
      </c>
    </row>
    <row r="2332" spans="1:10" x14ac:dyDescent="0.3">
      <c r="A2332">
        <v>2331</v>
      </c>
      <c r="B2332">
        <f>IF('Boletins Nuppa Site'!A2332&lt;&gt;0,'Boletins Nuppa Site'!A2332,"NULL")</f>
        <v>96</v>
      </c>
      <c r="C2332">
        <v>21</v>
      </c>
      <c r="D2332" t="str">
        <f>IF('Boletins Nuppa Site'!G2332&lt;&gt;0,'Boletins Nuppa Site'!G2332,"NULL")</f>
        <v xml:space="preserve"> 70.00</v>
      </c>
      <c r="E2332" s="14" t="str">
        <f>IF('Boletins Nuppa Site'!H2332&lt;&gt;0,'Boletins Nuppa Site'!H2332,"NULL")</f>
        <v xml:space="preserve"> 70.00</v>
      </c>
      <c r="F2332" s="14" t="str">
        <f>IF('Boletins Nuppa Site'!I2332&lt;&gt;0,'Boletins Nuppa Site'!I2332,"NULL")</f>
        <v xml:space="preserve"> 75.00</v>
      </c>
      <c r="G2332" s="14" t="str">
        <f>IF('Boletins Nuppa Site'!J2332&lt;&gt;0,'Boletins Nuppa Site'!J2332,"NULL")</f>
        <v xml:space="preserve"> 70.00</v>
      </c>
      <c r="H2332" s="14" t="str">
        <f>IF('Boletins Nuppa Site'!K2332&lt;&gt;0,'Boletins Nuppa Site'!K2332,"NULL")</f>
        <v xml:space="preserve"> 71.67</v>
      </c>
      <c r="I2332" t="str">
        <f t="shared" si="72"/>
        <v>INSERT INTO COTACAO (cot_id, cot_blt_id, cot_pap_id, cot_prc_comum, cot_prc_min, cot_prc_max, cot_prc_med, cot_prc_mediana) VALUES (2331, 96, 21,  70.00,  70.00,  75.00,  70.00,  71.67);</v>
      </c>
      <c r="J2332" t="str">
        <f t="shared" si="73"/>
        <v>UPDATE COTACAO SET cot_id = 2331, cot_blt_id = 96, cot_pap_id = 21, cot_prc_comum =  70.00, cot_prc_min =  70.00, cot_prc_max =  75.00, cot_prc_med =  70.00, cot_prc_mediana =  71.67 WHERE cot_id = 2331;</v>
      </c>
    </row>
    <row r="2333" spans="1:10" x14ac:dyDescent="0.3">
      <c r="A2333">
        <v>2332</v>
      </c>
      <c r="B2333">
        <f>IF('Boletins Nuppa Site'!A2333&lt;&gt;0,'Boletins Nuppa Site'!A2333,"NULL")</f>
        <v>96</v>
      </c>
      <c r="C2333">
        <v>22</v>
      </c>
      <c r="D2333" t="str">
        <f>IF('Boletins Nuppa Site'!G2333&lt;&gt;0,'Boletins Nuppa Site'!G2333,"NULL")</f>
        <v>NULL</v>
      </c>
      <c r="E2333" s="14" t="str">
        <f>IF('Boletins Nuppa Site'!H2333&lt;&gt;0,'Boletins Nuppa Site'!H2333,"NULL")</f>
        <v xml:space="preserve"> 45.00</v>
      </c>
      <c r="F2333" s="14" t="str">
        <f>IF('Boletins Nuppa Site'!I2333&lt;&gt;0,'Boletins Nuppa Site'!I2333,"NULL")</f>
        <v xml:space="preserve"> 70.00</v>
      </c>
      <c r="G2333" s="14" t="str">
        <f>IF('Boletins Nuppa Site'!J2333&lt;&gt;0,'Boletins Nuppa Site'!J2333,"NULL")</f>
        <v xml:space="preserve"> 60.00</v>
      </c>
      <c r="H2333" s="14" t="str">
        <f>IF('Boletins Nuppa Site'!K2333&lt;&gt;0,'Boletins Nuppa Site'!K2333,"NULL")</f>
        <v xml:space="preserve"> 65.00</v>
      </c>
      <c r="I2333" t="str">
        <f t="shared" si="72"/>
        <v>INSERT INTO COTACAO (cot_id, cot_blt_id, cot_pap_id, cot_prc_comum, cot_prc_min, cot_prc_max, cot_prc_med, cot_prc_mediana) VALUES (2332, 96, 22, NULL,  45.00,  70.00,  60.00,  65.00);</v>
      </c>
      <c r="J2333" t="str">
        <f t="shared" si="73"/>
        <v>UPDATE COTACAO SET cot_id = 2332, cot_blt_id = 96, cot_pap_id = 22, cot_prc_comum = NULL, cot_prc_min =  45.00, cot_prc_max =  70.00, cot_prc_med =  60.00, cot_prc_mediana =  65.00 WHERE cot_id = 2332;</v>
      </c>
    </row>
    <row r="2334" spans="1:10" x14ac:dyDescent="0.3">
      <c r="A2334">
        <v>2333</v>
      </c>
      <c r="B2334">
        <f>IF('Boletins Nuppa Site'!A2334&lt;&gt;0,'Boletins Nuppa Site'!A2334,"NULL")</f>
        <v>96</v>
      </c>
      <c r="C2334">
        <v>23</v>
      </c>
      <c r="D2334" t="str">
        <f>IF('Boletins Nuppa Site'!G2334&lt;&gt;0,'Boletins Nuppa Site'!G2334,"NULL")</f>
        <v>NULL</v>
      </c>
      <c r="E2334" s="14" t="str">
        <f>IF('Boletins Nuppa Site'!H2334&lt;&gt;0,'Boletins Nuppa Site'!H2334,"NULL")</f>
        <v xml:space="preserve"> 65.00</v>
      </c>
      <c r="F2334" s="14" t="str">
        <f>IF('Boletins Nuppa Site'!I2334&lt;&gt;0,'Boletins Nuppa Site'!I2334,"NULL")</f>
        <v xml:space="preserve"> 40.00</v>
      </c>
      <c r="G2334" s="14" t="str">
        <f>IF('Boletins Nuppa Site'!J2334&lt;&gt;0,'Boletins Nuppa Site'!J2334,"NULL")</f>
        <v xml:space="preserve"> 55.00</v>
      </c>
      <c r="H2334" s="14" t="str">
        <f>IF('Boletins Nuppa Site'!K2334&lt;&gt;0,'Boletins Nuppa Site'!K2334,"NULL")</f>
        <v xml:space="preserve"> 60.00</v>
      </c>
      <c r="I2334" t="str">
        <f t="shared" si="72"/>
        <v>INSERT INTO COTACAO (cot_id, cot_blt_id, cot_pap_id, cot_prc_comum, cot_prc_min, cot_prc_max, cot_prc_med, cot_prc_mediana) VALUES (2333, 96, 23, NULL,  65.00,  40.00,  55.00,  60.00);</v>
      </c>
      <c r="J2334" t="str">
        <f t="shared" si="73"/>
        <v>UPDATE COTACAO SET cot_id = 2333, cot_blt_id = 96, cot_pap_id = 23, cot_prc_comum = NULL, cot_prc_min =  65.00, cot_prc_max =  40.00, cot_prc_med =  55.00, cot_prc_mediana =  60.00 WHERE cot_id = 2333;</v>
      </c>
    </row>
    <row r="2335" spans="1:10" x14ac:dyDescent="0.3">
      <c r="A2335">
        <v>2334</v>
      </c>
      <c r="B2335">
        <f>IF('Boletins Nuppa Site'!A2335&lt;&gt;0,'Boletins Nuppa Site'!A2335,"NULL")</f>
        <v>96</v>
      </c>
      <c r="C2335">
        <v>24</v>
      </c>
      <c r="D2335" t="str">
        <f>IF('Boletins Nuppa Site'!G2335&lt;&gt;0,'Boletins Nuppa Site'!G2335,"NULL")</f>
        <v>NULL</v>
      </c>
      <c r="E2335" s="14" t="str">
        <f>IF('Boletins Nuppa Site'!H2335&lt;&gt;0,'Boletins Nuppa Site'!H2335,"NULL")</f>
        <v xml:space="preserve"> 80.00</v>
      </c>
      <c r="F2335" s="14" t="str">
        <f>IF('Boletins Nuppa Site'!I2335&lt;&gt;0,'Boletins Nuppa Site'!I2335,"NULL")</f>
        <v xml:space="preserve"> 70.00</v>
      </c>
      <c r="G2335" s="14" t="str">
        <f>IF('Boletins Nuppa Site'!J2335&lt;&gt;0,'Boletins Nuppa Site'!J2335,"NULL")</f>
        <v xml:space="preserve"> 75.00</v>
      </c>
      <c r="H2335" s="14" t="str">
        <f>IF('Boletins Nuppa Site'!K2335&lt;&gt;0,'Boletins Nuppa Site'!K2335,"NULL")</f>
        <v xml:space="preserve"> 75.00</v>
      </c>
      <c r="I2335" t="str">
        <f t="shared" si="72"/>
        <v>INSERT INTO COTACAO (cot_id, cot_blt_id, cot_pap_id, cot_prc_comum, cot_prc_min, cot_prc_max, cot_prc_med, cot_prc_mediana) VALUES (2334, 96, 24, NULL,  80.00,  70.00,  75.00,  75.00);</v>
      </c>
      <c r="J2335" t="str">
        <f t="shared" si="73"/>
        <v>UPDATE COTACAO SET cot_id = 2334, cot_blt_id = 96, cot_pap_id = 24, cot_prc_comum = NULL, cot_prc_min =  80.00, cot_prc_max =  70.00, cot_prc_med =  75.00, cot_prc_mediana =  75.00 WHERE cot_id = 2334;</v>
      </c>
    </row>
    <row r="2336" spans="1:10" x14ac:dyDescent="0.3">
      <c r="A2336">
        <v>2335</v>
      </c>
      <c r="B2336">
        <f>IF('Boletins Nuppa Site'!A2336&lt;&gt;0,'Boletins Nuppa Site'!A2336,"NULL")</f>
        <v>96</v>
      </c>
      <c r="C2336">
        <v>25</v>
      </c>
      <c r="D2336" t="str">
        <f>IF('Boletins Nuppa Site'!G2336&lt;&gt;0,'Boletins Nuppa Site'!G2336,"NULL")</f>
        <v xml:space="preserve"> 60.00</v>
      </c>
      <c r="E2336" s="14" t="str">
        <f>IF('Boletins Nuppa Site'!H2336&lt;&gt;0,'Boletins Nuppa Site'!H2336,"NULL")</f>
        <v xml:space="preserve"> 70.00</v>
      </c>
      <c r="F2336" s="14" t="str">
        <f>IF('Boletins Nuppa Site'!I2336&lt;&gt;0,'Boletins Nuppa Site'!I2336,"NULL")</f>
        <v xml:space="preserve"> 60.00</v>
      </c>
      <c r="G2336" s="14" t="str">
        <f>IF('Boletins Nuppa Site'!J2336&lt;&gt;0,'Boletins Nuppa Site'!J2336,"NULL")</f>
        <v xml:space="preserve"> 63.33</v>
      </c>
      <c r="H2336" s="14" t="str">
        <f>IF('Boletins Nuppa Site'!K2336&lt;&gt;0,'Boletins Nuppa Site'!K2336,"NULL")</f>
        <v xml:space="preserve"> 60.00</v>
      </c>
      <c r="I2336" t="str">
        <f t="shared" si="72"/>
        <v>INSERT INTO COTACAO (cot_id, cot_blt_id, cot_pap_id, cot_prc_comum, cot_prc_min, cot_prc_max, cot_prc_med, cot_prc_mediana) VALUES (2335, 96, 25,  60.00,  70.00,  60.00,  63.33,  60.00);</v>
      </c>
      <c r="J2336" t="str">
        <f t="shared" si="73"/>
        <v>UPDATE COTACAO SET cot_id = 2335, cot_blt_id = 96, cot_pap_id = 25, cot_prc_comum =  60.00, cot_prc_min =  70.00, cot_prc_max =  60.00, cot_prc_med =  63.33, cot_prc_mediana =  60.00 WHERE cot_id = 2335;</v>
      </c>
    </row>
    <row r="2337" spans="1:10" x14ac:dyDescent="0.3">
      <c r="A2337">
        <v>2336</v>
      </c>
      <c r="B2337">
        <f>IF('Boletins Nuppa Site'!A2337&lt;&gt;0,'Boletins Nuppa Site'!A2337,"NULL")</f>
        <v>96</v>
      </c>
      <c r="C2337">
        <v>26</v>
      </c>
      <c r="D2337" t="str">
        <f>IF('Boletins Nuppa Site'!G2337&lt;&gt;0,'Boletins Nuppa Site'!G2337,"NULL")</f>
        <v xml:space="preserve"> 70.00</v>
      </c>
      <c r="E2337" s="14" t="str">
        <f>IF('Boletins Nuppa Site'!H2337&lt;&gt;0,'Boletins Nuppa Site'!H2337,"NULL")</f>
        <v xml:space="preserve"> 100.00</v>
      </c>
      <c r="F2337" s="14" t="str">
        <f>IF('Boletins Nuppa Site'!I2337&lt;&gt;0,'Boletins Nuppa Site'!I2337,"NULL")</f>
        <v xml:space="preserve"> 100.00</v>
      </c>
      <c r="G2337" s="14" t="str">
        <f>IF('Boletins Nuppa Site'!J2337&lt;&gt;0,'Boletins Nuppa Site'!J2337,"NULL")</f>
        <v xml:space="preserve"> 90.00</v>
      </c>
      <c r="H2337" s="14" t="str">
        <f>IF('Boletins Nuppa Site'!K2337&lt;&gt;0,'Boletins Nuppa Site'!K2337,"NULL")</f>
        <v xml:space="preserve"> 100.00</v>
      </c>
      <c r="I2337" t="str">
        <f t="shared" si="72"/>
        <v>INSERT INTO COTACAO (cot_id, cot_blt_id, cot_pap_id, cot_prc_comum, cot_prc_min, cot_prc_max, cot_prc_med, cot_prc_mediana) VALUES (2336, 96, 26,  70.00,  100.00,  100.00,  90.00,  100.00);</v>
      </c>
      <c r="J2337" t="str">
        <f t="shared" si="73"/>
        <v>UPDATE COTACAO SET cot_id = 2336, cot_blt_id = 96, cot_pap_id = 26, cot_prc_comum =  70.00, cot_prc_min =  100.00, cot_prc_max =  100.00, cot_prc_med =  90.00, cot_prc_mediana =  100.00 WHERE cot_id = 2336;</v>
      </c>
    </row>
    <row r="2338" spans="1:10" x14ac:dyDescent="0.3">
      <c r="A2338">
        <v>2337</v>
      </c>
      <c r="B2338">
        <f>IF('Boletins Nuppa Site'!A2338&lt;&gt;0,'Boletins Nuppa Site'!A2338,"NULL")</f>
        <v>96</v>
      </c>
      <c r="C2338">
        <v>27</v>
      </c>
      <c r="D2338" t="str">
        <f>IF('Boletins Nuppa Site'!G2338&lt;&gt;0,'Boletins Nuppa Site'!G2338,"NULL")</f>
        <v>NULL</v>
      </c>
      <c r="E2338" s="14" t="str">
        <f>IF('Boletins Nuppa Site'!H2338&lt;&gt;0,'Boletins Nuppa Site'!H2338,"NULL")</f>
        <v xml:space="preserve"> 50.00</v>
      </c>
      <c r="F2338" s="14" t="str">
        <f>IF('Boletins Nuppa Site'!I2338&lt;&gt;0,'Boletins Nuppa Site'!I2338,"NULL")</f>
        <v xml:space="preserve"> 120.00</v>
      </c>
      <c r="G2338" s="14" t="str">
        <f>IF('Boletins Nuppa Site'!J2338&lt;&gt;0,'Boletins Nuppa Site'!J2338,"NULL")</f>
        <v xml:space="preserve"> 78.33</v>
      </c>
      <c r="H2338" s="14" t="str">
        <f>IF('Boletins Nuppa Site'!K2338&lt;&gt;0,'Boletins Nuppa Site'!K2338,"NULL")</f>
        <v xml:space="preserve"> 65.00</v>
      </c>
      <c r="I2338" t="str">
        <f t="shared" si="72"/>
        <v>INSERT INTO COTACAO (cot_id, cot_blt_id, cot_pap_id, cot_prc_comum, cot_prc_min, cot_prc_max, cot_prc_med, cot_prc_mediana) VALUES (2337, 96, 27, NULL,  50.00,  120.00,  78.33,  65.00);</v>
      </c>
      <c r="J2338" t="str">
        <f t="shared" si="73"/>
        <v>UPDATE COTACAO SET cot_id = 2337, cot_blt_id = 96, cot_pap_id = 27, cot_prc_comum = NULL, cot_prc_min =  50.00, cot_prc_max =  120.00, cot_prc_med =  78.33, cot_prc_mediana =  65.00 WHERE cot_id = 2337;</v>
      </c>
    </row>
    <row r="2339" spans="1:10" x14ac:dyDescent="0.3">
      <c r="A2339">
        <v>2338</v>
      </c>
      <c r="B2339">
        <f>IF('Boletins Nuppa Site'!A2339&lt;&gt;0,'Boletins Nuppa Site'!A2339,"NULL")</f>
        <v>96</v>
      </c>
      <c r="C2339">
        <v>28</v>
      </c>
      <c r="D2339" t="str">
        <f>IF('Boletins Nuppa Site'!G2339&lt;&gt;0,'Boletins Nuppa Site'!G2339,"NULL")</f>
        <v>NULL</v>
      </c>
      <c r="E2339" s="14" t="str">
        <f>IF('Boletins Nuppa Site'!H2339&lt;&gt;0,'Boletins Nuppa Site'!H2339,"NULL")</f>
        <v xml:space="preserve"> 90.00</v>
      </c>
      <c r="F2339" s="14" t="str">
        <f>IF('Boletins Nuppa Site'!I2339&lt;&gt;0,'Boletins Nuppa Site'!I2339,"NULL")</f>
        <v xml:space="preserve"> 100.00</v>
      </c>
      <c r="G2339" s="14" t="str">
        <f>IF('Boletins Nuppa Site'!J2339&lt;&gt;0,'Boletins Nuppa Site'!J2339,"NULL")</f>
        <v xml:space="preserve"> 95.00</v>
      </c>
      <c r="H2339" s="14" t="str">
        <f>IF('Boletins Nuppa Site'!K2339&lt;&gt;0,'Boletins Nuppa Site'!K2339,"NULL")</f>
        <v xml:space="preserve"> 95.00</v>
      </c>
      <c r="I2339" t="str">
        <f t="shared" si="72"/>
        <v>INSERT INTO COTACAO (cot_id, cot_blt_id, cot_pap_id, cot_prc_comum, cot_prc_min, cot_prc_max, cot_prc_med, cot_prc_mediana) VALUES (2338, 96, 28, NULL,  90.00,  100.00,  95.00,  95.00);</v>
      </c>
      <c r="J2339" t="str">
        <f t="shared" si="73"/>
        <v>UPDATE COTACAO SET cot_id = 2338, cot_blt_id = 96, cot_pap_id = 28, cot_prc_comum = NULL, cot_prc_min =  90.00, cot_prc_max =  100.00, cot_prc_med =  95.00, cot_prc_mediana =  95.00 WHERE cot_id = 2338;</v>
      </c>
    </row>
    <row r="2340" spans="1:10" x14ac:dyDescent="0.3">
      <c r="A2340">
        <v>2339</v>
      </c>
      <c r="B2340">
        <f>IF('Boletins Nuppa Site'!A2340&lt;&gt;0,'Boletins Nuppa Site'!A2340,"NULL")</f>
        <v>96</v>
      </c>
      <c r="C2340">
        <v>29</v>
      </c>
      <c r="D2340" t="str">
        <f>IF('Boletins Nuppa Site'!G2340&lt;&gt;0,'Boletins Nuppa Site'!G2340,"NULL")</f>
        <v>NULL</v>
      </c>
      <c r="E2340" s="14" t="str">
        <f>IF('Boletins Nuppa Site'!H2340&lt;&gt;0,'Boletins Nuppa Site'!H2340,"NULL")</f>
        <v xml:space="preserve"> 50.00</v>
      </c>
      <c r="F2340" s="14" t="str">
        <f>IF('Boletins Nuppa Site'!I2340&lt;&gt;0,'Boletins Nuppa Site'!I2340,"NULL")</f>
        <v xml:space="preserve"> 75.00</v>
      </c>
      <c r="G2340" s="14" t="str">
        <f>IF('Boletins Nuppa Site'!J2340&lt;&gt;0,'Boletins Nuppa Site'!J2340,"NULL")</f>
        <v xml:space="preserve"> 62.50</v>
      </c>
      <c r="H2340" s="14" t="str">
        <f>IF('Boletins Nuppa Site'!K2340&lt;&gt;0,'Boletins Nuppa Site'!K2340,"NULL")</f>
        <v xml:space="preserve"> 62.50</v>
      </c>
      <c r="I2340" t="str">
        <f t="shared" si="72"/>
        <v>INSERT INTO COTACAO (cot_id, cot_blt_id, cot_pap_id, cot_prc_comum, cot_prc_min, cot_prc_max, cot_prc_med, cot_prc_mediana) VALUES (2339, 96, 29, NULL,  50.00,  75.00,  62.50,  62.50);</v>
      </c>
      <c r="J2340" t="str">
        <f t="shared" si="73"/>
        <v>UPDATE COTACAO SET cot_id = 2339, cot_blt_id = 96, cot_pap_id = 29, cot_prc_comum = NULL, cot_prc_min =  50.00, cot_prc_max =  75.00, cot_prc_med =  62.50, cot_prc_mediana =  62.50 WHERE cot_id = 2339;</v>
      </c>
    </row>
    <row r="2341" spans="1:10" x14ac:dyDescent="0.3">
      <c r="A2341">
        <v>2340</v>
      </c>
      <c r="B2341">
        <f>IF('Boletins Nuppa Site'!A2341&lt;&gt;0,'Boletins Nuppa Site'!A2341,"NULL")</f>
        <v>96</v>
      </c>
      <c r="C2341">
        <v>30</v>
      </c>
      <c r="D2341" t="str">
        <f>IF('Boletins Nuppa Site'!G2341&lt;&gt;0,'Boletins Nuppa Site'!G2341,"NULL")</f>
        <v>NULL</v>
      </c>
      <c r="E2341" s="14" t="str">
        <f>IF('Boletins Nuppa Site'!H2341&lt;&gt;0,'Boletins Nuppa Site'!H2341,"NULL")</f>
        <v xml:space="preserve"> 70.00</v>
      </c>
      <c r="F2341" s="14" t="str">
        <f>IF('Boletins Nuppa Site'!I2341&lt;&gt;0,'Boletins Nuppa Site'!I2341,"NULL")</f>
        <v xml:space="preserve"> 80.00</v>
      </c>
      <c r="G2341" s="14" t="str">
        <f>IF('Boletins Nuppa Site'!J2341&lt;&gt;0,'Boletins Nuppa Site'!J2341,"NULL")</f>
        <v xml:space="preserve"> 75.00</v>
      </c>
      <c r="H2341" s="14" t="str">
        <f>IF('Boletins Nuppa Site'!K2341&lt;&gt;0,'Boletins Nuppa Site'!K2341,"NULL")</f>
        <v xml:space="preserve"> 75.00</v>
      </c>
      <c r="I2341" t="str">
        <f t="shared" si="72"/>
        <v>INSERT INTO COTACAO (cot_id, cot_blt_id, cot_pap_id, cot_prc_comum, cot_prc_min, cot_prc_max, cot_prc_med, cot_prc_mediana) VALUES (2340, 96, 30, NULL,  70.00,  80.00,  75.00,  75.00);</v>
      </c>
      <c r="J2341" t="str">
        <f t="shared" si="73"/>
        <v>UPDATE COTACAO SET cot_id = 2340, cot_blt_id = 96, cot_pap_id = 30, cot_prc_comum = NULL, cot_prc_min =  70.00, cot_prc_max =  80.00, cot_prc_med =  75.00, cot_prc_mediana =  75.00 WHERE cot_id = 2340;</v>
      </c>
    </row>
    <row r="2342" spans="1:10" x14ac:dyDescent="0.3">
      <c r="A2342">
        <v>2341</v>
      </c>
      <c r="B2342">
        <f>IF('Boletins Nuppa Site'!A2342&lt;&gt;0,'Boletins Nuppa Site'!A2342,"NULL")</f>
        <v>96</v>
      </c>
      <c r="C2342">
        <v>31</v>
      </c>
      <c r="D2342" t="str">
        <f>IF('Boletins Nuppa Site'!G2342&lt;&gt;0,'Boletins Nuppa Site'!G2342,"NULL")</f>
        <v>NULL</v>
      </c>
      <c r="E2342" s="14" t="str">
        <f>IF('Boletins Nuppa Site'!H2342&lt;&gt;0,'Boletins Nuppa Site'!H2342,"NULL")</f>
        <v xml:space="preserve"> 80.00</v>
      </c>
      <c r="F2342" s="14" t="str">
        <f>IF('Boletins Nuppa Site'!I2342&lt;&gt;0,'Boletins Nuppa Site'!I2342,"NULL")</f>
        <v xml:space="preserve"> 120.00</v>
      </c>
      <c r="G2342" s="14" t="str">
        <f>IF('Boletins Nuppa Site'!J2342&lt;&gt;0,'Boletins Nuppa Site'!J2342,"NULL")</f>
        <v xml:space="preserve"> 100.00</v>
      </c>
      <c r="H2342" s="14" t="str">
        <f>IF('Boletins Nuppa Site'!K2342&lt;&gt;0,'Boletins Nuppa Site'!K2342,"NULL")</f>
        <v xml:space="preserve"> 100.00</v>
      </c>
      <c r="I2342" t="str">
        <f t="shared" si="72"/>
        <v>INSERT INTO COTACAO (cot_id, cot_blt_id, cot_pap_id, cot_prc_comum, cot_prc_min, cot_prc_max, cot_prc_med, cot_prc_mediana) VALUES (2341, 96, 31, NULL,  80.00,  120.00,  100.00,  100.00);</v>
      </c>
      <c r="J2342" t="str">
        <f t="shared" si="73"/>
        <v>UPDATE COTACAO SET cot_id = 2341, cot_blt_id = 96, cot_pap_id = 31, cot_prc_comum = NULL, cot_prc_min =  80.00, cot_prc_max =  120.00, cot_prc_med =  100.00, cot_prc_mediana =  100.00 WHERE cot_id = 2341;</v>
      </c>
    </row>
    <row r="2343" spans="1:10" x14ac:dyDescent="0.3">
      <c r="A2343">
        <v>2342</v>
      </c>
      <c r="B2343">
        <f>IF('Boletins Nuppa Site'!A2343&lt;&gt;0,'Boletins Nuppa Site'!A2343,"NULL")</f>
        <v>96</v>
      </c>
      <c r="C2343">
        <v>32</v>
      </c>
      <c r="D2343" t="str">
        <f>IF('Boletins Nuppa Site'!G2343&lt;&gt;0,'Boletins Nuppa Site'!G2343,"NULL")</f>
        <v>NULL</v>
      </c>
      <c r="E2343" s="14" t="str">
        <f>IF('Boletins Nuppa Site'!H2343&lt;&gt;0,'Boletins Nuppa Site'!H2343,"NULL")</f>
        <v xml:space="preserve"> 40.00</v>
      </c>
      <c r="F2343" s="14" t="str">
        <f>IF('Boletins Nuppa Site'!I2343&lt;&gt;0,'Boletins Nuppa Site'!I2343,"NULL")</f>
        <v xml:space="preserve"> 70.00</v>
      </c>
      <c r="G2343" s="14" t="str">
        <f>IF('Boletins Nuppa Site'!J2343&lt;&gt;0,'Boletins Nuppa Site'!J2343,"NULL")</f>
        <v xml:space="preserve"> 56.67</v>
      </c>
      <c r="H2343" s="14" t="str">
        <f>IF('Boletins Nuppa Site'!K2343&lt;&gt;0,'Boletins Nuppa Site'!K2343,"NULL")</f>
        <v xml:space="preserve"> 60.00</v>
      </c>
      <c r="I2343" t="str">
        <f t="shared" si="72"/>
        <v>INSERT INTO COTACAO (cot_id, cot_blt_id, cot_pap_id, cot_prc_comum, cot_prc_min, cot_prc_max, cot_prc_med, cot_prc_mediana) VALUES (2342, 96, 32, NULL,  40.00,  70.00,  56.67,  60.00);</v>
      </c>
      <c r="J2343" t="str">
        <f t="shared" si="73"/>
        <v>UPDATE COTACAO SET cot_id = 2342, cot_blt_id = 96, cot_pap_id = 32, cot_prc_comum = NULL, cot_prc_min =  40.00, cot_prc_max =  70.00, cot_prc_med =  56.67, cot_prc_mediana =  60.00 WHERE cot_id = 2342;</v>
      </c>
    </row>
    <row r="2344" spans="1:10" x14ac:dyDescent="0.3">
      <c r="A2344">
        <v>2343</v>
      </c>
      <c r="B2344">
        <f>IF('Boletins Nuppa Site'!A2344&lt;&gt;0,'Boletins Nuppa Site'!A2344,"NULL")</f>
        <v>96</v>
      </c>
      <c r="C2344">
        <v>33</v>
      </c>
      <c r="D2344" t="str">
        <f>IF('Boletins Nuppa Site'!G2344&lt;&gt;0,'Boletins Nuppa Site'!G2344,"NULL")</f>
        <v>NULL</v>
      </c>
      <c r="E2344" s="14" t="str">
        <f>IF('Boletins Nuppa Site'!H2344&lt;&gt;0,'Boletins Nuppa Site'!H2344,"NULL")</f>
        <v xml:space="preserve"> 180.00</v>
      </c>
      <c r="F2344" s="14" t="str">
        <f>IF('Boletins Nuppa Site'!I2344&lt;&gt;0,'Boletins Nuppa Site'!I2344,"NULL")</f>
        <v xml:space="preserve"> 120.00</v>
      </c>
      <c r="G2344" s="14" t="str">
        <f>IF('Boletins Nuppa Site'!J2344&lt;&gt;0,'Boletins Nuppa Site'!J2344,"NULL")</f>
        <v xml:space="preserve"> 140.00</v>
      </c>
      <c r="H2344" s="14" t="str">
        <f>IF('Boletins Nuppa Site'!K2344&lt;&gt;0,'Boletins Nuppa Site'!K2344,"NULL")</f>
        <v xml:space="preserve"> 146.67</v>
      </c>
      <c r="I2344" t="str">
        <f t="shared" si="72"/>
        <v>INSERT INTO COTACAO (cot_id, cot_blt_id, cot_pap_id, cot_prc_comum, cot_prc_min, cot_prc_max, cot_prc_med, cot_prc_mediana) VALUES (2343, 96, 33, NULL,  180.00,  120.00,  140.00,  146.67);</v>
      </c>
      <c r="J2344" t="str">
        <f t="shared" si="73"/>
        <v>UPDATE COTACAO SET cot_id = 2343, cot_blt_id = 96, cot_pap_id = 33, cot_prc_comum = NULL, cot_prc_min =  180.00, cot_prc_max =  120.00, cot_prc_med =  140.00, cot_prc_mediana =  146.67 WHERE cot_id = 2343;</v>
      </c>
    </row>
    <row r="2345" spans="1:10" x14ac:dyDescent="0.3">
      <c r="A2345">
        <v>2344</v>
      </c>
      <c r="B2345">
        <f>IF('Boletins Nuppa Site'!A2345&lt;&gt;0,'Boletins Nuppa Site'!A2345,"NULL")</f>
        <v>96</v>
      </c>
      <c r="C2345">
        <v>34</v>
      </c>
      <c r="D2345" t="str">
        <f>IF('Boletins Nuppa Site'!G2345&lt;&gt;0,'Boletins Nuppa Site'!G2345,"NULL")</f>
        <v>NULL</v>
      </c>
      <c r="E2345" s="14" t="str">
        <f>IF('Boletins Nuppa Site'!H2345&lt;&gt;0,'Boletins Nuppa Site'!H2345,"NULL")</f>
        <v xml:space="preserve"> 110.00</v>
      </c>
      <c r="F2345" s="14" t="str">
        <f>IF('Boletins Nuppa Site'!I2345&lt;&gt;0,'Boletins Nuppa Site'!I2345,"NULL")</f>
        <v xml:space="preserve"> 200.00</v>
      </c>
      <c r="G2345" s="14" t="str">
        <f>IF('Boletins Nuppa Site'!J2345&lt;&gt;0,'Boletins Nuppa Site'!J2345,"NULL")</f>
        <v xml:space="preserve"> 156.67</v>
      </c>
      <c r="H2345" s="14" t="str">
        <f>IF('Boletins Nuppa Site'!K2345&lt;&gt;0,'Boletins Nuppa Site'!K2345,"NULL")</f>
        <v xml:space="preserve"> 160.00</v>
      </c>
      <c r="I2345" t="str">
        <f t="shared" si="72"/>
        <v>INSERT INTO COTACAO (cot_id, cot_blt_id, cot_pap_id, cot_prc_comum, cot_prc_min, cot_prc_max, cot_prc_med, cot_prc_mediana) VALUES (2344, 96, 34, NULL,  110.00,  200.00,  156.67,  160.00);</v>
      </c>
      <c r="J2345" t="str">
        <f t="shared" si="73"/>
        <v>UPDATE COTACAO SET cot_id = 2344, cot_blt_id = 96, cot_pap_id = 34, cot_prc_comum = NULL, cot_prc_min =  110.00, cot_prc_max =  200.00, cot_prc_med =  156.67, cot_prc_mediana =  160.00 WHERE cot_id = 2344;</v>
      </c>
    </row>
    <row r="2346" spans="1:10" x14ac:dyDescent="0.3">
      <c r="A2346">
        <v>2345</v>
      </c>
      <c r="B2346">
        <f>IF('Boletins Nuppa Site'!A2346&lt;&gt;0,'Boletins Nuppa Site'!A2346,"NULL")</f>
        <v>96</v>
      </c>
      <c r="C2346">
        <v>35</v>
      </c>
      <c r="D2346" t="str">
        <f>IF('Boletins Nuppa Site'!G2346&lt;&gt;0,'Boletins Nuppa Site'!G2346,"NULL")</f>
        <v>NULL</v>
      </c>
      <c r="E2346" s="14" t="str">
        <f>IF('Boletins Nuppa Site'!H2346&lt;&gt;0,'Boletins Nuppa Site'!H2346,"NULL")</f>
        <v xml:space="preserve"> 100.00</v>
      </c>
      <c r="F2346" s="14" t="str">
        <f>IF('Boletins Nuppa Site'!I2346&lt;&gt;0,'Boletins Nuppa Site'!I2346,"NULL")</f>
        <v xml:space="preserve"> 150.00</v>
      </c>
      <c r="G2346" s="14" t="str">
        <f>IF('Boletins Nuppa Site'!J2346&lt;&gt;0,'Boletins Nuppa Site'!J2346,"NULL")</f>
        <v xml:space="preserve"> 123.33</v>
      </c>
      <c r="H2346" s="14" t="str">
        <f>IF('Boletins Nuppa Site'!K2346&lt;&gt;0,'Boletins Nuppa Site'!K2346,"NULL")</f>
        <v xml:space="preserve"> 120.00</v>
      </c>
      <c r="I2346" t="str">
        <f t="shared" si="72"/>
        <v>INSERT INTO COTACAO (cot_id, cot_blt_id, cot_pap_id, cot_prc_comum, cot_prc_min, cot_prc_max, cot_prc_med, cot_prc_mediana) VALUES (2345, 96, 35, NULL,  100.00,  150.00,  123.33,  120.00);</v>
      </c>
      <c r="J2346" t="str">
        <f t="shared" si="73"/>
        <v>UPDATE COTACAO SET cot_id = 2345, cot_blt_id = 96, cot_pap_id = 35, cot_prc_comum = NULL, cot_prc_min =  100.00, cot_prc_max =  150.00, cot_prc_med =  123.33, cot_prc_mediana =  120.00 WHERE cot_id = 2345;</v>
      </c>
    </row>
    <row r="2347" spans="1:10" x14ac:dyDescent="0.3">
      <c r="A2347">
        <v>2346</v>
      </c>
      <c r="B2347">
        <f>IF('Boletins Nuppa Site'!A2347&lt;&gt;0,'Boletins Nuppa Site'!A2347,"NULL")</f>
        <v>96</v>
      </c>
      <c r="C2347">
        <v>36</v>
      </c>
      <c r="D2347" t="str">
        <f>IF('Boletins Nuppa Site'!G2347&lt;&gt;0,'Boletins Nuppa Site'!G2347,"NULL")</f>
        <v>NULL</v>
      </c>
      <c r="E2347" s="14" t="str">
        <f>IF('Boletins Nuppa Site'!H2347&lt;&gt;0,'Boletins Nuppa Site'!H2347,"NULL")</f>
        <v>NULL</v>
      </c>
      <c r="F2347" s="14" t="str">
        <f>IF('Boletins Nuppa Site'!I2347&lt;&gt;0,'Boletins Nuppa Site'!I2347,"NULL")</f>
        <v>NULL</v>
      </c>
      <c r="G2347" s="14" t="str">
        <f>IF('Boletins Nuppa Site'!J2347&lt;&gt;0,'Boletins Nuppa Site'!J2347,"NULL")</f>
        <v>NULL</v>
      </c>
      <c r="H2347" s="14" t="str">
        <f>IF('Boletins Nuppa Site'!K2347&lt;&gt;0,'Boletins Nuppa Site'!K2347,"NULL")</f>
        <v>NULL</v>
      </c>
      <c r="I2347" t="str">
        <f t="shared" si="72"/>
        <v>INSERT INTO COTACAO (cot_id, cot_blt_id, cot_pap_id, cot_prc_comum, cot_prc_min, cot_prc_max, cot_prc_med, cot_prc_mediana) VALUES (2346, 96, 36, NULL, NULL, NULL, NULL, NULL);</v>
      </c>
      <c r="J2347" t="str">
        <f t="shared" si="73"/>
        <v>UPDATE COTACAO SET cot_id = 2346, cot_blt_id = 96, cot_pap_id = 36, cot_prc_comum = NULL, cot_prc_min = NULL, cot_prc_max = NULL, cot_prc_med = NULL, cot_prc_mediana = NULL WHERE cot_id = 2346;</v>
      </c>
    </row>
    <row r="2348" spans="1:10" x14ac:dyDescent="0.3">
      <c r="A2348">
        <v>2347</v>
      </c>
      <c r="B2348">
        <f>IF('Boletins Nuppa Site'!A2348&lt;&gt;0,'Boletins Nuppa Site'!A2348,"NULL")</f>
        <v>96</v>
      </c>
      <c r="C2348">
        <v>37</v>
      </c>
      <c r="D2348" t="str">
        <f>IF('Boletins Nuppa Site'!G2348&lt;&gt;0,'Boletins Nuppa Site'!G2348,"NULL")</f>
        <v>NULL</v>
      </c>
      <c r="E2348" s="14" t="str">
        <f>IF('Boletins Nuppa Site'!H2348&lt;&gt;0,'Boletins Nuppa Site'!H2348,"NULL")</f>
        <v>NULL</v>
      </c>
      <c r="F2348" s="14" t="str">
        <f>IF('Boletins Nuppa Site'!I2348&lt;&gt;0,'Boletins Nuppa Site'!I2348,"NULL")</f>
        <v>NULL</v>
      </c>
      <c r="G2348" s="14" t="str">
        <f>IF('Boletins Nuppa Site'!J2348&lt;&gt;0,'Boletins Nuppa Site'!J2348,"NULL")</f>
        <v>NULL</v>
      </c>
      <c r="H2348" s="14" t="str">
        <f>IF('Boletins Nuppa Site'!K2348&lt;&gt;0,'Boletins Nuppa Site'!K2348,"NULL")</f>
        <v>NULL</v>
      </c>
      <c r="I2348" t="str">
        <f t="shared" si="72"/>
        <v>INSERT INTO COTACAO (cot_id, cot_blt_id, cot_pap_id, cot_prc_comum, cot_prc_min, cot_prc_max, cot_prc_med, cot_prc_mediana) VALUES (2347, 96, 37, NULL, NULL, NULL, NULL, NULL);</v>
      </c>
      <c r="J2348" t="str">
        <f t="shared" si="73"/>
        <v>UPDATE COTACAO SET cot_id = 2347, cot_blt_id = 96, cot_pap_id = 37, cot_prc_comum = NULL, cot_prc_min = NULL, cot_prc_max = NULL, cot_prc_med = NULL, cot_prc_mediana = NULL WHERE cot_id = 2347;</v>
      </c>
    </row>
    <row r="2349" spans="1:10" x14ac:dyDescent="0.3">
      <c r="A2349">
        <v>2348</v>
      </c>
      <c r="B2349">
        <f>IF('Boletins Nuppa Site'!A2349&lt;&gt;0,'Boletins Nuppa Site'!A2349,"NULL")</f>
        <v>96</v>
      </c>
      <c r="C2349">
        <v>38</v>
      </c>
      <c r="D2349" t="str">
        <f>IF('Boletins Nuppa Site'!G2349&lt;&gt;0,'Boletins Nuppa Site'!G2349,"NULL")</f>
        <v>NULL</v>
      </c>
      <c r="E2349" s="14" t="str">
        <f>IF('Boletins Nuppa Site'!H2349&lt;&gt;0,'Boletins Nuppa Site'!H2349,"NULL")</f>
        <v>NULL</v>
      </c>
      <c r="F2349" s="14" t="str">
        <f>IF('Boletins Nuppa Site'!I2349&lt;&gt;0,'Boletins Nuppa Site'!I2349,"NULL")</f>
        <v>NULL</v>
      </c>
      <c r="G2349" s="14" t="str">
        <f>IF('Boletins Nuppa Site'!J2349&lt;&gt;0,'Boletins Nuppa Site'!J2349,"NULL")</f>
        <v>NULL</v>
      </c>
      <c r="H2349" s="14" t="str">
        <f>IF('Boletins Nuppa Site'!K2349&lt;&gt;0,'Boletins Nuppa Site'!K2349,"NULL")</f>
        <v>NULL</v>
      </c>
      <c r="I2349" t="str">
        <f t="shared" si="72"/>
        <v>INSERT INTO COTACAO (cot_id, cot_blt_id, cot_pap_id, cot_prc_comum, cot_prc_min, cot_prc_max, cot_prc_med, cot_prc_mediana) VALUES (2348, 96, 38, NULL, NULL, NULL, NULL, NULL);</v>
      </c>
      <c r="J2349" t="str">
        <f t="shared" si="73"/>
        <v>UPDATE COTACAO SET cot_id = 2348, cot_blt_id = 96, cot_pap_id = 38, cot_prc_comum = NULL, cot_prc_min = NULL, cot_prc_max = NULL, cot_prc_med = NULL, cot_prc_mediana = NULL WHERE cot_id = 2348;</v>
      </c>
    </row>
    <row r="2350" spans="1:10" x14ac:dyDescent="0.3">
      <c r="A2350">
        <v>2349</v>
      </c>
      <c r="B2350">
        <f>IF('Boletins Nuppa Site'!A2350&lt;&gt;0,'Boletins Nuppa Site'!A2350,"NULL")</f>
        <v>96</v>
      </c>
      <c r="C2350">
        <v>39</v>
      </c>
      <c r="D2350" t="str">
        <f>IF('Boletins Nuppa Site'!G2350&lt;&gt;0,'Boletins Nuppa Site'!G2350,"NULL")</f>
        <v>NULL</v>
      </c>
      <c r="E2350" s="14" t="str">
        <f>IF('Boletins Nuppa Site'!H2350&lt;&gt;0,'Boletins Nuppa Site'!H2350,"NULL")</f>
        <v>NULL</v>
      </c>
      <c r="F2350" s="14" t="str">
        <f>IF('Boletins Nuppa Site'!I2350&lt;&gt;0,'Boletins Nuppa Site'!I2350,"NULL")</f>
        <v>NULL</v>
      </c>
      <c r="G2350" s="14" t="str">
        <f>IF('Boletins Nuppa Site'!J2350&lt;&gt;0,'Boletins Nuppa Site'!J2350,"NULL")</f>
        <v>NULL</v>
      </c>
      <c r="H2350" s="14" t="str">
        <f>IF('Boletins Nuppa Site'!K2350&lt;&gt;0,'Boletins Nuppa Site'!K2350,"NULL")</f>
        <v>NULL</v>
      </c>
      <c r="I2350" t="str">
        <f t="shared" si="72"/>
        <v>INSERT INTO COTACAO (cot_id, cot_blt_id, cot_pap_id, cot_prc_comum, cot_prc_min, cot_prc_max, cot_prc_med, cot_prc_mediana) VALUES (2349, 96, 39, NULL, NULL, NULL, NULL, NULL);</v>
      </c>
      <c r="J2350" t="str">
        <f t="shared" si="73"/>
        <v>UPDATE COTACAO SET cot_id = 2349, cot_blt_id = 96, cot_pap_id = 39, cot_prc_comum = NULL, cot_prc_min = NULL, cot_prc_max = NULL, cot_prc_med = NULL, cot_prc_mediana = NULL WHERE cot_id = 2349;</v>
      </c>
    </row>
    <row r="2351" spans="1:10" x14ac:dyDescent="0.3">
      <c r="A2351">
        <v>2350</v>
      </c>
      <c r="B2351">
        <f>IF('Boletins Nuppa Site'!A2351&lt;&gt;0,'Boletins Nuppa Site'!A2351,"NULL")</f>
        <v>96</v>
      </c>
      <c r="C2351">
        <v>40</v>
      </c>
      <c r="D2351" t="str">
        <f>IF('Boletins Nuppa Site'!G2351&lt;&gt;0,'Boletins Nuppa Site'!G2351,"NULL")</f>
        <v>NULL</v>
      </c>
      <c r="E2351" s="14" t="str">
        <f>IF('Boletins Nuppa Site'!H2351&lt;&gt;0,'Boletins Nuppa Site'!H2351,"NULL")</f>
        <v>NULL</v>
      </c>
      <c r="F2351" s="14" t="str">
        <f>IF('Boletins Nuppa Site'!I2351&lt;&gt;0,'Boletins Nuppa Site'!I2351,"NULL")</f>
        <v>NULL</v>
      </c>
      <c r="G2351" s="14" t="str">
        <f>IF('Boletins Nuppa Site'!J2351&lt;&gt;0,'Boletins Nuppa Site'!J2351,"NULL")</f>
        <v>NULL</v>
      </c>
      <c r="H2351" s="14" t="str">
        <f>IF('Boletins Nuppa Site'!K2351&lt;&gt;0,'Boletins Nuppa Site'!K2351,"NULL")</f>
        <v>NULL</v>
      </c>
      <c r="I2351" t="str">
        <f t="shared" si="72"/>
        <v>INSERT INTO COTACAO (cot_id, cot_blt_id, cot_pap_id, cot_prc_comum, cot_prc_min, cot_prc_max, cot_prc_med, cot_prc_mediana) VALUES (2350, 96, 40, NULL, NULL, NULL, NULL, NULL);</v>
      </c>
      <c r="J2351" t="str">
        <f t="shared" si="73"/>
        <v>UPDATE COTACAO SET cot_id = 2350, cot_blt_id = 96, cot_pap_id = 40, cot_prc_comum = NULL, cot_prc_min = NULL, cot_prc_max = NULL, cot_prc_med = NULL, cot_prc_mediana = NULL WHERE cot_id = 2350;</v>
      </c>
    </row>
    <row r="2352" spans="1:10" x14ac:dyDescent="0.3">
      <c r="A2352">
        <v>2351</v>
      </c>
      <c r="B2352">
        <f>IF('Boletins Nuppa Site'!A2352&lt;&gt;0,'Boletins Nuppa Site'!A2352,"NULL")</f>
        <v>97</v>
      </c>
      <c r="C2352">
        <v>1</v>
      </c>
      <c r="D2352" t="str">
        <f>IF('Boletins Nuppa Site'!G2352&lt;&gt;0,'Boletins Nuppa Site'!G2352,"NULL")</f>
        <v xml:space="preserve"> 60.00</v>
      </c>
      <c r="E2352" s="14" t="str">
        <f>IF('Boletins Nuppa Site'!H2352&lt;&gt;0,'Boletins Nuppa Site'!H2352,"NULL")</f>
        <v xml:space="preserve"> 60.00</v>
      </c>
      <c r="F2352" s="14" t="str">
        <f>IF('Boletins Nuppa Site'!I2352&lt;&gt;0,'Boletins Nuppa Site'!I2352,"NULL")</f>
        <v xml:space="preserve"> 72.00</v>
      </c>
      <c r="G2352" s="14" t="str">
        <f>IF('Boletins Nuppa Site'!J2352&lt;&gt;0,'Boletins Nuppa Site'!J2352,"NULL")</f>
        <v xml:space="preserve"> 64.00</v>
      </c>
      <c r="H2352" s="14" t="str">
        <f>IF('Boletins Nuppa Site'!K2352&lt;&gt;0,'Boletins Nuppa Site'!K2352,"NULL")</f>
        <v xml:space="preserve"> 60.00</v>
      </c>
      <c r="I2352" t="str">
        <f t="shared" si="72"/>
        <v>INSERT INTO COTACAO (cot_id, cot_blt_id, cot_pap_id, cot_prc_comum, cot_prc_min, cot_prc_max, cot_prc_med, cot_prc_mediana) VALUES (2351, 97, 1,  60.00,  60.00,  72.00,  64.00,  60.00);</v>
      </c>
      <c r="J2352" t="str">
        <f t="shared" si="73"/>
        <v>UPDATE COTACAO SET cot_id = 2351, cot_blt_id = 97, cot_pap_id = 1, cot_prc_comum =  60.00, cot_prc_min =  60.00, cot_prc_max =  72.00, cot_prc_med =  64.00, cot_prc_mediana =  60.00 WHERE cot_id = 2351;</v>
      </c>
    </row>
    <row r="2353" spans="1:10" x14ac:dyDescent="0.3">
      <c r="A2353">
        <v>2352</v>
      </c>
      <c r="B2353">
        <f>IF('Boletins Nuppa Site'!A2353&lt;&gt;0,'Boletins Nuppa Site'!A2353,"NULL")</f>
        <v>97</v>
      </c>
      <c r="C2353">
        <v>2</v>
      </c>
      <c r="D2353" t="str">
        <f>IF('Boletins Nuppa Site'!G2353&lt;&gt;0,'Boletins Nuppa Site'!G2353,"NULL")</f>
        <v>NULL</v>
      </c>
      <c r="E2353" s="14" t="str">
        <f>IF('Boletins Nuppa Site'!H2353&lt;&gt;0,'Boletins Nuppa Site'!H2353,"NULL")</f>
        <v xml:space="preserve"> 60.00</v>
      </c>
      <c r="F2353" s="14" t="str">
        <f>IF('Boletins Nuppa Site'!I2353&lt;&gt;0,'Boletins Nuppa Site'!I2353,"NULL")</f>
        <v xml:space="preserve"> 108.00</v>
      </c>
      <c r="G2353" s="14" t="str">
        <f>IF('Boletins Nuppa Site'!J2353&lt;&gt;0,'Boletins Nuppa Site'!J2353,"NULL")</f>
        <v xml:space="preserve"> 88.00</v>
      </c>
      <c r="H2353" s="14" t="str">
        <f>IF('Boletins Nuppa Site'!K2353&lt;&gt;0,'Boletins Nuppa Site'!K2353,"NULL")</f>
        <v xml:space="preserve"> 96.00</v>
      </c>
      <c r="I2353" t="str">
        <f t="shared" si="72"/>
        <v>INSERT INTO COTACAO (cot_id, cot_blt_id, cot_pap_id, cot_prc_comum, cot_prc_min, cot_prc_max, cot_prc_med, cot_prc_mediana) VALUES (2352, 97, 2, NULL,  60.00,  108.00,  88.00,  96.00);</v>
      </c>
      <c r="J2353" t="str">
        <f t="shared" si="73"/>
        <v>UPDATE COTACAO SET cot_id = 2352, cot_blt_id = 97, cot_pap_id = 2, cot_prc_comum = NULL, cot_prc_min =  60.00, cot_prc_max =  108.00, cot_prc_med =  88.00, cot_prc_mediana =  96.00 WHERE cot_id = 2352;</v>
      </c>
    </row>
    <row r="2354" spans="1:10" x14ac:dyDescent="0.3">
      <c r="A2354">
        <v>2353</v>
      </c>
      <c r="B2354">
        <f>IF('Boletins Nuppa Site'!A2354&lt;&gt;0,'Boletins Nuppa Site'!A2354,"NULL")</f>
        <v>97</v>
      </c>
      <c r="C2354">
        <v>3</v>
      </c>
      <c r="D2354" t="str">
        <f>IF('Boletins Nuppa Site'!G2354&lt;&gt;0,'Boletins Nuppa Site'!G2354,"NULL")</f>
        <v xml:space="preserve"> 45.00</v>
      </c>
      <c r="E2354" s="14" t="str">
        <f>IF('Boletins Nuppa Site'!H2354&lt;&gt;0,'Boletins Nuppa Site'!H2354,"NULL")</f>
        <v xml:space="preserve"> 48.00</v>
      </c>
      <c r="F2354" s="14" t="str">
        <f>IF('Boletins Nuppa Site'!I2354&lt;&gt;0,'Boletins Nuppa Site'!I2354,"NULL")</f>
        <v xml:space="preserve"> 60.00</v>
      </c>
      <c r="G2354" s="14" t="str">
        <f>IF('Boletins Nuppa Site'!J2354&lt;&gt;0,'Boletins Nuppa Site'!J2354,"NULL")</f>
        <v xml:space="preserve"> 50.25</v>
      </c>
      <c r="H2354" s="14" t="str">
        <f>IF('Boletins Nuppa Site'!K2354&lt;&gt;0,'Boletins Nuppa Site'!K2354,"NULL")</f>
        <v xml:space="preserve"> 48.00</v>
      </c>
      <c r="I2354" t="str">
        <f t="shared" si="72"/>
        <v>INSERT INTO COTACAO (cot_id, cot_blt_id, cot_pap_id, cot_prc_comum, cot_prc_min, cot_prc_max, cot_prc_med, cot_prc_mediana) VALUES (2353, 97, 3,  45.00,  48.00,  60.00,  50.25,  48.00);</v>
      </c>
      <c r="J2354" t="str">
        <f t="shared" si="73"/>
        <v>UPDATE COTACAO SET cot_id = 2353, cot_blt_id = 97, cot_pap_id = 3, cot_prc_comum =  45.00, cot_prc_min =  48.00, cot_prc_max =  60.00, cot_prc_med =  50.25, cot_prc_mediana =  48.00 WHERE cot_id = 2353;</v>
      </c>
    </row>
    <row r="2355" spans="1:10" x14ac:dyDescent="0.3">
      <c r="A2355">
        <v>2354</v>
      </c>
      <c r="B2355">
        <f>IF('Boletins Nuppa Site'!A2355&lt;&gt;0,'Boletins Nuppa Site'!A2355,"NULL")</f>
        <v>97</v>
      </c>
      <c r="C2355">
        <v>4</v>
      </c>
      <c r="D2355" t="str">
        <f>IF('Boletins Nuppa Site'!G2355&lt;&gt;0,'Boletins Nuppa Site'!G2355,"NULL")</f>
        <v xml:space="preserve"> 30.00</v>
      </c>
      <c r="E2355" s="14" t="str">
        <f>IF('Boletins Nuppa Site'!H2355&lt;&gt;0,'Boletins Nuppa Site'!H2355,"NULL")</f>
        <v xml:space="preserve"> 30.00</v>
      </c>
      <c r="F2355" s="14" t="str">
        <f>IF('Boletins Nuppa Site'!I2355&lt;&gt;0,'Boletins Nuppa Site'!I2355,"NULL")</f>
        <v xml:space="preserve"> 30.00</v>
      </c>
      <c r="G2355" s="14" t="str">
        <f>IF('Boletins Nuppa Site'!J2355&lt;&gt;0,'Boletins Nuppa Site'!J2355,"NULL")</f>
        <v xml:space="preserve"> 30.00</v>
      </c>
      <c r="H2355" s="14" t="str">
        <f>IF('Boletins Nuppa Site'!K2355&lt;&gt;0,'Boletins Nuppa Site'!K2355,"NULL")</f>
        <v xml:space="preserve"> 30.00</v>
      </c>
      <c r="I2355" t="str">
        <f t="shared" si="72"/>
        <v>INSERT INTO COTACAO (cot_id, cot_blt_id, cot_pap_id, cot_prc_comum, cot_prc_min, cot_prc_max, cot_prc_med, cot_prc_mediana) VALUES (2354, 97, 4,  30.00,  30.00,  30.00,  30.00,  30.00);</v>
      </c>
      <c r="J2355" t="str">
        <f t="shared" si="73"/>
        <v>UPDATE COTACAO SET cot_id = 2354, cot_blt_id = 97, cot_pap_id = 4, cot_prc_comum =  30.00, cot_prc_min =  30.00, cot_prc_max =  30.00, cot_prc_med =  30.00, cot_prc_mediana =  30.00 WHERE cot_id = 2354;</v>
      </c>
    </row>
    <row r="2356" spans="1:10" x14ac:dyDescent="0.3">
      <c r="A2356">
        <v>2355</v>
      </c>
      <c r="B2356">
        <f>IF('Boletins Nuppa Site'!A2356&lt;&gt;0,'Boletins Nuppa Site'!A2356,"NULL")</f>
        <v>97</v>
      </c>
      <c r="C2356">
        <v>5</v>
      </c>
      <c r="D2356" t="str">
        <f>IF('Boletins Nuppa Site'!G2356&lt;&gt;0,'Boletins Nuppa Site'!G2356,"NULL")</f>
        <v xml:space="preserve"> 30.00</v>
      </c>
      <c r="E2356" s="14" t="str">
        <f>IF('Boletins Nuppa Site'!H2356&lt;&gt;0,'Boletins Nuppa Site'!H2356,"NULL")</f>
        <v xml:space="preserve"> 30.00</v>
      </c>
      <c r="F2356" s="14" t="str">
        <f>IF('Boletins Nuppa Site'!I2356&lt;&gt;0,'Boletins Nuppa Site'!I2356,"NULL")</f>
        <v xml:space="preserve"> 30.00</v>
      </c>
      <c r="G2356" s="14" t="str">
        <f>IF('Boletins Nuppa Site'!J2356&lt;&gt;0,'Boletins Nuppa Site'!J2356,"NULL")</f>
        <v xml:space="preserve"> 30.00</v>
      </c>
      <c r="H2356" s="14" t="str">
        <f>IF('Boletins Nuppa Site'!K2356&lt;&gt;0,'Boletins Nuppa Site'!K2356,"NULL")</f>
        <v xml:space="preserve"> 30.00</v>
      </c>
      <c r="I2356" t="str">
        <f t="shared" si="72"/>
        <v>INSERT INTO COTACAO (cot_id, cot_blt_id, cot_pap_id, cot_prc_comum, cot_prc_min, cot_prc_max, cot_prc_med, cot_prc_mediana) VALUES (2355, 97, 5,  30.00,  30.00,  30.00,  30.00,  30.00);</v>
      </c>
      <c r="J2356" t="str">
        <f t="shared" si="73"/>
        <v>UPDATE COTACAO SET cot_id = 2355, cot_blt_id = 97, cot_pap_id = 5, cot_prc_comum =  30.00, cot_prc_min =  30.00, cot_prc_max =  30.00, cot_prc_med =  30.00, cot_prc_mediana =  30.00 WHERE cot_id = 2355;</v>
      </c>
    </row>
    <row r="2357" spans="1:10" x14ac:dyDescent="0.3">
      <c r="A2357">
        <v>2356</v>
      </c>
      <c r="B2357">
        <f>IF('Boletins Nuppa Site'!A2357&lt;&gt;0,'Boletins Nuppa Site'!A2357,"NULL")</f>
        <v>97</v>
      </c>
      <c r="C2357">
        <v>6</v>
      </c>
      <c r="D2357" t="str">
        <f>IF('Boletins Nuppa Site'!G2357&lt;&gt;0,'Boletins Nuppa Site'!G2357,"NULL")</f>
        <v xml:space="preserve"> 60.00</v>
      </c>
      <c r="E2357" s="14" t="str">
        <f>IF('Boletins Nuppa Site'!H2357&lt;&gt;0,'Boletins Nuppa Site'!H2357,"NULL")</f>
        <v xml:space="preserve"> 60.00</v>
      </c>
      <c r="F2357" s="14" t="str">
        <f>IF('Boletins Nuppa Site'!I2357&lt;&gt;0,'Boletins Nuppa Site'!I2357,"NULL")</f>
        <v xml:space="preserve"> 84.00</v>
      </c>
      <c r="G2357" s="14" t="str">
        <f>IF('Boletins Nuppa Site'!J2357&lt;&gt;0,'Boletins Nuppa Site'!J2357,"NULL")</f>
        <v xml:space="preserve"> 68.00</v>
      </c>
      <c r="H2357" s="14" t="str">
        <f>IF('Boletins Nuppa Site'!K2357&lt;&gt;0,'Boletins Nuppa Site'!K2357,"NULL")</f>
        <v xml:space="preserve"> 60.00</v>
      </c>
      <c r="I2357" t="str">
        <f t="shared" si="72"/>
        <v>INSERT INTO COTACAO (cot_id, cot_blt_id, cot_pap_id, cot_prc_comum, cot_prc_min, cot_prc_max, cot_prc_med, cot_prc_mediana) VALUES (2356, 97, 6,  60.00,  60.00,  84.00,  68.00,  60.00);</v>
      </c>
      <c r="J2357" t="str">
        <f t="shared" si="73"/>
        <v>UPDATE COTACAO SET cot_id = 2356, cot_blt_id = 97, cot_pap_id = 6, cot_prc_comum =  60.00, cot_prc_min =  60.00, cot_prc_max =  84.00, cot_prc_med =  68.00, cot_prc_mediana =  60.00 WHERE cot_id = 2356;</v>
      </c>
    </row>
    <row r="2358" spans="1:10" x14ac:dyDescent="0.3">
      <c r="A2358">
        <v>2357</v>
      </c>
      <c r="B2358">
        <f>IF('Boletins Nuppa Site'!A2358&lt;&gt;0,'Boletins Nuppa Site'!A2358,"NULL")</f>
        <v>97</v>
      </c>
      <c r="C2358">
        <v>7</v>
      </c>
      <c r="D2358" t="str">
        <f>IF('Boletins Nuppa Site'!G2358&lt;&gt;0,'Boletins Nuppa Site'!G2358,"NULL")</f>
        <v>NULL</v>
      </c>
      <c r="E2358" s="14" t="str">
        <f>IF('Boletins Nuppa Site'!H2358&lt;&gt;0,'Boletins Nuppa Site'!H2358,"NULL")</f>
        <v xml:space="preserve"> 84.00</v>
      </c>
      <c r="F2358" s="14" t="str">
        <f>IF('Boletins Nuppa Site'!I2358&lt;&gt;0,'Boletins Nuppa Site'!I2358,"NULL")</f>
        <v xml:space="preserve"> 108.00</v>
      </c>
      <c r="G2358" s="14" t="str">
        <f>IF('Boletins Nuppa Site'!J2358&lt;&gt;0,'Boletins Nuppa Site'!J2358,"NULL")</f>
        <v xml:space="preserve"> 96.00</v>
      </c>
      <c r="H2358" s="14" t="str">
        <f>IF('Boletins Nuppa Site'!K2358&lt;&gt;0,'Boletins Nuppa Site'!K2358,"NULL")</f>
        <v xml:space="preserve"> 96.00</v>
      </c>
      <c r="I2358" t="str">
        <f t="shared" si="72"/>
        <v>INSERT INTO COTACAO (cot_id, cot_blt_id, cot_pap_id, cot_prc_comum, cot_prc_min, cot_prc_max, cot_prc_med, cot_prc_mediana) VALUES (2357, 97, 7, NULL,  84.00,  108.00,  96.00,  96.00);</v>
      </c>
      <c r="J2358" t="str">
        <f t="shared" si="73"/>
        <v>UPDATE COTACAO SET cot_id = 2357, cot_blt_id = 97, cot_pap_id = 7, cot_prc_comum = NULL, cot_prc_min =  84.00, cot_prc_max =  108.00, cot_prc_med =  96.00, cot_prc_mediana =  96.00 WHERE cot_id = 2357;</v>
      </c>
    </row>
    <row r="2359" spans="1:10" x14ac:dyDescent="0.3">
      <c r="A2359">
        <v>2358</v>
      </c>
      <c r="B2359">
        <f>IF('Boletins Nuppa Site'!A2359&lt;&gt;0,'Boletins Nuppa Site'!A2359,"NULL")</f>
        <v>97</v>
      </c>
      <c r="C2359">
        <v>8</v>
      </c>
      <c r="D2359" t="str">
        <f>IF('Boletins Nuppa Site'!G2359&lt;&gt;0,'Boletins Nuppa Site'!G2359,"NULL")</f>
        <v>NULL</v>
      </c>
      <c r="E2359" s="14" t="str">
        <f>IF('Boletins Nuppa Site'!H2359&lt;&gt;0,'Boletins Nuppa Site'!H2359,"NULL")</f>
        <v xml:space="preserve"> 30.00</v>
      </c>
      <c r="F2359" s="14" t="str">
        <f>IF('Boletins Nuppa Site'!I2359&lt;&gt;0,'Boletins Nuppa Site'!I2359,"NULL")</f>
        <v xml:space="preserve"> 168.00</v>
      </c>
      <c r="G2359" s="14" t="str">
        <f>IF('Boletins Nuppa Site'!J2359&lt;&gt;0,'Boletins Nuppa Site'!J2359,"NULL")</f>
        <v xml:space="preserve"> 93.50</v>
      </c>
      <c r="H2359" s="14" t="str">
        <f>IF('Boletins Nuppa Site'!K2359&lt;&gt;0,'Boletins Nuppa Site'!K2359,"NULL")</f>
        <v xml:space="preserve"> 88.00</v>
      </c>
      <c r="I2359" t="str">
        <f t="shared" si="72"/>
        <v>INSERT INTO COTACAO (cot_id, cot_blt_id, cot_pap_id, cot_prc_comum, cot_prc_min, cot_prc_max, cot_prc_med, cot_prc_mediana) VALUES (2358, 97, 8, NULL,  30.00,  168.00,  93.50,  88.00);</v>
      </c>
      <c r="J2359" t="str">
        <f t="shared" si="73"/>
        <v>UPDATE COTACAO SET cot_id = 2358, cot_blt_id = 97, cot_pap_id = 8, cot_prc_comum = NULL, cot_prc_min =  30.00, cot_prc_max =  168.00, cot_prc_med =  93.50, cot_prc_mediana =  88.00 WHERE cot_id = 2358;</v>
      </c>
    </row>
    <row r="2360" spans="1:10" x14ac:dyDescent="0.3">
      <c r="A2360">
        <v>2359</v>
      </c>
      <c r="B2360">
        <f>IF('Boletins Nuppa Site'!A2360&lt;&gt;0,'Boletins Nuppa Site'!A2360,"NULL")</f>
        <v>97</v>
      </c>
      <c r="C2360">
        <v>9</v>
      </c>
      <c r="D2360" t="str">
        <f>IF('Boletins Nuppa Site'!G2360&lt;&gt;0,'Boletins Nuppa Site'!G2360,"NULL")</f>
        <v xml:space="preserve"> 30.00</v>
      </c>
      <c r="E2360" s="14" t="str">
        <f>IF('Boletins Nuppa Site'!H2360&lt;&gt;0,'Boletins Nuppa Site'!H2360,"NULL")</f>
        <v xml:space="preserve"> 24.00</v>
      </c>
      <c r="F2360" s="14" t="str">
        <f>IF('Boletins Nuppa Site'!I2360&lt;&gt;0,'Boletins Nuppa Site'!I2360,"NULL")</f>
        <v xml:space="preserve"> 36.00</v>
      </c>
      <c r="G2360" s="14" t="str">
        <f>IF('Boletins Nuppa Site'!J2360&lt;&gt;0,'Boletins Nuppa Site'!J2360,"NULL")</f>
        <v xml:space="preserve"> 30.00</v>
      </c>
      <c r="H2360" s="14" t="str">
        <f>IF('Boletins Nuppa Site'!K2360&lt;&gt;0,'Boletins Nuppa Site'!K2360,"NULL")</f>
        <v xml:space="preserve"> 30.00</v>
      </c>
      <c r="I2360" t="str">
        <f t="shared" si="72"/>
        <v>INSERT INTO COTACAO (cot_id, cot_blt_id, cot_pap_id, cot_prc_comum, cot_prc_min, cot_prc_max, cot_prc_med, cot_prc_mediana) VALUES (2359, 97, 9,  30.00,  24.00,  36.00,  30.00,  30.00);</v>
      </c>
      <c r="J2360" t="str">
        <f t="shared" si="73"/>
        <v>UPDATE COTACAO SET cot_id = 2359, cot_blt_id = 97, cot_pap_id = 9, cot_prc_comum =  30.00, cot_prc_min =  24.00, cot_prc_max =  36.00, cot_prc_med =  30.00, cot_prc_mediana =  30.00 WHERE cot_id = 2359;</v>
      </c>
    </row>
    <row r="2361" spans="1:10" x14ac:dyDescent="0.3">
      <c r="A2361">
        <v>2360</v>
      </c>
      <c r="B2361">
        <f>IF('Boletins Nuppa Site'!A2361&lt;&gt;0,'Boletins Nuppa Site'!A2361,"NULL")</f>
        <v>97</v>
      </c>
      <c r="C2361">
        <v>10</v>
      </c>
      <c r="D2361" t="str">
        <f>IF('Boletins Nuppa Site'!G2361&lt;&gt;0,'Boletins Nuppa Site'!G2361,"NULL")</f>
        <v xml:space="preserve"> 80.00</v>
      </c>
      <c r="E2361" s="14" t="str">
        <f>IF('Boletins Nuppa Site'!H2361&lt;&gt;0,'Boletins Nuppa Site'!H2361,"NULL")</f>
        <v xml:space="preserve"> 120.00</v>
      </c>
      <c r="F2361" s="14" t="str">
        <f>IF('Boletins Nuppa Site'!I2361&lt;&gt;0,'Boletins Nuppa Site'!I2361,"NULL")</f>
        <v xml:space="preserve"> 120.00</v>
      </c>
      <c r="G2361" s="14" t="str">
        <f>IF('Boletins Nuppa Site'!J2361&lt;&gt;0,'Boletins Nuppa Site'!J2361,"NULL")</f>
        <v xml:space="preserve"> 106.67</v>
      </c>
      <c r="H2361" s="14" t="str">
        <f>IF('Boletins Nuppa Site'!K2361&lt;&gt;0,'Boletins Nuppa Site'!K2361,"NULL")</f>
        <v xml:space="preserve"> 120.00</v>
      </c>
      <c r="I2361" t="str">
        <f t="shared" si="72"/>
        <v>INSERT INTO COTACAO (cot_id, cot_blt_id, cot_pap_id, cot_prc_comum, cot_prc_min, cot_prc_max, cot_prc_med, cot_prc_mediana) VALUES (2360, 97, 10,  80.00,  120.00,  120.00,  106.67,  120.00);</v>
      </c>
      <c r="J2361" t="str">
        <f t="shared" si="73"/>
        <v>UPDATE COTACAO SET cot_id = 2360, cot_blt_id = 97, cot_pap_id = 10, cot_prc_comum =  80.00, cot_prc_min =  120.00, cot_prc_max =  120.00, cot_prc_med =  106.67, cot_prc_mediana =  120.00 WHERE cot_id = 2360;</v>
      </c>
    </row>
    <row r="2362" spans="1:10" x14ac:dyDescent="0.3">
      <c r="A2362">
        <v>2361</v>
      </c>
      <c r="B2362">
        <f>IF('Boletins Nuppa Site'!A2362&lt;&gt;0,'Boletins Nuppa Site'!A2362,"NULL")</f>
        <v>97</v>
      </c>
      <c r="C2362">
        <v>11</v>
      </c>
      <c r="D2362" t="str">
        <f>IF('Boletins Nuppa Site'!G2362&lt;&gt;0,'Boletins Nuppa Site'!G2362,"NULL")</f>
        <v xml:space="preserve"> 24.00</v>
      </c>
      <c r="E2362" s="14" t="str">
        <f>IF('Boletins Nuppa Site'!H2362&lt;&gt;0,'Boletins Nuppa Site'!H2362,"NULL")</f>
        <v xml:space="preserve"> 30.00</v>
      </c>
      <c r="F2362" s="14" t="str">
        <f>IF('Boletins Nuppa Site'!I2362&lt;&gt;0,'Boletins Nuppa Site'!I2362,"NULL")</f>
        <v xml:space="preserve"> 30.00</v>
      </c>
      <c r="G2362" s="14" t="str">
        <f>IF('Boletins Nuppa Site'!J2362&lt;&gt;0,'Boletins Nuppa Site'!J2362,"NULL")</f>
        <v xml:space="preserve"> 28.50</v>
      </c>
      <c r="H2362" s="14" t="str">
        <f>IF('Boletins Nuppa Site'!K2362&lt;&gt;0,'Boletins Nuppa Site'!K2362,"NULL")</f>
        <v xml:space="preserve"> 30.00</v>
      </c>
      <c r="I2362" t="str">
        <f t="shared" si="72"/>
        <v>INSERT INTO COTACAO (cot_id, cot_blt_id, cot_pap_id, cot_prc_comum, cot_prc_min, cot_prc_max, cot_prc_med, cot_prc_mediana) VALUES (2361, 97, 11,  24.00,  30.00,  30.00,  28.50,  30.00);</v>
      </c>
      <c r="J2362" t="str">
        <f t="shared" si="73"/>
        <v>UPDATE COTACAO SET cot_id = 2361, cot_blt_id = 97, cot_pap_id = 11, cot_prc_comum =  24.00, cot_prc_min =  30.00, cot_prc_max =  30.00, cot_prc_med =  28.50, cot_prc_mediana =  30.00 WHERE cot_id = 2361;</v>
      </c>
    </row>
    <row r="2363" spans="1:10" x14ac:dyDescent="0.3">
      <c r="A2363">
        <v>2362</v>
      </c>
      <c r="B2363">
        <f>IF('Boletins Nuppa Site'!A2363&lt;&gt;0,'Boletins Nuppa Site'!A2363,"NULL")</f>
        <v>97</v>
      </c>
      <c r="C2363">
        <v>12</v>
      </c>
      <c r="D2363" t="str">
        <f>IF('Boletins Nuppa Site'!G2363&lt;&gt;0,'Boletins Nuppa Site'!G2363,"NULL")</f>
        <v xml:space="preserve"> 60.00</v>
      </c>
      <c r="E2363" s="14" t="str">
        <f>IF('Boletins Nuppa Site'!H2363&lt;&gt;0,'Boletins Nuppa Site'!H2363,"NULL")</f>
        <v xml:space="preserve"> 60.00</v>
      </c>
      <c r="F2363" s="14" t="str">
        <f>IF('Boletins Nuppa Site'!I2363&lt;&gt;0,'Boletins Nuppa Site'!I2363,"NULL")</f>
        <v xml:space="preserve"> 120.00</v>
      </c>
      <c r="G2363" s="14" t="str">
        <f>IF('Boletins Nuppa Site'!J2363&lt;&gt;0,'Boletins Nuppa Site'!J2363,"NULL")</f>
        <v xml:space="preserve"> 80.00</v>
      </c>
      <c r="H2363" s="14" t="str">
        <f>IF('Boletins Nuppa Site'!K2363&lt;&gt;0,'Boletins Nuppa Site'!K2363,"NULL")</f>
        <v xml:space="preserve"> 60.00</v>
      </c>
      <c r="I2363" t="str">
        <f t="shared" si="72"/>
        <v>INSERT INTO COTACAO (cot_id, cot_blt_id, cot_pap_id, cot_prc_comum, cot_prc_min, cot_prc_max, cot_prc_med, cot_prc_mediana) VALUES (2362, 97, 12,  60.00,  60.00,  120.00,  80.00,  60.00);</v>
      </c>
      <c r="J2363" t="str">
        <f t="shared" si="73"/>
        <v>UPDATE COTACAO SET cot_id = 2362, cot_blt_id = 97, cot_pap_id = 12, cot_prc_comum =  60.00, cot_prc_min =  60.00, cot_prc_max =  120.00, cot_prc_med =  80.00, cot_prc_mediana =  60.00 WHERE cot_id = 2362;</v>
      </c>
    </row>
    <row r="2364" spans="1:10" x14ac:dyDescent="0.3">
      <c r="A2364">
        <v>2363</v>
      </c>
      <c r="B2364">
        <f>IF('Boletins Nuppa Site'!A2364&lt;&gt;0,'Boletins Nuppa Site'!A2364,"NULL")</f>
        <v>97</v>
      </c>
      <c r="C2364">
        <v>13</v>
      </c>
      <c r="D2364" t="str">
        <f>IF('Boletins Nuppa Site'!G2364&lt;&gt;0,'Boletins Nuppa Site'!G2364,"NULL")</f>
        <v xml:space="preserve"> 60.00</v>
      </c>
      <c r="E2364" s="14" t="str">
        <f>IF('Boletins Nuppa Site'!H2364&lt;&gt;0,'Boletins Nuppa Site'!H2364,"NULL")</f>
        <v xml:space="preserve"> 60.00</v>
      </c>
      <c r="F2364" s="14" t="str">
        <f>IF('Boletins Nuppa Site'!I2364&lt;&gt;0,'Boletins Nuppa Site'!I2364,"NULL")</f>
        <v xml:space="preserve"> 72.00</v>
      </c>
      <c r="G2364" s="14" t="str">
        <f>IF('Boletins Nuppa Site'!J2364&lt;&gt;0,'Boletins Nuppa Site'!J2364,"NULL")</f>
        <v xml:space="preserve"> 63.00</v>
      </c>
      <c r="H2364" s="14" t="str">
        <f>IF('Boletins Nuppa Site'!K2364&lt;&gt;0,'Boletins Nuppa Site'!K2364,"NULL")</f>
        <v xml:space="preserve"> 60.00</v>
      </c>
      <c r="I2364" t="str">
        <f t="shared" si="72"/>
        <v>INSERT INTO COTACAO (cot_id, cot_blt_id, cot_pap_id, cot_prc_comum, cot_prc_min, cot_prc_max, cot_prc_med, cot_prc_mediana) VALUES (2363, 97, 13,  60.00,  60.00,  72.00,  63.00,  60.00);</v>
      </c>
      <c r="J2364" t="str">
        <f t="shared" si="73"/>
        <v>UPDATE COTACAO SET cot_id = 2363, cot_blt_id = 97, cot_pap_id = 13, cot_prc_comum =  60.00, cot_prc_min =  60.00, cot_prc_max =  72.00, cot_prc_med =  63.00, cot_prc_mediana =  60.00 WHERE cot_id = 2363;</v>
      </c>
    </row>
    <row r="2365" spans="1:10" x14ac:dyDescent="0.3">
      <c r="A2365">
        <v>2364</v>
      </c>
      <c r="B2365">
        <f>IF('Boletins Nuppa Site'!A2365&lt;&gt;0,'Boletins Nuppa Site'!A2365,"NULL")</f>
        <v>97</v>
      </c>
      <c r="C2365">
        <v>14</v>
      </c>
      <c r="D2365" t="str">
        <f>IF('Boletins Nuppa Site'!G2365&lt;&gt;0,'Boletins Nuppa Site'!G2365,"NULL")</f>
        <v xml:space="preserve"> 84.00</v>
      </c>
      <c r="E2365" s="14" t="str">
        <f>IF('Boletins Nuppa Site'!H2365&lt;&gt;0,'Boletins Nuppa Site'!H2365,"NULL")</f>
        <v xml:space="preserve"> 84.00</v>
      </c>
      <c r="F2365" s="14" t="str">
        <f>IF('Boletins Nuppa Site'!I2365&lt;&gt;0,'Boletins Nuppa Site'!I2365,"NULL")</f>
        <v xml:space="preserve"> 108.00</v>
      </c>
      <c r="G2365" s="14" t="str">
        <f>IF('Boletins Nuppa Site'!J2365&lt;&gt;0,'Boletins Nuppa Site'!J2365,"NULL")</f>
        <v xml:space="preserve"> 92.00</v>
      </c>
      <c r="H2365" s="14" t="str">
        <f>IF('Boletins Nuppa Site'!K2365&lt;&gt;0,'Boletins Nuppa Site'!K2365,"NULL")</f>
        <v xml:space="preserve"> 84.00</v>
      </c>
      <c r="I2365" t="str">
        <f t="shared" si="72"/>
        <v>INSERT INTO COTACAO (cot_id, cot_blt_id, cot_pap_id, cot_prc_comum, cot_prc_min, cot_prc_max, cot_prc_med, cot_prc_mediana) VALUES (2364, 97, 14,  84.00,  84.00,  108.00,  92.00,  84.00);</v>
      </c>
      <c r="J2365" t="str">
        <f t="shared" si="73"/>
        <v>UPDATE COTACAO SET cot_id = 2364, cot_blt_id = 97, cot_pap_id = 14, cot_prc_comum =  84.00, cot_prc_min =  84.00, cot_prc_max =  108.00, cot_prc_med =  92.00, cot_prc_mediana =  84.00 WHERE cot_id = 2364;</v>
      </c>
    </row>
    <row r="2366" spans="1:10" x14ac:dyDescent="0.3">
      <c r="A2366">
        <v>2365</v>
      </c>
      <c r="B2366">
        <f>IF('Boletins Nuppa Site'!A2366&lt;&gt;0,'Boletins Nuppa Site'!A2366,"NULL")</f>
        <v>97</v>
      </c>
      <c r="C2366">
        <v>15</v>
      </c>
      <c r="D2366" t="str">
        <f>IF('Boletins Nuppa Site'!G2366&lt;&gt;0,'Boletins Nuppa Site'!G2366,"NULL")</f>
        <v xml:space="preserve"> 30.00</v>
      </c>
      <c r="E2366" s="14" t="str">
        <f>IF('Boletins Nuppa Site'!H2366&lt;&gt;0,'Boletins Nuppa Site'!H2366,"NULL")</f>
        <v xml:space="preserve"> 60.00</v>
      </c>
      <c r="F2366" s="14" t="str">
        <f>IF('Boletins Nuppa Site'!I2366&lt;&gt;0,'Boletins Nuppa Site'!I2366,"NULL")</f>
        <v xml:space="preserve"> 84.00</v>
      </c>
      <c r="G2366" s="14" t="str">
        <f>IF('Boletins Nuppa Site'!J2366&lt;&gt;0,'Boletins Nuppa Site'!J2366,"NULL")</f>
        <v xml:space="preserve"> 58.50</v>
      </c>
      <c r="H2366" s="14" t="str">
        <f>IF('Boletins Nuppa Site'!K2366&lt;&gt;0,'Boletins Nuppa Site'!K2366,"NULL")</f>
        <v xml:space="preserve"> 60.00</v>
      </c>
      <c r="I2366" t="str">
        <f t="shared" si="72"/>
        <v>INSERT INTO COTACAO (cot_id, cot_blt_id, cot_pap_id, cot_prc_comum, cot_prc_min, cot_prc_max, cot_prc_med, cot_prc_mediana) VALUES (2365, 97, 15,  30.00,  60.00,  84.00,  58.50,  60.00);</v>
      </c>
      <c r="J2366" t="str">
        <f t="shared" si="73"/>
        <v>UPDATE COTACAO SET cot_id = 2365, cot_blt_id = 97, cot_pap_id = 15, cot_prc_comum =  30.00, cot_prc_min =  60.00, cot_prc_max =  84.00, cot_prc_med =  58.50, cot_prc_mediana =  60.00 WHERE cot_id = 2365;</v>
      </c>
    </row>
    <row r="2367" spans="1:10" x14ac:dyDescent="0.3">
      <c r="A2367">
        <v>2366</v>
      </c>
      <c r="B2367">
        <f>IF('Boletins Nuppa Site'!A2367&lt;&gt;0,'Boletins Nuppa Site'!A2367,"NULL")</f>
        <v>97</v>
      </c>
      <c r="C2367">
        <v>16</v>
      </c>
      <c r="D2367" t="str">
        <f>IF('Boletins Nuppa Site'!G2367&lt;&gt;0,'Boletins Nuppa Site'!G2367,"NULL")</f>
        <v xml:space="preserve"> 60.00</v>
      </c>
      <c r="E2367" s="14" t="str">
        <f>IF('Boletins Nuppa Site'!H2367&lt;&gt;0,'Boletins Nuppa Site'!H2367,"NULL")</f>
        <v xml:space="preserve"> 30.00</v>
      </c>
      <c r="F2367" s="14" t="str">
        <f>IF('Boletins Nuppa Site'!I2367&lt;&gt;0,'Boletins Nuppa Site'!I2367,"NULL")</f>
        <v xml:space="preserve"> 64.00</v>
      </c>
      <c r="G2367" s="14" t="str">
        <f>IF('Boletins Nuppa Site'!J2367&lt;&gt;0,'Boletins Nuppa Site'!J2367,"NULL")</f>
        <v xml:space="preserve"> 53.50</v>
      </c>
      <c r="H2367" s="14" t="str">
        <f>IF('Boletins Nuppa Site'!K2367&lt;&gt;0,'Boletins Nuppa Site'!K2367,"NULL")</f>
        <v xml:space="preserve"> 60.00</v>
      </c>
      <c r="I2367" t="str">
        <f t="shared" si="72"/>
        <v>INSERT INTO COTACAO (cot_id, cot_blt_id, cot_pap_id, cot_prc_comum, cot_prc_min, cot_prc_max, cot_prc_med, cot_prc_mediana) VALUES (2366, 97, 16,  60.00,  30.00,  64.00,  53.50,  60.00);</v>
      </c>
      <c r="J2367" t="str">
        <f t="shared" si="73"/>
        <v>UPDATE COTACAO SET cot_id = 2366, cot_blt_id = 97, cot_pap_id = 16, cot_prc_comum =  60.00, cot_prc_min =  30.00, cot_prc_max =  64.00, cot_prc_med =  53.50, cot_prc_mediana =  60.00 WHERE cot_id = 2366;</v>
      </c>
    </row>
    <row r="2368" spans="1:10" x14ac:dyDescent="0.3">
      <c r="A2368">
        <v>2367</v>
      </c>
      <c r="B2368">
        <f>IF('Boletins Nuppa Site'!A2368&lt;&gt;0,'Boletins Nuppa Site'!A2368,"NULL")</f>
        <v>97</v>
      </c>
      <c r="C2368">
        <v>17</v>
      </c>
      <c r="D2368" t="str">
        <f>IF('Boletins Nuppa Site'!G2368&lt;&gt;0,'Boletins Nuppa Site'!G2368,"NULL")</f>
        <v xml:space="preserve"> 5.00</v>
      </c>
      <c r="E2368" s="14" t="str">
        <f>IF('Boletins Nuppa Site'!H2368&lt;&gt;0,'Boletins Nuppa Site'!H2368,"NULL")</f>
        <v xml:space="preserve"> 5.00</v>
      </c>
      <c r="F2368" s="14" t="str">
        <f>IF('Boletins Nuppa Site'!I2368&lt;&gt;0,'Boletins Nuppa Site'!I2368,"NULL")</f>
        <v xml:space="preserve"> 6.00</v>
      </c>
      <c r="G2368" s="14" t="str">
        <f>IF('Boletins Nuppa Site'!J2368&lt;&gt;0,'Boletins Nuppa Site'!J2368,"NULL")</f>
        <v xml:space="preserve"> 5.25</v>
      </c>
      <c r="H2368" s="14" t="str">
        <f>IF('Boletins Nuppa Site'!K2368&lt;&gt;0,'Boletins Nuppa Site'!K2368,"NULL")</f>
        <v xml:space="preserve"> 5.00</v>
      </c>
      <c r="I2368" t="str">
        <f t="shared" si="72"/>
        <v>INSERT INTO COTACAO (cot_id, cot_blt_id, cot_pap_id, cot_prc_comum, cot_prc_min, cot_prc_max, cot_prc_med, cot_prc_mediana) VALUES (2367, 97, 17,  5.00,  5.00,  6.00,  5.25,  5.00);</v>
      </c>
      <c r="J2368" t="str">
        <f t="shared" si="73"/>
        <v>UPDATE COTACAO SET cot_id = 2367, cot_blt_id = 97, cot_pap_id = 17, cot_prc_comum =  5.00, cot_prc_min =  5.00, cot_prc_max =  6.00, cot_prc_med =  5.25, cot_prc_mediana =  5.00 WHERE cot_id = 2367;</v>
      </c>
    </row>
    <row r="2369" spans="1:10" x14ac:dyDescent="0.3">
      <c r="A2369">
        <v>2368</v>
      </c>
      <c r="B2369">
        <f>IF('Boletins Nuppa Site'!A2369&lt;&gt;0,'Boletins Nuppa Site'!A2369,"NULL")</f>
        <v>97</v>
      </c>
      <c r="C2369">
        <v>18</v>
      </c>
      <c r="D2369" t="str">
        <f>IF('Boletins Nuppa Site'!G2369&lt;&gt;0,'Boletins Nuppa Site'!G2369,"NULL")</f>
        <v xml:space="preserve"> 45.00</v>
      </c>
      <c r="E2369" s="14" t="str">
        <f>IF('Boletins Nuppa Site'!H2369&lt;&gt;0,'Boletins Nuppa Site'!H2369,"NULL")</f>
        <v xml:space="preserve"> 50.00</v>
      </c>
      <c r="F2369" s="14" t="str">
        <f>IF('Boletins Nuppa Site'!I2369&lt;&gt;0,'Boletins Nuppa Site'!I2369,"NULL")</f>
        <v xml:space="preserve"> 50.00</v>
      </c>
      <c r="G2369" s="14" t="str">
        <f>IF('Boletins Nuppa Site'!J2369&lt;&gt;0,'Boletins Nuppa Site'!J2369,"NULL")</f>
        <v xml:space="preserve"> 47.50</v>
      </c>
      <c r="H2369" s="14" t="str">
        <f>IF('Boletins Nuppa Site'!K2369&lt;&gt;0,'Boletins Nuppa Site'!K2369,"NULL")</f>
        <v xml:space="preserve"> 47.50</v>
      </c>
      <c r="I2369" t="str">
        <f t="shared" si="72"/>
        <v>INSERT INTO COTACAO (cot_id, cot_blt_id, cot_pap_id, cot_prc_comum, cot_prc_min, cot_prc_max, cot_prc_med, cot_prc_mediana) VALUES (2368, 97, 18,  45.00,  50.00,  50.00,  47.50,  47.50);</v>
      </c>
      <c r="J2369" t="str">
        <f t="shared" si="73"/>
        <v>UPDATE COTACAO SET cot_id = 2368, cot_blt_id = 97, cot_pap_id = 18, cot_prc_comum =  45.00, cot_prc_min =  50.00, cot_prc_max =  50.00, cot_prc_med =  47.50, cot_prc_mediana =  47.50 WHERE cot_id = 2368;</v>
      </c>
    </row>
    <row r="2370" spans="1:10" x14ac:dyDescent="0.3">
      <c r="A2370">
        <v>2369</v>
      </c>
      <c r="B2370">
        <f>IF('Boletins Nuppa Site'!A2370&lt;&gt;0,'Boletins Nuppa Site'!A2370,"NULL")</f>
        <v>97</v>
      </c>
      <c r="C2370">
        <v>19</v>
      </c>
      <c r="D2370" t="str">
        <f>IF('Boletins Nuppa Site'!G2370&lt;&gt;0,'Boletins Nuppa Site'!G2370,"NULL")</f>
        <v xml:space="preserve"> 40.00</v>
      </c>
      <c r="E2370" s="14" t="str">
        <f>IF('Boletins Nuppa Site'!H2370&lt;&gt;0,'Boletins Nuppa Site'!H2370,"NULL")</f>
        <v xml:space="preserve"> 30.00</v>
      </c>
      <c r="F2370" s="14" t="str">
        <f>IF('Boletins Nuppa Site'!I2370&lt;&gt;0,'Boletins Nuppa Site'!I2370,"NULL")</f>
        <v xml:space="preserve"> 40.00</v>
      </c>
      <c r="G2370" s="14" t="str">
        <f>IF('Boletins Nuppa Site'!J2370&lt;&gt;0,'Boletins Nuppa Site'!J2370,"NULL")</f>
        <v xml:space="preserve"> 36.25</v>
      </c>
      <c r="H2370" s="14" t="str">
        <f>IF('Boletins Nuppa Site'!K2370&lt;&gt;0,'Boletins Nuppa Site'!K2370,"NULL")</f>
        <v xml:space="preserve"> 37.50</v>
      </c>
      <c r="I2370" t="str">
        <f t="shared" si="72"/>
        <v>INSERT INTO COTACAO (cot_id, cot_blt_id, cot_pap_id, cot_prc_comum, cot_prc_min, cot_prc_max, cot_prc_med, cot_prc_mediana) VALUES (2369, 97, 19,  40.00,  30.00,  40.00,  36.25,  37.50);</v>
      </c>
      <c r="J2370" t="str">
        <f t="shared" si="73"/>
        <v>UPDATE COTACAO SET cot_id = 2369, cot_blt_id = 97, cot_pap_id = 19, cot_prc_comum =  40.00, cot_prc_min =  30.00, cot_prc_max =  40.00, cot_prc_med =  36.25, cot_prc_mediana =  37.50 WHERE cot_id = 2369;</v>
      </c>
    </row>
    <row r="2371" spans="1:10" x14ac:dyDescent="0.3">
      <c r="A2371">
        <v>2370</v>
      </c>
      <c r="B2371">
        <f>IF('Boletins Nuppa Site'!A2371&lt;&gt;0,'Boletins Nuppa Site'!A2371,"NULL")</f>
        <v>97</v>
      </c>
      <c r="C2371">
        <v>20</v>
      </c>
      <c r="D2371" t="str">
        <f>IF('Boletins Nuppa Site'!G2371&lt;&gt;0,'Boletins Nuppa Site'!G2371,"NULL")</f>
        <v xml:space="preserve"> 60.00</v>
      </c>
      <c r="E2371" s="14" t="str">
        <f>IF('Boletins Nuppa Site'!H2371&lt;&gt;0,'Boletins Nuppa Site'!H2371,"NULL")</f>
        <v xml:space="preserve"> 60.00</v>
      </c>
      <c r="F2371" s="14" t="str">
        <f>IF('Boletins Nuppa Site'!I2371&lt;&gt;0,'Boletins Nuppa Site'!I2371,"NULL")</f>
        <v xml:space="preserve"> 65.00</v>
      </c>
      <c r="G2371" s="14" t="str">
        <f>IF('Boletins Nuppa Site'!J2371&lt;&gt;0,'Boletins Nuppa Site'!J2371,"NULL")</f>
        <v xml:space="preserve"> 61.67</v>
      </c>
      <c r="H2371" s="14" t="str">
        <f>IF('Boletins Nuppa Site'!K2371&lt;&gt;0,'Boletins Nuppa Site'!K2371,"NULL")</f>
        <v xml:space="preserve"> 60.00</v>
      </c>
      <c r="I2371" t="str">
        <f t="shared" ref="I2371:I2434" si="74">"INSERT INTO COTACAO (cot_id, cot_blt_id, cot_pap_id, cot_prc_comum, cot_prc_min, cot_prc_max, cot_prc_med, cot_prc_mediana) VALUES ("&amp;A2371&amp;", "&amp;B2371&amp;", "&amp;C2371&amp;", "&amp;D2371&amp;", "&amp;E2371&amp;", "&amp;F2371&amp;", "&amp;G2371&amp;", "&amp;H2371&amp;");"</f>
        <v>INSERT INTO COTACAO (cot_id, cot_blt_id, cot_pap_id, cot_prc_comum, cot_prc_min, cot_prc_max, cot_prc_med, cot_prc_mediana) VALUES (2370, 97, 20,  60.00,  60.00,  65.00,  61.67,  60.00);</v>
      </c>
      <c r="J2371" t="str">
        <f t="shared" ref="J2371:J2434" si="75">"UPDATE COTACAO SET cot_id = "&amp;A2371&amp;", cot_blt_id = "&amp;B2371&amp;", cot_pap_id = "&amp;C2371&amp;", cot_prc_comum = "&amp;D2371&amp;", cot_prc_min = "&amp;E2371&amp;", cot_prc_max = "&amp;F2371&amp;", cot_prc_med = "&amp;G2371&amp;", cot_prc_mediana = "&amp;H2371&amp;" WHERE cot_id = "&amp;A2371&amp;";"</f>
        <v>UPDATE COTACAO SET cot_id = 2370, cot_blt_id = 97, cot_pap_id = 20, cot_prc_comum =  60.00, cot_prc_min =  60.00, cot_prc_max =  65.00, cot_prc_med =  61.67, cot_prc_mediana =  60.00 WHERE cot_id = 2370;</v>
      </c>
    </row>
    <row r="2372" spans="1:10" x14ac:dyDescent="0.3">
      <c r="A2372">
        <v>2371</v>
      </c>
      <c r="B2372">
        <f>IF('Boletins Nuppa Site'!A2372&lt;&gt;0,'Boletins Nuppa Site'!A2372,"NULL")</f>
        <v>97</v>
      </c>
      <c r="C2372">
        <v>21</v>
      </c>
      <c r="D2372" t="str">
        <f>IF('Boletins Nuppa Site'!G2372&lt;&gt;0,'Boletins Nuppa Site'!G2372,"NULL")</f>
        <v xml:space="preserve"> 60.00</v>
      </c>
      <c r="E2372" s="14" t="str">
        <f>IF('Boletins Nuppa Site'!H2372&lt;&gt;0,'Boletins Nuppa Site'!H2372,"NULL")</f>
        <v xml:space="preserve"> 80.00</v>
      </c>
      <c r="F2372" s="14" t="str">
        <f>IF('Boletins Nuppa Site'!I2372&lt;&gt;0,'Boletins Nuppa Site'!I2372,"NULL")</f>
        <v xml:space="preserve"> 80.00</v>
      </c>
      <c r="G2372" s="14" t="str">
        <f>IF('Boletins Nuppa Site'!J2372&lt;&gt;0,'Boletins Nuppa Site'!J2372,"NULL")</f>
        <v xml:space="preserve"> 73.33</v>
      </c>
      <c r="H2372" s="14" t="str">
        <f>IF('Boletins Nuppa Site'!K2372&lt;&gt;0,'Boletins Nuppa Site'!K2372,"NULL")</f>
        <v xml:space="preserve"> 80.00</v>
      </c>
      <c r="I2372" t="str">
        <f t="shared" si="74"/>
        <v>INSERT INTO COTACAO (cot_id, cot_blt_id, cot_pap_id, cot_prc_comum, cot_prc_min, cot_prc_max, cot_prc_med, cot_prc_mediana) VALUES (2371, 97, 21,  60.00,  80.00,  80.00,  73.33,  80.00);</v>
      </c>
      <c r="J2372" t="str">
        <f t="shared" si="75"/>
        <v>UPDATE COTACAO SET cot_id = 2371, cot_blt_id = 97, cot_pap_id = 21, cot_prc_comum =  60.00, cot_prc_min =  80.00, cot_prc_max =  80.00, cot_prc_med =  73.33, cot_prc_mediana =  80.00 WHERE cot_id = 2371;</v>
      </c>
    </row>
    <row r="2373" spans="1:10" x14ac:dyDescent="0.3">
      <c r="A2373">
        <v>2372</v>
      </c>
      <c r="B2373">
        <f>IF('Boletins Nuppa Site'!A2373&lt;&gt;0,'Boletins Nuppa Site'!A2373,"NULL")</f>
        <v>97</v>
      </c>
      <c r="C2373">
        <v>22</v>
      </c>
      <c r="D2373" t="str">
        <f>IF('Boletins Nuppa Site'!G2373&lt;&gt;0,'Boletins Nuppa Site'!G2373,"NULL")</f>
        <v>NULL</v>
      </c>
      <c r="E2373" s="14" t="str">
        <f>IF('Boletins Nuppa Site'!H2373&lt;&gt;0,'Boletins Nuppa Site'!H2373,"NULL")</f>
        <v xml:space="preserve"> 45.00</v>
      </c>
      <c r="F2373" s="14" t="str">
        <f>IF('Boletins Nuppa Site'!I2373&lt;&gt;0,'Boletins Nuppa Site'!I2373,"NULL")</f>
        <v xml:space="preserve"> 65.00</v>
      </c>
      <c r="G2373" s="14" t="str">
        <f>IF('Boletins Nuppa Site'!J2373&lt;&gt;0,'Boletins Nuppa Site'!J2373,"NULL")</f>
        <v xml:space="preserve"> 55.00</v>
      </c>
      <c r="H2373" s="14" t="str">
        <f>IF('Boletins Nuppa Site'!K2373&lt;&gt;0,'Boletins Nuppa Site'!K2373,"NULL")</f>
        <v xml:space="preserve"> 55.00</v>
      </c>
      <c r="I2373" t="str">
        <f t="shared" si="74"/>
        <v>INSERT INTO COTACAO (cot_id, cot_blt_id, cot_pap_id, cot_prc_comum, cot_prc_min, cot_prc_max, cot_prc_med, cot_prc_mediana) VALUES (2372, 97, 22, NULL,  45.00,  65.00,  55.00,  55.00);</v>
      </c>
      <c r="J2373" t="str">
        <f t="shared" si="75"/>
        <v>UPDATE COTACAO SET cot_id = 2372, cot_blt_id = 97, cot_pap_id = 22, cot_prc_comum = NULL, cot_prc_min =  45.00, cot_prc_max =  65.00, cot_prc_med =  55.00, cot_prc_mediana =  55.00 WHERE cot_id = 2372;</v>
      </c>
    </row>
    <row r="2374" spans="1:10" x14ac:dyDescent="0.3">
      <c r="A2374">
        <v>2373</v>
      </c>
      <c r="B2374">
        <f>IF('Boletins Nuppa Site'!A2374&lt;&gt;0,'Boletins Nuppa Site'!A2374,"NULL")</f>
        <v>97</v>
      </c>
      <c r="C2374">
        <v>23</v>
      </c>
      <c r="D2374" t="str">
        <f>IF('Boletins Nuppa Site'!G2374&lt;&gt;0,'Boletins Nuppa Site'!G2374,"NULL")</f>
        <v xml:space="preserve"> 40.00</v>
      </c>
      <c r="E2374" s="14" t="str">
        <f>IF('Boletins Nuppa Site'!H2374&lt;&gt;0,'Boletins Nuppa Site'!H2374,"NULL")</f>
        <v xml:space="preserve"> 50.00</v>
      </c>
      <c r="F2374" s="14" t="str">
        <f>IF('Boletins Nuppa Site'!I2374&lt;&gt;0,'Boletins Nuppa Site'!I2374,"NULL")</f>
        <v xml:space="preserve"> 55.00</v>
      </c>
      <c r="G2374" s="14" t="str">
        <f>IF('Boletins Nuppa Site'!J2374&lt;&gt;0,'Boletins Nuppa Site'!J2374,"NULL")</f>
        <v xml:space="preserve"> 48.75</v>
      </c>
      <c r="H2374" s="14" t="str">
        <f>IF('Boletins Nuppa Site'!K2374&lt;&gt;0,'Boletins Nuppa Site'!K2374,"NULL")</f>
        <v xml:space="preserve"> 50.00</v>
      </c>
      <c r="I2374" t="str">
        <f t="shared" si="74"/>
        <v>INSERT INTO COTACAO (cot_id, cot_blt_id, cot_pap_id, cot_prc_comum, cot_prc_min, cot_prc_max, cot_prc_med, cot_prc_mediana) VALUES (2373, 97, 23,  40.00,  50.00,  55.00,  48.75,  50.00);</v>
      </c>
      <c r="J2374" t="str">
        <f t="shared" si="75"/>
        <v>UPDATE COTACAO SET cot_id = 2373, cot_blt_id = 97, cot_pap_id = 23, cot_prc_comum =  40.00, cot_prc_min =  50.00, cot_prc_max =  55.00, cot_prc_med =  48.75, cot_prc_mediana =  50.00 WHERE cot_id = 2373;</v>
      </c>
    </row>
    <row r="2375" spans="1:10" x14ac:dyDescent="0.3">
      <c r="A2375">
        <v>2374</v>
      </c>
      <c r="B2375">
        <f>IF('Boletins Nuppa Site'!A2375&lt;&gt;0,'Boletins Nuppa Site'!A2375,"NULL")</f>
        <v>97</v>
      </c>
      <c r="C2375">
        <v>24</v>
      </c>
      <c r="D2375" t="str">
        <f>IF('Boletins Nuppa Site'!G2375&lt;&gt;0,'Boletins Nuppa Site'!G2375,"NULL")</f>
        <v>NULL</v>
      </c>
      <c r="E2375" s="14" t="str">
        <f>IF('Boletins Nuppa Site'!H2375&lt;&gt;0,'Boletins Nuppa Site'!H2375,"NULL")</f>
        <v xml:space="preserve"> 90.00</v>
      </c>
      <c r="F2375" s="14" t="str">
        <f>IF('Boletins Nuppa Site'!I2375&lt;&gt;0,'Boletins Nuppa Site'!I2375,"NULL")</f>
        <v xml:space="preserve"> 90.00</v>
      </c>
      <c r="G2375" s="14" t="str">
        <f>IF('Boletins Nuppa Site'!J2375&lt;&gt;0,'Boletins Nuppa Site'!J2375,"NULL")</f>
        <v xml:space="preserve"> 90.00</v>
      </c>
      <c r="H2375" s="14" t="str">
        <f>IF('Boletins Nuppa Site'!K2375&lt;&gt;0,'Boletins Nuppa Site'!K2375,"NULL")</f>
        <v xml:space="preserve"> 90.00</v>
      </c>
      <c r="I2375" t="str">
        <f t="shared" si="74"/>
        <v>INSERT INTO COTACAO (cot_id, cot_blt_id, cot_pap_id, cot_prc_comum, cot_prc_min, cot_prc_max, cot_prc_med, cot_prc_mediana) VALUES (2374, 97, 24, NULL,  90.00,  90.00,  90.00,  90.00);</v>
      </c>
      <c r="J2375" t="str">
        <f t="shared" si="75"/>
        <v>UPDATE COTACAO SET cot_id = 2374, cot_blt_id = 97, cot_pap_id = 24, cot_prc_comum = NULL, cot_prc_min =  90.00, cot_prc_max =  90.00, cot_prc_med =  90.00, cot_prc_mediana =  90.00 WHERE cot_id = 2374;</v>
      </c>
    </row>
    <row r="2376" spans="1:10" x14ac:dyDescent="0.3">
      <c r="A2376">
        <v>2375</v>
      </c>
      <c r="B2376">
        <f>IF('Boletins Nuppa Site'!A2376&lt;&gt;0,'Boletins Nuppa Site'!A2376,"NULL")</f>
        <v>97</v>
      </c>
      <c r="C2376">
        <v>25</v>
      </c>
      <c r="D2376" t="str">
        <f>IF('Boletins Nuppa Site'!G2376&lt;&gt;0,'Boletins Nuppa Site'!G2376,"NULL")</f>
        <v xml:space="preserve"> 50.00</v>
      </c>
      <c r="E2376" s="14" t="str">
        <f>IF('Boletins Nuppa Site'!H2376&lt;&gt;0,'Boletins Nuppa Site'!H2376,"NULL")</f>
        <v xml:space="preserve"> 60.00</v>
      </c>
      <c r="F2376" s="14" t="str">
        <f>IF('Boletins Nuppa Site'!I2376&lt;&gt;0,'Boletins Nuppa Site'!I2376,"NULL")</f>
        <v xml:space="preserve"> 60.00</v>
      </c>
      <c r="G2376" s="14" t="str">
        <f>IF('Boletins Nuppa Site'!J2376&lt;&gt;0,'Boletins Nuppa Site'!J2376,"NULL")</f>
        <v xml:space="preserve"> 57.50</v>
      </c>
      <c r="H2376" s="14" t="str">
        <f>IF('Boletins Nuppa Site'!K2376&lt;&gt;0,'Boletins Nuppa Site'!K2376,"NULL")</f>
        <v xml:space="preserve"> 60.00</v>
      </c>
      <c r="I2376" t="str">
        <f t="shared" si="74"/>
        <v>INSERT INTO COTACAO (cot_id, cot_blt_id, cot_pap_id, cot_prc_comum, cot_prc_min, cot_prc_max, cot_prc_med, cot_prc_mediana) VALUES (2375, 97, 25,  50.00,  60.00,  60.00,  57.50,  60.00);</v>
      </c>
      <c r="J2376" t="str">
        <f t="shared" si="75"/>
        <v>UPDATE COTACAO SET cot_id = 2375, cot_blt_id = 97, cot_pap_id = 25, cot_prc_comum =  50.00, cot_prc_min =  60.00, cot_prc_max =  60.00, cot_prc_med =  57.50, cot_prc_mediana =  60.00 WHERE cot_id = 2375;</v>
      </c>
    </row>
    <row r="2377" spans="1:10" x14ac:dyDescent="0.3">
      <c r="A2377">
        <v>2376</v>
      </c>
      <c r="B2377">
        <f>IF('Boletins Nuppa Site'!A2377&lt;&gt;0,'Boletins Nuppa Site'!A2377,"NULL")</f>
        <v>97</v>
      </c>
      <c r="C2377">
        <v>26</v>
      </c>
      <c r="D2377" t="str">
        <f>IF('Boletins Nuppa Site'!G2377&lt;&gt;0,'Boletins Nuppa Site'!G2377,"NULL")</f>
        <v>NULL</v>
      </c>
      <c r="E2377" s="14" t="str">
        <f>IF('Boletins Nuppa Site'!H2377&lt;&gt;0,'Boletins Nuppa Site'!H2377,"NULL")</f>
        <v xml:space="preserve"> 30.00</v>
      </c>
      <c r="F2377" s="14" t="str">
        <f>IF('Boletins Nuppa Site'!I2377&lt;&gt;0,'Boletins Nuppa Site'!I2377,"NULL")</f>
        <v xml:space="preserve"> 90.00</v>
      </c>
      <c r="G2377" s="14" t="str">
        <f>IF('Boletins Nuppa Site'!J2377&lt;&gt;0,'Boletins Nuppa Site'!J2377,"NULL")</f>
        <v xml:space="preserve"> 62.50</v>
      </c>
      <c r="H2377" s="14" t="str">
        <f>IF('Boletins Nuppa Site'!K2377&lt;&gt;0,'Boletins Nuppa Site'!K2377,"NULL")</f>
        <v xml:space="preserve"> 65.00</v>
      </c>
      <c r="I2377" t="str">
        <f t="shared" si="74"/>
        <v>INSERT INTO COTACAO (cot_id, cot_blt_id, cot_pap_id, cot_prc_comum, cot_prc_min, cot_prc_max, cot_prc_med, cot_prc_mediana) VALUES (2376, 97, 26, NULL,  30.00,  90.00,  62.50,  65.00);</v>
      </c>
      <c r="J2377" t="str">
        <f t="shared" si="75"/>
        <v>UPDATE COTACAO SET cot_id = 2376, cot_blt_id = 97, cot_pap_id = 26, cot_prc_comum = NULL, cot_prc_min =  30.00, cot_prc_max =  90.00, cot_prc_med =  62.50, cot_prc_mediana =  65.00 WHERE cot_id = 2376;</v>
      </c>
    </row>
    <row r="2378" spans="1:10" x14ac:dyDescent="0.3">
      <c r="A2378">
        <v>2377</v>
      </c>
      <c r="B2378">
        <f>IF('Boletins Nuppa Site'!A2378&lt;&gt;0,'Boletins Nuppa Site'!A2378,"NULL")</f>
        <v>97</v>
      </c>
      <c r="C2378">
        <v>27</v>
      </c>
      <c r="D2378" t="str">
        <f>IF('Boletins Nuppa Site'!G2378&lt;&gt;0,'Boletins Nuppa Site'!G2378,"NULL")</f>
        <v>NULL</v>
      </c>
      <c r="E2378" s="14" t="str">
        <f>IF('Boletins Nuppa Site'!H2378&lt;&gt;0,'Boletins Nuppa Site'!H2378,"NULL")</f>
        <v xml:space="preserve"> 70.00</v>
      </c>
      <c r="F2378" s="14" t="str">
        <f>IF('Boletins Nuppa Site'!I2378&lt;&gt;0,'Boletins Nuppa Site'!I2378,"NULL")</f>
        <v xml:space="preserve"> 100.00</v>
      </c>
      <c r="G2378" s="14" t="str">
        <f>IF('Boletins Nuppa Site'!J2378&lt;&gt;0,'Boletins Nuppa Site'!J2378,"NULL")</f>
        <v xml:space="preserve"> 86.67</v>
      </c>
      <c r="H2378" s="14" t="str">
        <f>IF('Boletins Nuppa Site'!K2378&lt;&gt;0,'Boletins Nuppa Site'!K2378,"NULL")</f>
        <v xml:space="preserve"> 90.00</v>
      </c>
      <c r="I2378" t="str">
        <f t="shared" si="74"/>
        <v>INSERT INTO COTACAO (cot_id, cot_blt_id, cot_pap_id, cot_prc_comum, cot_prc_min, cot_prc_max, cot_prc_med, cot_prc_mediana) VALUES (2377, 97, 27, NULL,  70.00,  100.00,  86.67,  90.00);</v>
      </c>
      <c r="J2378" t="str">
        <f t="shared" si="75"/>
        <v>UPDATE COTACAO SET cot_id = 2377, cot_blt_id = 97, cot_pap_id = 27, cot_prc_comum = NULL, cot_prc_min =  70.00, cot_prc_max =  100.00, cot_prc_med =  86.67, cot_prc_mediana =  90.00 WHERE cot_id = 2377;</v>
      </c>
    </row>
    <row r="2379" spans="1:10" x14ac:dyDescent="0.3">
      <c r="A2379">
        <v>2378</v>
      </c>
      <c r="B2379">
        <f>IF('Boletins Nuppa Site'!A2379&lt;&gt;0,'Boletins Nuppa Site'!A2379,"NULL")</f>
        <v>97</v>
      </c>
      <c r="C2379">
        <v>28</v>
      </c>
      <c r="D2379" t="str">
        <f>IF('Boletins Nuppa Site'!G2379&lt;&gt;0,'Boletins Nuppa Site'!G2379,"NULL")</f>
        <v>NULL</v>
      </c>
      <c r="E2379" s="14" t="str">
        <f>IF('Boletins Nuppa Site'!H2379&lt;&gt;0,'Boletins Nuppa Site'!H2379,"NULL")</f>
        <v xml:space="preserve"> 70.00</v>
      </c>
      <c r="F2379" s="14" t="str">
        <f>IF('Boletins Nuppa Site'!I2379&lt;&gt;0,'Boletins Nuppa Site'!I2379,"NULL")</f>
        <v xml:space="preserve"> 90.00</v>
      </c>
      <c r="G2379" s="14" t="str">
        <f>IF('Boletins Nuppa Site'!J2379&lt;&gt;0,'Boletins Nuppa Site'!J2379,"NULL")</f>
        <v xml:space="preserve"> 80.00</v>
      </c>
      <c r="H2379" s="14" t="str">
        <f>IF('Boletins Nuppa Site'!K2379&lt;&gt;0,'Boletins Nuppa Site'!K2379,"NULL")</f>
        <v xml:space="preserve"> 80.00</v>
      </c>
      <c r="I2379" t="str">
        <f t="shared" si="74"/>
        <v>INSERT INTO COTACAO (cot_id, cot_blt_id, cot_pap_id, cot_prc_comum, cot_prc_min, cot_prc_max, cot_prc_med, cot_prc_mediana) VALUES (2378, 97, 28, NULL,  70.00,  90.00,  80.00,  80.00);</v>
      </c>
      <c r="J2379" t="str">
        <f t="shared" si="75"/>
        <v>UPDATE COTACAO SET cot_id = 2378, cot_blt_id = 97, cot_pap_id = 28, cot_prc_comum = NULL, cot_prc_min =  70.00, cot_prc_max =  90.00, cot_prc_med =  80.00, cot_prc_mediana =  80.00 WHERE cot_id = 2378;</v>
      </c>
    </row>
    <row r="2380" spans="1:10" x14ac:dyDescent="0.3">
      <c r="A2380">
        <v>2379</v>
      </c>
      <c r="B2380">
        <f>IF('Boletins Nuppa Site'!A2380&lt;&gt;0,'Boletins Nuppa Site'!A2380,"NULL")</f>
        <v>97</v>
      </c>
      <c r="C2380">
        <v>29</v>
      </c>
      <c r="D2380" t="str">
        <f>IF('Boletins Nuppa Site'!G2380&lt;&gt;0,'Boletins Nuppa Site'!G2380,"NULL")</f>
        <v xml:space="preserve"> 50.00</v>
      </c>
      <c r="E2380" s="14" t="str">
        <f>IF('Boletins Nuppa Site'!H2380&lt;&gt;0,'Boletins Nuppa Site'!H2380,"NULL")</f>
        <v xml:space="preserve"> 50.00</v>
      </c>
      <c r="F2380" s="14" t="str">
        <f>IF('Boletins Nuppa Site'!I2380&lt;&gt;0,'Boletins Nuppa Site'!I2380,"NULL")</f>
        <v xml:space="preserve"> 50.00</v>
      </c>
      <c r="G2380" s="14" t="str">
        <f>IF('Boletins Nuppa Site'!J2380&lt;&gt;0,'Boletins Nuppa Site'!J2380,"NULL")</f>
        <v xml:space="preserve"> 50.00</v>
      </c>
      <c r="H2380" s="14" t="str">
        <f>IF('Boletins Nuppa Site'!K2380&lt;&gt;0,'Boletins Nuppa Site'!K2380,"NULL")</f>
        <v xml:space="preserve"> 50.00</v>
      </c>
      <c r="I2380" t="str">
        <f t="shared" si="74"/>
        <v>INSERT INTO COTACAO (cot_id, cot_blt_id, cot_pap_id, cot_prc_comum, cot_prc_min, cot_prc_max, cot_prc_med, cot_prc_mediana) VALUES (2379, 97, 29,  50.00,  50.00,  50.00,  50.00,  50.00);</v>
      </c>
      <c r="J2380" t="str">
        <f t="shared" si="75"/>
        <v>UPDATE COTACAO SET cot_id = 2379, cot_blt_id = 97, cot_pap_id = 29, cot_prc_comum =  50.00, cot_prc_min =  50.00, cot_prc_max =  50.00, cot_prc_med =  50.00, cot_prc_mediana =  50.00 WHERE cot_id = 2379;</v>
      </c>
    </row>
    <row r="2381" spans="1:10" x14ac:dyDescent="0.3">
      <c r="A2381">
        <v>2380</v>
      </c>
      <c r="B2381">
        <f>IF('Boletins Nuppa Site'!A2381&lt;&gt;0,'Boletins Nuppa Site'!A2381,"NULL")</f>
        <v>97</v>
      </c>
      <c r="C2381">
        <v>30</v>
      </c>
      <c r="D2381" t="str">
        <f>IF('Boletins Nuppa Site'!G2381&lt;&gt;0,'Boletins Nuppa Site'!G2381,"NULL")</f>
        <v>NULL</v>
      </c>
      <c r="E2381" s="14" t="str">
        <f>IF('Boletins Nuppa Site'!H2381&lt;&gt;0,'Boletins Nuppa Site'!H2381,"NULL")</f>
        <v xml:space="preserve"> 60.00</v>
      </c>
      <c r="F2381" s="14" t="str">
        <f>IF('Boletins Nuppa Site'!I2381&lt;&gt;0,'Boletins Nuppa Site'!I2381,"NULL")</f>
        <v xml:space="preserve"> 70.00</v>
      </c>
      <c r="G2381" s="14" t="str">
        <f>IF('Boletins Nuppa Site'!J2381&lt;&gt;0,'Boletins Nuppa Site'!J2381,"NULL")</f>
        <v xml:space="preserve"> 65.00</v>
      </c>
      <c r="H2381" s="14" t="str">
        <f>IF('Boletins Nuppa Site'!K2381&lt;&gt;0,'Boletins Nuppa Site'!K2381,"NULL")</f>
        <v xml:space="preserve"> 65.00</v>
      </c>
      <c r="I2381" t="str">
        <f t="shared" si="74"/>
        <v>INSERT INTO COTACAO (cot_id, cot_blt_id, cot_pap_id, cot_prc_comum, cot_prc_min, cot_prc_max, cot_prc_med, cot_prc_mediana) VALUES (2380, 97, 30, NULL,  60.00,  70.00,  65.00,  65.00);</v>
      </c>
      <c r="J2381" t="str">
        <f t="shared" si="75"/>
        <v>UPDATE COTACAO SET cot_id = 2380, cot_blt_id = 97, cot_pap_id = 30, cot_prc_comum = NULL, cot_prc_min =  60.00, cot_prc_max =  70.00, cot_prc_med =  65.00, cot_prc_mediana =  65.00 WHERE cot_id = 2380;</v>
      </c>
    </row>
    <row r="2382" spans="1:10" x14ac:dyDescent="0.3">
      <c r="A2382">
        <v>2381</v>
      </c>
      <c r="B2382">
        <f>IF('Boletins Nuppa Site'!A2382&lt;&gt;0,'Boletins Nuppa Site'!A2382,"NULL")</f>
        <v>97</v>
      </c>
      <c r="C2382">
        <v>31</v>
      </c>
      <c r="D2382" t="str">
        <f>IF('Boletins Nuppa Site'!G2382&lt;&gt;0,'Boletins Nuppa Site'!G2382,"NULL")</f>
        <v xml:space="preserve"> 100.00</v>
      </c>
      <c r="E2382" s="14" t="str">
        <f>IF('Boletins Nuppa Site'!H2382&lt;&gt;0,'Boletins Nuppa Site'!H2382,"NULL")</f>
        <v xml:space="preserve"> 75.00</v>
      </c>
      <c r="F2382" s="14" t="str">
        <f>IF('Boletins Nuppa Site'!I2382&lt;&gt;0,'Boletins Nuppa Site'!I2382,"NULL")</f>
        <v xml:space="preserve"> 100.00</v>
      </c>
      <c r="G2382" s="14" t="str">
        <f>IF('Boletins Nuppa Site'!J2382&lt;&gt;0,'Boletins Nuppa Site'!J2382,"NULL")</f>
        <v xml:space="preserve"> 93.75</v>
      </c>
      <c r="H2382" s="14" t="str">
        <f>IF('Boletins Nuppa Site'!K2382&lt;&gt;0,'Boletins Nuppa Site'!K2382,"NULL")</f>
        <v xml:space="preserve"> 100.00</v>
      </c>
      <c r="I2382" t="str">
        <f t="shared" si="74"/>
        <v>INSERT INTO COTACAO (cot_id, cot_blt_id, cot_pap_id, cot_prc_comum, cot_prc_min, cot_prc_max, cot_prc_med, cot_prc_mediana) VALUES (2381, 97, 31,  100.00,  75.00,  100.00,  93.75,  100.00);</v>
      </c>
      <c r="J2382" t="str">
        <f t="shared" si="75"/>
        <v>UPDATE COTACAO SET cot_id = 2381, cot_blt_id = 97, cot_pap_id = 31, cot_prc_comum =  100.00, cot_prc_min =  75.00, cot_prc_max =  100.00, cot_prc_med =  93.75, cot_prc_mediana =  100.00 WHERE cot_id = 2381;</v>
      </c>
    </row>
    <row r="2383" spans="1:10" x14ac:dyDescent="0.3">
      <c r="A2383">
        <v>2382</v>
      </c>
      <c r="B2383">
        <f>IF('Boletins Nuppa Site'!A2383&lt;&gt;0,'Boletins Nuppa Site'!A2383,"NULL")</f>
        <v>97</v>
      </c>
      <c r="C2383">
        <v>32</v>
      </c>
      <c r="D2383" t="str">
        <f>IF('Boletins Nuppa Site'!G2383&lt;&gt;0,'Boletins Nuppa Site'!G2383,"NULL")</f>
        <v xml:space="preserve"> 45.00</v>
      </c>
      <c r="E2383" s="14" t="str">
        <f>IF('Boletins Nuppa Site'!H2383&lt;&gt;0,'Boletins Nuppa Site'!H2383,"NULL")</f>
        <v xml:space="preserve"> 35.00</v>
      </c>
      <c r="F2383" s="14" t="str">
        <f>IF('Boletins Nuppa Site'!I2383&lt;&gt;0,'Boletins Nuppa Site'!I2383,"NULL")</f>
        <v xml:space="preserve"> 60.00</v>
      </c>
      <c r="G2383" s="14" t="str">
        <f>IF('Boletins Nuppa Site'!J2383&lt;&gt;0,'Boletins Nuppa Site'!J2383,"NULL")</f>
        <v xml:space="preserve"> 46.25</v>
      </c>
      <c r="H2383" s="14" t="str">
        <f>IF('Boletins Nuppa Site'!K2383&lt;&gt;0,'Boletins Nuppa Site'!K2383,"NULL")</f>
        <v xml:space="preserve"> 45.00</v>
      </c>
      <c r="I2383" t="str">
        <f t="shared" si="74"/>
        <v>INSERT INTO COTACAO (cot_id, cot_blt_id, cot_pap_id, cot_prc_comum, cot_prc_min, cot_prc_max, cot_prc_med, cot_prc_mediana) VALUES (2382, 97, 32,  45.00,  35.00,  60.00,  46.25,  45.00);</v>
      </c>
      <c r="J2383" t="str">
        <f t="shared" si="75"/>
        <v>UPDATE COTACAO SET cot_id = 2382, cot_blt_id = 97, cot_pap_id = 32, cot_prc_comum =  45.00, cot_prc_min =  35.00, cot_prc_max =  60.00, cot_prc_med =  46.25, cot_prc_mediana =  45.00 WHERE cot_id = 2382;</v>
      </c>
    </row>
    <row r="2384" spans="1:10" x14ac:dyDescent="0.3">
      <c r="A2384">
        <v>2383</v>
      </c>
      <c r="B2384">
        <f>IF('Boletins Nuppa Site'!A2384&lt;&gt;0,'Boletins Nuppa Site'!A2384,"NULL")</f>
        <v>97</v>
      </c>
      <c r="C2384">
        <v>33</v>
      </c>
      <c r="D2384" t="str">
        <f>IF('Boletins Nuppa Site'!G2384&lt;&gt;0,'Boletins Nuppa Site'!G2384,"NULL")</f>
        <v xml:space="preserve"> 120.00</v>
      </c>
      <c r="E2384" s="14" t="str">
        <f>IF('Boletins Nuppa Site'!H2384&lt;&gt;0,'Boletins Nuppa Site'!H2384,"NULL")</f>
        <v xml:space="preserve"> 150.00</v>
      </c>
      <c r="F2384" s="14" t="str">
        <f>IF('Boletins Nuppa Site'!I2384&lt;&gt;0,'Boletins Nuppa Site'!I2384,"NULL")</f>
        <v xml:space="preserve"> 150.00</v>
      </c>
      <c r="G2384" s="14" t="str">
        <f>IF('Boletins Nuppa Site'!J2384&lt;&gt;0,'Boletins Nuppa Site'!J2384,"NULL")</f>
        <v xml:space="preserve"> 135.00</v>
      </c>
      <c r="H2384" s="14" t="str">
        <f>IF('Boletins Nuppa Site'!K2384&lt;&gt;0,'Boletins Nuppa Site'!K2384,"NULL")</f>
        <v xml:space="preserve"> 135.00</v>
      </c>
      <c r="I2384" t="str">
        <f t="shared" si="74"/>
        <v>INSERT INTO COTACAO (cot_id, cot_blt_id, cot_pap_id, cot_prc_comum, cot_prc_min, cot_prc_max, cot_prc_med, cot_prc_mediana) VALUES (2383, 97, 33,  120.00,  150.00,  150.00,  135.00,  135.00);</v>
      </c>
      <c r="J2384" t="str">
        <f t="shared" si="75"/>
        <v>UPDATE COTACAO SET cot_id = 2383, cot_blt_id = 97, cot_pap_id = 33, cot_prc_comum =  120.00, cot_prc_min =  150.00, cot_prc_max =  150.00, cot_prc_med =  135.00, cot_prc_mediana =  135.00 WHERE cot_id = 2383;</v>
      </c>
    </row>
    <row r="2385" spans="1:10" x14ac:dyDescent="0.3">
      <c r="A2385">
        <v>2384</v>
      </c>
      <c r="B2385">
        <f>IF('Boletins Nuppa Site'!A2385&lt;&gt;0,'Boletins Nuppa Site'!A2385,"NULL")</f>
        <v>97</v>
      </c>
      <c r="C2385">
        <v>34</v>
      </c>
      <c r="D2385" t="str">
        <f>IF('Boletins Nuppa Site'!G2385&lt;&gt;0,'Boletins Nuppa Site'!G2385,"NULL")</f>
        <v xml:space="preserve"> 150.00</v>
      </c>
      <c r="E2385" s="14" t="str">
        <f>IF('Boletins Nuppa Site'!H2385&lt;&gt;0,'Boletins Nuppa Site'!H2385,"NULL")</f>
        <v xml:space="preserve"> 110.00</v>
      </c>
      <c r="F2385" s="14" t="str">
        <f>IF('Boletins Nuppa Site'!I2385&lt;&gt;0,'Boletins Nuppa Site'!I2385,"NULL")</f>
        <v xml:space="preserve"> 200.00</v>
      </c>
      <c r="G2385" s="14" t="str">
        <f>IF('Boletins Nuppa Site'!J2385&lt;&gt;0,'Boletins Nuppa Site'!J2385,"NULL")</f>
        <v xml:space="preserve"> 152.50</v>
      </c>
      <c r="H2385" s="14" t="str">
        <f>IF('Boletins Nuppa Site'!K2385&lt;&gt;0,'Boletins Nuppa Site'!K2385,"NULL")</f>
        <v xml:space="preserve"> 150.00</v>
      </c>
      <c r="I2385" t="str">
        <f t="shared" si="74"/>
        <v>INSERT INTO COTACAO (cot_id, cot_blt_id, cot_pap_id, cot_prc_comum, cot_prc_min, cot_prc_max, cot_prc_med, cot_prc_mediana) VALUES (2384, 97, 34,  150.00,  110.00,  200.00,  152.50,  150.00);</v>
      </c>
      <c r="J2385" t="str">
        <f t="shared" si="75"/>
        <v>UPDATE COTACAO SET cot_id = 2384, cot_blt_id = 97, cot_pap_id = 34, cot_prc_comum =  150.00, cot_prc_min =  110.00, cot_prc_max =  200.00, cot_prc_med =  152.50, cot_prc_mediana =  150.00 WHERE cot_id = 2384;</v>
      </c>
    </row>
    <row r="2386" spans="1:10" x14ac:dyDescent="0.3">
      <c r="A2386">
        <v>2385</v>
      </c>
      <c r="B2386">
        <f>IF('Boletins Nuppa Site'!A2386&lt;&gt;0,'Boletins Nuppa Site'!A2386,"NULL")</f>
        <v>97</v>
      </c>
      <c r="C2386">
        <v>35</v>
      </c>
      <c r="D2386" t="str">
        <f>IF('Boletins Nuppa Site'!G2386&lt;&gt;0,'Boletins Nuppa Site'!G2386,"NULL")</f>
        <v>NULL</v>
      </c>
      <c r="E2386" s="14" t="str">
        <f>IF('Boletins Nuppa Site'!H2386&lt;&gt;0,'Boletins Nuppa Site'!H2386,"NULL")</f>
        <v xml:space="preserve"> 120.00</v>
      </c>
      <c r="F2386" s="14" t="str">
        <f>IF('Boletins Nuppa Site'!I2386&lt;&gt;0,'Boletins Nuppa Site'!I2386,"NULL")</f>
        <v xml:space="preserve"> 160.00</v>
      </c>
      <c r="G2386" s="14" t="str">
        <f>IF('Boletins Nuppa Site'!J2386&lt;&gt;0,'Boletins Nuppa Site'!J2386,"NULL")</f>
        <v xml:space="preserve"> 140.00</v>
      </c>
      <c r="H2386" s="14" t="str">
        <f>IF('Boletins Nuppa Site'!K2386&lt;&gt;0,'Boletins Nuppa Site'!K2386,"NULL")</f>
        <v xml:space="preserve"> 140.00</v>
      </c>
      <c r="I2386" t="str">
        <f t="shared" si="74"/>
        <v>INSERT INTO COTACAO (cot_id, cot_blt_id, cot_pap_id, cot_prc_comum, cot_prc_min, cot_prc_max, cot_prc_med, cot_prc_mediana) VALUES (2385, 97, 35, NULL,  120.00,  160.00,  140.00,  140.00);</v>
      </c>
      <c r="J2386" t="str">
        <f t="shared" si="75"/>
        <v>UPDATE COTACAO SET cot_id = 2385, cot_blt_id = 97, cot_pap_id = 35, cot_prc_comum = NULL, cot_prc_min =  120.00, cot_prc_max =  160.00, cot_prc_med =  140.00, cot_prc_mediana =  140.00 WHERE cot_id = 2385;</v>
      </c>
    </row>
    <row r="2387" spans="1:10" x14ac:dyDescent="0.3">
      <c r="A2387">
        <v>2386</v>
      </c>
      <c r="B2387">
        <f>IF('Boletins Nuppa Site'!A2387&lt;&gt;0,'Boletins Nuppa Site'!A2387,"NULL")</f>
        <v>97</v>
      </c>
      <c r="C2387">
        <v>36</v>
      </c>
      <c r="D2387" t="str">
        <f>IF('Boletins Nuppa Site'!G2387&lt;&gt;0,'Boletins Nuppa Site'!G2387,"NULL")</f>
        <v>NULL</v>
      </c>
      <c r="E2387" s="14" t="str">
        <f>IF('Boletins Nuppa Site'!H2387&lt;&gt;0,'Boletins Nuppa Site'!H2387,"NULL")</f>
        <v>NULL</v>
      </c>
      <c r="F2387" s="14" t="str">
        <f>IF('Boletins Nuppa Site'!I2387&lt;&gt;0,'Boletins Nuppa Site'!I2387,"NULL")</f>
        <v>NULL</v>
      </c>
      <c r="G2387" s="14" t="str">
        <f>IF('Boletins Nuppa Site'!J2387&lt;&gt;0,'Boletins Nuppa Site'!J2387,"NULL")</f>
        <v>NULL</v>
      </c>
      <c r="H2387" s="14" t="str">
        <f>IF('Boletins Nuppa Site'!K2387&lt;&gt;0,'Boletins Nuppa Site'!K2387,"NULL")</f>
        <v>NULL</v>
      </c>
      <c r="I2387" t="str">
        <f t="shared" si="74"/>
        <v>INSERT INTO COTACAO (cot_id, cot_blt_id, cot_pap_id, cot_prc_comum, cot_prc_min, cot_prc_max, cot_prc_med, cot_prc_mediana) VALUES (2386, 97, 36, NULL, NULL, NULL, NULL, NULL);</v>
      </c>
      <c r="J2387" t="str">
        <f t="shared" si="75"/>
        <v>UPDATE COTACAO SET cot_id = 2386, cot_blt_id = 97, cot_pap_id = 36, cot_prc_comum = NULL, cot_prc_min = NULL, cot_prc_max = NULL, cot_prc_med = NULL, cot_prc_mediana = NULL WHERE cot_id = 2386;</v>
      </c>
    </row>
    <row r="2388" spans="1:10" x14ac:dyDescent="0.3">
      <c r="A2388">
        <v>2387</v>
      </c>
      <c r="B2388">
        <f>IF('Boletins Nuppa Site'!A2388&lt;&gt;0,'Boletins Nuppa Site'!A2388,"NULL")</f>
        <v>97</v>
      </c>
      <c r="C2388">
        <v>37</v>
      </c>
      <c r="D2388" t="str">
        <f>IF('Boletins Nuppa Site'!G2388&lt;&gt;0,'Boletins Nuppa Site'!G2388,"NULL")</f>
        <v>NULL</v>
      </c>
      <c r="E2388" s="14" t="str">
        <f>IF('Boletins Nuppa Site'!H2388&lt;&gt;0,'Boletins Nuppa Site'!H2388,"NULL")</f>
        <v>NULL</v>
      </c>
      <c r="F2388" s="14" t="str">
        <f>IF('Boletins Nuppa Site'!I2388&lt;&gt;0,'Boletins Nuppa Site'!I2388,"NULL")</f>
        <v>NULL</v>
      </c>
      <c r="G2388" s="14" t="str">
        <f>IF('Boletins Nuppa Site'!J2388&lt;&gt;0,'Boletins Nuppa Site'!J2388,"NULL")</f>
        <v>NULL</v>
      </c>
      <c r="H2388" s="14" t="str">
        <f>IF('Boletins Nuppa Site'!K2388&lt;&gt;0,'Boletins Nuppa Site'!K2388,"NULL")</f>
        <v>NULL</v>
      </c>
      <c r="I2388" t="str">
        <f t="shared" si="74"/>
        <v>INSERT INTO COTACAO (cot_id, cot_blt_id, cot_pap_id, cot_prc_comum, cot_prc_min, cot_prc_max, cot_prc_med, cot_prc_mediana) VALUES (2387, 97, 37, NULL, NULL, NULL, NULL, NULL);</v>
      </c>
      <c r="J2388" t="str">
        <f t="shared" si="75"/>
        <v>UPDATE COTACAO SET cot_id = 2387, cot_blt_id = 97, cot_pap_id = 37, cot_prc_comum = NULL, cot_prc_min = NULL, cot_prc_max = NULL, cot_prc_med = NULL, cot_prc_mediana = NULL WHERE cot_id = 2387;</v>
      </c>
    </row>
    <row r="2389" spans="1:10" x14ac:dyDescent="0.3">
      <c r="A2389">
        <v>2388</v>
      </c>
      <c r="B2389">
        <f>IF('Boletins Nuppa Site'!A2389&lt;&gt;0,'Boletins Nuppa Site'!A2389,"NULL")</f>
        <v>97</v>
      </c>
      <c r="C2389">
        <v>38</v>
      </c>
      <c r="D2389" t="str">
        <f>IF('Boletins Nuppa Site'!G2389&lt;&gt;0,'Boletins Nuppa Site'!G2389,"NULL")</f>
        <v>NULL</v>
      </c>
      <c r="E2389" s="14" t="str">
        <f>IF('Boletins Nuppa Site'!H2389&lt;&gt;0,'Boletins Nuppa Site'!H2389,"NULL")</f>
        <v>NULL</v>
      </c>
      <c r="F2389" s="14" t="str">
        <f>IF('Boletins Nuppa Site'!I2389&lt;&gt;0,'Boletins Nuppa Site'!I2389,"NULL")</f>
        <v>NULL</v>
      </c>
      <c r="G2389" s="14" t="str">
        <f>IF('Boletins Nuppa Site'!J2389&lt;&gt;0,'Boletins Nuppa Site'!J2389,"NULL")</f>
        <v>NULL</v>
      </c>
      <c r="H2389" s="14" t="str">
        <f>IF('Boletins Nuppa Site'!K2389&lt;&gt;0,'Boletins Nuppa Site'!K2389,"NULL")</f>
        <v>NULL</v>
      </c>
      <c r="I2389" t="str">
        <f t="shared" si="74"/>
        <v>INSERT INTO COTACAO (cot_id, cot_blt_id, cot_pap_id, cot_prc_comum, cot_prc_min, cot_prc_max, cot_prc_med, cot_prc_mediana) VALUES (2388, 97, 38, NULL, NULL, NULL, NULL, NULL);</v>
      </c>
      <c r="J2389" t="str">
        <f t="shared" si="75"/>
        <v>UPDATE COTACAO SET cot_id = 2388, cot_blt_id = 97, cot_pap_id = 38, cot_prc_comum = NULL, cot_prc_min = NULL, cot_prc_max = NULL, cot_prc_med = NULL, cot_prc_mediana = NULL WHERE cot_id = 2388;</v>
      </c>
    </row>
    <row r="2390" spans="1:10" x14ac:dyDescent="0.3">
      <c r="A2390">
        <v>2389</v>
      </c>
      <c r="B2390">
        <f>IF('Boletins Nuppa Site'!A2390&lt;&gt;0,'Boletins Nuppa Site'!A2390,"NULL")</f>
        <v>97</v>
      </c>
      <c r="C2390">
        <v>39</v>
      </c>
      <c r="D2390" t="str">
        <f>IF('Boletins Nuppa Site'!G2390&lt;&gt;0,'Boletins Nuppa Site'!G2390,"NULL")</f>
        <v>NULL</v>
      </c>
      <c r="E2390" s="14" t="str">
        <f>IF('Boletins Nuppa Site'!H2390&lt;&gt;0,'Boletins Nuppa Site'!H2390,"NULL")</f>
        <v>NULL</v>
      </c>
      <c r="F2390" s="14" t="str">
        <f>IF('Boletins Nuppa Site'!I2390&lt;&gt;0,'Boletins Nuppa Site'!I2390,"NULL")</f>
        <v>NULL</v>
      </c>
      <c r="G2390" s="14" t="str">
        <f>IF('Boletins Nuppa Site'!J2390&lt;&gt;0,'Boletins Nuppa Site'!J2390,"NULL")</f>
        <v>NULL</v>
      </c>
      <c r="H2390" s="14" t="str">
        <f>IF('Boletins Nuppa Site'!K2390&lt;&gt;0,'Boletins Nuppa Site'!K2390,"NULL")</f>
        <v>NULL</v>
      </c>
      <c r="I2390" t="str">
        <f t="shared" si="74"/>
        <v>INSERT INTO COTACAO (cot_id, cot_blt_id, cot_pap_id, cot_prc_comum, cot_prc_min, cot_prc_max, cot_prc_med, cot_prc_mediana) VALUES (2389, 97, 39, NULL, NULL, NULL, NULL, NULL);</v>
      </c>
      <c r="J2390" t="str">
        <f t="shared" si="75"/>
        <v>UPDATE COTACAO SET cot_id = 2389, cot_blt_id = 97, cot_pap_id = 39, cot_prc_comum = NULL, cot_prc_min = NULL, cot_prc_max = NULL, cot_prc_med = NULL, cot_prc_mediana = NULL WHERE cot_id = 2389;</v>
      </c>
    </row>
    <row r="2391" spans="1:10" x14ac:dyDescent="0.3">
      <c r="A2391">
        <v>2390</v>
      </c>
      <c r="B2391">
        <f>IF('Boletins Nuppa Site'!A2391&lt;&gt;0,'Boletins Nuppa Site'!A2391,"NULL")</f>
        <v>97</v>
      </c>
      <c r="C2391">
        <v>40</v>
      </c>
      <c r="D2391" t="str">
        <f>IF('Boletins Nuppa Site'!G2391&lt;&gt;0,'Boletins Nuppa Site'!G2391,"NULL")</f>
        <v>NULL</v>
      </c>
      <c r="E2391" s="14" t="str">
        <f>IF('Boletins Nuppa Site'!H2391&lt;&gt;0,'Boletins Nuppa Site'!H2391,"NULL")</f>
        <v>NULL</v>
      </c>
      <c r="F2391" s="14" t="str">
        <f>IF('Boletins Nuppa Site'!I2391&lt;&gt;0,'Boletins Nuppa Site'!I2391,"NULL")</f>
        <v>NULL</v>
      </c>
      <c r="G2391" s="14" t="str">
        <f>IF('Boletins Nuppa Site'!J2391&lt;&gt;0,'Boletins Nuppa Site'!J2391,"NULL")</f>
        <v>NULL</v>
      </c>
      <c r="H2391" s="14" t="str">
        <f>IF('Boletins Nuppa Site'!K2391&lt;&gt;0,'Boletins Nuppa Site'!K2391,"NULL")</f>
        <v>NULL</v>
      </c>
      <c r="I2391" t="str">
        <f t="shared" si="74"/>
        <v>INSERT INTO COTACAO (cot_id, cot_blt_id, cot_pap_id, cot_prc_comum, cot_prc_min, cot_prc_max, cot_prc_med, cot_prc_mediana) VALUES (2390, 97, 40, NULL, NULL, NULL, NULL, NULL);</v>
      </c>
      <c r="J2391" t="str">
        <f t="shared" si="75"/>
        <v>UPDATE COTACAO SET cot_id = 2390, cot_blt_id = 97, cot_pap_id = 40, cot_prc_comum = NULL, cot_prc_min = NULL, cot_prc_max = NULL, cot_prc_med = NULL, cot_prc_mediana = NULL WHERE cot_id = 2390;</v>
      </c>
    </row>
    <row r="2392" spans="1:10" x14ac:dyDescent="0.3">
      <c r="A2392">
        <v>2391</v>
      </c>
      <c r="B2392">
        <f>IF('Boletins Nuppa Site'!A2392&lt;&gt;0,'Boletins Nuppa Site'!A2392,"NULL")</f>
        <v>98</v>
      </c>
      <c r="C2392">
        <v>1</v>
      </c>
      <c r="D2392" t="str">
        <f>IF('Boletins Nuppa Site'!G2392&lt;&gt;0,'Boletins Nuppa Site'!G2392,"NULL")</f>
        <v xml:space="preserve"> 72.00</v>
      </c>
      <c r="E2392" s="14" t="str">
        <f>IF('Boletins Nuppa Site'!H2392&lt;&gt;0,'Boletins Nuppa Site'!H2392,"NULL")</f>
        <v xml:space="preserve"> 48.00</v>
      </c>
      <c r="F2392" s="14" t="str">
        <f>IF('Boletins Nuppa Site'!I2392&lt;&gt;0,'Boletins Nuppa Site'!I2392,"NULL")</f>
        <v xml:space="preserve"> 72.00</v>
      </c>
      <c r="G2392" s="14" t="str">
        <f>IF('Boletins Nuppa Site'!J2392&lt;&gt;0,'Boletins Nuppa Site'!J2392,"NULL")</f>
        <v xml:space="preserve"> 64.00</v>
      </c>
      <c r="H2392" s="14" t="str">
        <f>IF('Boletins Nuppa Site'!K2392&lt;&gt;0,'Boletins Nuppa Site'!K2392,"NULL")</f>
        <v xml:space="preserve"> 72.00</v>
      </c>
      <c r="I2392" t="str">
        <f t="shared" si="74"/>
        <v>INSERT INTO COTACAO (cot_id, cot_blt_id, cot_pap_id, cot_prc_comum, cot_prc_min, cot_prc_max, cot_prc_med, cot_prc_mediana) VALUES (2391, 98, 1,  72.00,  48.00,  72.00,  64.00,  72.00);</v>
      </c>
      <c r="J2392" t="str">
        <f t="shared" si="75"/>
        <v>UPDATE COTACAO SET cot_id = 2391, cot_blt_id = 98, cot_pap_id = 1, cot_prc_comum =  72.00, cot_prc_min =  48.00, cot_prc_max =  72.00, cot_prc_med =  64.00, cot_prc_mediana =  72.00 WHERE cot_id = 2391;</v>
      </c>
    </row>
    <row r="2393" spans="1:10" x14ac:dyDescent="0.3">
      <c r="A2393">
        <v>2392</v>
      </c>
      <c r="B2393">
        <f>IF('Boletins Nuppa Site'!A2393&lt;&gt;0,'Boletins Nuppa Site'!A2393,"NULL")</f>
        <v>98</v>
      </c>
      <c r="C2393">
        <v>2</v>
      </c>
      <c r="D2393" t="str">
        <f>IF('Boletins Nuppa Site'!G2393&lt;&gt;0,'Boletins Nuppa Site'!G2393,"NULL")</f>
        <v xml:space="preserve"> 84.00</v>
      </c>
      <c r="E2393" s="14" t="str">
        <f>IF('Boletins Nuppa Site'!H2393&lt;&gt;0,'Boletins Nuppa Site'!H2393,"NULL")</f>
        <v xml:space="preserve"> 96.00</v>
      </c>
      <c r="F2393" s="14" t="str">
        <f>IF('Boletins Nuppa Site'!I2393&lt;&gt;0,'Boletins Nuppa Site'!I2393,"NULL")</f>
        <v xml:space="preserve"> 96.00</v>
      </c>
      <c r="G2393" s="14" t="str">
        <f>IF('Boletins Nuppa Site'!J2393&lt;&gt;0,'Boletins Nuppa Site'!J2393,"NULL")</f>
        <v xml:space="preserve"> 92.00</v>
      </c>
      <c r="H2393" s="14" t="str">
        <f>IF('Boletins Nuppa Site'!K2393&lt;&gt;0,'Boletins Nuppa Site'!K2393,"NULL")</f>
        <v xml:space="preserve"> 96.00</v>
      </c>
      <c r="I2393" t="str">
        <f t="shared" si="74"/>
        <v>INSERT INTO COTACAO (cot_id, cot_blt_id, cot_pap_id, cot_prc_comum, cot_prc_min, cot_prc_max, cot_prc_med, cot_prc_mediana) VALUES (2392, 98, 2,  84.00,  96.00,  96.00,  92.00,  96.00);</v>
      </c>
      <c r="J2393" t="str">
        <f t="shared" si="75"/>
        <v>UPDATE COTACAO SET cot_id = 2392, cot_blt_id = 98, cot_pap_id = 2, cot_prc_comum =  84.00, cot_prc_min =  96.00, cot_prc_max =  96.00, cot_prc_med =  92.00, cot_prc_mediana =  96.00 WHERE cot_id = 2392;</v>
      </c>
    </row>
    <row r="2394" spans="1:10" x14ac:dyDescent="0.3">
      <c r="A2394">
        <v>2393</v>
      </c>
      <c r="B2394">
        <f>IF('Boletins Nuppa Site'!A2394&lt;&gt;0,'Boletins Nuppa Site'!A2394,"NULL")</f>
        <v>98</v>
      </c>
      <c r="C2394">
        <v>3</v>
      </c>
      <c r="D2394" t="str">
        <f>IF('Boletins Nuppa Site'!G2394&lt;&gt;0,'Boletins Nuppa Site'!G2394,"NULL")</f>
        <v xml:space="preserve"> 36.00</v>
      </c>
      <c r="E2394" s="14" t="str">
        <f>IF('Boletins Nuppa Site'!H2394&lt;&gt;0,'Boletins Nuppa Site'!H2394,"NULL")</f>
        <v xml:space="preserve"> 60.00</v>
      </c>
      <c r="F2394" s="14" t="str">
        <f>IF('Boletins Nuppa Site'!I2394&lt;&gt;0,'Boletins Nuppa Site'!I2394,"NULL")</f>
        <v xml:space="preserve"> 60.00</v>
      </c>
      <c r="G2394" s="14" t="str">
        <f>IF('Boletins Nuppa Site'!J2394&lt;&gt;0,'Boletins Nuppa Site'!J2394,"NULL")</f>
        <v xml:space="preserve"> 52.00</v>
      </c>
      <c r="H2394" s="14" t="str">
        <f>IF('Boletins Nuppa Site'!K2394&lt;&gt;0,'Boletins Nuppa Site'!K2394,"NULL")</f>
        <v xml:space="preserve"> 60.00</v>
      </c>
      <c r="I2394" t="str">
        <f t="shared" si="74"/>
        <v>INSERT INTO COTACAO (cot_id, cot_blt_id, cot_pap_id, cot_prc_comum, cot_prc_min, cot_prc_max, cot_prc_med, cot_prc_mediana) VALUES (2393, 98, 3,  36.00,  60.00,  60.00,  52.00,  60.00);</v>
      </c>
      <c r="J2394" t="str">
        <f t="shared" si="75"/>
        <v>UPDATE COTACAO SET cot_id = 2393, cot_blt_id = 98, cot_pap_id = 3, cot_prc_comum =  36.00, cot_prc_min =  60.00, cot_prc_max =  60.00, cot_prc_med =  52.00, cot_prc_mediana =  60.00 WHERE cot_id = 2393;</v>
      </c>
    </row>
    <row r="2395" spans="1:10" x14ac:dyDescent="0.3">
      <c r="A2395">
        <v>2394</v>
      </c>
      <c r="B2395">
        <f>IF('Boletins Nuppa Site'!A2395&lt;&gt;0,'Boletins Nuppa Site'!A2395,"NULL")</f>
        <v>98</v>
      </c>
      <c r="C2395">
        <v>4</v>
      </c>
      <c r="D2395" t="str">
        <f>IF('Boletins Nuppa Site'!G2395&lt;&gt;0,'Boletins Nuppa Site'!G2395,"NULL")</f>
        <v>NULL</v>
      </c>
      <c r="E2395" s="14" t="str">
        <f>IF('Boletins Nuppa Site'!H2395&lt;&gt;0,'Boletins Nuppa Site'!H2395,"NULL")</f>
        <v xml:space="preserve"> 24.00</v>
      </c>
      <c r="F2395" s="14" t="str">
        <f>IF('Boletins Nuppa Site'!I2395&lt;&gt;0,'Boletins Nuppa Site'!I2395,"NULL")</f>
        <v xml:space="preserve"> 36.00</v>
      </c>
      <c r="G2395" s="14" t="str">
        <f>IF('Boletins Nuppa Site'!J2395&lt;&gt;0,'Boletins Nuppa Site'!J2395,"NULL")</f>
        <v xml:space="preserve"> 30.00</v>
      </c>
      <c r="H2395" s="14" t="str">
        <f>IF('Boletins Nuppa Site'!K2395&lt;&gt;0,'Boletins Nuppa Site'!K2395,"NULL")</f>
        <v xml:space="preserve"> 30.00</v>
      </c>
      <c r="I2395" t="str">
        <f t="shared" si="74"/>
        <v>INSERT INTO COTACAO (cot_id, cot_blt_id, cot_pap_id, cot_prc_comum, cot_prc_min, cot_prc_max, cot_prc_med, cot_prc_mediana) VALUES (2394, 98, 4, NULL,  24.00,  36.00,  30.00,  30.00);</v>
      </c>
      <c r="J2395" t="str">
        <f t="shared" si="75"/>
        <v>UPDATE COTACAO SET cot_id = 2394, cot_blt_id = 98, cot_pap_id = 4, cot_prc_comum = NULL, cot_prc_min =  24.00, cot_prc_max =  36.00, cot_prc_med =  30.00, cot_prc_mediana =  30.00 WHERE cot_id = 2394;</v>
      </c>
    </row>
    <row r="2396" spans="1:10" x14ac:dyDescent="0.3">
      <c r="A2396">
        <v>2395</v>
      </c>
      <c r="B2396">
        <f>IF('Boletins Nuppa Site'!A2396&lt;&gt;0,'Boletins Nuppa Site'!A2396,"NULL")</f>
        <v>98</v>
      </c>
      <c r="C2396">
        <v>5</v>
      </c>
      <c r="D2396" t="str">
        <f>IF('Boletins Nuppa Site'!G2396&lt;&gt;0,'Boletins Nuppa Site'!G2396,"NULL")</f>
        <v>NULL</v>
      </c>
      <c r="E2396" s="14" t="str">
        <f>IF('Boletins Nuppa Site'!H2396&lt;&gt;0,'Boletins Nuppa Site'!H2396,"NULL")</f>
        <v xml:space="preserve"> 24.00</v>
      </c>
      <c r="F2396" s="14" t="str">
        <f>IF('Boletins Nuppa Site'!I2396&lt;&gt;0,'Boletins Nuppa Site'!I2396,"NULL")</f>
        <v xml:space="preserve"> 36.00</v>
      </c>
      <c r="G2396" s="14" t="str">
        <f>IF('Boletins Nuppa Site'!J2396&lt;&gt;0,'Boletins Nuppa Site'!J2396,"NULL")</f>
        <v xml:space="preserve"> 30.00</v>
      </c>
      <c r="H2396" s="14" t="str">
        <f>IF('Boletins Nuppa Site'!K2396&lt;&gt;0,'Boletins Nuppa Site'!K2396,"NULL")</f>
        <v xml:space="preserve"> 30.00</v>
      </c>
      <c r="I2396" t="str">
        <f t="shared" si="74"/>
        <v>INSERT INTO COTACAO (cot_id, cot_blt_id, cot_pap_id, cot_prc_comum, cot_prc_min, cot_prc_max, cot_prc_med, cot_prc_mediana) VALUES (2395, 98, 5, NULL,  24.00,  36.00,  30.00,  30.00);</v>
      </c>
      <c r="J2396" t="str">
        <f t="shared" si="75"/>
        <v>UPDATE COTACAO SET cot_id = 2395, cot_blt_id = 98, cot_pap_id = 5, cot_prc_comum = NULL, cot_prc_min =  24.00, cot_prc_max =  36.00, cot_prc_med =  30.00, cot_prc_mediana =  30.00 WHERE cot_id = 2395;</v>
      </c>
    </row>
    <row r="2397" spans="1:10" x14ac:dyDescent="0.3">
      <c r="A2397">
        <v>2396</v>
      </c>
      <c r="B2397">
        <f>IF('Boletins Nuppa Site'!A2397&lt;&gt;0,'Boletins Nuppa Site'!A2397,"NULL")</f>
        <v>98</v>
      </c>
      <c r="C2397">
        <v>6</v>
      </c>
      <c r="D2397" t="str">
        <f>IF('Boletins Nuppa Site'!G2397&lt;&gt;0,'Boletins Nuppa Site'!G2397,"NULL")</f>
        <v xml:space="preserve"> 60.00</v>
      </c>
      <c r="E2397" s="14" t="str">
        <f>IF('Boletins Nuppa Site'!H2397&lt;&gt;0,'Boletins Nuppa Site'!H2397,"NULL")</f>
        <v xml:space="preserve"> 60.00</v>
      </c>
      <c r="F2397" s="14" t="str">
        <f>IF('Boletins Nuppa Site'!I2397&lt;&gt;0,'Boletins Nuppa Site'!I2397,"NULL")</f>
        <v xml:space="preserve"> 96.00</v>
      </c>
      <c r="G2397" s="14" t="str">
        <f>IF('Boletins Nuppa Site'!J2397&lt;&gt;0,'Boletins Nuppa Site'!J2397,"NULL")</f>
        <v xml:space="preserve"> 72.00</v>
      </c>
      <c r="H2397" s="14" t="str">
        <f>IF('Boletins Nuppa Site'!K2397&lt;&gt;0,'Boletins Nuppa Site'!K2397,"NULL")</f>
        <v xml:space="preserve"> 60.00</v>
      </c>
      <c r="I2397" t="str">
        <f t="shared" si="74"/>
        <v>INSERT INTO COTACAO (cot_id, cot_blt_id, cot_pap_id, cot_prc_comum, cot_prc_min, cot_prc_max, cot_prc_med, cot_prc_mediana) VALUES (2396, 98, 6,  60.00,  60.00,  96.00,  72.00,  60.00);</v>
      </c>
      <c r="J2397" t="str">
        <f t="shared" si="75"/>
        <v>UPDATE COTACAO SET cot_id = 2396, cot_blt_id = 98, cot_pap_id = 6, cot_prc_comum =  60.00, cot_prc_min =  60.00, cot_prc_max =  96.00, cot_prc_med =  72.00, cot_prc_mediana =  60.00 WHERE cot_id = 2396;</v>
      </c>
    </row>
    <row r="2398" spans="1:10" x14ac:dyDescent="0.3">
      <c r="A2398">
        <v>2397</v>
      </c>
      <c r="B2398">
        <f>IF('Boletins Nuppa Site'!A2398&lt;&gt;0,'Boletins Nuppa Site'!A2398,"NULL")</f>
        <v>98</v>
      </c>
      <c r="C2398">
        <v>7</v>
      </c>
      <c r="D2398" t="str">
        <f>IF('Boletins Nuppa Site'!G2398&lt;&gt;0,'Boletins Nuppa Site'!G2398,"NULL")</f>
        <v xml:space="preserve"> 84.00</v>
      </c>
      <c r="E2398" s="14" t="str">
        <f>IF('Boletins Nuppa Site'!H2398&lt;&gt;0,'Boletins Nuppa Site'!H2398,"NULL")</f>
        <v xml:space="preserve"> 84.00</v>
      </c>
      <c r="F2398" s="14" t="str">
        <f>IF('Boletins Nuppa Site'!I2398&lt;&gt;0,'Boletins Nuppa Site'!I2398,"NULL")</f>
        <v xml:space="preserve"> 102.00</v>
      </c>
      <c r="G2398" s="14" t="str">
        <f>IF('Boletins Nuppa Site'!J2398&lt;&gt;0,'Boletins Nuppa Site'!J2398,"NULL")</f>
        <v xml:space="preserve"> 90.00</v>
      </c>
      <c r="H2398" s="14" t="str">
        <f>IF('Boletins Nuppa Site'!K2398&lt;&gt;0,'Boletins Nuppa Site'!K2398,"NULL")</f>
        <v xml:space="preserve"> 84.00</v>
      </c>
      <c r="I2398" t="str">
        <f t="shared" si="74"/>
        <v>INSERT INTO COTACAO (cot_id, cot_blt_id, cot_pap_id, cot_prc_comum, cot_prc_min, cot_prc_max, cot_prc_med, cot_prc_mediana) VALUES (2397, 98, 7,  84.00,  84.00,  102.00,  90.00,  84.00);</v>
      </c>
      <c r="J2398" t="str">
        <f t="shared" si="75"/>
        <v>UPDATE COTACAO SET cot_id = 2397, cot_blt_id = 98, cot_pap_id = 7, cot_prc_comum =  84.00, cot_prc_min =  84.00, cot_prc_max =  102.00, cot_prc_med =  90.00, cot_prc_mediana =  84.00 WHERE cot_id = 2397;</v>
      </c>
    </row>
    <row r="2399" spans="1:10" x14ac:dyDescent="0.3">
      <c r="A2399">
        <v>2398</v>
      </c>
      <c r="B2399">
        <f>IF('Boletins Nuppa Site'!A2399&lt;&gt;0,'Boletins Nuppa Site'!A2399,"NULL")</f>
        <v>98</v>
      </c>
      <c r="C2399">
        <v>8</v>
      </c>
      <c r="D2399" t="str">
        <f>IF('Boletins Nuppa Site'!G2399&lt;&gt;0,'Boletins Nuppa Site'!G2399,"NULL")</f>
        <v xml:space="preserve"> 84.00</v>
      </c>
      <c r="E2399" s="14" t="str">
        <f>IF('Boletins Nuppa Site'!H2399&lt;&gt;0,'Boletins Nuppa Site'!H2399,"NULL")</f>
        <v xml:space="preserve"> 96.00</v>
      </c>
      <c r="F2399" s="14" t="str">
        <f>IF('Boletins Nuppa Site'!I2399&lt;&gt;0,'Boletins Nuppa Site'!I2399,"NULL")</f>
        <v xml:space="preserve"> 96.00</v>
      </c>
      <c r="G2399" s="14" t="str">
        <f>IF('Boletins Nuppa Site'!J2399&lt;&gt;0,'Boletins Nuppa Site'!J2399,"NULL")</f>
        <v xml:space="preserve"> 92.00</v>
      </c>
      <c r="H2399" s="14" t="str">
        <f>IF('Boletins Nuppa Site'!K2399&lt;&gt;0,'Boletins Nuppa Site'!K2399,"NULL")</f>
        <v xml:space="preserve"> 96.00</v>
      </c>
      <c r="I2399" t="str">
        <f t="shared" si="74"/>
        <v>INSERT INTO COTACAO (cot_id, cot_blt_id, cot_pap_id, cot_prc_comum, cot_prc_min, cot_prc_max, cot_prc_med, cot_prc_mediana) VALUES (2398, 98, 8,  84.00,  96.00,  96.00,  92.00,  96.00);</v>
      </c>
      <c r="J2399" t="str">
        <f t="shared" si="75"/>
        <v>UPDATE COTACAO SET cot_id = 2398, cot_blt_id = 98, cot_pap_id = 8, cot_prc_comum =  84.00, cot_prc_min =  96.00, cot_prc_max =  96.00, cot_prc_med =  92.00, cot_prc_mediana =  96.00 WHERE cot_id = 2398;</v>
      </c>
    </row>
    <row r="2400" spans="1:10" x14ac:dyDescent="0.3">
      <c r="A2400">
        <v>2399</v>
      </c>
      <c r="B2400">
        <f>IF('Boletins Nuppa Site'!A2400&lt;&gt;0,'Boletins Nuppa Site'!A2400,"NULL")</f>
        <v>98</v>
      </c>
      <c r="C2400">
        <v>9</v>
      </c>
      <c r="D2400" t="str">
        <f>IF('Boletins Nuppa Site'!G2400&lt;&gt;0,'Boletins Nuppa Site'!G2400,"NULL")</f>
        <v xml:space="preserve"> 30.00</v>
      </c>
      <c r="E2400" s="14" t="str">
        <f>IF('Boletins Nuppa Site'!H2400&lt;&gt;0,'Boletins Nuppa Site'!H2400,"NULL")</f>
        <v xml:space="preserve"> 30.00</v>
      </c>
      <c r="F2400" s="14" t="str">
        <f>IF('Boletins Nuppa Site'!I2400&lt;&gt;0,'Boletins Nuppa Site'!I2400,"NULL")</f>
        <v xml:space="preserve"> 30.00</v>
      </c>
      <c r="G2400" s="14" t="str">
        <f>IF('Boletins Nuppa Site'!J2400&lt;&gt;0,'Boletins Nuppa Site'!J2400,"NULL")</f>
        <v xml:space="preserve"> 30.00</v>
      </c>
      <c r="H2400" s="14" t="str">
        <f>IF('Boletins Nuppa Site'!K2400&lt;&gt;0,'Boletins Nuppa Site'!K2400,"NULL")</f>
        <v xml:space="preserve"> 30.00</v>
      </c>
      <c r="I2400" t="str">
        <f t="shared" si="74"/>
        <v>INSERT INTO COTACAO (cot_id, cot_blt_id, cot_pap_id, cot_prc_comum, cot_prc_min, cot_prc_max, cot_prc_med, cot_prc_mediana) VALUES (2399, 98, 9,  30.00,  30.00,  30.00,  30.00,  30.00);</v>
      </c>
      <c r="J2400" t="str">
        <f t="shared" si="75"/>
        <v>UPDATE COTACAO SET cot_id = 2399, cot_blt_id = 98, cot_pap_id = 9, cot_prc_comum =  30.00, cot_prc_min =  30.00, cot_prc_max =  30.00, cot_prc_med =  30.00, cot_prc_mediana =  30.00 WHERE cot_id = 2399;</v>
      </c>
    </row>
    <row r="2401" spans="1:10" x14ac:dyDescent="0.3">
      <c r="A2401">
        <v>2400</v>
      </c>
      <c r="B2401">
        <f>IF('Boletins Nuppa Site'!A2401&lt;&gt;0,'Boletins Nuppa Site'!A2401,"NULL")</f>
        <v>98</v>
      </c>
      <c r="C2401">
        <v>10</v>
      </c>
      <c r="D2401" t="str">
        <f>IF('Boletins Nuppa Site'!G2401&lt;&gt;0,'Boletins Nuppa Site'!G2401,"NULL")</f>
        <v>NULL</v>
      </c>
      <c r="E2401" s="14" t="str">
        <f>IF('Boletins Nuppa Site'!H2401&lt;&gt;0,'Boletins Nuppa Site'!H2401,"NULL")</f>
        <v xml:space="preserve"> 102.00</v>
      </c>
      <c r="F2401" s="14" t="str">
        <f>IF('Boletins Nuppa Site'!I2401&lt;&gt;0,'Boletins Nuppa Site'!I2401,"NULL")</f>
        <v xml:space="preserve"> 120.00</v>
      </c>
      <c r="G2401" s="14" t="str">
        <f>IF('Boletins Nuppa Site'!J2401&lt;&gt;0,'Boletins Nuppa Site'!J2401,"NULL")</f>
        <v xml:space="preserve"> 110.00</v>
      </c>
      <c r="H2401" s="14" t="str">
        <f>IF('Boletins Nuppa Site'!K2401&lt;&gt;0,'Boletins Nuppa Site'!K2401,"NULL")</f>
        <v xml:space="preserve"> 108.00</v>
      </c>
      <c r="I2401" t="str">
        <f t="shared" si="74"/>
        <v>INSERT INTO COTACAO (cot_id, cot_blt_id, cot_pap_id, cot_prc_comum, cot_prc_min, cot_prc_max, cot_prc_med, cot_prc_mediana) VALUES (2400, 98, 10, NULL,  102.00,  120.00,  110.00,  108.00);</v>
      </c>
      <c r="J2401" t="str">
        <f t="shared" si="75"/>
        <v>UPDATE COTACAO SET cot_id = 2400, cot_blt_id = 98, cot_pap_id = 10, cot_prc_comum = NULL, cot_prc_min =  102.00, cot_prc_max =  120.00, cot_prc_med =  110.00, cot_prc_mediana =  108.00 WHERE cot_id = 2400;</v>
      </c>
    </row>
    <row r="2402" spans="1:10" x14ac:dyDescent="0.3">
      <c r="A2402">
        <v>2401</v>
      </c>
      <c r="B2402">
        <f>IF('Boletins Nuppa Site'!A2402&lt;&gt;0,'Boletins Nuppa Site'!A2402,"NULL")</f>
        <v>98</v>
      </c>
      <c r="C2402">
        <v>11</v>
      </c>
      <c r="D2402" t="str">
        <f>IF('Boletins Nuppa Site'!G2402&lt;&gt;0,'Boletins Nuppa Site'!G2402,"NULL")</f>
        <v xml:space="preserve"> 30.00</v>
      </c>
      <c r="E2402" s="14" t="str">
        <f>IF('Boletins Nuppa Site'!H2402&lt;&gt;0,'Boletins Nuppa Site'!H2402,"NULL")</f>
        <v xml:space="preserve"> 30.00</v>
      </c>
      <c r="F2402" s="14" t="str">
        <f>IF('Boletins Nuppa Site'!I2402&lt;&gt;0,'Boletins Nuppa Site'!I2402,"NULL")</f>
        <v xml:space="preserve"> 36.00</v>
      </c>
      <c r="G2402" s="14" t="str">
        <f>IF('Boletins Nuppa Site'!J2402&lt;&gt;0,'Boletins Nuppa Site'!J2402,"NULL")</f>
        <v xml:space="preserve"> 32.00</v>
      </c>
      <c r="H2402" s="14" t="str">
        <f>IF('Boletins Nuppa Site'!K2402&lt;&gt;0,'Boletins Nuppa Site'!K2402,"NULL")</f>
        <v xml:space="preserve"> 30.00</v>
      </c>
      <c r="I2402" t="str">
        <f t="shared" si="74"/>
        <v>INSERT INTO COTACAO (cot_id, cot_blt_id, cot_pap_id, cot_prc_comum, cot_prc_min, cot_prc_max, cot_prc_med, cot_prc_mediana) VALUES (2401, 98, 11,  30.00,  30.00,  36.00,  32.00,  30.00);</v>
      </c>
      <c r="J2402" t="str">
        <f t="shared" si="75"/>
        <v>UPDATE COTACAO SET cot_id = 2401, cot_blt_id = 98, cot_pap_id = 11, cot_prc_comum =  30.00, cot_prc_min =  30.00, cot_prc_max =  36.00, cot_prc_med =  32.00, cot_prc_mediana =  30.00 WHERE cot_id = 2401;</v>
      </c>
    </row>
    <row r="2403" spans="1:10" x14ac:dyDescent="0.3">
      <c r="A2403">
        <v>2402</v>
      </c>
      <c r="B2403">
        <f>IF('Boletins Nuppa Site'!A2403&lt;&gt;0,'Boletins Nuppa Site'!A2403,"NULL")</f>
        <v>98</v>
      </c>
      <c r="C2403">
        <v>12</v>
      </c>
      <c r="D2403" t="str">
        <f>IF('Boletins Nuppa Site'!G2403&lt;&gt;0,'Boletins Nuppa Site'!G2403,"NULL")</f>
        <v>NULL</v>
      </c>
      <c r="E2403" s="14" t="str">
        <f>IF('Boletins Nuppa Site'!H2403&lt;&gt;0,'Boletins Nuppa Site'!H2403,"NULL")</f>
        <v xml:space="preserve"> 60.00</v>
      </c>
      <c r="F2403" s="14" t="str">
        <f>IF('Boletins Nuppa Site'!I2403&lt;&gt;0,'Boletins Nuppa Site'!I2403,"NULL")</f>
        <v xml:space="preserve"> 84.00</v>
      </c>
      <c r="G2403" s="14" t="str">
        <f>IF('Boletins Nuppa Site'!J2403&lt;&gt;0,'Boletins Nuppa Site'!J2403,"NULL")</f>
        <v xml:space="preserve"> 72.00</v>
      </c>
      <c r="H2403" s="14" t="str">
        <f>IF('Boletins Nuppa Site'!K2403&lt;&gt;0,'Boletins Nuppa Site'!K2403,"NULL")</f>
        <v xml:space="preserve"> 72.00</v>
      </c>
      <c r="I2403" t="str">
        <f t="shared" si="74"/>
        <v>INSERT INTO COTACAO (cot_id, cot_blt_id, cot_pap_id, cot_prc_comum, cot_prc_min, cot_prc_max, cot_prc_med, cot_prc_mediana) VALUES (2402, 98, 12, NULL,  60.00,  84.00,  72.00,  72.00);</v>
      </c>
      <c r="J2403" t="str">
        <f t="shared" si="75"/>
        <v>UPDATE COTACAO SET cot_id = 2402, cot_blt_id = 98, cot_pap_id = 12, cot_prc_comum = NULL, cot_prc_min =  60.00, cot_prc_max =  84.00, cot_prc_med =  72.00, cot_prc_mediana =  72.00 WHERE cot_id = 2402;</v>
      </c>
    </row>
    <row r="2404" spans="1:10" x14ac:dyDescent="0.3">
      <c r="A2404">
        <v>2403</v>
      </c>
      <c r="B2404">
        <f>IF('Boletins Nuppa Site'!A2404&lt;&gt;0,'Boletins Nuppa Site'!A2404,"NULL")</f>
        <v>98</v>
      </c>
      <c r="C2404">
        <v>13</v>
      </c>
      <c r="D2404" t="str">
        <f>IF('Boletins Nuppa Site'!G2404&lt;&gt;0,'Boletins Nuppa Site'!G2404,"NULL")</f>
        <v>NULL</v>
      </c>
      <c r="E2404" s="14" t="str">
        <f>IF('Boletins Nuppa Site'!H2404&lt;&gt;0,'Boletins Nuppa Site'!H2404,"NULL")</f>
        <v xml:space="preserve"> 60.00</v>
      </c>
      <c r="F2404" s="14" t="str">
        <f>IF('Boletins Nuppa Site'!I2404&lt;&gt;0,'Boletins Nuppa Site'!I2404,"NULL")</f>
        <v xml:space="preserve"> 84.00</v>
      </c>
      <c r="G2404" s="14" t="str">
        <f>IF('Boletins Nuppa Site'!J2404&lt;&gt;0,'Boletins Nuppa Site'!J2404,"NULL")</f>
        <v xml:space="preserve"> 72.00</v>
      </c>
      <c r="H2404" s="14" t="str">
        <f>IF('Boletins Nuppa Site'!K2404&lt;&gt;0,'Boletins Nuppa Site'!K2404,"NULL")</f>
        <v xml:space="preserve"> 72.00</v>
      </c>
      <c r="I2404" t="str">
        <f t="shared" si="74"/>
        <v>INSERT INTO COTACAO (cot_id, cot_blt_id, cot_pap_id, cot_prc_comum, cot_prc_min, cot_prc_max, cot_prc_med, cot_prc_mediana) VALUES (2403, 98, 13, NULL,  60.00,  84.00,  72.00,  72.00);</v>
      </c>
      <c r="J2404" t="str">
        <f t="shared" si="75"/>
        <v>UPDATE COTACAO SET cot_id = 2403, cot_blt_id = 98, cot_pap_id = 13, cot_prc_comum = NULL, cot_prc_min =  60.00, cot_prc_max =  84.00, cot_prc_med =  72.00, cot_prc_mediana =  72.00 WHERE cot_id = 2403;</v>
      </c>
    </row>
    <row r="2405" spans="1:10" x14ac:dyDescent="0.3">
      <c r="A2405">
        <v>2404</v>
      </c>
      <c r="B2405">
        <f>IF('Boletins Nuppa Site'!A2405&lt;&gt;0,'Boletins Nuppa Site'!A2405,"NULL")</f>
        <v>98</v>
      </c>
      <c r="C2405">
        <v>14</v>
      </c>
      <c r="D2405" t="str">
        <f>IF('Boletins Nuppa Site'!G2405&lt;&gt;0,'Boletins Nuppa Site'!G2405,"NULL")</f>
        <v>NULL</v>
      </c>
      <c r="E2405" s="14" t="str">
        <f>IF('Boletins Nuppa Site'!H2405&lt;&gt;0,'Boletins Nuppa Site'!H2405,"NULL")</f>
        <v xml:space="preserve"> 72.00</v>
      </c>
      <c r="F2405" s="14" t="str">
        <f>IF('Boletins Nuppa Site'!I2405&lt;&gt;0,'Boletins Nuppa Site'!I2405,"NULL")</f>
        <v xml:space="preserve"> 96.00</v>
      </c>
      <c r="G2405" s="14" t="str">
        <f>IF('Boletins Nuppa Site'!J2405&lt;&gt;0,'Boletins Nuppa Site'!J2405,"NULL")</f>
        <v xml:space="preserve"> 84.00</v>
      </c>
      <c r="H2405" s="14" t="str">
        <f>IF('Boletins Nuppa Site'!K2405&lt;&gt;0,'Boletins Nuppa Site'!K2405,"NULL")</f>
        <v xml:space="preserve"> 84.00</v>
      </c>
      <c r="I2405" t="str">
        <f t="shared" si="74"/>
        <v>INSERT INTO COTACAO (cot_id, cot_blt_id, cot_pap_id, cot_prc_comum, cot_prc_min, cot_prc_max, cot_prc_med, cot_prc_mediana) VALUES (2404, 98, 14, NULL,  72.00,  96.00,  84.00,  84.00);</v>
      </c>
      <c r="J2405" t="str">
        <f t="shared" si="75"/>
        <v>UPDATE COTACAO SET cot_id = 2404, cot_blt_id = 98, cot_pap_id = 14, cot_prc_comum = NULL, cot_prc_min =  72.00, cot_prc_max =  96.00, cot_prc_med =  84.00, cot_prc_mediana =  84.00 WHERE cot_id = 2404;</v>
      </c>
    </row>
    <row r="2406" spans="1:10" x14ac:dyDescent="0.3">
      <c r="A2406">
        <v>2405</v>
      </c>
      <c r="B2406">
        <f>IF('Boletins Nuppa Site'!A2406&lt;&gt;0,'Boletins Nuppa Site'!A2406,"NULL")</f>
        <v>98</v>
      </c>
      <c r="C2406">
        <v>15</v>
      </c>
      <c r="D2406" t="str">
        <f>IF('Boletins Nuppa Site'!G2406&lt;&gt;0,'Boletins Nuppa Site'!G2406,"NULL")</f>
        <v>NULL</v>
      </c>
      <c r="E2406" s="14" t="str">
        <f>IF('Boletins Nuppa Site'!H2406&lt;&gt;0,'Boletins Nuppa Site'!H2406,"NULL")</f>
        <v xml:space="preserve"> 50.00</v>
      </c>
      <c r="F2406" s="14" t="str">
        <f>IF('Boletins Nuppa Site'!I2406&lt;&gt;0,'Boletins Nuppa Site'!I2406,"NULL")</f>
        <v xml:space="preserve"> 72.00</v>
      </c>
      <c r="G2406" s="14" t="str">
        <f>IF('Boletins Nuppa Site'!J2406&lt;&gt;0,'Boletins Nuppa Site'!J2406,"NULL")</f>
        <v xml:space="preserve"> 60.67</v>
      </c>
      <c r="H2406" s="14" t="str">
        <f>IF('Boletins Nuppa Site'!K2406&lt;&gt;0,'Boletins Nuppa Site'!K2406,"NULL")</f>
        <v xml:space="preserve"> 60.00</v>
      </c>
      <c r="I2406" t="str">
        <f t="shared" si="74"/>
        <v>INSERT INTO COTACAO (cot_id, cot_blt_id, cot_pap_id, cot_prc_comum, cot_prc_min, cot_prc_max, cot_prc_med, cot_prc_mediana) VALUES (2405, 98, 15, NULL,  50.00,  72.00,  60.67,  60.00);</v>
      </c>
      <c r="J2406" t="str">
        <f t="shared" si="75"/>
        <v>UPDATE COTACAO SET cot_id = 2405, cot_blt_id = 98, cot_pap_id = 15, cot_prc_comum = NULL, cot_prc_min =  50.00, cot_prc_max =  72.00, cot_prc_med =  60.67, cot_prc_mediana =  60.00 WHERE cot_id = 2405;</v>
      </c>
    </row>
    <row r="2407" spans="1:10" x14ac:dyDescent="0.3">
      <c r="A2407">
        <v>2406</v>
      </c>
      <c r="B2407">
        <f>IF('Boletins Nuppa Site'!A2407&lt;&gt;0,'Boletins Nuppa Site'!A2407,"NULL")</f>
        <v>98</v>
      </c>
      <c r="C2407">
        <v>16</v>
      </c>
      <c r="D2407" t="str">
        <f>IF('Boletins Nuppa Site'!G2407&lt;&gt;0,'Boletins Nuppa Site'!G2407,"NULL")</f>
        <v xml:space="preserve"> 60.00</v>
      </c>
      <c r="E2407" s="14" t="str">
        <f>IF('Boletins Nuppa Site'!H2407&lt;&gt;0,'Boletins Nuppa Site'!H2407,"NULL")</f>
        <v xml:space="preserve"> 48.00</v>
      </c>
      <c r="F2407" s="14" t="str">
        <f>IF('Boletins Nuppa Site'!I2407&lt;&gt;0,'Boletins Nuppa Site'!I2407,"NULL")</f>
        <v xml:space="preserve"> 60.00</v>
      </c>
      <c r="G2407" s="14" t="str">
        <f>IF('Boletins Nuppa Site'!J2407&lt;&gt;0,'Boletins Nuppa Site'!J2407,"NULL")</f>
        <v xml:space="preserve"> 56.00</v>
      </c>
      <c r="H2407" s="14" t="str">
        <f>IF('Boletins Nuppa Site'!K2407&lt;&gt;0,'Boletins Nuppa Site'!K2407,"NULL")</f>
        <v xml:space="preserve"> 60.00</v>
      </c>
      <c r="I2407" t="str">
        <f t="shared" si="74"/>
        <v>INSERT INTO COTACAO (cot_id, cot_blt_id, cot_pap_id, cot_prc_comum, cot_prc_min, cot_prc_max, cot_prc_med, cot_prc_mediana) VALUES (2406, 98, 16,  60.00,  48.00,  60.00,  56.00,  60.00);</v>
      </c>
      <c r="J2407" t="str">
        <f t="shared" si="75"/>
        <v>UPDATE COTACAO SET cot_id = 2406, cot_blt_id = 98, cot_pap_id = 16, cot_prc_comum =  60.00, cot_prc_min =  48.00, cot_prc_max =  60.00, cot_prc_med =  56.00, cot_prc_mediana =  60.00 WHERE cot_id = 2406;</v>
      </c>
    </row>
    <row r="2408" spans="1:10" x14ac:dyDescent="0.3">
      <c r="A2408">
        <v>2407</v>
      </c>
      <c r="B2408">
        <f>IF('Boletins Nuppa Site'!A2408&lt;&gt;0,'Boletins Nuppa Site'!A2408,"NULL")</f>
        <v>98</v>
      </c>
      <c r="C2408">
        <v>17</v>
      </c>
      <c r="D2408" t="str">
        <f>IF('Boletins Nuppa Site'!G2408&lt;&gt;0,'Boletins Nuppa Site'!G2408,"NULL")</f>
        <v xml:space="preserve"> 5.00</v>
      </c>
      <c r="E2408" s="14" t="str">
        <f>IF('Boletins Nuppa Site'!H2408&lt;&gt;0,'Boletins Nuppa Site'!H2408,"NULL")</f>
        <v xml:space="preserve"> 5.00</v>
      </c>
      <c r="F2408" s="14" t="str">
        <f>IF('Boletins Nuppa Site'!I2408&lt;&gt;0,'Boletins Nuppa Site'!I2408,"NULL")</f>
        <v xml:space="preserve"> 6.00</v>
      </c>
      <c r="G2408" s="14" t="str">
        <f>IF('Boletins Nuppa Site'!J2408&lt;&gt;0,'Boletins Nuppa Site'!J2408,"NULL")</f>
        <v xml:space="preserve"> 5.33</v>
      </c>
      <c r="H2408" s="14" t="str">
        <f>IF('Boletins Nuppa Site'!K2408&lt;&gt;0,'Boletins Nuppa Site'!K2408,"NULL")</f>
        <v xml:space="preserve"> 5.00</v>
      </c>
      <c r="I2408" t="str">
        <f t="shared" si="74"/>
        <v>INSERT INTO COTACAO (cot_id, cot_blt_id, cot_pap_id, cot_prc_comum, cot_prc_min, cot_prc_max, cot_prc_med, cot_prc_mediana) VALUES (2407, 98, 17,  5.00,  5.00,  6.00,  5.33,  5.00);</v>
      </c>
      <c r="J2408" t="str">
        <f t="shared" si="75"/>
        <v>UPDATE COTACAO SET cot_id = 2407, cot_blt_id = 98, cot_pap_id = 17, cot_prc_comum =  5.00, cot_prc_min =  5.00, cot_prc_max =  6.00, cot_prc_med =  5.33, cot_prc_mediana =  5.00 WHERE cot_id = 2407;</v>
      </c>
    </row>
    <row r="2409" spans="1:10" x14ac:dyDescent="0.3">
      <c r="A2409">
        <v>2408</v>
      </c>
      <c r="B2409">
        <f>IF('Boletins Nuppa Site'!A2409&lt;&gt;0,'Boletins Nuppa Site'!A2409,"NULL")</f>
        <v>98</v>
      </c>
      <c r="C2409">
        <v>18</v>
      </c>
      <c r="D2409" t="str">
        <f>IF('Boletins Nuppa Site'!G2409&lt;&gt;0,'Boletins Nuppa Site'!G2409,"NULL")</f>
        <v xml:space="preserve"> 35.00</v>
      </c>
      <c r="E2409" s="14" t="str">
        <f>IF('Boletins Nuppa Site'!H2409&lt;&gt;0,'Boletins Nuppa Site'!H2409,"NULL")</f>
        <v xml:space="preserve"> 45.00</v>
      </c>
      <c r="F2409" s="14" t="str">
        <f>IF('Boletins Nuppa Site'!I2409&lt;&gt;0,'Boletins Nuppa Site'!I2409,"NULL")</f>
        <v xml:space="preserve"> 45.00</v>
      </c>
      <c r="G2409" s="14" t="str">
        <f>IF('Boletins Nuppa Site'!J2409&lt;&gt;0,'Boletins Nuppa Site'!J2409,"NULL")</f>
        <v xml:space="preserve"> 41.67</v>
      </c>
      <c r="H2409" s="14" t="str">
        <f>IF('Boletins Nuppa Site'!K2409&lt;&gt;0,'Boletins Nuppa Site'!K2409,"NULL")</f>
        <v xml:space="preserve"> 45.00</v>
      </c>
      <c r="I2409" t="str">
        <f t="shared" si="74"/>
        <v>INSERT INTO COTACAO (cot_id, cot_blt_id, cot_pap_id, cot_prc_comum, cot_prc_min, cot_prc_max, cot_prc_med, cot_prc_mediana) VALUES (2408, 98, 18,  35.00,  45.00,  45.00,  41.67,  45.00);</v>
      </c>
      <c r="J2409" t="str">
        <f t="shared" si="75"/>
        <v>UPDATE COTACAO SET cot_id = 2408, cot_blt_id = 98, cot_pap_id = 18, cot_prc_comum =  35.00, cot_prc_min =  45.00, cot_prc_max =  45.00, cot_prc_med =  41.67, cot_prc_mediana =  45.00 WHERE cot_id = 2408;</v>
      </c>
    </row>
    <row r="2410" spans="1:10" x14ac:dyDescent="0.3">
      <c r="A2410">
        <v>2409</v>
      </c>
      <c r="B2410">
        <f>IF('Boletins Nuppa Site'!A2410&lt;&gt;0,'Boletins Nuppa Site'!A2410,"NULL")</f>
        <v>98</v>
      </c>
      <c r="C2410">
        <v>19</v>
      </c>
      <c r="D2410" t="str">
        <f>IF('Boletins Nuppa Site'!G2410&lt;&gt;0,'Boletins Nuppa Site'!G2410,"NULL")</f>
        <v>NULL</v>
      </c>
      <c r="E2410" s="14" t="str">
        <f>IF('Boletins Nuppa Site'!H2410&lt;&gt;0,'Boletins Nuppa Site'!H2410,"NULL")</f>
        <v xml:space="preserve"> 25.00</v>
      </c>
      <c r="F2410" s="14" t="str">
        <f>IF('Boletins Nuppa Site'!I2410&lt;&gt;0,'Boletins Nuppa Site'!I2410,"NULL")</f>
        <v xml:space="preserve"> 35.00</v>
      </c>
      <c r="G2410" s="14" t="str">
        <f>IF('Boletins Nuppa Site'!J2410&lt;&gt;0,'Boletins Nuppa Site'!J2410,"NULL")</f>
        <v xml:space="preserve"> 30.00</v>
      </c>
      <c r="H2410" s="14" t="str">
        <f>IF('Boletins Nuppa Site'!K2410&lt;&gt;0,'Boletins Nuppa Site'!K2410,"NULL")</f>
        <v xml:space="preserve"> 30.00</v>
      </c>
      <c r="I2410" t="str">
        <f t="shared" si="74"/>
        <v>INSERT INTO COTACAO (cot_id, cot_blt_id, cot_pap_id, cot_prc_comum, cot_prc_min, cot_prc_max, cot_prc_med, cot_prc_mediana) VALUES (2409, 98, 19, NULL,  25.00,  35.00,  30.00,  30.00);</v>
      </c>
      <c r="J2410" t="str">
        <f t="shared" si="75"/>
        <v>UPDATE COTACAO SET cot_id = 2409, cot_blt_id = 98, cot_pap_id = 19, cot_prc_comum = NULL, cot_prc_min =  25.00, cot_prc_max =  35.00, cot_prc_med =  30.00, cot_prc_mediana =  30.00 WHERE cot_id = 2409;</v>
      </c>
    </row>
    <row r="2411" spans="1:10" x14ac:dyDescent="0.3">
      <c r="A2411">
        <v>2410</v>
      </c>
      <c r="B2411">
        <f>IF('Boletins Nuppa Site'!A2411&lt;&gt;0,'Boletins Nuppa Site'!A2411,"NULL")</f>
        <v>98</v>
      </c>
      <c r="C2411">
        <v>20</v>
      </c>
      <c r="D2411" t="str">
        <f>IF('Boletins Nuppa Site'!G2411&lt;&gt;0,'Boletins Nuppa Site'!G2411,"NULL")</f>
        <v>NULL</v>
      </c>
      <c r="E2411" s="14" t="str">
        <f>IF('Boletins Nuppa Site'!H2411&lt;&gt;0,'Boletins Nuppa Site'!H2411,"NULL")</f>
        <v xml:space="preserve"> 50.00</v>
      </c>
      <c r="F2411" s="14" t="str">
        <f>IF('Boletins Nuppa Site'!I2411&lt;&gt;0,'Boletins Nuppa Site'!I2411,"NULL")</f>
        <v xml:space="preserve"> 60.00</v>
      </c>
      <c r="G2411" s="14" t="str">
        <f>IF('Boletins Nuppa Site'!J2411&lt;&gt;0,'Boletins Nuppa Site'!J2411,"NULL")</f>
        <v xml:space="preserve"> 55.00</v>
      </c>
      <c r="H2411" s="14" t="str">
        <f>IF('Boletins Nuppa Site'!K2411&lt;&gt;0,'Boletins Nuppa Site'!K2411,"NULL")</f>
        <v xml:space="preserve"> 55.00</v>
      </c>
      <c r="I2411" t="str">
        <f t="shared" si="74"/>
        <v>INSERT INTO COTACAO (cot_id, cot_blt_id, cot_pap_id, cot_prc_comum, cot_prc_min, cot_prc_max, cot_prc_med, cot_prc_mediana) VALUES (2410, 98, 20, NULL,  50.00,  60.00,  55.00,  55.00);</v>
      </c>
      <c r="J2411" t="str">
        <f t="shared" si="75"/>
        <v>UPDATE COTACAO SET cot_id = 2410, cot_blt_id = 98, cot_pap_id = 20, cot_prc_comum = NULL, cot_prc_min =  50.00, cot_prc_max =  60.00, cot_prc_med =  55.00, cot_prc_mediana =  55.00 WHERE cot_id = 2410;</v>
      </c>
    </row>
    <row r="2412" spans="1:10" x14ac:dyDescent="0.3">
      <c r="A2412">
        <v>2411</v>
      </c>
      <c r="B2412">
        <f>IF('Boletins Nuppa Site'!A2412&lt;&gt;0,'Boletins Nuppa Site'!A2412,"NULL")</f>
        <v>98</v>
      </c>
      <c r="C2412">
        <v>21</v>
      </c>
      <c r="D2412" t="str">
        <f>IF('Boletins Nuppa Site'!G2412&lt;&gt;0,'Boletins Nuppa Site'!G2412,"NULL")</f>
        <v>NULL</v>
      </c>
      <c r="E2412" s="14" t="str">
        <f>IF('Boletins Nuppa Site'!H2412&lt;&gt;0,'Boletins Nuppa Site'!H2412,"NULL")</f>
        <v xml:space="preserve"> 60.00</v>
      </c>
      <c r="F2412" s="14" t="str">
        <f>IF('Boletins Nuppa Site'!I2412&lt;&gt;0,'Boletins Nuppa Site'!I2412,"NULL")</f>
        <v xml:space="preserve"> 80.00</v>
      </c>
      <c r="G2412" s="14" t="str">
        <f>IF('Boletins Nuppa Site'!J2412&lt;&gt;0,'Boletins Nuppa Site'!J2412,"NULL")</f>
        <v xml:space="preserve"> 70.00</v>
      </c>
      <c r="H2412" s="14" t="str">
        <f>IF('Boletins Nuppa Site'!K2412&lt;&gt;0,'Boletins Nuppa Site'!K2412,"NULL")</f>
        <v xml:space="preserve"> 70.00</v>
      </c>
      <c r="I2412" t="str">
        <f t="shared" si="74"/>
        <v>INSERT INTO COTACAO (cot_id, cot_blt_id, cot_pap_id, cot_prc_comum, cot_prc_min, cot_prc_max, cot_prc_med, cot_prc_mediana) VALUES (2411, 98, 21, NULL,  60.00,  80.00,  70.00,  70.00);</v>
      </c>
      <c r="J2412" t="str">
        <f t="shared" si="75"/>
        <v>UPDATE COTACAO SET cot_id = 2411, cot_blt_id = 98, cot_pap_id = 21, cot_prc_comum = NULL, cot_prc_min =  60.00, cot_prc_max =  80.00, cot_prc_med =  70.00, cot_prc_mediana =  70.00 WHERE cot_id = 2411;</v>
      </c>
    </row>
    <row r="2413" spans="1:10" x14ac:dyDescent="0.3">
      <c r="A2413">
        <v>2412</v>
      </c>
      <c r="B2413">
        <f>IF('Boletins Nuppa Site'!A2413&lt;&gt;0,'Boletins Nuppa Site'!A2413,"NULL")</f>
        <v>98</v>
      </c>
      <c r="C2413">
        <v>22</v>
      </c>
      <c r="D2413" t="str">
        <f>IF('Boletins Nuppa Site'!G2413&lt;&gt;0,'Boletins Nuppa Site'!G2413,"NULL")</f>
        <v>NULL</v>
      </c>
      <c r="E2413" s="14" t="str">
        <f>IF('Boletins Nuppa Site'!H2413&lt;&gt;0,'Boletins Nuppa Site'!H2413,"NULL")</f>
        <v xml:space="preserve"> 45.00</v>
      </c>
      <c r="F2413" s="14" t="str">
        <f>IF('Boletins Nuppa Site'!I2413&lt;&gt;0,'Boletins Nuppa Site'!I2413,"NULL")</f>
        <v xml:space="preserve"> 65.00</v>
      </c>
      <c r="G2413" s="14" t="str">
        <f>IF('Boletins Nuppa Site'!J2413&lt;&gt;0,'Boletins Nuppa Site'!J2413,"NULL")</f>
        <v xml:space="preserve"> 56.67</v>
      </c>
      <c r="H2413" s="14" t="str">
        <f>IF('Boletins Nuppa Site'!K2413&lt;&gt;0,'Boletins Nuppa Site'!K2413,"NULL")</f>
        <v xml:space="preserve"> 60.00</v>
      </c>
      <c r="I2413" t="str">
        <f t="shared" si="74"/>
        <v>INSERT INTO COTACAO (cot_id, cot_blt_id, cot_pap_id, cot_prc_comum, cot_prc_min, cot_prc_max, cot_prc_med, cot_prc_mediana) VALUES (2412, 98, 22, NULL,  45.00,  65.00,  56.67,  60.00);</v>
      </c>
      <c r="J2413" t="str">
        <f t="shared" si="75"/>
        <v>UPDATE COTACAO SET cot_id = 2412, cot_blt_id = 98, cot_pap_id = 22, cot_prc_comum = NULL, cot_prc_min =  45.00, cot_prc_max =  65.00, cot_prc_med =  56.67, cot_prc_mediana =  60.00 WHERE cot_id = 2412;</v>
      </c>
    </row>
    <row r="2414" spans="1:10" x14ac:dyDescent="0.3">
      <c r="A2414">
        <v>2413</v>
      </c>
      <c r="B2414">
        <f>IF('Boletins Nuppa Site'!A2414&lt;&gt;0,'Boletins Nuppa Site'!A2414,"NULL")</f>
        <v>98</v>
      </c>
      <c r="C2414">
        <v>23</v>
      </c>
      <c r="D2414" t="str">
        <f>IF('Boletins Nuppa Site'!G2414&lt;&gt;0,'Boletins Nuppa Site'!G2414,"NULL")</f>
        <v>NULL</v>
      </c>
      <c r="E2414" s="14" t="str">
        <f>IF('Boletins Nuppa Site'!H2414&lt;&gt;0,'Boletins Nuppa Site'!H2414,"NULL")</f>
        <v xml:space="preserve"> 40.00</v>
      </c>
      <c r="F2414" s="14" t="str">
        <f>IF('Boletins Nuppa Site'!I2414&lt;&gt;0,'Boletins Nuppa Site'!I2414,"NULL")</f>
        <v xml:space="preserve"> 60.00</v>
      </c>
      <c r="G2414" s="14" t="str">
        <f>IF('Boletins Nuppa Site'!J2414&lt;&gt;0,'Boletins Nuppa Site'!J2414,"NULL")</f>
        <v xml:space="preserve"> 48.33</v>
      </c>
      <c r="H2414" s="14" t="str">
        <f>IF('Boletins Nuppa Site'!K2414&lt;&gt;0,'Boletins Nuppa Site'!K2414,"NULL")</f>
        <v xml:space="preserve"> 45.00</v>
      </c>
      <c r="I2414" t="str">
        <f t="shared" si="74"/>
        <v>INSERT INTO COTACAO (cot_id, cot_blt_id, cot_pap_id, cot_prc_comum, cot_prc_min, cot_prc_max, cot_prc_med, cot_prc_mediana) VALUES (2413, 98, 23, NULL,  40.00,  60.00,  48.33,  45.00);</v>
      </c>
      <c r="J2414" t="str">
        <f t="shared" si="75"/>
        <v>UPDATE COTACAO SET cot_id = 2413, cot_blt_id = 98, cot_pap_id = 23, cot_prc_comum = NULL, cot_prc_min =  40.00, cot_prc_max =  60.00, cot_prc_med =  48.33, cot_prc_mediana =  45.00 WHERE cot_id = 2413;</v>
      </c>
    </row>
    <row r="2415" spans="1:10" x14ac:dyDescent="0.3">
      <c r="A2415">
        <v>2414</v>
      </c>
      <c r="B2415">
        <f>IF('Boletins Nuppa Site'!A2415&lt;&gt;0,'Boletins Nuppa Site'!A2415,"NULL")</f>
        <v>98</v>
      </c>
      <c r="C2415">
        <v>24</v>
      </c>
      <c r="D2415" t="str">
        <f>IF('Boletins Nuppa Site'!G2415&lt;&gt;0,'Boletins Nuppa Site'!G2415,"NULL")</f>
        <v>NULL</v>
      </c>
      <c r="E2415" s="14" t="str">
        <f>IF('Boletins Nuppa Site'!H2415&lt;&gt;0,'Boletins Nuppa Site'!H2415,"NULL")</f>
        <v xml:space="preserve"> 75.00</v>
      </c>
      <c r="F2415" s="14" t="str">
        <f>IF('Boletins Nuppa Site'!I2415&lt;&gt;0,'Boletins Nuppa Site'!I2415,"NULL")</f>
        <v xml:space="preserve"> 75.00</v>
      </c>
      <c r="G2415" s="14" t="str">
        <f>IF('Boletins Nuppa Site'!J2415&lt;&gt;0,'Boletins Nuppa Site'!J2415,"NULL")</f>
        <v xml:space="preserve"> 75.00</v>
      </c>
      <c r="H2415" s="14" t="str">
        <f>IF('Boletins Nuppa Site'!K2415&lt;&gt;0,'Boletins Nuppa Site'!K2415,"NULL")</f>
        <v xml:space="preserve"> 75.00</v>
      </c>
      <c r="I2415" t="str">
        <f t="shared" si="74"/>
        <v>INSERT INTO COTACAO (cot_id, cot_blt_id, cot_pap_id, cot_prc_comum, cot_prc_min, cot_prc_max, cot_prc_med, cot_prc_mediana) VALUES (2414, 98, 24, NULL,  75.00,  75.00,  75.00,  75.00);</v>
      </c>
      <c r="J2415" t="str">
        <f t="shared" si="75"/>
        <v>UPDATE COTACAO SET cot_id = 2414, cot_blt_id = 98, cot_pap_id = 24, cot_prc_comum = NULL, cot_prc_min =  75.00, cot_prc_max =  75.00, cot_prc_med =  75.00, cot_prc_mediana =  75.00 WHERE cot_id = 2414;</v>
      </c>
    </row>
    <row r="2416" spans="1:10" x14ac:dyDescent="0.3">
      <c r="A2416">
        <v>2415</v>
      </c>
      <c r="B2416">
        <f>IF('Boletins Nuppa Site'!A2416&lt;&gt;0,'Boletins Nuppa Site'!A2416,"NULL")</f>
        <v>98</v>
      </c>
      <c r="C2416">
        <v>25</v>
      </c>
      <c r="D2416" t="str">
        <f>IF('Boletins Nuppa Site'!G2416&lt;&gt;0,'Boletins Nuppa Site'!G2416,"NULL")</f>
        <v>NULL</v>
      </c>
      <c r="E2416" s="14" t="str">
        <f>IF('Boletins Nuppa Site'!H2416&lt;&gt;0,'Boletins Nuppa Site'!H2416,"NULL")</f>
        <v xml:space="preserve"> 50.00</v>
      </c>
      <c r="F2416" s="14" t="str">
        <f>IF('Boletins Nuppa Site'!I2416&lt;&gt;0,'Boletins Nuppa Site'!I2416,"NULL")</f>
        <v xml:space="preserve"> 70.00</v>
      </c>
      <c r="G2416" s="14" t="str">
        <f>IF('Boletins Nuppa Site'!J2416&lt;&gt;0,'Boletins Nuppa Site'!J2416,"NULL")</f>
        <v xml:space="preserve"> 60.00</v>
      </c>
      <c r="H2416" s="14" t="str">
        <f>IF('Boletins Nuppa Site'!K2416&lt;&gt;0,'Boletins Nuppa Site'!K2416,"NULL")</f>
        <v xml:space="preserve"> 60.00</v>
      </c>
      <c r="I2416" t="str">
        <f t="shared" si="74"/>
        <v>INSERT INTO COTACAO (cot_id, cot_blt_id, cot_pap_id, cot_prc_comum, cot_prc_min, cot_prc_max, cot_prc_med, cot_prc_mediana) VALUES (2415, 98, 25, NULL,  50.00,  70.00,  60.00,  60.00);</v>
      </c>
      <c r="J2416" t="str">
        <f t="shared" si="75"/>
        <v>UPDATE COTACAO SET cot_id = 2415, cot_blt_id = 98, cot_pap_id = 25, cot_prc_comum = NULL, cot_prc_min =  50.00, cot_prc_max =  70.00, cot_prc_med =  60.00, cot_prc_mediana =  60.00 WHERE cot_id = 2415;</v>
      </c>
    </row>
    <row r="2417" spans="1:10" x14ac:dyDescent="0.3">
      <c r="A2417">
        <v>2416</v>
      </c>
      <c r="B2417">
        <f>IF('Boletins Nuppa Site'!A2417&lt;&gt;0,'Boletins Nuppa Site'!A2417,"NULL")</f>
        <v>98</v>
      </c>
      <c r="C2417">
        <v>26</v>
      </c>
      <c r="D2417" t="str">
        <f>IF('Boletins Nuppa Site'!G2417&lt;&gt;0,'Boletins Nuppa Site'!G2417,"NULL")</f>
        <v xml:space="preserve"> 60.00</v>
      </c>
      <c r="E2417" s="14" t="str">
        <f>IF('Boletins Nuppa Site'!H2417&lt;&gt;0,'Boletins Nuppa Site'!H2417,"NULL")</f>
        <v xml:space="preserve"> 60.00</v>
      </c>
      <c r="F2417" s="14" t="str">
        <f>IF('Boletins Nuppa Site'!I2417&lt;&gt;0,'Boletins Nuppa Site'!I2417,"NULL")</f>
        <v xml:space="preserve"> 85.00</v>
      </c>
      <c r="G2417" s="14" t="str">
        <f>IF('Boletins Nuppa Site'!J2417&lt;&gt;0,'Boletins Nuppa Site'!J2417,"NULL")</f>
        <v xml:space="preserve"> 68.33</v>
      </c>
      <c r="H2417" s="14" t="str">
        <f>IF('Boletins Nuppa Site'!K2417&lt;&gt;0,'Boletins Nuppa Site'!K2417,"NULL")</f>
        <v xml:space="preserve"> 60.00</v>
      </c>
      <c r="I2417" t="str">
        <f t="shared" si="74"/>
        <v>INSERT INTO COTACAO (cot_id, cot_blt_id, cot_pap_id, cot_prc_comum, cot_prc_min, cot_prc_max, cot_prc_med, cot_prc_mediana) VALUES (2416, 98, 26,  60.00,  60.00,  85.00,  68.33,  60.00);</v>
      </c>
      <c r="J2417" t="str">
        <f t="shared" si="75"/>
        <v>UPDATE COTACAO SET cot_id = 2416, cot_blt_id = 98, cot_pap_id = 26, cot_prc_comum =  60.00, cot_prc_min =  60.00, cot_prc_max =  85.00, cot_prc_med =  68.33, cot_prc_mediana =  60.00 WHERE cot_id = 2416;</v>
      </c>
    </row>
    <row r="2418" spans="1:10" x14ac:dyDescent="0.3">
      <c r="A2418">
        <v>2417</v>
      </c>
      <c r="B2418">
        <f>IF('Boletins Nuppa Site'!A2418&lt;&gt;0,'Boletins Nuppa Site'!A2418,"NULL")</f>
        <v>98</v>
      </c>
      <c r="C2418">
        <v>27</v>
      </c>
      <c r="D2418" t="str">
        <f>IF('Boletins Nuppa Site'!G2418&lt;&gt;0,'Boletins Nuppa Site'!G2418,"NULL")</f>
        <v>NULL</v>
      </c>
      <c r="E2418" s="14" t="str">
        <f>IF('Boletins Nuppa Site'!H2418&lt;&gt;0,'Boletins Nuppa Site'!H2418,"NULL")</f>
        <v xml:space="preserve"> 70.00</v>
      </c>
      <c r="F2418" s="14" t="str">
        <f>IF('Boletins Nuppa Site'!I2418&lt;&gt;0,'Boletins Nuppa Site'!I2418,"NULL")</f>
        <v xml:space="preserve"> 90.00</v>
      </c>
      <c r="G2418" s="14" t="str">
        <f>IF('Boletins Nuppa Site'!J2418&lt;&gt;0,'Boletins Nuppa Site'!J2418,"NULL")</f>
        <v xml:space="preserve"> 80.00</v>
      </c>
      <c r="H2418" s="14" t="str">
        <f>IF('Boletins Nuppa Site'!K2418&lt;&gt;0,'Boletins Nuppa Site'!K2418,"NULL")</f>
        <v xml:space="preserve"> 80.00</v>
      </c>
      <c r="I2418" t="str">
        <f t="shared" si="74"/>
        <v>INSERT INTO COTACAO (cot_id, cot_blt_id, cot_pap_id, cot_prc_comum, cot_prc_min, cot_prc_max, cot_prc_med, cot_prc_mediana) VALUES (2417, 98, 27, NULL,  70.00,  90.00,  80.00,  80.00);</v>
      </c>
      <c r="J2418" t="str">
        <f t="shared" si="75"/>
        <v>UPDATE COTACAO SET cot_id = 2417, cot_blt_id = 98, cot_pap_id = 27, cot_prc_comum = NULL, cot_prc_min =  70.00, cot_prc_max =  90.00, cot_prc_med =  80.00, cot_prc_mediana =  80.00 WHERE cot_id = 2417;</v>
      </c>
    </row>
    <row r="2419" spans="1:10" x14ac:dyDescent="0.3">
      <c r="A2419">
        <v>2418</v>
      </c>
      <c r="B2419">
        <f>IF('Boletins Nuppa Site'!A2419&lt;&gt;0,'Boletins Nuppa Site'!A2419,"NULL")</f>
        <v>98</v>
      </c>
      <c r="C2419">
        <v>28</v>
      </c>
      <c r="D2419" t="str">
        <f>IF('Boletins Nuppa Site'!G2419&lt;&gt;0,'Boletins Nuppa Site'!G2419,"NULL")</f>
        <v xml:space="preserve"> 70.00</v>
      </c>
      <c r="E2419" s="14" t="str">
        <f>IF('Boletins Nuppa Site'!H2419&lt;&gt;0,'Boletins Nuppa Site'!H2419,"NULL")</f>
        <v xml:space="preserve"> 70.00</v>
      </c>
      <c r="F2419" s="14" t="str">
        <f>IF('Boletins Nuppa Site'!I2419&lt;&gt;0,'Boletins Nuppa Site'!I2419,"NULL")</f>
        <v xml:space="preserve"> 70.00</v>
      </c>
      <c r="G2419" s="14" t="str">
        <f>IF('Boletins Nuppa Site'!J2419&lt;&gt;0,'Boletins Nuppa Site'!J2419,"NULL")</f>
        <v xml:space="preserve"> 70.00</v>
      </c>
      <c r="H2419" s="14" t="str">
        <f>IF('Boletins Nuppa Site'!K2419&lt;&gt;0,'Boletins Nuppa Site'!K2419,"NULL")</f>
        <v xml:space="preserve"> 70.00</v>
      </c>
      <c r="I2419" t="str">
        <f t="shared" si="74"/>
        <v>INSERT INTO COTACAO (cot_id, cot_blt_id, cot_pap_id, cot_prc_comum, cot_prc_min, cot_prc_max, cot_prc_med, cot_prc_mediana) VALUES (2418, 98, 28,  70.00,  70.00,  70.00,  70.00,  70.00);</v>
      </c>
      <c r="J2419" t="str">
        <f t="shared" si="75"/>
        <v>UPDATE COTACAO SET cot_id = 2418, cot_blt_id = 98, cot_pap_id = 28, cot_prc_comum =  70.00, cot_prc_min =  70.00, cot_prc_max =  70.00, cot_prc_med =  70.00, cot_prc_mediana =  70.00 WHERE cot_id = 2418;</v>
      </c>
    </row>
    <row r="2420" spans="1:10" x14ac:dyDescent="0.3">
      <c r="A2420">
        <v>2419</v>
      </c>
      <c r="B2420">
        <f>IF('Boletins Nuppa Site'!A2420&lt;&gt;0,'Boletins Nuppa Site'!A2420,"NULL")</f>
        <v>98</v>
      </c>
      <c r="C2420">
        <v>29</v>
      </c>
      <c r="D2420" t="str">
        <f>IF('Boletins Nuppa Site'!G2420&lt;&gt;0,'Boletins Nuppa Site'!G2420,"NULL")</f>
        <v>NULL</v>
      </c>
      <c r="E2420" s="14" t="str">
        <f>IF('Boletins Nuppa Site'!H2420&lt;&gt;0,'Boletins Nuppa Site'!H2420,"NULL")</f>
        <v xml:space="preserve"> 75.00</v>
      </c>
      <c r="F2420" s="14" t="str">
        <f>IF('Boletins Nuppa Site'!I2420&lt;&gt;0,'Boletins Nuppa Site'!I2420,"NULL")</f>
        <v xml:space="preserve"> 75.00</v>
      </c>
      <c r="G2420" s="14" t="str">
        <f>IF('Boletins Nuppa Site'!J2420&lt;&gt;0,'Boletins Nuppa Site'!J2420,"NULL")</f>
        <v xml:space="preserve"> 75.00</v>
      </c>
      <c r="H2420" s="14" t="str">
        <f>IF('Boletins Nuppa Site'!K2420&lt;&gt;0,'Boletins Nuppa Site'!K2420,"NULL")</f>
        <v xml:space="preserve"> 75.00</v>
      </c>
      <c r="I2420" t="str">
        <f t="shared" si="74"/>
        <v>INSERT INTO COTACAO (cot_id, cot_blt_id, cot_pap_id, cot_prc_comum, cot_prc_min, cot_prc_max, cot_prc_med, cot_prc_mediana) VALUES (2419, 98, 29, NULL,  75.00,  75.00,  75.00,  75.00);</v>
      </c>
      <c r="J2420" t="str">
        <f t="shared" si="75"/>
        <v>UPDATE COTACAO SET cot_id = 2419, cot_blt_id = 98, cot_pap_id = 29, cot_prc_comum = NULL, cot_prc_min =  75.00, cot_prc_max =  75.00, cot_prc_med =  75.00, cot_prc_mediana =  75.00 WHERE cot_id = 2419;</v>
      </c>
    </row>
    <row r="2421" spans="1:10" x14ac:dyDescent="0.3">
      <c r="A2421">
        <v>2420</v>
      </c>
      <c r="B2421">
        <f>IF('Boletins Nuppa Site'!A2421&lt;&gt;0,'Boletins Nuppa Site'!A2421,"NULL")</f>
        <v>98</v>
      </c>
      <c r="C2421">
        <v>30</v>
      </c>
      <c r="D2421" t="str">
        <f>IF('Boletins Nuppa Site'!G2421&lt;&gt;0,'Boletins Nuppa Site'!G2421,"NULL")</f>
        <v>NULL</v>
      </c>
      <c r="E2421" s="14" t="str">
        <f>IF('Boletins Nuppa Site'!H2421&lt;&gt;0,'Boletins Nuppa Site'!H2421,"NULL")</f>
        <v xml:space="preserve"> 70.00</v>
      </c>
      <c r="F2421" s="14" t="str">
        <f>IF('Boletins Nuppa Site'!I2421&lt;&gt;0,'Boletins Nuppa Site'!I2421,"NULL")</f>
        <v xml:space="preserve"> 70.00</v>
      </c>
      <c r="G2421" s="14" t="str">
        <f>IF('Boletins Nuppa Site'!J2421&lt;&gt;0,'Boletins Nuppa Site'!J2421,"NULL")</f>
        <v xml:space="preserve"> 70.00</v>
      </c>
      <c r="H2421" s="14" t="str">
        <f>IF('Boletins Nuppa Site'!K2421&lt;&gt;0,'Boletins Nuppa Site'!K2421,"NULL")</f>
        <v xml:space="preserve"> 70.00</v>
      </c>
      <c r="I2421" t="str">
        <f t="shared" si="74"/>
        <v>INSERT INTO COTACAO (cot_id, cot_blt_id, cot_pap_id, cot_prc_comum, cot_prc_min, cot_prc_max, cot_prc_med, cot_prc_mediana) VALUES (2420, 98, 30, NULL,  70.00,  70.00,  70.00,  70.00);</v>
      </c>
      <c r="J2421" t="str">
        <f t="shared" si="75"/>
        <v>UPDATE COTACAO SET cot_id = 2420, cot_blt_id = 98, cot_pap_id = 30, cot_prc_comum = NULL, cot_prc_min =  70.00, cot_prc_max =  70.00, cot_prc_med =  70.00, cot_prc_mediana =  70.00 WHERE cot_id = 2420;</v>
      </c>
    </row>
    <row r="2422" spans="1:10" x14ac:dyDescent="0.3">
      <c r="A2422">
        <v>2421</v>
      </c>
      <c r="B2422">
        <f>IF('Boletins Nuppa Site'!A2422&lt;&gt;0,'Boletins Nuppa Site'!A2422,"NULL")</f>
        <v>98</v>
      </c>
      <c r="C2422">
        <v>31</v>
      </c>
      <c r="D2422" t="str">
        <f>IF('Boletins Nuppa Site'!G2422&lt;&gt;0,'Boletins Nuppa Site'!G2422,"NULL")</f>
        <v xml:space="preserve"> 80.00</v>
      </c>
      <c r="E2422" s="14" t="str">
        <f>IF('Boletins Nuppa Site'!H2422&lt;&gt;0,'Boletins Nuppa Site'!H2422,"NULL")</f>
        <v xml:space="preserve"> 80.00</v>
      </c>
      <c r="F2422" s="14" t="str">
        <f>IF('Boletins Nuppa Site'!I2422&lt;&gt;0,'Boletins Nuppa Site'!I2422,"NULL")</f>
        <v xml:space="preserve"> 90.00</v>
      </c>
      <c r="G2422" s="14" t="str">
        <f>IF('Boletins Nuppa Site'!J2422&lt;&gt;0,'Boletins Nuppa Site'!J2422,"NULL")</f>
        <v xml:space="preserve"> 83.33</v>
      </c>
      <c r="H2422" s="14" t="str">
        <f>IF('Boletins Nuppa Site'!K2422&lt;&gt;0,'Boletins Nuppa Site'!K2422,"NULL")</f>
        <v xml:space="preserve"> 80.00</v>
      </c>
      <c r="I2422" t="str">
        <f t="shared" si="74"/>
        <v>INSERT INTO COTACAO (cot_id, cot_blt_id, cot_pap_id, cot_prc_comum, cot_prc_min, cot_prc_max, cot_prc_med, cot_prc_mediana) VALUES (2421, 98, 31,  80.00,  80.00,  90.00,  83.33,  80.00);</v>
      </c>
      <c r="J2422" t="str">
        <f t="shared" si="75"/>
        <v>UPDATE COTACAO SET cot_id = 2421, cot_blt_id = 98, cot_pap_id = 31, cot_prc_comum =  80.00, cot_prc_min =  80.00, cot_prc_max =  90.00, cot_prc_med =  83.33, cot_prc_mediana =  80.00 WHERE cot_id = 2421;</v>
      </c>
    </row>
    <row r="2423" spans="1:10" x14ac:dyDescent="0.3">
      <c r="A2423">
        <v>2422</v>
      </c>
      <c r="B2423">
        <f>IF('Boletins Nuppa Site'!A2423&lt;&gt;0,'Boletins Nuppa Site'!A2423,"NULL")</f>
        <v>98</v>
      </c>
      <c r="C2423">
        <v>32</v>
      </c>
      <c r="D2423" t="str">
        <f>IF('Boletins Nuppa Site'!G2423&lt;&gt;0,'Boletins Nuppa Site'!G2423,"NULL")</f>
        <v>NULL</v>
      </c>
      <c r="E2423" s="14" t="str">
        <f>IF('Boletins Nuppa Site'!H2423&lt;&gt;0,'Boletins Nuppa Site'!H2423,"NULL")</f>
        <v xml:space="preserve"> 30.00</v>
      </c>
      <c r="F2423" s="14" t="str">
        <f>IF('Boletins Nuppa Site'!I2423&lt;&gt;0,'Boletins Nuppa Site'!I2423,"NULL")</f>
        <v xml:space="preserve"> 75.00</v>
      </c>
      <c r="G2423" s="14" t="str">
        <f>IF('Boletins Nuppa Site'!J2423&lt;&gt;0,'Boletins Nuppa Site'!J2423,"NULL")</f>
        <v xml:space="preserve"> 50.00</v>
      </c>
      <c r="H2423" s="14" t="str">
        <f>IF('Boletins Nuppa Site'!K2423&lt;&gt;0,'Boletins Nuppa Site'!K2423,"NULL")</f>
        <v xml:space="preserve"> 45.00</v>
      </c>
      <c r="I2423" t="str">
        <f t="shared" si="74"/>
        <v>INSERT INTO COTACAO (cot_id, cot_blt_id, cot_pap_id, cot_prc_comum, cot_prc_min, cot_prc_max, cot_prc_med, cot_prc_mediana) VALUES (2422, 98, 32, NULL,  30.00,  75.00,  50.00,  45.00);</v>
      </c>
      <c r="J2423" t="str">
        <f t="shared" si="75"/>
        <v>UPDATE COTACAO SET cot_id = 2422, cot_blt_id = 98, cot_pap_id = 32, cot_prc_comum = NULL, cot_prc_min =  30.00, cot_prc_max =  75.00, cot_prc_med =  50.00, cot_prc_mediana =  45.00 WHERE cot_id = 2422;</v>
      </c>
    </row>
    <row r="2424" spans="1:10" x14ac:dyDescent="0.3">
      <c r="A2424">
        <v>2423</v>
      </c>
      <c r="B2424">
        <f>IF('Boletins Nuppa Site'!A2424&lt;&gt;0,'Boletins Nuppa Site'!A2424,"NULL")</f>
        <v>98</v>
      </c>
      <c r="C2424">
        <v>33</v>
      </c>
      <c r="D2424" t="str">
        <f>IF('Boletins Nuppa Site'!G2424&lt;&gt;0,'Boletins Nuppa Site'!G2424,"NULL")</f>
        <v>NULL</v>
      </c>
      <c r="E2424" s="14" t="str">
        <f>IF('Boletins Nuppa Site'!H2424&lt;&gt;0,'Boletins Nuppa Site'!H2424,"NULL")</f>
        <v xml:space="preserve"> 90.00</v>
      </c>
      <c r="F2424" s="14" t="str">
        <f>IF('Boletins Nuppa Site'!I2424&lt;&gt;0,'Boletins Nuppa Site'!I2424,"NULL")</f>
        <v xml:space="preserve"> 130.00</v>
      </c>
      <c r="G2424" s="14" t="str">
        <f>IF('Boletins Nuppa Site'!J2424&lt;&gt;0,'Boletins Nuppa Site'!J2424,"NULL")</f>
        <v xml:space="preserve"> 106.67</v>
      </c>
      <c r="H2424" s="14" t="str">
        <f>IF('Boletins Nuppa Site'!K2424&lt;&gt;0,'Boletins Nuppa Site'!K2424,"NULL")</f>
        <v xml:space="preserve"> 100.00</v>
      </c>
      <c r="I2424" t="str">
        <f t="shared" si="74"/>
        <v>INSERT INTO COTACAO (cot_id, cot_blt_id, cot_pap_id, cot_prc_comum, cot_prc_min, cot_prc_max, cot_prc_med, cot_prc_mediana) VALUES (2423, 98, 33, NULL,  90.00,  130.00,  106.67,  100.00);</v>
      </c>
      <c r="J2424" t="str">
        <f t="shared" si="75"/>
        <v>UPDATE COTACAO SET cot_id = 2423, cot_blt_id = 98, cot_pap_id = 33, cot_prc_comum = NULL, cot_prc_min =  90.00, cot_prc_max =  130.00, cot_prc_med =  106.67, cot_prc_mediana =  100.00 WHERE cot_id = 2423;</v>
      </c>
    </row>
    <row r="2425" spans="1:10" x14ac:dyDescent="0.3">
      <c r="A2425">
        <v>2424</v>
      </c>
      <c r="B2425">
        <f>IF('Boletins Nuppa Site'!A2425&lt;&gt;0,'Boletins Nuppa Site'!A2425,"NULL")</f>
        <v>98</v>
      </c>
      <c r="C2425">
        <v>34</v>
      </c>
      <c r="D2425" t="str">
        <f>IF('Boletins Nuppa Site'!G2425&lt;&gt;0,'Boletins Nuppa Site'!G2425,"NULL")</f>
        <v>NULL</v>
      </c>
      <c r="E2425" s="14" t="str">
        <f>IF('Boletins Nuppa Site'!H2425&lt;&gt;0,'Boletins Nuppa Site'!H2425,"NULL")</f>
        <v xml:space="preserve"> 100.00</v>
      </c>
      <c r="F2425" s="14" t="str">
        <f>IF('Boletins Nuppa Site'!I2425&lt;&gt;0,'Boletins Nuppa Site'!I2425,"NULL")</f>
        <v xml:space="preserve"> 170.00</v>
      </c>
      <c r="G2425" s="14" t="str">
        <f>IF('Boletins Nuppa Site'!J2425&lt;&gt;0,'Boletins Nuppa Site'!J2425,"NULL")</f>
        <v xml:space="preserve"> 126.67</v>
      </c>
      <c r="H2425" s="14" t="str">
        <f>IF('Boletins Nuppa Site'!K2425&lt;&gt;0,'Boletins Nuppa Site'!K2425,"NULL")</f>
        <v xml:space="preserve"> 110.00</v>
      </c>
      <c r="I2425" t="str">
        <f t="shared" si="74"/>
        <v>INSERT INTO COTACAO (cot_id, cot_blt_id, cot_pap_id, cot_prc_comum, cot_prc_min, cot_prc_max, cot_prc_med, cot_prc_mediana) VALUES (2424, 98, 34, NULL,  100.00,  170.00,  126.67,  110.00);</v>
      </c>
      <c r="J2425" t="str">
        <f t="shared" si="75"/>
        <v>UPDATE COTACAO SET cot_id = 2424, cot_blt_id = 98, cot_pap_id = 34, cot_prc_comum = NULL, cot_prc_min =  100.00, cot_prc_max =  170.00, cot_prc_med =  126.67, cot_prc_mediana =  110.00 WHERE cot_id = 2424;</v>
      </c>
    </row>
    <row r="2426" spans="1:10" x14ac:dyDescent="0.3">
      <c r="A2426">
        <v>2425</v>
      </c>
      <c r="B2426">
        <f>IF('Boletins Nuppa Site'!A2426&lt;&gt;0,'Boletins Nuppa Site'!A2426,"NULL")</f>
        <v>98</v>
      </c>
      <c r="C2426">
        <v>35</v>
      </c>
      <c r="D2426" t="str">
        <f>IF('Boletins Nuppa Site'!G2426&lt;&gt;0,'Boletins Nuppa Site'!G2426,"NULL")</f>
        <v>NULL</v>
      </c>
      <c r="E2426" s="14" t="str">
        <f>IF('Boletins Nuppa Site'!H2426&lt;&gt;0,'Boletins Nuppa Site'!H2426,"NULL")</f>
        <v xml:space="preserve"> 150.00</v>
      </c>
      <c r="F2426" s="14" t="str">
        <f>IF('Boletins Nuppa Site'!I2426&lt;&gt;0,'Boletins Nuppa Site'!I2426,"NULL")</f>
        <v xml:space="preserve"> 150.00</v>
      </c>
      <c r="G2426" s="14" t="str">
        <f>IF('Boletins Nuppa Site'!J2426&lt;&gt;0,'Boletins Nuppa Site'!J2426,"NULL")</f>
        <v xml:space="preserve"> 150.00</v>
      </c>
      <c r="H2426" s="14" t="str">
        <f>IF('Boletins Nuppa Site'!K2426&lt;&gt;0,'Boletins Nuppa Site'!K2426,"NULL")</f>
        <v xml:space="preserve"> 150.00</v>
      </c>
      <c r="I2426" t="str">
        <f t="shared" si="74"/>
        <v>INSERT INTO COTACAO (cot_id, cot_blt_id, cot_pap_id, cot_prc_comum, cot_prc_min, cot_prc_max, cot_prc_med, cot_prc_mediana) VALUES (2425, 98, 35, NULL,  150.00,  150.00,  150.00,  150.00);</v>
      </c>
      <c r="J2426" t="str">
        <f t="shared" si="75"/>
        <v>UPDATE COTACAO SET cot_id = 2425, cot_blt_id = 98, cot_pap_id = 35, cot_prc_comum = NULL, cot_prc_min =  150.00, cot_prc_max =  150.00, cot_prc_med =  150.00, cot_prc_mediana =  150.00 WHERE cot_id = 2425;</v>
      </c>
    </row>
    <row r="2427" spans="1:10" x14ac:dyDescent="0.3">
      <c r="A2427">
        <v>2426</v>
      </c>
      <c r="B2427">
        <f>IF('Boletins Nuppa Site'!A2427&lt;&gt;0,'Boletins Nuppa Site'!A2427,"NULL")</f>
        <v>98</v>
      </c>
      <c r="C2427">
        <v>36</v>
      </c>
      <c r="D2427" t="str">
        <f>IF('Boletins Nuppa Site'!G2427&lt;&gt;0,'Boletins Nuppa Site'!G2427,"NULL")</f>
        <v>NULL</v>
      </c>
      <c r="E2427" s="14" t="str">
        <f>IF('Boletins Nuppa Site'!H2427&lt;&gt;0,'Boletins Nuppa Site'!H2427,"NULL")</f>
        <v>NULL</v>
      </c>
      <c r="F2427" s="14" t="str">
        <f>IF('Boletins Nuppa Site'!I2427&lt;&gt;0,'Boletins Nuppa Site'!I2427,"NULL")</f>
        <v>NULL</v>
      </c>
      <c r="G2427" s="14" t="str">
        <f>IF('Boletins Nuppa Site'!J2427&lt;&gt;0,'Boletins Nuppa Site'!J2427,"NULL")</f>
        <v>NULL</v>
      </c>
      <c r="H2427" s="14" t="str">
        <f>IF('Boletins Nuppa Site'!K2427&lt;&gt;0,'Boletins Nuppa Site'!K2427,"NULL")</f>
        <v>NULL</v>
      </c>
      <c r="I2427" t="str">
        <f t="shared" si="74"/>
        <v>INSERT INTO COTACAO (cot_id, cot_blt_id, cot_pap_id, cot_prc_comum, cot_prc_min, cot_prc_max, cot_prc_med, cot_prc_mediana) VALUES (2426, 98, 36, NULL, NULL, NULL, NULL, NULL);</v>
      </c>
      <c r="J2427" t="str">
        <f t="shared" si="75"/>
        <v>UPDATE COTACAO SET cot_id = 2426, cot_blt_id = 98, cot_pap_id = 36, cot_prc_comum = NULL, cot_prc_min = NULL, cot_prc_max = NULL, cot_prc_med = NULL, cot_prc_mediana = NULL WHERE cot_id = 2426;</v>
      </c>
    </row>
    <row r="2428" spans="1:10" x14ac:dyDescent="0.3">
      <c r="A2428">
        <v>2427</v>
      </c>
      <c r="B2428">
        <f>IF('Boletins Nuppa Site'!A2428&lt;&gt;0,'Boletins Nuppa Site'!A2428,"NULL")</f>
        <v>98</v>
      </c>
      <c r="C2428">
        <v>37</v>
      </c>
      <c r="D2428" t="str">
        <f>IF('Boletins Nuppa Site'!G2428&lt;&gt;0,'Boletins Nuppa Site'!G2428,"NULL")</f>
        <v>NULL</v>
      </c>
      <c r="E2428" s="14" t="str">
        <f>IF('Boletins Nuppa Site'!H2428&lt;&gt;0,'Boletins Nuppa Site'!H2428,"NULL")</f>
        <v>NULL</v>
      </c>
      <c r="F2428" s="14" t="str">
        <f>IF('Boletins Nuppa Site'!I2428&lt;&gt;0,'Boletins Nuppa Site'!I2428,"NULL")</f>
        <v>NULL</v>
      </c>
      <c r="G2428" s="14" t="str">
        <f>IF('Boletins Nuppa Site'!J2428&lt;&gt;0,'Boletins Nuppa Site'!J2428,"NULL")</f>
        <v>NULL</v>
      </c>
      <c r="H2428" s="14" t="str">
        <f>IF('Boletins Nuppa Site'!K2428&lt;&gt;0,'Boletins Nuppa Site'!K2428,"NULL")</f>
        <v>NULL</v>
      </c>
      <c r="I2428" t="str">
        <f t="shared" si="74"/>
        <v>INSERT INTO COTACAO (cot_id, cot_blt_id, cot_pap_id, cot_prc_comum, cot_prc_min, cot_prc_max, cot_prc_med, cot_prc_mediana) VALUES (2427, 98, 37, NULL, NULL, NULL, NULL, NULL);</v>
      </c>
      <c r="J2428" t="str">
        <f t="shared" si="75"/>
        <v>UPDATE COTACAO SET cot_id = 2427, cot_blt_id = 98, cot_pap_id = 37, cot_prc_comum = NULL, cot_prc_min = NULL, cot_prc_max = NULL, cot_prc_med = NULL, cot_prc_mediana = NULL WHERE cot_id = 2427;</v>
      </c>
    </row>
    <row r="2429" spans="1:10" x14ac:dyDescent="0.3">
      <c r="A2429">
        <v>2428</v>
      </c>
      <c r="B2429">
        <f>IF('Boletins Nuppa Site'!A2429&lt;&gt;0,'Boletins Nuppa Site'!A2429,"NULL")</f>
        <v>98</v>
      </c>
      <c r="C2429">
        <v>38</v>
      </c>
      <c r="D2429" t="str">
        <f>IF('Boletins Nuppa Site'!G2429&lt;&gt;0,'Boletins Nuppa Site'!G2429,"NULL")</f>
        <v>NULL</v>
      </c>
      <c r="E2429" s="14" t="str">
        <f>IF('Boletins Nuppa Site'!H2429&lt;&gt;0,'Boletins Nuppa Site'!H2429,"NULL")</f>
        <v>NULL</v>
      </c>
      <c r="F2429" s="14" t="str">
        <f>IF('Boletins Nuppa Site'!I2429&lt;&gt;0,'Boletins Nuppa Site'!I2429,"NULL")</f>
        <v>NULL</v>
      </c>
      <c r="G2429" s="14" t="str">
        <f>IF('Boletins Nuppa Site'!J2429&lt;&gt;0,'Boletins Nuppa Site'!J2429,"NULL")</f>
        <v>NULL</v>
      </c>
      <c r="H2429" s="14" t="str">
        <f>IF('Boletins Nuppa Site'!K2429&lt;&gt;0,'Boletins Nuppa Site'!K2429,"NULL")</f>
        <v>NULL</v>
      </c>
      <c r="I2429" t="str">
        <f t="shared" si="74"/>
        <v>INSERT INTO COTACAO (cot_id, cot_blt_id, cot_pap_id, cot_prc_comum, cot_prc_min, cot_prc_max, cot_prc_med, cot_prc_mediana) VALUES (2428, 98, 38, NULL, NULL, NULL, NULL, NULL);</v>
      </c>
      <c r="J2429" t="str">
        <f t="shared" si="75"/>
        <v>UPDATE COTACAO SET cot_id = 2428, cot_blt_id = 98, cot_pap_id = 38, cot_prc_comum = NULL, cot_prc_min = NULL, cot_prc_max = NULL, cot_prc_med = NULL, cot_prc_mediana = NULL WHERE cot_id = 2428;</v>
      </c>
    </row>
    <row r="2430" spans="1:10" x14ac:dyDescent="0.3">
      <c r="A2430">
        <v>2429</v>
      </c>
      <c r="B2430">
        <f>IF('Boletins Nuppa Site'!A2430&lt;&gt;0,'Boletins Nuppa Site'!A2430,"NULL")</f>
        <v>98</v>
      </c>
      <c r="C2430">
        <v>39</v>
      </c>
      <c r="D2430" t="str">
        <f>IF('Boletins Nuppa Site'!G2430&lt;&gt;0,'Boletins Nuppa Site'!G2430,"NULL")</f>
        <v>NULL</v>
      </c>
      <c r="E2430" s="14" t="str">
        <f>IF('Boletins Nuppa Site'!H2430&lt;&gt;0,'Boletins Nuppa Site'!H2430,"NULL")</f>
        <v>NULL</v>
      </c>
      <c r="F2430" s="14" t="str">
        <f>IF('Boletins Nuppa Site'!I2430&lt;&gt;0,'Boletins Nuppa Site'!I2430,"NULL")</f>
        <v>NULL</v>
      </c>
      <c r="G2430" s="14" t="str">
        <f>IF('Boletins Nuppa Site'!J2430&lt;&gt;0,'Boletins Nuppa Site'!J2430,"NULL")</f>
        <v>NULL</v>
      </c>
      <c r="H2430" s="14" t="str">
        <f>IF('Boletins Nuppa Site'!K2430&lt;&gt;0,'Boletins Nuppa Site'!K2430,"NULL")</f>
        <v>NULL</v>
      </c>
      <c r="I2430" t="str">
        <f t="shared" si="74"/>
        <v>INSERT INTO COTACAO (cot_id, cot_blt_id, cot_pap_id, cot_prc_comum, cot_prc_min, cot_prc_max, cot_prc_med, cot_prc_mediana) VALUES (2429, 98, 39, NULL, NULL, NULL, NULL, NULL);</v>
      </c>
      <c r="J2430" t="str">
        <f t="shared" si="75"/>
        <v>UPDATE COTACAO SET cot_id = 2429, cot_blt_id = 98, cot_pap_id = 39, cot_prc_comum = NULL, cot_prc_min = NULL, cot_prc_max = NULL, cot_prc_med = NULL, cot_prc_mediana = NULL WHERE cot_id = 2429;</v>
      </c>
    </row>
    <row r="2431" spans="1:10" x14ac:dyDescent="0.3">
      <c r="A2431">
        <v>2430</v>
      </c>
      <c r="B2431">
        <f>IF('Boletins Nuppa Site'!A2431&lt;&gt;0,'Boletins Nuppa Site'!A2431,"NULL")</f>
        <v>98</v>
      </c>
      <c r="C2431">
        <v>40</v>
      </c>
      <c r="D2431" t="str">
        <f>IF('Boletins Nuppa Site'!G2431&lt;&gt;0,'Boletins Nuppa Site'!G2431,"NULL")</f>
        <v>NULL</v>
      </c>
      <c r="E2431" s="14" t="str">
        <f>IF('Boletins Nuppa Site'!H2431&lt;&gt;0,'Boletins Nuppa Site'!H2431,"NULL")</f>
        <v>NULL</v>
      </c>
      <c r="F2431" s="14" t="str">
        <f>IF('Boletins Nuppa Site'!I2431&lt;&gt;0,'Boletins Nuppa Site'!I2431,"NULL")</f>
        <v>NULL</v>
      </c>
      <c r="G2431" s="14" t="str">
        <f>IF('Boletins Nuppa Site'!J2431&lt;&gt;0,'Boletins Nuppa Site'!J2431,"NULL")</f>
        <v>NULL</v>
      </c>
      <c r="H2431" s="14" t="str">
        <f>IF('Boletins Nuppa Site'!K2431&lt;&gt;0,'Boletins Nuppa Site'!K2431,"NULL")</f>
        <v>NULL</v>
      </c>
      <c r="I2431" t="str">
        <f t="shared" si="74"/>
        <v>INSERT INTO COTACAO (cot_id, cot_blt_id, cot_pap_id, cot_prc_comum, cot_prc_min, cot_prc_max, cot_prc_med, cot_prc_mediana) VALUES (2430, 98, 40, NULL, NULL, NULL, NULL, NULL);</v>
      </c>
      <c r="J2431" t="str">
        <f t="shared" si="75"/>
        <v>UPDATE COTACAO SET cot_id = 2430, cot_blt_id = 98, cot_pap_id = 40, cot_prc_comum = NULL, cot_prc_min = NULL, cot_prc_max = NULL, cot_prc_med = NULL, cot_prc_mediana = NULL WHERE cot_id = 2430;</v>
      </c>
    </row>
    <row r="2432" spans="1:10" x14ac:dyDescent="0.3">
      <c r="A2432">
        <v>2431</v>
      </c>
      <c r="B2432">
        <f>IF('Boletins Nuppa Site'!A2432&lt;&gt;0,'Boletins Nuppa Site'!A2432,"NULL")</f>
        <v>99</v>
      </c>
      <c r="C2432">
        <v>1</v>
      </c>
      <c r="D2432" t="str">
        <f>IF('Boletins Nuppa Site'!G2432&lt;&gt;0,'Boletins Nuppa Site'!G2432,"NULL")</f>
        <v>NULL</v>
      </c>
      <c r="E2432" s="14" t="str">
        <f>IF('Boletins Nuppa Site'!H2432&lt;&gt;0,'Boletins Nuppa Site'!H2432,"NULL")</f>
        <v xml:space="preserve"> 60.00</v>
      </c>
      <c r="F2432" s="14" t="str">
        <f>IF('Boletins Nuppa Site'!I2432&lt;&gt;0,'Boletins Nuppa Site'!I2432,"NULL")</f>
        <v xml:space="preserve"> 72.00</v>
      </c>
      <c r="G2432" s="14" t="str">
        <f>IF('Boletins Nuppa Site'!J2432&lt;&gt;0,'Boletins Nuppa Site'!J2432,"NULL")</f>
        <v xml:space="preserve"> 67.33</v>
      </c>
      <c r="H2432" s="14" t="str">
        <f>IF('Boletins Nuppa Site'!K2432&lt;&gt;0,'Boletins Nuppa Site'!K2432,"NULL")</f>
        <v xml:space="preserve"> 70.00</v>
      </c>
      <c r="I2432" t="str">
        <f t="shared" si="74"/>
        <v>INSERT INTO COTACAO (cot_id, cot_blt_id, cot_pap_id, cot_prc_comum, cot_prc_min, cot_prc_max, cot_prc_med, cot_prc_mediana) VALUES (2431, 99, 1, NULL,  60.00,  72.00,  67.33,  70.00);</v>
      </c>
      <c r="J2432" t="str">
        <f t="shared" si="75"/>
        <v>UPDATE COTACAO SET cot_id = 2431, cot_blt_id = 99, cot_pap_id = 1, cot_prc_comum = NULL, cot_prc_min =  60.00, cot_prc_max =  72.00, cot_prc_med =  67.33, cot_prc_mediana =  70.00 WHERE cot_id = 2431;</v>
      </c>
    </row>
    <row r="2433" spans="1:10" x14ac:dyDescent="0.3">
      <c r="A2433">
        <v>2432</v>
      </c>
      <c r="B2433">
        <f>IF('Boletins Nuppa Site'!A2433&lt;&gt;0,'Boletins Nuppa Site'!A2433,"NULL")</f>
        <v>99</v>
      </c>
      <c r="C2433">
        <v>2</v>
      </c>
      <c r="D2433" t="str">
        <f>IF('Boletins Nuppa Site'!G2433&lt;&gt;0,'Boletins Nuppa Site'!G2433,"NULL")</f>
        <v xml:space="preserve"> 96.00</v>
      </c>
      <c r="E2433" s="14" t="str">
        <f>IF('Boletins Nuppa Site'!H2433&lt;&gt;0,'Boletins Nuppa Site'!H2433,"NULL")</f>
        <v xml:space="preserve"> 96.00</v>
      </c>
      <c r="F2433" s="14" t="str">
        <f>IF('Boletins Nuppa Site'!I2433&lt;&gt;0,'Boletins Nuppa Site'!I2433,"NULL")</f>
        <v xml:space="preserve"> 96.00</v>
      </c>
      <c r="G2433" s="14" t="str">
        <f>IF('Boletins Nuppa Site'!J2433&lt;&gt;0,'Boletins Nuppa Site'!J2433,"NULL")</f>
        <v xml:space="preserve"> 96.00</v>
      </c>
      <c r="H2433" s="14" t="str">
        <f>IF('Boletins Nuppa Site'!K2433&lt;&gt;0,'Boletins Nuppa Site'!K2433,"NULL")</f>
        <v xml:space="preserve"> 96.00</v>
      </c>
      <c r="I2433" t="str">
        <f t="shared" si="74"/>
        <v>INSERT INTO COTACAO (cot_id, cot_blt_id, cot_pap_id, cot_prc_comum, cot_prc_min, cot_prc_max, cot_prc_med, cot_prc_mediana) VALUES (2432, 99, 2,  96.00,  96.00,  96.00,  96.00,  96.00);</v>
      </c>
      <c r="J2433" t="str">
        <f t="shared" si="75"/>
        <v>UPDATE COTACAO SET cot_id = 2432, cot_blt_id = 99, cot_pap_id = 2, cot_prc_comum =  96.00, cot_prc_min =  96.00, cot_prc_max =  96.00, cot_prc_med =  96.00, cot_prc_mediana =  96.00 WHERE cot_id = 2432;</v>
      </c>
    </row>
    <row r="2434" spans="1:10" x14ac:dyDescent="0.3">
      <c r="A2434">
        <v>2433</v>
      </c>
      <c r="B2434">
        <f>IF('Boletins Nuppa Site'!A2434&lt;&gt;0,'Boletins Nuppa Site'!A2434,"NULL")</f>
        <v>99</v>
      </c>
      <c r="C2434">
        <v>3</v>
      </c>
      <c r="D2434" t="str">
        <f>IF('Boletins Nuppa Site'!G2434&lt;&gt;0,'Boletins Nuppa Site'!G2434,"NULL")</f>
        <v xml:space="preserve"> 48.00</v>
      </c>
      <c r="E2434" s="14" t="str">
        <f>IF('Boletins Nuppa Site'!H2434&lt;&gt;0,'Boletins Nuppa Site'!H2434,"NULL")</f>
        <v xml:space="preserve"> 48.00</v>
      </c>
      <c r="F2434" s="14" t="str">
        <f>IF('Boletins Nuppa Site'!I2434&lt;&gt;0,'Boletins Nuppa Site'!I2434,"NULL")</f>
        <v xml:space="preserve"> 48.00</v>
      </c>
      <c r="G2434" s="14" t="str">
        <f>IF('Boletins Nuppa Site'!J2434&lt;&gt;0,'Boletins Nuppa Site'!J2434,"NULL")</f>
        <v xml:space="preserve"> 48.00</v>
      </c>
      <c r="H2434" s="14" t="str">
        <f>IF('Boletins Nuppa Site'!K2434&lt;&gt;0,'Boletins Nuppa Site'!K2434,"NULL")</f>
        <v xml:space="preserve"> 48.00</v>
      </c>
      <c r="I2434" t="str">
        <f t="shared" si="74"/>
        <v>INSERT INTO COTACAO (cot_id, cot_blt_id, cot_pap_id, cot_prc_comum, cot_prc_min, cot_prc_max, cot_prc_med, cot_prc_mediana) VALUES (2433, 99, 3,  48.00,  48.00,  48.00,  48.00,  48.00);</v>
      </c>
      <c r="J2434" t="str">
        <f t="shared" si="75"/>
        <v>UPDATE COTACAO SET cot_id = 2433, cot_blt_id = 99, cot_pap_id = 3, cot_prc_comum =  48.00, cot_prc_min =  48.00, cot_prc_max =  48.00, cot_prc_med =  48.00, cot_prc_mediana =  48.00 WHERE cot_id = 2433;</v>
      </c>
    </row>
    <row r="2435" spans="1:10" x14ac:dyDescent="0.3">
      <c r="A2435">
        <v>2434</v>
      </c>
      <c r="B2435">
        <f>IF('Boletins Nuppa Site'!A2435&lt;&gt;0,'Boletins Nuppa Site'!A2435,"NULL")</f>
        <v>99</v>
      </c>
      <c r="C2435">
        <v>4</v>
      </c>
      <c r="D2435" t="str">
        <f>IF('Boletins Nuppa Site'!G2435&lt;&gt;0,'Boletins Nuppa Site'!G2435,"NULL")</f>
        <v xml:space="preserve"> 30.00</v>
      </c>
      <c r="E2435" s="14" t="str">
        <f>IF('Boletins Nuppa Site'!H2435&lt;&gt;0,'Boletins Nuppa Site'!H2435,"NULL")</f>
        <v xml:space="preserve"> 30.00</v>
      </c>
      <c r="F2435" s="14" t="str">
        <f>IF('Boletins Nuppa Site'!I2435&lt;&gt;0,'Boletins Nuppa Site'!I2435,"NULL")</f>
        <v xml:space="preserve"> 30.00</v>
      </c>
      <c r="G2435" s="14" t="str">
        <f>IF('Boletins Nuppa Site'!J2435&lt;&gt;0,'Boletins Nuppa Site'!J2435,"NULL")</f>
        <v xml:space="preserve"> 30.00</v>
      </c>
      <c r="H2435" s="14" t="str">
        <f>IF('Boletins Nuppa Site'!K2435&lt;&gt;0,'Boletins Nuppa Site'!K2435,"NULL")</f>
        <v xml:space="preserve"> 30.00</v>
      </c>
      <c r="I2435" t="str">
        <f t="shared" ref="I2435:I2471" si="76">"INSERT INTO COTACAO (cot_id, cot_blt_id, cot_pap_id, cot_prc_comum, cot_prc_min, cot_prc_max, cot_prc_med, cot_prc_mediana) VALUES ("&amp;A2435&amp;", "&amp;B2435&amp;", "&amp;C2435&amp;", "&amp;D2435&amp;", "&amp;E2435&amp;", "&amp;F2435&amp;", "&amp;G2435&amp;", "&amp;H2435&amp;");"</f>
        <v>INSERT INTO COTACAO (cot_id, cot_blt_id, cot_pap_id, cot_prc_comum, cot_prc_min, cot_prc_max, cot_prc_med, cot_prc_mediana) VALUES (2434, 99, 4,  30.00,  30.00,  30.00,  30.00,  30.00);</v>
      </c>
      <c r="J2435" t="str">
        <f t="shared" ref="J2435:J2471" si="77">"UPDATE COTACAO SET cot_id = "&amp;A2435&amp;", cot_blt_id = "&amp;B2435&amp;", cot_pap_id = "&amp;C2435&amp;", cot_prc_comum = "&amp;D2435&amp;", cot_prc_min = "&amp;E2435&amp;", cot_prc_max = "&amp;F2435&amp;", cot_prc_med = "&amp;G2435&amp;", cot_prc_mediana = "&amp;H2435&amp;" WHERE cot_id = "&amp;A2435&amp;";"</f>
        <v>UPDATE COTACAO SET cot_id = 2434, cot_blt_id = 99, cot_pap_id = 4, cot_prc_comum =  30.00, cot_prc_min =  30.00, cot_prc_max =  30.00, cot_prc_med =  30.00, cot_prc_mediana =  30.00 WHERE cot_id = 2434;</v>
      </c>
    </row>
    <row r="2436" spans="1:10" x14ac:dyDescent="0.3">
      <c r="A2436">
        <v>2435</v>
      </c>
      <c r="B2436">
        <f>IF('Boletins Nuppa Site'!A2436&lt;&gt;0,'Boletins Nuppa Site'!A2436,"NULL")</f>
        <v>99</v>
      </c>
      <c r="C2436">
        <v>5</v>
      </c>
      <c r="D2436" t="str">
        <f>IF('Boletins Nuppa Site'!G2436&lt;&gt;0,'Boletins Nuppa Site'!G2436,"NULL")</f>
        <v xml:space="preserve"> 30.00</v>
      </c>
      <c r="E2436" s="14" t="str">
        <f>IF('Boletins Nuppa Site'!H2436&lt;&gt;0,'Boletins Nuppa Site'!H2436,"NULL")</f>
        <v xml:space="preserve"> 30.00</v>
      </c>
      <c r="F2436" s="14" t="str">
        <f>IF('Boletins Nuppa Site'!I2436&lt;&gt;0,'Boletins Nuppa Site'!I2436,"NULL")</f>
        <v xml:space="preserve"> 30.00</v>
      </c>
      <c r="G2436" s="14" t="str">
        <f>IF('Boletins Nuppa Site'!J2436&lt;&gt;0,'Boletins Nuppa Site'!J2436,"NULL")</f>
        <v xml:space="preserve"> 30.00</v>
      </c>
      <c r="H2436" s="14" t="str">
        <f>IF('Boletins Nuppa Site'!K2436&lt;&gt;0,'Boletins Nuppa Site'!K2436,"NULL")</f>
        <v xml:space="preserve"> 30.00</v>
      </c>
      <c r="I2436" t="str">
        <f t="shared" si="76"/>
        <v>INSERT INTO COTACAO (cot_id, cot_blt_id, cot_pap_id, cot_prc_comum, cot_prc_min, cot_prc_max, cot_prc_med, cot_prc_mediana) VALUES (2435, 99, 5,  30.00,  30.00,  30.00,  30.00,  30.00);</v>
      </c>
      <c r="J2436" t="str">
        <f t="shared" si="77"/>
        <v>UPDATE COTACAO SET cot_id = 2435, cot_blt_id = 99, cot_pap_id = 5, cot_prc_comum =  30.00, cot_prc_min =  30.00, cot_prc_max =  30.00, cot_prc_med =  30.00, cot_prc_mediana =  30.00 WHERE cot_id = 2435;</v>
      </c>
    </row>
    <row r="2437" spans="1:10" x14ac:dyDescent="0.3">
      <c r="A2437">
        <v>2436</v>
      </c>
      <c r="B2437">
        <f>IF('Boletins Nuppa Site'!A2437&lt;&gt;0,'Boletins Nuppa Site'!A2437,"NULL")</f>
        <v>99</v>
      </c>
      <c r="C2437">
        <v>6</v>
      </c>
      <c r="D2437" t="str">
        <f>IF('Boletins Nuppa Site'!G2437&lt;&gt;0,'Boletins Nuppa Site'!G2437,"NULL")</f>
        <v>NULL</v>
      </c>
      <c r="E2437" s="14" t="str">
        <f>IF('Boletins Nuppa Site'!H2437&lt;&gt;0,'Boletins Nuppa Site'!H2437,"NULL")</f>
        <v xml:space="preserve"> 66.00</v>
      </c>
      <c r="F2437" s="14" t="str">
        <f>IF('Boletins Nuppa Site'!I2437&lt;&gt;0,'Boletins Nuppa Site'!I2437,"NULL")</f>
        <v xml:space="preserve"> 84.00</v>
      </c>
      <c r="G2437" s="14" t="str">
        <f>IF('Boletins Nuppa Site'!J2437&lt;&gt;0,'Boletins Nuppa Site'!J2437,"NULL")</f>
        <v xml:space="preserve"> 75.00</v>
      </c>
      <c r="H2437" s="14" t="str">
        <f>IF('Boletins Nuppa Site'!K2437&lt;&gt;0,'Boletins Nuppa Site'!K2437,"NULL")</f>
        <v xml:space="preserve"> 75.00</v>
      </c>
      <c r="I2437" t="str">
        <f t="shared" si="76"/>
        <v>INSERT INTO COTACAO (cot_id, cot_blt_id, cot_pap_id, cot_prc_comum, cot_prc_min, cot_prc_max, cot_prc_med, cot_prc_mediana) VALUES (2436, 99, 6, NULL,  66.00,  84.00,  75.00,  75.00);</v>
      </c>
      <c r="J2437" t="str">
        <f t="shared" si="77"/>
        <v>UPDATE COTACAO SET cot_id = 2436, cot_blt_id = 99, cot_pap_id = 6, cot_prc_comum = NULL, cot_prc_min =  66.00, cot_prc_max =  84.00, cot_prc_med =  75.00, cot_prc_mediana =  75.00 WHERE cot_id = 2436;</v>
      </c>
    </row>
    <row r="2438" spans="1:10" x14ac:dyDescent="0.3">
      <c r="A2438">
        <v>2437</v>
      </c>
      <c r="B2438">
        <f>IF('Boletins Nuppa Site'!A2438&lt;&gt;0,'Boletins Nuppa Site'!A2438,"NULL")</f>
        <v>99</v>
      </c>
      <c r="C2438">
        <v>7</v>
      </c>
      <c r="D2438" t="str">
        <f>IF('Boletins Nuppa Site'!G2438&lt;&gt;0,'Boletins Nuppa Site'!G2438,"NULL")</f>
        <v xml:space="preserve"> 96.00</v>
      </c>
      <c r="E2438" s="14" t="str">
        <f>IF('Boletins Nuppa Site'!H2438&lt;&gt;0,'Boletins Nuppa Site'!H2438,"NULL")</f>
        <v xml:space="preserve"> 96.00</v>
      </c>
      <c r="F2438" s="14" t="str">
        <f>IF('Boletins Nuppa Site'!I2438&lt;&gt;0,'Boletins Nuppa Site'!I2438,"NULL")</f>
        <v xml:space="preserve"> 96.00</v>
      </c>
      <c r="G2438" s="14" t="str">
        <f>IF('Boletins Nuppa Site'!J2438&lt;&gt;0,'Boletins Nuppa Site'!J2438,"NULL")</f>
        <v xml:space="preserve"> 96.00</v>
      </c>
      <c r="H2438" s="14" t="str">
        <f>IF('Boletins Nuppa Site'!K2438&lt;&gt;0,'Boletins Nuppa Site'!K2438,"NULL")</f>
        <v xml:space="preserve"> 96.00</v>
      </c>
      <c r="I2438" t="str">
        <f t="shared" si="76"/>
        <v>INSERT INTO COTACAO (cot_id, cot_blt_id, cot_pap_id, cot_prc_comum, cot_prc_min, cot_prc_max, cot_prc_med, cot_prc_mediana) VALUES (2437, 99, 7,  96.00,  96.00,  96.00,  96.00,  96.00);</v>
      </c>
      <c r="J2438" t="str">
        <f t="shared" si="77"/>
        <v>UPDATE COTACAO SET cot_id = 2437, cot_blt_id = 99, cot_pap_id = 7, cot_prc_comum =  96.00, cot_prc_min =  96.00, cot_prc_max =  96.00, cot_prc_med =  96.00, cot_prc_mediana =  96.00 WHERE cot_id = 2437;</v>
      </c>
    </row>
    <row r="2439" spans="1:10" x14ac:dyDescent="0.3">
      <c r="A2439">
        <v>2438</v>
      </c>
      <c r="B2439">
        <f>IF('Boletins Nuppa Site'!A2439&lt;&gt;0,'Boletins Nuppa Site'!A2439,"NULL")</f>
        <v>99</v>
      </c>
      <c r="C2439">
        <v>8</v>
      </c>
      <c r="D2439" t="str">
        <f>IF('Boletins Nuppa Site'!G2439&lt;&gt;0,'Boletins Nuppa Site'!G2439,"NULL")</f>
        <v xml:space="preserve"> 96.00</v>
      </c>
      <c r="E2439" s="14" t="str">
        <f>IF('Boletins Nuppa Site'!H2439&lt;&gt;0,'Boletins Nuppa Site'!H2439,"NULL")</f>
        <v xml:space="preserve"> 96.00</v>
      </c>
      <c r="F2439" s="14" t="str">
        <f>IF('Boletins Nuppa Site'!I2439&lt;&gt;0,'Boletins Nuppa Site'!I2439,"NULL")</f>
        <v xml:space="preserve"> 96.00</v>
      </c>
      <c r="G2439" s="14" t="str">
        <f>IF('Boletins Nuppa Site'!J2439&lt;&gt;0,'Boletins Nuppa Site'!J2439,"NULL")</f>
        <v xml:space="preserve"> 96.00</v>
      </c>
      <c r="H2439" s="14" t="str">
        <f>IF('Boletins Nuppa Site'!K2439&lt;&gt;0,'Boletins Nuppa Site'!K2439,"NULL")</f>
        <v xml:space="preserve"> 96.00</v>
      </c>
      <c r="I2439" t="str">
        <f t="shared" si="76"/>
        <v>INSERT INTO COTACAO (cot_id, cot_blt_id, cot_pap_id, cot_prc_comum, cot_prc_min, cot_prc_max, cot_prc_med, cot_prc_mediana) VALUES (2438, 99, 8,  96.00,  96.00,  96.00,  96.00,  96.00);</v>
      </c>
      <c r="J2439" t="str">
        <f t="shared" si="77"/>
        <v>UPDATE COTACAO SET cot_id = 2438, cot_blt_id = 99, cot_pap_id = 8, cot_prc_comum =  96.00, cot_prc_min =  96.00, cot_prc_max =  96.00, cot_prc_med =  96.00, cot_prc_mediana =  96.00 WHERE cot_id = 2438;</v>
      </c>
    </row>
    <row r="2440" spans="1:10" x14ac:dyDescent="0.3">
      <c r="A2440">
        <v>2439</v>
      </c>
      <c r="B2440">
        <f>IF('Boletins Nuppa Site'!A2440&lt;&gt;0,'Boletins Nuppa Site'!A2440,"NULL")</f>
        <v>99</v>
      </c>
      <c r="C2440">
        <v>9</v>
      </c>
      <c r="D2440" t="str">
        <f>IF('Boletins Nuppa Site'!G2440&lt;&gt;0,'Boletins Nuppa Site'!G2440,"NULL")</f>
        <v>NULL</v>
      </c>
      <c r="E2440" s="14" t="str">
        <f>IF('Boletins Nuppa Site'!H2440&lt;&gt;0,'Boletins Nuppa Site'!H2440,"NULL")</f>
        <v xml:space="preserve"> 29.00</v>
      </c>
      <c r="F2440" s="14" t="str">
        <f>IF('Boletins Nuppa Site'!I2440&lt;&gt;0,'Boletins Nuppa Site'!I2440,"NULL")</f>
        <v xml:space="preserve"> 30.00</v>
      </c>
      <c r="G2440" s="14" t="str">
        <f>IF('Boletins Nuppa Site'!J2440&lt;&gt;0,'Boletins Nuppa Site'!J2440,"NULL")</f>
        <v xml:space="preserve"> 29.67</v>
      </c>
      <c r="H2440" s="14" t="str">
        <f>IF('Boletins Nuppa Site'!K2440&lt;&gt;0,'Boletins Nuppa Site'!K2440,"NULL")</f>
        <v xml:space="preserve"> 30.00</v>
      </c>
      <c r="I2440" t="str">
        <f t="shared" si="76"/>
        <v>INSERT INTO COTACAO (cot_id, cot_blt_id, cot_pap_id, cot_prc_comum, cot_prc_min, cot_prc_max, cot_prc_med, cot_prc_mediana) VALUES (2439, 99, 9, NULL,  29.00,  30.00,  29.67,  30.00);</v>
      </c>
      <c r="J2440" t="str">
        <f t="shared" si="77"/>
        <v>UPDATE COTACAO SET cot_id = 2439, cot_blt_id = 99, cot_pap_id = 9, cot_prc_comum = NULL, cot_prc_min =  29.00, cot_prc_max =  30.00, cot_prc_med =  29.67, cot_prc_mediana =  30.00 WHERE cot_id = 2439;</v>
      </c>
    </row>
    <row r="2441" spans="1:10" x14ac:dyDescent="0.3">
      <c r="A2441">
        <v>2440</v>
      </c>
      <c r="B2441">
        <f>IF('Boletins Nuppa Site'!A2441&lt;&gt;0,'Boletins Nuppa Site'!A2441,"NULL")</f>
        <v>99</v>
      </c>
      <c r="C2441">
        <v>10</v>
      </c>
      <c r="D2441" t="str">
        <f>IF('Boletins Nuppa Site'!G2441&lt;&gt;0,'Boletins Nuppa Site'!G2441,"NULL")</f>
        <v>NULL</v>
      </c>
      <c r="E2441" s="14" t="str">
        <f>IF('Boletins Nuppa Site'!H2441&lt;&gt;0,'Boletins Nuppa Site'!H2441,"NULL")</f>
        <v xml:space="preserve"> 30.00</v>
      </c>
      <c r="F2441" s="14" t="str">
        <f>IF('Boletins Nuppa Site'!I2441&lt;&gt;0,'Boletins Nuppa Site'!I2441,"NULL")</f>
        <v xml:space="preserve"> 110.00</v>
      </c>
      <c r="G2441" s="14" t="str">
        <f>IF('Boletins Nuppa Site'!J2441&lt;&gt;0,'Boletins Nuppa Site'!J2441,"NULL")</f>
        <v xml:space="preserve"> 104.67</v>
      </c>
      <c r="H2441" s="14" t="str">
        <f>IF('Boletins Nuppa Site'!K2441&lt;&gt;0,'Boletins Nuppa Site'!K2441,"NULL")</f>
        <v xml:space="preserve"> 108.00</v>
      </c>
      <c r="I2441" t="str">
        <f t="shared" si="76"/>
        <v>INSERT INTO COTACAO (cot_id, cot_blt_id, cot_pap_id, cot_prc_comum, cot_prc_min, cot_prc_max, cot_prc_med, cot_prc_mediana) VALUES (2440, 99, 10, NULL,  30.00,  110.00,  104.67,  108.00);</v>
      </c>
      <c r="J2441" t="str">
        <f t="shared" si="77"/>
        <v>UPDATE COTACAO SET cot_id = 2440, cot_blt_id = 99, cot_pap_id = 10, cot_prc_comum = NULL, cot_prc_min =  30.00, cot_prc_max =  110.00, cot_prc_med =  104.67, cot_prc_mediana =  108.00 WHERE cot_id = 2440;</v>
      </c>
    </row>
    <row r="2442" spans="1:10" x14ac:dyDescent="0.3">
      <c r="A2442">
        <v>2441</v>
      </c>
      <c r="B2442">
        <f>IF('Boletins Nuppa Site'!A2442&lt;&gt;0,'Boletins Nuppa Site'!A2442,"NULL")</f>
        <v>99</v>
      </c>
      <c r="C2442">
        <v>11</v>
      </c>
      <c r="D2442" t="str">
        <f>IF('Boletins Nuppa Site'!G2442&lt;&gt;0,'Boletins Nuppa Site'!G2442,"NULL")</f>
        <v>NULL</v>
      </c>
      <c r="E2442" s="14" t="str">
        <f>IF('Boletins Nuppa Site'!H2442&lt;&gt;0,'Boletins Nuppa Site'!H2442,"NULL")</f>
        <v xml:space="preserve"> 96.00</v>
      </c>
      <c r="F2442" s="14" t="str">
        <f>IF('Boletins Nuppa Site'!I2442&lt;&gt;0,'Boletins Nuppa Site'!I2442,"NULL")</f>
        <v xml:space="preserve"> 30.00</v>
      </c>
      <c r="G2442" s="14" t="str">
        <f>IF('Boletins Nuppa Site'!J2442&lt;&gt;0,'Boletins Nuppa Site'!J2442,"NULL")</f>
        <v xml:space="preserve"> 30.00</v>
      </c>
      <c r="H2442" s="14" t="str">
        <f>IF('Boletins Nuppa Site'!K2442&lt;&gt;0,'Boletins Nuppa Site'!K2442,"NULL")</f>
        <v xml:space="preserve"> 30.00</v>
      </c>
      <c r="I2442" t="str">
        <f t="shared" si="76"/>
        <v>INSERT INTO COTACAO (cot_id, cot_blt_id, cot_pap_id, cot_prc_comum, cot_prc_min, cot_prc_max, cot_prc_med, cot_prc_mediana) VALUES (2441, 99, 11, NULL,  96.00,  30.00,  30.00,  30.00);</v>
      </c>
      <c r="J2442" t="str">
        <f t="shared" si="77"/>
        <v>UPDATE COTACAO SET cot_id = 2441, cot_blt_id = 99, cot_pap_id = 11, cot_prc_comum = NULL, cot_prc_min =  96.00, cot_prc_max =  30.00, cot_prc_med =  30.00, cot_prc_mediana =  30.00 WHERE cot_id = 2441;</v>
      </c>
    </row>
    <row r="2443" spans="1:10" x14ac:dyDescent="0.3">
      <c r="A2443">
        <v>2442</v>
      </c>
      <c r="B2443">
        <f>IF('Boletins Nuppa Site'!A2443&lt;&gt;0,'Boletins Nuppa Site'!A2443,"NULL")</f>
        <v>99</v>
      </c>
      <c r="C2443">
        <v>12</v>
      </c>
      <c r="D2443" t="str">
        <f>IF('Boletins Nuppa Site'!G2443&lt;&gt;0,'Boletins Nuppa Site'!G2443,"NULL")</f>
        <v>NULL</v>
      </c>
      <c r="E2443" s="14" t="str">
        <f>IF('Boletins Nuppa Site'!H2443&lt;&gt;0,'Boletins Nuppa Site'!H2443,"NULL")</f>
        <v xml:space="preserve"> 30.00</v>
      </c>
      <c r="F2443" s="14" t="str">
        <f>IF('Boletins Nuppa Site'!I2443&lt;&gt;0,'Boletins Nuppa Site'!I2443,"NULL")</f>
        <v xml:space="preserve"> 72.00</v>
      </c>
      <c r="G2443" s="14" t="str">
        <f>IF('Boletins Nuppa Site'!J2443&lt;&gt;0,'Boletins Nuppa Site'!J2443,"NULL")</f>
        <v xml:space="preserve"> 66.00</v>
      </c>
      <c r="H2443" s="14" t="str">
        <f>IF('Boletins Nuppa Site'!K2443&lt;&gt;0,'Boletins Nuppa Site'!K2443,"NULL")</f>
        <v xml:space="preserve"> 66.00</v>
      </c>
      <c r="I2443" t="str">
        <f t="shared" si="76"/>
        <v>INSERT INTO COTACAO (cot_id, cot_blt_id, cot_pap_id, cot_prc_comum, cot_prc_min, cot_prc_max, cot_prc_med, cot_prc_mediana) VALUES (2442, 99, 12, NULL,  30.00,  72.00,  66.00,  66.00);</v>
      </c>
      <c r="J2443" t="str">
        <f t="shared" si="77"/>
        <v>UPDATE COTACAO SET cot_id = 2442, cot_blt_id = 99, cot_pap_id = 12, cot_prc_comum = NULL, cot_prc_min =  30.00, cot_prc_max =  72.00, cot_prc_med =  66.00, cot_prc_mediana =  66.00 WHERE cot_id = 2442;</v>
      </c>
    </row>
    <row r="2444" spans="1:10" x14ac:dyDescent="0.3">
      <c r="A2444">
        <v>2443</v>
      </c>
      <c r="B2444">
        <f>IF('Boletins Nuppa Site'!A2444&lt;&gt;0,'Boletins Nuppa Site'!A2444,"NULL")</f>
        <v>99</v>
      </c>
      <c r="C2444">
        <v>13</v>
      </c>
      <c r="D2444" t="str">
        <f>IF('Boletins Nuppa Site'!G2444&lt;&gt;0,'Boletins Nuppa Site'!G2444,"NULL")</f>
        <v>NULL</v>
      </c>
      <c r="E2444" s="14" t="str">
        <f>IF('Boletins Nuppa Site'!H2444&lt;&gt;0,'Boletins Nuppa Site'!H2444,"NULL")</f>
        <v xml:space="preserve"> 30.00</v>
      </c>
      <c r="F2444" s="14" t="str">
        <f>IF('Boletins Nuppa Site'!I2444&lt;&gt;0,'Boletins Nuppa Site'!I2444,"NULL")</f>
        <v xml:space="preserve"> 84.00</v>
      </c>
      <c r="G2444" s="14" t="str">
        <f>IF('Boletins Nuppa Site'!J2444&lt;&gt;0,'Boletins Nuppa Site'!J2444,"NULL")</f>
        <v xml:space="preserve"> 73.00</v>
      </c>
      <c r="H2444" s="14" t="str">
        <f>IF('Boletins Nuppa Site'!K2444&lt;&gt;0,'Boletins Nuppa Site'!K2444,"NULL")</f>
        <v xml:space="preserve"> 75.00</v>
      </c>
      <c r="I2444" t="str">
        <f t="shared" si="76"/>
        <v>INSERT INTO COTACAO (cot_id, cot_blt_id, cot_pap_id, cot_prc_comum, cot_prc_min, cot_prc_max, cot_prc_med, cot_prc_mediana) VALUES (2443, 99, 13, NULL,  30.00,  84.00,  73.00,  75.00);</v>
      </c>
      <c r="J2444" t="str">
        <f t="shared" si="77"/>
        <v>UPDATE COTACAO SET cot_id = 2443, cot_blt_id = 99, cot_pap_id = 13, cot_prc_comum = NULL, cot_prc_min =  30.00, cot_prc_max =  84.00, cot_prc_med =  73.00, cot_prc_mediana =  75.00 WHERE cot_id = 2443;</v>
      </c>
    </row>
    <row r="2445" spans="1:10" x14ac:dyDescent="0.3">
      <c r="A2445">
        <v>2444</v>
      </c>
      <c r="B2445">
        <f>IF('Boletins Nuppa Site'!A2445&lt;&gt;0,'Boletins Nuppa Site'!A2445,"NULL")</f>
        <v>99</v>
      </c>
      <c r="C2445">
        <v>14</v>
      </c>
      <c r="D2445" t="str">
        <f>IF('Boletins Nuppa Site'!G2445&lt;&gt;0,'Boletins Nuppa Site'!G2445,"NULL")</f>
        <v>NULL</v>
      </c>
      <c r="E2445" s="14" t="str">
        <f>IF('Boletins Nuppa Site'!H2445&lt;&gt;0,'Boletins Nuppa Site'!H2445,"NULL")</f>
        <v xml:space="preserve"> 60.00</v>
      </c>
      <c r="F2445" s="14" t="str">
        <f>IF('Boletins Nuppa Site'!I2445&lt;&gt;0,'Boletins Nuppa Site'!I2445,"NULL")</f>
        <v xml:space="preserve"> 84.00</v>
      </c>
      <c r="G2445" s="14" t="str">
        <f>IF('Boletins Nuppa Site'!J2445&lt;&gt;0,'Boletins Nuppa Site'!J2445,"NULL")</f>
        <v xml:space="preserve"> 84.00</v>
      </c>
      <c r="H2445" s="14" t="str">
        <f>IF('Boletins Nuppa Site'!K2445&lt;&gt;0,'Boletins Nuppa Site'!K2445,"NULL")</f>
        <v xml:space="preserve"> 84.00</v>
      </c>
      <c r="I2445" t="str">
        <f t="shared" si="76"/>
        <v>INSERT INTO COTACAO (cot_id, cot_blt_id, cot_pap_id, cot_prc_comum, cot_prc_min, cot_prc_max, cot_prc_med, cot_prc_mediana) VALUES (2444, 99, 14, NULL,  60.00,  84.00,  84.00,  84.00);</v>
      </c>
      <c r="J2445" t="str">
        <f t="shared" si="77"/>
        <v>UPDATE COTACAO SET cot_id = 2444, cot_blt_id = 99, cot_pap_id = 14, cot_prc_comum = NULL, cot_prc_min =  60.00, cot_prc_max =  84.00, cot_prc_med =  84.00, cot_prc_mediana =  84.00 WHERE cot_id = 2444;</v>
      </c>
    </row>
    <row r="2446" spans="1:10" x14ac:dyDescent="0.3">
      <c r="A2446">
        <v>2445</v>
      </c>
      <c r="B2446">
        <f>IF('Boletins Nuppa Site'!A2446&lt;&gt;0,'Boletins Nuppa Site'!A2446,"NULL")</f>
        <v>99</v>
      </c>
      <c r="C2446">
        <v>15</v>
      </c>
      <c r="D2446" t="str">
        <f>IF('Boletins Nuppa Site'!G2446&lt;&gt;0,'Boletins Nuppa Site'!G2446,"NULL")</f>
        <v>NULL</v>
      </c>
      <c r="E2446" s="14" t="str">
        <f>IF('Boletins Nuppa Site'!H2446&lt;&gt;0,'Boletins Nuppa Site'!H2446,"NULL")</f>
        <v xml:space="preserve"> 60.00</v>
      </c>
      <c r="F2446" s="14" t="str">
        <f>IF('Boletins Nuppa Site'!I2446&lt;&gt;0,'Boletins Nuppa Site'!I2446,"NULL")</f>
        <v xml:space="preserve"> 60.00</v>
      </c>
      <c r="G2446" s="14" t="str">
        <f>IF('Boletins Nuppa Site'!J2446&lt;&gt;0,'Boletins Nuppa Site'!J2446,"NULL")</f>
        <v xml:space="preserve"> 58.33</v>
      </c>
      <c r="H2446" s="14" t="str">
        <f>IF('Boletins Nuppa Site'!K2446&lt;&gt;0,'Boletins Nuppa Site'!K2446,"NULL")</f>
        <v xml:space="preserve"> 60.00</v>
      </c>
      <c r="I2446" t="str">
        <f t="shared" si="76"/>
        <v>INSERT INTO COTACAO (cot_id, cot_blt_id, cot_pap_id, cot_prc_comum, cot_prc_min, cot_prc_max, cot_prc_med, cot_prc_mediana) VALUES (2445, 99, 15, NULL,  60.00,  60.00,  58.33,  60.00);</v>
      </c>
      <c r="J2446" t="str">
        <f t="shared" si="77"/>
        <v>UPDATE COTACAO SET cot_id = 2445, cot_blt_id = 99, cot_pap_id = 15, cot_prc_comum = NULL, cot_prc_min =  60.00, cot_prc_max =  60.00, cot_prc_med =  58.33, cot_prc_mediana =  60.00 WHERE cot_id = 2445;</v>
      </c>
    </row>
    <row r="2447" spans="1:10" x14ac:dyDescent="0.3">
      <c r="A2447">
        <v>2446</v>
      </c>
      <c r="B2447">
        <f>IF('Boletins Nuppa Site'!A2447&lt;&gt;0,'Boletins Nuppa Site'!A2447,"NULL")</f>
        <v>99</v>
      </c>
      <c r="C2447">
        <v>16</v>
      </c>
      <c r="D2447" t="str">
        <f>IF('Boletins Nuppa Site'!G2447&lt;&gt;0,'Boletins Nuppa Site'!G2447,"NULL")</f>
        <v>NULL</v>
      </c>
      <c r="E2447" s="14" t="str">
        <f>IF('Boletins Nuppa Site'!H2447&lt;&gt;0,'Boletins Nuppa Site'!H2447,"NULL")</f>
        <v xml:space="preserve"> 48.00</v>
      </c>
      <c r="F2447" s="14" t="str">
        <f>IF('Boletins Nuppa Site'!I2447&lt;&gt;0,'Boletins Nuppa Site'!I2447,"NULL")</f>
        <v xml:space="preserve"> 55.00</v>
      </c>
      <c r="G2447" s="14" t="str">
        <f>IF('Boletins Nuppa Site'!J2447&lt;&gt;0,'Boletins Nuppa Site'!J2447,"NULL")</f>
        <v xml:space="preserve"> 52.33</v>
      </c>
      <c r="H2447" s="14" t="str">
        <f>IF('Boletins Nuppa Site'!K2447&lt;&gt;0,'Boletins Nuppa Site'!K2447,"NULL")</f>
        <v xml:space="preserve"> 54.00</v>
      </c>
      <c r="I2447" t="str">
        <f t="shared" si="76"/>
        <v>INSERT INTO COTACAO (cot_id, cot_blt_id, cot_pap_id, cot_prc_comum, cot_prc_min, cot_prc_max, cot_prc_med, cot_prc_mediana) VALUES (2446, 99, 16, NULL,  48.00,  55.00,  52.33,  54.00);</v>
      </c>
      <c r="J2447" t="str">
        <f t="shared" si="77"/>
        <v>UPDATE COTACAO SET cot_id = 2446, cot_blt_id = 99, cot_pap_id = 16, cot_prc_comum = NULL, cot_prc_min =  48.00, cot_prc_max =  55.00, cot_prc_med =  52.33, cot_prc_mediana =  54.00 WHERE cot_id = 2446;</v>
      </c>
    </row>
    <row r="2448" spans="1:10" x14ac:dyDescent="0.3">
      <c r="A2448">
        <v>2447</v>
      </c>
      <c r="B2448">
        <f>IF('Boletins Nuppa Site'!A2448&lt;&gt;0,'Boletins Nuppa Site'!A2448,"NULL")</f>
        <v>99</v>
      </c>
      <c r="C2448">
        <v>17</v>
      </c>
      <c r="D2448" t="str">
        <f>IF('Boletins Nuppa Site'!G2448&lt;&gt;0,'Boletins Nuppa Site'!G2448,"NULL")</f>
        <v>NULL</v>
      </c>
      <c r="E2448" s="14" t="str">
        <f>IF('Boletins Nuppa Site'!H2448&lt;&gt;0,'Boletins Nuppa Site'!H2448,"NULL")</f>
        <v xml:space="preserve"> 60.00</v>
      </c>
      <c r="F2448" s="14" t="str">
        <f>IF('Boletins Nuppa Site'!I2448&lt;&gt;0,'Boletins Nuppa Site'!I2448,"NULL")</f>
        <v xml:space="preserve"> 72.00</v>
      </c>
      <c r="G2448" s="14" t="str">
        <f>IF('Boletins Nuppa Site'!J2448&lt;&gt;0,'Boletins Nuppa Site'!J2448,"NULL")</f>
        <v xml:space="preserve"> 67.33</v>
      </c>
      <c r="H2448" s="14" t="str">
        <f>IF('Boletins Nuppa Site'!K2448&lt;&gt;0,'Boletins Nuppa Site'!K2448,"NULL")</f>
        <v xml:space="preserve"> 70.00</v>
      </c>
      <c r="I2448" t="str">
        <f t="shared" si="76"/>
        <v>INSERT INTO COTACAO (cot_id, cot_blt_id, cot_pap_id, cot_prc_comum, cot_prc_min, cot_prc_max, cot_prc_med, cot_prc_mediana) VALUES (2447, 99, 17, NULL,  60.00,  72.00,  67.33,  70.00);</v>
      </c>
      <c r="J2448" t="str">
        <f t="shared" si="77"/>
        <v>UPDATE COTACAO SET cot_id = 2447, cot_blt_id = 99, cot_pap_id = 17, cot_prc_comum = NULL, cot_prc_min =  60.00, cot_prc_max =  72.00, cot_prc_med =  67.33, cot_prc_mediana =  70.00 WHERE cot_id = 2447;</v>
      </c>
    </row>
    <row r="2449" spans="1:10" x14ac:dyDescent="0.3">
      <c r="A2449">
        <v>2448</v>
      </c>
      <c r="B2449">
        <f>IF('Boletins Nuppa Site'!A2449&lt;&gt;0,'Boletins Nuppa Site'!A2449,"NULL")</f>
        <v>99</v>
      </c>
      <c r="C2449">
        <v>18</v>
      </c>
      <c r="D2449" t="str">
        <f>IF('Boletins Nuppa Site'!G2449&lt;&gt;0,'Boletins Nuppa Site'!G2449,"NULL")</f>
        <v xml:space="preserve"> 96.00</v>
      </c>
      <c r="E2449" s="14" t="str">
        <f>IF('Boletins Nuppa Site'!H2449&lt;&gt;0,'Boletins Nuppa Site'!H2449,"NULL")</f>
        <v xml:space="preserve"> 96.00</v>
      </c>
      <c r="F2449" s="14" t="str">
        <f>IF('Boletins Nuppa Site'!I2449&lt;&gt;0,'Boletins Nuppa Site'!I2449,"NULL")</f>
        <v xml:space="preserve"> 95.00</v>
      </c>
      <c r="G2449" s="14" t="str">
        <f>IF('Boletins Nuppa Site'!J2449&lt;&gt;0,'Boletins Nuppa Site'!J2449,"NULL")</f>
        <v xml:space="preserve"> 96.00</v>
      </c>
      <c r="H2449" s="14" t="str">
        <f>IF('Boletins Nuppa Site'!K2449&lt;&gt;0,'Boletins Nuppa Site'!K2449,"NULL")</f>
        <v xml:space="preserve"> 96.00</v>
      </c>
      <c r="I2449" t="str">
        <f t="shared" si="76"/>
        <v>INSERT INTO COTACAO (cot_id, cot_blt_id, cot_pap_id, cot_prc_comum, cot_prc_min, cot_prc_max, cot_prc_med, cot_prc_mediana) VALUES (2448, 99, 18,  96.00,  96.00,  95.00,  96.00,  96.00);</v>
      </c>
      <c r="J2449" t="str">
        <f t="shared" si="77"/>
        <v>UPDATE COTACAO SET cot_id = 2448, cot_blt_id = 99, cot_pap_id = 18, cot_prc_comum =  96.00, cot_prc_min =  96.00, cot_prc_max =  95.00, cot_prc_med =  96.00, cot_prc_mediana =  96.00 WHERE cot_id = 2448;</v>
      </c>
    </row>
    <row r="2450" spans="1:10" x14ac:dyDescent="0.3">
      <c r="A2450">
        <v>2449</v>
      </c>
      <c r="B2450">
        <f>IF('Boletins Nuppa Site'!A2450&lt;&gt;0,'Boletins Nuppa Site'!A2450,"NULL")</f>
        <v>99</v>
      </c>
      <c r="C2450">
        <v>19</v>
      </c>
      <c r="D2450" t="str">
        <f>IF('Boletins Nuppa Site'!G2450&lt;&gt;0,'Boletins Nuppa Site'!G2450,"NULL")</f>
        <v xml:space="preserve"> 48.00</v>
      </c>
      <c r="E2450" s="14" t="str">
        <f>IF('Boletins Nuppa Site'!H2450&lt;&gt;0,'Boletins Nuppa Site'!H2450,"NULL")</f>
        <v xml:space="preserve"> 48.00</v>
      </c>
      <c r="F2450" s="14" t="str">
        <f>IF('Boletins Nuppa Site'!I2450&lt;&gt;0,'Boletins Nuppa Site'!I2450,"NULL")</f>
        <v xml:space="preserve"> 48.00</v>
      </c>
      <c r="G2450" s="14" t="str">
        <f>IF('Boletins Nuppa Site'!J2450&lt;&gt;0,'Boletins Nuppa Site'!J2450,"NULL")</f>
        <v xml:space="preserve"> 48.00</v>
      </c>
      <c r="H2450" s="14" t="str">
        <f>IF('Boletins Nuppa Site'!K2450&lt;&gt;0,'Boletins Nuppa Site'!K2450,"NULL")</f>
        <v xml:space="preserve"> 48.00</v>
      </c>
      <c r="I2450" t="str">
        <f t="shared" si="76"/>
        <v>INSERT INTO COTACAO (cot_id, cot_blt_id, cot_pap_id, cot_prc_comum, cot_prc_min, cot_prc_max, cot_prc_med, cot_prc_mediana) VALUES (2449, 99, 19,  48.00,  48.00,  48.00,  48.00,  48.00);</v>
      </c>
      <c r="J2450" t="str">
        <f t="shared" si="77"/>
        <v>UPDATE COTACAO SET cot_id = 2449, cot_blt_id = 99, cot_pap_id = 19, cot_prc_comum =  48.00, cot_prc_min =  48.00, cot_prc_max =  48.00, cot_prc_med =  48.00, cot_prc_mediana =  48.00 WHERE cot_id = 2449;</v>
      </c>
    </row>
    <row r="2451" spans="1:10" x14ac:dyDescent="0.3">
      <c r="A2451">
        <v>2450</v>
      </c>
      <c r="B2451">
        <f>IF('Boletins Nuppa Site'!A2451&lt;&gt;0,'Boletins Nuppa Site'!A2451,"NULL")</f>
        <v>99</v>
      </c>
      <c r="C2451">
        <v>20</v>
      </c>
      <c r="D2451" t="str">
        <f>IF('Boletins Nuppa Site'!G2451&lt;&gt;0,'Boletins Nuppa Site'!G2451,"NULL")</f>
        <v>NULL</v>
      </c>
      <c r="E2451" s="14" t="str">
        <f>IF('Boletins Nuppa Site'!H2451&lt;&gt;0,'Boletins Nuppa Site'!H2451,"NULL")</f>
        <v xml:space="preserve"> 55.00</v>
      </c>
      <c r="F2451" s="14" t="str">
        <f>IF('Boletins Nuppa Site'!I2451&lt;&gt;0,'Boletins Nuppa Site'!I2451,"NULL")</f>
        <v xml:space="preserve"> 55.00</v>
      </c>
      <c r="G2451" s="14" t="str">
        <f>IF('Boletins Nuppa Site'!J2451&lt;&gt;0,'Boletins Nuppa Site'!J2451,"NULL")</f>
        <v xml:space="preserve"> 55.00</v>
      </c>
      <c r="H2451" s="14" t="str">
        <f>IF('Boletins Nuppa Site'!K2451&lt;&gt;0,'Boletins Nuppa Site'!K2451,"NULL")</f>
        <v xml:space="preserve"> 55.00</v>
      </c>
      <c r="I2451" t="str">
        <f t="shared" si="76"/>
        <v>INSERT INTO COTACAO (cot_id, cot_blt_id, cot_pap_id, cot_prc_comum, cot_prc_min, cot_prc_max, cot_prc_med, cot_prc_mediana) VALUES (2450, 99, 20, NULL,  55.00,  55.00,  55.00,  55.00);</v>
      </c>
      <c r="J2451" t="str">
        <f t="shared" si="77"/>
        <v>UPDATE COTACAO SET cot_id = 2450, cot_blt_id = 99, cot_pap_id = 20, cot_prc_comum = NULL, cot_prc_min =  55.00, cot_prc_max =  55.00, cot_prc_med =  55.00, cot_prc_mediana =  55.00 WHERE cot_id = 2450;</v>
      </c>
    </row>
    <row r="2452" spans="1:10" x14ac:dyDescent="0.3">
      <c r="A2452">
        <v>2451</v>
      </c>
      <c r="B2452">
        <f>IF('Boletins Nuppa Site'!A2452&lt;&gt;0,'Boletins Nuppa Site'!A2452,"NULL")</f>
        <v>99</v>
      </c>
      <c r="C2452">
        <v>21</v>
      </c>
      <c r="D2452" t="str">
        <f>IF('Boletins Nuppa Site'!G2452&lt;&gt;0,'Boletins Nuppa Site'!G2452,"NULL")</f>
        <v>NULL</v>
      </c>
      <c r="E2452" s="14" t="str">
        <f>IF('Boletins Nuppa Site'!H2452&lt;&gt;0,'Boletins Nuppa Site'!H2452,"NULL")</f>
        <v xml:space="preserve"> 120.00</v>
      </c>
      <c r="F2452" s="14" t="str">
        <f>IF('Boletins Nuppa Site'!I2452&lt;&gt;0,'Boletins Nuppa Site'!I2452,"NULL")</f>
        <v xml:space="preserve"> 130.00</v>
      </c>
      <c r="G2452" s="14" t="str">
        <f>IF('Boletins Nuppa Site'!J2452&lt;&gt;0,'Boletins Nuppa Site'!J2452,"NULL")</f>
        <v xml:space="preserve"> 125.00</v>
      </c>
      <c r="H2452" s="14" t="str">
        <f>IF('Boletins Nuppa Site'!K2452&lt;&gt;0,'Boletins Nuppa Site'!K2452,"NULL")</f>
        <v xml:space="preserve"> 125.00</v>
      </c>
      <c r="I2452" t="str">
        <f t="shared" si="76"/>
        <v>INSERT INTO COTACAO (cot_id, cot_blt_id, cot_pap_id, cot_prc_comum, cot_prc_min, cot_prc_max, cot_prc_med, cot_prc_mediana) VALUES (2451, 99, 21, NULL,  120.00,  130.00,  125.00,  125.00);</v>
      </c>
      <c r="J2452" t="str">
        <f t="shared" si="77"/>
        <v>UPDATE COTACAO SET cot_id = 2451, cot_blt_id = 99, cot_pap_id = 21, cot_prc_comum = NULL, cot_prc_min =  120.00, cot_prc_max =  130.00, cot_prc_med =  125.00, cot_prc_mediana =  125.00 WHERE cot_id = 2451;</v>
      </c>
    </row>
    <row r="2453" spans="1:10" x14ac:dyDescent="0.3">
      <c r="A2453">
        <v>2452</v>
      </c>
      <c r="B2453">
        <f>IF('Boletins Nuppa Site'!A2453&lt;&gt;0,'Boletins Nuppa Site'!A2453,"NULL")</f>
        <v>99</v>
      </c>
      <c r="C2453">
        <v>22</v>
      </c>
      <c r="D2453" t="str">
        <f>IF('Boletins Nuppa Site'!G2453&lt;&gt;0,'Boletins Nuppa Site'!G2453,"NULL")</f>
        <v>NULL</v>
      </c>
      <c r="E2453" s="14" t="str">
        <f>IF('Boletins Nuppa Site'!H2453&lt;&gt;0,'Boletins Nuppa Site'!H2453,"NULL")</f>
        <v xml:space="preserve"> 45.00</v>
      </c>
      <c r="F2453" s="14" t="str">
        <f>IF('Boletins Nuppa Site'!I2453&lt;&gt;0,'Boletins Nuppa Site'!I2453,"NULL")</f>
        <v xml:space="preserve"> 65.00</v>
      </c>
      <c r="G2453" s="14" t="str">
        <f>IF('Boletins Nuppa Site'!J2453&lt;&gt;0,'Boletins Nuppa Site'!J2453,"NULL")</f>
        <v xml:space="preserve"> 55.00</v>
      </c>
      <c r="H2453" s="14" t="str">
        <f>IF('Boletins Nuppa Site'!K2453&lt;&gt;0,'Boletins Nuppa Site'!K2453,"NULL")</f>
        <v xml:space="preserve"> 55.00</v>
      </c>
      <c r="I2453" t="str">
        <f t="shared" si="76"/>
        <v>INSERT INTO COTACAO (cot_id, cot_blt_id, cot_pap_id, cot_prc_comum, cot_prc_min, cot_prc_max, cot_prc_med, cot_prc_mediana) VALUES (2452, 99, 22, NULL,  45.00,  65.00,  55.00,  55.00);</v>
      </c>
      <c r="J2453" t="str">
        <f t="shared" si="77"/>
        <v>UPDATE COTACAO SET cot_id = 2452, cot_blt_id = 99, cot_pap_id = 22, cot_prc_comum = NULL, cot_prc_min =  45.00, cot_prc_max =  65.00, cot_prc_med =  55.00, cot_prc_mediana =  55.00 WHERE cot_id = 2452;</v>
      </c>
    </row>
    <row r="2454" spans="1:10" x14ac:dyDescent="0.3">
      <c r="A2454">
        <v>2453</v>
      </c>
      <c r="B2454">
        <f>IF('Boletins Nuppa Site'!A2454&lt;&gt;0,'Boletins Nuppa Site'!A2454,"NULL")</f>
        <v>99</v>
      </c>
      <c r="C2454">
        <v>23</v>
      </c>
      <c r="D2454" t="str">
        <f>IF('Boletins Nuppa Site'!G2454&lt;&gt;0,'Boletins Nuppa Site'!G2454,"NULL")</f>
        <v xml:space="preserve"> 40.00</v>
      </c>
      <c r="E2454" s="14" t="str">
        <f>IF('Boletins Nuppa Site'!H2454&lt;&gt;0,'Boletins Nuppa Site'!H2454,"NULL")</f>
        <v xml:space="preserve"> 50.00</v>
      </c>
      <c r="F2454" s="14" t="str">
        <f>IF('Boletins Nuppa Site'!I2454&lt;&gt;0,'Boletins Nuppa Site'!I2454,"NULL")</f>
        <v xml:space="preserve"> 50.00</v>
      </c>
      <c r="G2454" s="14" t="str">
        <f>IF('Boletins Nuppa Site'!J2454&lt;&gt;0,'Boletins Nuppa Site'!J2454,"NULL")</f>
        <v xml:space="preserve"> 46.67</v>
      </c>
      <c r="H2454" s="14" t="str">
        <f>IF('Boletins Nuppa Site'!K2454&lt;&gt;0,'Boletins Nuppa Site'!K2454,"NULL")</f>
        <v xml:space="preserve"> 50.00</v>
      </c>
      <c r="I2454" t="str">
        <f t="shared" si="76"/>
        <v>INSERT INTO COTACAO (cot_id, cot_blt_id, cot_pap_id, cot_prc_comum, cot_prc_min, cot_prc_max, cot_prc_med, cot_prc_mediana) VALUES (2453, 99, 23,  40.00,  50.00,  50.00,  46.67,  50.00);</v>
      </c>
      <c r="J2454" t="str">
        <f t="shared" si="77"/>
        <v>UPDATE COTACAO SET cot_id = 2453, cot_blt_id = 99, cot_pap_id = 23, cot_prc_comum =  40.00, cot_prc_min =  50.00, cot_prc_max =  50.00, cot_prc_med =  46.67, cot_prc_mediana =  50.00 WHERE cot_id = 2453;</v>
      </c>
    </row>
    <row r="2455" spans="1:10" x14ac:dyDescent="0.3">
      <c r="A2455">
        <v>2454</v>
      </c>
      <c r="B2455">
        <f>IF('Boletins Nuppa Site'!A2455&lt;&gt;0,'Boletins Nuppa Site'!A2455,"NULL")</f>
        <v>99</v>
      </c>
      <c r="C2455">
        <v>24</v>
      </c>
      <c r="D2455" t="str">
        <f>IF('Boletins Nuppa Site'!G2455&lt;&gt;0,'Boletins Nuppa Site'!G2455,"NULL")</f>
        <v>NULL</v>
      </c>
      <c r="E2455" s="14" t="str">
        <f>IF('Boletins Nuppa Site'!H2455&lt;&gt;0,'Boletins Nuppa Site'!H2455,"NULL")</f>
        <v xml:space="preserve"> 80.00</v>
      </c>
      <c r="F2455" s="14" t="str">
        <f>IF('Boletins Nuppa Site'!I2455&lt;&gt;0,'Boletins Nuppa Site'!I2455,"NULL")</f>
        <v xml:space="preserve"> 80.00</v>
      </c>
      <c r="G2455" s="14" t="str">
        <f>IF('Boletins Nuppa Site'!J2455&lt;&gt;0,'Boletins Nuppa Site'!J2455,"NULL")</f>
        <v xml:space="preserve"> 80.00</v>
      </c>
      <c r="H2455" s="14" t="str">
        <f>IF('Boletins Nuppa Site'!K2455&lt;&gt;0,'Boletins Nuppa Site'!K2455,"NULL")</f>
        <v xml:space="preserve"> 80.00</v>
      </c>
      <c r="I2455" t="str">
        <f t="shared" si="76"/>
        <v>INSERT INTO COTACAO (cot_id, cot_blt_id, cot_pap_id, cot_prc_comum, cot_prc_min, cot_prc_max, cot_prc_med, cot_prc_mediana) VALUES (2454, 99, 24, NULL,  80.00,  80.00,  80.00,  80.00);</v>
      </c>
      <c r="J2455" t="str">
        <f t="shared" si="77"/>
        <v>UPDATE COTACAO SET cot_id = 2454, cot_blt_id = 99, cot_pap_id = 24, cot_prc_comum = NULL, cot_prc_min =  80.00, cot_prc_max =  80.00, cot_prc_med =  80.00, cot_prc_mediana =  80.00 WHERE cot_id = 2454;</v>
      </c>
    </row>
    <row r="2456" spans="1:10" x14ac:dyDescent="0.3">
      <c r="A2456">
        <v>2455</v>
      </c>
      <c r="B2456">
        <f>IF('Boletins Nuppa Site'!A2456&lt;&gt;0,'Boletins Nuppa Site'!A2456,"NULL")</f>
        <v>99</v>
      </c>
      <c r="C2456">
        <v>25</v>
      </c>
      <c r="D2456" t="str">
        <f>IF('Boletins Nuppa Site'!G2456&lt;&gt;0,'Boletins Nuppa Site'!G2456,"NULL")</f>
        <v>NULL</v>
      </c>
      <c r="E2456" s="14" t="str">
        <f>IF('Boletins Nuppa Site'!H2456&lt;&gt;0,'Boletins Nuppa Site'!H2456,"NULL")</f>
        <v xml:space="preserve"> 55.00</v>
      </c>
      <c r="F2456" s="14" t="str">
        <f>IF('Boletins Nuppa Site'!I2456&lt;&gt;0,'Boletins Nuppa Site'!I2456,"NULL")</f>
        <v xml:space="preserve"> 65.00</v>
      </c>
      <c r="G2456" s="14" t="str">
        <f>IF('Boletins Nuppa Site'!J2456&lt;&gt;0,'Boletins Nuppa Site'!J2456,"NULL")</f>
        <v xml:space="preserve"> 60.00</v>
      </c>
      <c r="H2456" s="14" t="str">
        <f>IF('Boletins Nuppa Site'!K2456&lt;&gt;0,'Boletins Nuppa Site'!K2456,"NULL")</f>
        <v xml:space="preserve"> 60.00</v>
      </c>
      <c r="I2456" t="str">
        <f t="shared" si="76"/>
        <v>INSERT INTO COTACAO (cot_id, cot_blt_id, cot_pap_id, cot_prc_comum, cot_prc_min, cot_prc_max, cot_prc_med, cot_prc_mediana) VALUES (2455, 99, 25, NULL,  55.00,  65.00,  60.00,  60.00);</v>
      </c>
      <c r="J2456" t="str">
        <f t="shared" si="77"/>
        <v>UPDATE COTACAO SET cot_id = 2455, cot_blt_id = 99, cot_pap_id = 25, cot_prc_comum = NULL, cot_prc_min =  55.00, cot_prc_max =  65.00, cot_prc_med =  60.00, cot_prc_mediana =  60.00 WHERE cot_id = 2455;</v>
      </c>
    </row>
    <row r="2457" spans="1:10" x14ac:dyDescent="0.3">
      <c r="A2457">
        <v>2456</v>
      </c>
      <c r="B2457">
        <f>IF('Boletins Nuppa Site'!A2457&lt;&gt;0,'Boletins Nuppa Site'!A2457,"NULL")</f>
        <v>99</v>
      </c>
      <c r="C2457">
        <v>26</v>
      </c>
      <c r="D2457" t="str">
        <f>IF('Boletins Nuppa Site'!G2457&lt;&gt;0,'Boletins Nuppa Site'!G2457,"NULL")</f>
        <v>NULL</v>
      </c>
      <c r="E2457" s="14" t="str">
        <f>IF('Boletins Nuppa Site'!H2457&lt;&gt;0,'Boletins Nuppa Site'!H2457,"NULL")</f>
        <v xml:space="preserve"> 50.00</v>
      </c>
      <c r="F2457" s="14" t="str">
        <f>IF('Boletins Nuppa Site'!I2457&lt;&gt;0,'Boletins Nuppa Site'!I2457,"NULL")</f>
        <v xml:space="preserve"> 80.00</v>
      </c>
      <c r="G2457" s="14" t="str">
        <f>IF('Boletins Nuppa Site'!J2457&lt;&gt;0,'Boletins Nuppa Site'!J2457,"NULL")</f>
        <v xml:space="preserve"> 63.33</v>
      </c>
      <c r="H2457" s="14" t="str">
        <f>IF('Boletins Nuppa Site'!K2457&lt;&gt;0,'Boletins Nuppa Site'!K2457,"NULL")</f>
        <v xml:space="preserve"> 60.00</v>
      </c>
      <c r="I2457" t="str">
        <f t="shared" si="76"/>
        <v>INSERT INTO COTACAO (cot_id, cot_blt_id, cot_pap_id, cot_prc_comum, cot_prc_min, cot_prc_max, cot_prc_med, cot_prc_mediana) VALUES (2456, 99, 26, NULL,  50.00,  80.00,  63.33,  60.00);</v>
      </c>
      <c r="J2457" t="str">
        <f t="shared" si="77"/>
        <v>UPDATE COTACAO SET cot_id = 2456, cot_blt_id = 99, cot_pap_id = 26, cot_prc_comum = NULL, cot_prc_min =  50.00, cot_prc_max =  80.00, cot_prc_med =  63.33, cot_prc_mediana =  60.00 WHERE cot_id = 2456;</v>
      </c>
    </row>
    <row r="2458" spans="1:10" x14ac:dyDescent="0.3">
      <c r="A2458">
        <v>2457</v>
      </c>
      <c r="B2458">
        <f>IF('Boletins Nuppa Site'!A2458&lt;&gt;0,'Boletins Nuppa Site'!A2458,"NULL")</f>
        <v>99</v>
      </c>
      <c r="C2458">
        <v>27</v>
      </c>
      <c r="D2458" t="str">
        <f>IF('Boletins Nuppa Site'!G2458&lt;&gt;0,'Boletins Nuppa Site'!G2458,"NULL")</f>
        <v>NULL</v>
      </c>
      <c r="E2458" s="14" t="str">
        <f>IF('Boletins Nuppa Site'!H2458&lt;&gt;0,'Boletins Nuppa Site'!H2458,"NULL")</f>
        <v xml:space="preserve"> 50.00</v>
      </c>
      <c r="F2458" s="14" t="str">
        <f>IF('Boletins Nuppa Site'!I2458&lt;&gt;0,'Boletins Nuppa Site'!I2458,"NULL")</f>
        <v xml:space="preserve"> 80.00</v>
      </c>
      <c r="G2458" s="14" t="str">
        <f>IF('Boletins Nuppa Site'!J2458&lt;&gt;0,'Boletins Nuppa Site'!J2458,"NULL")</f>
        <v xml:space="preserve"> 65.00</v>
      </c>
      <c r="H2458" s="14" t="str">
        <f>IF('Boletins Nuppa Site'!K2458&lt;&gt;0,'Boletins Nuppa Site'!K2458,"NULL")</f>
        <v xml:space="preserve"> 65.00</v>
      </c>
      <c r="I2458" t="str">
        <f t="shared" si="76"/>
        <v>INSERT INTO COTACAO (cot_id, cot_blt_id, cot_pap_id, cot_prc_comum, cot_prc_min, cot_prc_max, cot_prc_med, cot_prc_mediana) VALUES (2457, 99, 27, NULL,  50.00,  80.00,  65.00,  65.00);</v>
      </c>
      <c r="J2458" t="str">
        <f t="shared" si="77"/>
        <v>UPDATE COTACAO SET cot_id = 2457, cot_blt_id = 99, cot_pap_id = 27, cot_prc_comum = NULL, cot_prc_min =  50.00, cot_prc_max =  80.00, cot_prc_med =  65.00, cot_prc_mediana =  65.00 WHERE cot_id = 2457;</v>
      </c>
    </row>
    <row r="2459" spans="1:10" x14ac:dyDescent="0.3">
      <c r="A2459">
        <v>2458</v>
      </c>
      <c r="B2459">
        <f>IF('Boletins Nuppa Site'!A2459&lt;&gt;0,'Boletins Nuppa Site'!A2459,"NULL")</f>
        <v>99</v>
      </c>
      <c r="C2459">
        <v>28</v>
      </c>
      <c r="D2459" t="str">
        <f>IF('Boletins Nuppa Site'!G2459&lt;&gt;0,'Boletins Nuppa Site'!G2459,"NULL")</f>
        <v>NULL</v>
      </c>
      <c r="E2459" s="14" t="str">
        <f>IF('Boletins Nuppa Site'!H2459&lt;&gt;0,'Boletins Nuppa Site'!H2459,"NULL")</f>
        <v xml:space="preserve"> 60.00</v>
      </c>
      <c r="F2459" s="14" t="str">
        <f>IF('Boletins Nuppa Site'!I2459&lt;&gt;0,'Boletins Nuppa Site'!I2459,"NULL")</f>
        <v xml:space="preserve"> 80.00</v>
      </c>
      <c r="G2459" s="14" t="str">
        <f>IF('Boletins Nuppa Site'!J2459&lt;&gt;0,'Boletins Nuppa Site'!J2459,"NULL")</f>
        <v xml:space="preserve"> 70.00</v>
      </c>
      <c r="H2459" s="14" t="str">
        <f>IF('Boletins Nuppa Site'!K2459&lt;&gt;0,'Boletins Nuppa Site'!K2459,"NULL")</f>
        <v xml:space="preserve"> 70.00</v>
      </c>
      <c r="I2459" t="str">
        <f t="shared" si="76"/>
        <v>INSERT INTO COTACAO (cot_id, cot_blt_id, cot_pap_id, cot_prc_comum, cot_prc_min, cot_prc_max, cot_prc_med, cot_prc_mediana) VALUES (2458, 99, 28, NULL,  60.00,  80.00,  70.00,  70.00);</v>
      </c>
      <c r="J2459" t="str">
        <f t="shared" si="77"/>
        <v>UPDATE COTACAO SET cot_id = 2458, cot_blt_id = 99, cot_pap_id = 28, cot_prc_comum = NULL, cot_prc_min =  60.00, cot_prc_max =  80.00, cot_prc_med =  70.00, cot_prc_mediana =  70.00 WHERE cot_id = 2458;</v>
      </c>
    </row>
    <row r="2460" spans="1:10" x14ac:dyDescent="0.3">
      <c r="A2460">
        <v>2459</v>
      </c>
      <c r="B2460">
        <f>IF('Boletins Nuppa Site'!A2460&lt;&gt;0,'Boletins Nuppa Site'!A2460,"NULL")</f>
        <v>99</v>
      </c>
      <c r="C2460">
        <v>29</v>
      </c>
      <c r="D2460" t="str">
        <f>IF('Boletins Nuppa Site'!G2460&lt;&gt;0,'Boletins Nuppa Site'!G2460,"NULL")</f>
        <v>NULL</v>
      </c>
      <c r="E2460" s="14" t="str">
        <f>IF('Boletins Nuppa Site'!H2460&lt;&gt;0,'Boletins Nuppa Site'!H2460,"NULL")</f>
        <v xml:space="preserve"> 75.00</v>
      </c>
      <c r="F2460" s="14" t="str">
        <f>IF('Boletins Nuppa Site'!I2460&lt;&gt;0,'Boletins Nuppa Site'!I2460,"NULL")</f>
        <v xml:space="preserve"> 75.00</v>
      </c>
      <c r="G2460" s="14" t="str">
        <f>IF('Boletins Nuppa Site'!J2460&lt;&gt;0,'Boletins Nuppa Site'!J2460,"NULL")</f>
        <v xml:space="preserve"> 75.00</v>
      </c>
      <c r="H2460" s="14" t="str">
        <f>IF('Boletins Nuppa Site'!K2460&lt;&gt;0,'Boletins Nuppa Site'!K2460,"NULL")</f>
        <v xml:space="preserve"> 75.00</v>
      </c>
      <c r="I2460" t="str">
        <f t="shared" si="76"/>
        <v>INSERT INTO COTACAO (cot_id, cot_blt_id, cot_pap_id, cot_prc_comum, cot_prc_min, cot_prc_max, cot_prc_med, cot_prc_mediana) VALUES (2459, 99, 29, NULL,  75.00,  75.00,  75.00,  75.00);</v>
      </c>
      <c r="J2460" t="str">
        <f t="shared" si="77"/>
        <v>UPDATE COTACAO SET cot_id = 2459, cot_blt_id = 99, cot_pap_id = 29, cot_prc_comum = NULL, cot_prc_min =  75.00, cot_prc_max =  75.00, cot_prc_med =  75.00, cot_prc_mediana =  75.00 WHERE cot_id = 2459;</v>
      </c>
    </row>
    <row r="2461" spans="1:10" x14ac:dyDescent="0.3">
      <c r="A2461">
        <v>2460</v>
      </c>
      <c r="B2461">
        <f>IF('Boletins Nuppa Site'!A2461&lt;&gt;0,'Boletins Nuppa Site'!A2461,"NULL")</f>
        <v>99</v>
      </c>
      <c r="C2461">
        <v>30</v>
      </c>
      <c r="D2461" t="str">
        <f>IF('Boletins Nuppa Site'!G2461&lt;&gt;0,'Boletins Nuppa Site'!G2461,"NULL")</f>
        <v>NULL</v>
      </c>
      <c r="E2461" s="14" t="str">
        <f>IF('Boletins Nuppa Site'!H2461&lt;&gt;0,'Boletins Nuppa Site'!H2461,"NULL")</f>
        <v xml:space="preserve"> 70.00</v>
      </c>
      <c r="F2461" s="14" t="str">
        <f>IF('Boletins Nuppa Site'!I2461&lt;&gt;0,'Boletins Nuppa Site'!I2461,"NULL")</f>
        <v xml:space="preserve"> 70.00</v>
      </c>
      <c r="G2461" s="14" t="str">
        <f>IF('Boletins Nuppa Site'!J2461&lt;&gt;0,'Boletins Nuppa Site'!J2461,"NULL")</f>
        <v xml:space="preserve"> 70.00</v>
      </c>
      <c r="H2461" s="14" t="str">
        <f>IF('Boletins Nuppa Site'!K2461&lt;&gt;0,'Boletins Nuppa Site'!K2461,"NULL")</f>
        <v xml:space="preserve"> 70.00</v>
      </c>
      <c r="I2461" t="str">
        <f t="shared" si="76"/>
        <v>INSERT INTO COTACAO (cot_id, cot_blt_id, cot_pap_id, cot_prc_comum, cot_prc_min, cot_prc_max, cot_prc_med, cot_prc_mediana) VALUES (2460, 99, 30, NULL,  70.00,  70.00,  70.00,  70.00);</v>
      </c>
      <c r="J2461" t="str">
        <f t="shared" si="77"/>
        <v>UPDATE COTACAO SET cot_id = 2460, cot_blt_id = 99, cot_pap_id = 30, cot_prc_comum = NULL, cot_prc_min =  70.00, cot_prc_max =  70.00, cot_prc_med =  70.00, cot_prc_mediana =  70.00 WHERE cot_id = 2460;</v>
      </c>
    </row>
    <row r="2462" spans="1:10" x14ac:dyDescent="0.3">
      <c r="A2462">
        <v>2461</v>
      </c>
      <c r="B2462">
        <f>IF('Boletins Nuppa Site'!A2462&lt;&gt;0,'Boletins Nuppa Site'!A2462,"NULL")</f>
        <v>99</v>
      </c>
      <c r="C2462">
        <v>31</v>
      </c>
      <c r="D2462" t="str">
        <f>IF('Boletins Nuppa Site'!G2462&lt;&gt;0,'Boletins Nuppa Site'!G2462,"NULL")</f>
        <v>NULL</v>
      </c>
      <c r="E2462" s="14" t="str">
        <f>IF('Boletins Nuppa Site'!H2462&lt;&gt;0,'Boletins Nuppa Site'!H2462,"NULL")</f>
        <v xml:space="preserve"> 75.00</v>
      </c>
      <c r="F2462" s="14" t="str">
        <f>IF('Boletins Nuppa Site'!I2462&lt;&gt;0,'Boletins Nuppa Site'!I2462,"NULL")</f>
        <v xml:space="preserve"> 90.00</v>
      </c>
      <c r="G2462" s="14" t="str">
        <f>IF('Boletins Nuppa Site'!J2462&lt;&gt;0,'Boletins Nuppa Site'!J2462,"NULL")</f>
        <v xml:space="preserve"> 81.67</v>
      </c>
      <c r="H2462" s="14" t="str">
        <f>IF('Boletins Nuppa Site'!K2462&lt;&gt;0,'Boletins Nuppa Site'!K2462,"NULL")</f>
        <v xml:space="preserve"> 80.00</v>
      </c>
      <c r="I2462" t="str">
        <f t="shared" si="76"/>
        <v>INSERT INTO COTACAO (cot_id, cot_blt_id, cot_pap_id, cot_prc_comum, cot_prc_min, cot_prc_max, cot_prc_med, cot_prc_mediana) VALUES (2461, 99, 31, NULL,  75.00,  90.00,  81.67,  80.00);</v>
      </c>
      <c r="J2462" t="str">
        <f t="shared" si="77"/>
        <v>UPDATE COTACAO SET cot_id = 2461, cot_blt_id = 99, cot_pap_id = 31, cot_prc_comum = NULL, cot_prc_min =  75.00, cot_prc_max =  90.00, cot_prc_med =  81.67, cot_prc_mediana =  80.00 WHERE cot_id = 2461;</v>
      </c>
    </row>
    <row r="2463" spans="1:10" x14ac:dyDescent="0.3">
      <c r="A2463">
        <v>2462</v>
      </c>
      <c r="B2463">
        <f>IF('Boletins Nuppa Site'!A2463&lt;&gt;0,'Boletins Nuppa Site'!A2463,"NULL")</f>
        <v>99</v>
      </c>
      <c r="C2463">
        <v>32</v>
      </c>
      <c r="D2463" t="str">
        <f>IF('Boletins Nuppa Site'!G2463&lt;&gt;0,'Boletins Nuppa Site'!G2463,"NULL")</f>
        <v>NULL</v>
      </c>
      <c r="E2463" s="14" t="str">
        <f>IF('Boletins Nuppa Site'!H2463&lt;&gt;0,'Boletins Nuppa Site'!H2463,"NULL")</f>
        <v xml:space="preserve"> 30.00</v>
      </c>
      <c r="F2463" s="14" t="str">
        <f>IF('Boletins Nuppa Site'!I2463&lt;&gt;0,'Boletins Nuppa Site'!I2463,"NULL")</f>
        <v xml:space="preserve"> 60.00</v>
      </c>
      <c r="G2463" s="14" t="str">
        <f>IF('Boletins Nuppa Site'!J2463&lt;&gt;0,'Boletins Nuppa Site'!J2463,"NULL")</f>
        <v xml:space="preserve"> 46.67</v>
      </c>
      <c r="H2463" s="14" t="str">
        <f>IF('Boletins Nuppa Site'!K2463&lt;&gt;0,'Boletins Nuppa Site'!K2463,"NULL")</f>
        <v xml:space="preserve"> 50.00</v>
      </c>
      <c r="I2463" t="str">
        <f t="shared" si="76"/>
        <v>INSERT INTO COTACAO (cot_id, cot_blt_id, cot_pap_id, cot_prc_comum, cot_prc_min, cot_prc_max, cot_prc_med, cot_prc_mediana) VALUES (2462, 99, 32, NULL,  30.00,  60.00,  46.67,  50.00);</v>
      </c>
      <c r="J2463" t="str">
        <f t="shared" si="77"/>
        <v>UPDATE COTACAO SET cot_id = 2462, cot_blt_id = 99, cot_pap_id = 32, cot_prc_comum = NULL, cot_prc_min =  30.00, cot_prc_max =  60.00, cot_prc_med =  46.67, cot_prc_mediana =  50.00 WHERE cot_id = 2462;</v>
      </c>
    </row>
    <row r="2464" spans="1:10" x14ac:dyDescent="0.3">
      <c r="A2464">
        <v>2463</v>
      </c>
      <c r="B2464">
        <f>IF('Boletins Nuppa Site'!A2464&lt;&gt;0,'Boletins Nuppa Site'!A2464,"NULL")</f>
        <v>99</v>
      </c>
      <c r="C2464">
        <v>33</v>
      </c>
      <c r="D2464" t="str">
        <f>IF('Boletins Nuppa Site'!G2464&lt;&gt;0,'Boletins Nuppa Site'!G2464,"NULL")</f>
        <v>NULL</v>
      </c>
      <c r="E2464" s="14" t="str">
        <f>IF('Boletins Nuppa Site'!H2464&lt;&gt;0,'Boletins Nuppa Site'!H2464,"NULL")</f>
        <v xml:space="preserve"> 120.00</v>
      </c>
      <c r="F2464" s="14" t="str">
        <f>IF('Boletins Nuppa Site'!I2464&lt;&gt;0,'Boletins Nuppa Site'!I2464,"NULL")</f>
        <v xml:space="preserve"> 160.00</v>
      </c>
      <c r="G2464" s="14" t="str">
        <f>IF('Boletins Nuppa Site'!J2464&lt;&gt;0,'Boletins Nuppa Site'!J2464,"NULL")</f>
        <v xml:space="preserve"> 143.33</v>
      </c>
      <c r="H2464" s="14" t="str">
        <f>IF('Boletins Nuppa Site'!K2464&lt;&gt;0,'Boletins Nuppa Site'!K2464,"NULL")</f>
        <v xml:space="preserve"> 150.00</v>
      </c>
      <c r="I2464" t="str">
        <f t="shared" si="76"/>
        <v>INSERT INTO COTACAO (cot_id, cot_blt_id, cot_pap_id, cot_prc_comum, cot_prc_min, cot_prc_max, cot_prc_med, cot_prc_mediana) VALUES (2463, 99, 33, NULL,  120.00,  160.00,  143.33,  150.00);</v>
      </c>
      <c r="J2464" t="str">
        <f t="shared" si="77"/>
        <v>UPDATE COTACAO SET cot_id = 2463, cot_blt_id = 99, cot_pap_id = 33, cot_prc_comum = NULL, cot_prc_min =  120.00, cot_prc_max =  160.00, cot_prc_med =  143.33, cot_prc_mediana =  150.00 WHERE cot_id = 2463;</v>
      </c>
    </row>
    <row r="2465" spans="1:10" x14ac:dyDescent="0.3">
      <c r="A2465">
        <v>2464</v>
      </c>
      <c r="B2465">
        <f>IF('Boletins Nuppa Site'!A2465&lt;&gt;0,'Boletins Nuppa Site'!A2465,"NULL")</f>
        <v>99</v>
      </c>
      <c r="C2465">
        <v>34</v>
      </c>
      <c r="D2465" t="str">
        <f>IF('Boletins Nuppa Site'!G2465&lt;&gt;0,'Boletins Nuppa Site'!G2465,"NULL")</f>
        <v xml:space="preserve"> 110.00</v>
      </c>
      <c r="E2465" s="14" t="str">
        <f>IF('Boletins Nuppa Site'!H2465&lt;&gt;0,'Boletins Nuppa Site'!H2465,"NULL")</f>
        <v xml:space="preserve"> 110.00</v>
      </c>
      <c r="F2465" s="14" t="str">
        <f>IF('Boletins Nuppa Site'!I2465&lt;&gt;0,'Boletins Nuppa Site'!I2465,"NULL")</f>
        <v xml:space="preserve"> 120.00</v>
      </c>
      <c r="G2465" s="14" t="str">
        <f>IF('Boletins Nuppa Site'!J2465&lt;&gt;0,'Boletins Nuppa Site'!J2465,"NULL")</f>
        <v xml:space="preserve"> 113.33</v>
      </c>
      <c r="H2465" s="14" t="str">
        <f>IF('Boletins Nuppa Site'!K2465&lt;&gt;0,'Boletins Nuppa Site'!K2465,"NULL")</f>
        <v xml:space="preserve"> 110.00</v>
      </c>
      <c r="I2465" t="str">
        <f t="shared" si="76"/>
        <v>INSERT INTO COTACAO (cot_id, cot_blt_id, cot_pap_id, cot_prc_comum, cot_prc_min, cot_prc_max, cot_prc_med, cot_prc_mediana) VALUES (2464, 99, 34,  110.00,  110.00,  120.00,  113.33,  110.00);</v>
      </c>
      <c r="J2465" t="str">
        <f t="shared" si="77"/>
        <v>UPDATE COTACAO SET cot_id = 2464, cot_blt_id = 99, cot_pap_id = 34, cot_prc_comum =  110.00, cot_prc_min =  110.00, cot_prc_max =  120.00, cot_prc_med =  113.33, cot_prc_mediana =  110.00 WHERE cot_id = 2464;</v>
      </c>
    </row>
    <row r="2466" spans="1:10" x14ac:dyDescent="0.3">
      <c r="A2466">
        <v>2465</v>
      </c>
      <c r="B2466">
        <f>IF('Boletins Nuppa Site'!A2466&lt;&gt;0,'Boletins Nuppa Site'!A2466,"NULL")</f>
        <v>99</v>
      </c>
      <c r="C2466">
        <v>35</v>
      </c>
      <c r="D2466" t="str">
        <f>IF('Boletins Nuppa Site'!G2466&lt;&gt;0,'Boletins Nuppa Site'!G2466,"NULL")</f>
        <v>NULL</v>
      </c>
      <c r="E2466" s="14" t="str">
        <f>IF('Boletins Nuppa Site'!H2466&lt;&gt;0,'Boletins Nuppa Site'!H2466,"NULL")</f>
        <v xml:space="preserve"> 190.00</v>
      </c>
      <c r="F2466" s="14" t="str">
        <f>IF('Boletins Nuppa Site'!I2466&lt;&gt;0,'Boletins Nuppa Site'!I2466,"NULL")</f>
        <v xml:space="preserve"> 190.00</v>
      </c>
      <c r="G2466" s="14" t="str">
        <f>IF('Boletins Nuppa Site'!J2466&lt;&gt;0,'Boletins Nuppa Site'!J2466,"NULL")</f>
        <v xml:space="preserve"> 190.00</v>
      </c>
      <c r="H2466" s="14" t="str">
        <f>IF('Boletins Nuppa Site'!K2466&lt;&gt;0,'Boletins Nuppa Site'!K2466,"NULL")</f>
        <v xml:space="preserve"> 190.00</v>
      </c>
      <c r="I2466" t="str">
        <f t="shared" si="76"/>
        <v>INSERT INTO COTACAO (cot_id, cot_blt_id, cot_pap_id, cot_prc_comum, cot_prc_min, cot_prc_max, cot_prc_med, cot_prc_mediana) VALUES (2465, 99, 35, NULL,  190.00,  190.00,  190.00,  190.00);</v>
      </c>
      <c r="J2466" t="str">
        <f t="shared" si="77"/>
        <v>UPDATE COTACAO SET cot_id = 2465, cot_blt_id = 99, cot_pap_id = 35, cot_prc_comum = NULL, cot_prc_min =  190.00, cot_prc_max =  190.00, cot_prc_med =  190.00, cot_prc_mediana =  190.00 WHERE cot_id = 2465;</v>
      </c>
    </row>
    <row r="2467" spans="1:10" x14ac:dyDescent="0.3">
      <c r="A2467">
        <v>2466</v>
      </c>
      <c r="B2467">
        <f>IF('Boletins Nuppa Site'!A2467&lt;&gt;0,'Boletins Nuppa Site'!A2467,"NULL")</f>
        <v>99</v>
      </c>
      <c r="C2467">
        <v>36</v>
      </c>
      <c r="D2467" t="str">
        <f>IF('Boletins Nuppa Site'!G2467&lt;&gt;0,'Boletins Nuppa Site'!G2467,"NULL")</f>
        <v>NULL</v>
      </c>
      <c r="E2467" s="14" t="str">
        <f>IF('Boletins Nuppa Site'!H2467&lt;&gt;0,'Boletins Nuppa Site'!H2467,"NULL")</f>
        <v>NULL</v>
      </c>
      <c r="F2467" s="14" t="str">
        <f>IF('Boletins Nuppa Site'!I2467&lt;&gt;0,'Boletins Nuppa Site'!I2467,"NULL")</f>
        <v>NULL</v>
      </c>
      <c r="G2467" s="14" t="str">
        <f>IF('Boletins Nuppa Site'!J2467&lt;&gt;0,'Boletins Nuppa Site'!J2467,"NULL")</f>
        <v>NULL</v>
      </c>
      <c r="H2467" s="14" t="str">
        <f>IF('Boletins Nuppa Site'!K2467&lt;&gt;0,'Boletins Nuppa Site'!K2467,"NULL")</f>
        <v>NULL</v>
      </c>
      <c r="I2467" t="str">
        <f t="shared" si="76"/>
        <v>INSERT INTO COTACAO (cot_id, cot_blt_id, cot_pap_id, cot_prc_comum, cot_prc_min, cot_prc_max, cot_prc_med, cot_prc_mediana) VALUES (2466, 99, 36, NULL, NULL, NULL, NULL, NULL);</v>
      </c>
      <c r="J2467" t="str">
        <f t="shared" si="77"/>
        <v>UPDATE COTACAO SET cot_id = 2466, cot_blt_id = 99, cot_pap_id = 36, cot_prc_comum = NULL, cot_prc_min = NULL, cot_prc_max = NULL, cot_prc_med = NULL, cot_prc_mediana = NULL WHERE cot_id = 2466;</v>
      </c>
    </row>
    <row r="2468" spans="1:10" x14ac:dyDescent="0.3">
      <c r="A2468">
        <v>2467</v>
      </c>
      <c r="B2468">
        <f>IF('Boletins Nuppa Site'!A2468&lt;&gt;0,'Boletins Nuppa Site'!A2468,"NULL")</f>
        <v>99</v>
      </c>
      <c r="C2468">
        <v>37</v>
      </c>
      <c r="D2468" t="str">
        <f>IF('Boletins Nuppa Site'!G2468&lt;&gt;0,'Boletins Nuppa Site'!G2468,"NULL")</f>
        <v>NULL</v>
      </c>
      <c r="E2468" s="14" t="str">
        <f>IF('Boletins Nuppa Site'!H2468&lt;&gt;0,'Boletins Nuppa Site'!H2468,"NULL")</f>
        <v>NULL</v>
      </c>
      <c r="F2468" s="14" t="str">
        <f>IF('Boletins Nuppa Site'!I2468&lt;&gt;0,'Boletins Nuppa Site'!I2468,"NULL")</f>
        <v>NULL</v>
      </c>
      <c r="G2468" s="14" t="str">
        <f>IF('Boletins Nuppa Site'!J2468&lt;&gt;0,'Boletins Nuppa Site'!J2468,"NULL")</f>
        <v>NULL</v>
      </c>
      <c r="H2468" s="14" t="str">
        <f>IF('Boletins Nuppa Site'!K2468&lt;&gt;0,'Boletins Nuppa Site'!K2468,"NULL")</f>
        <v>NULL</v>
      </c>
      <c r="I2468" t="str">
        <f t="shared" si="76"/>
        <v>INSERT INTO COTACAO (cot_id, cot_blt_id, cot_pap_id, cot_prc_comum, cot_prc_min, cot_prc_max, cot_prc_med, cot_prc_mediana) VALUES (2467, 99, 37, NULL, NULL, NULL, NULL, NULL);</v>
      </c>
      <c r="J2468" t="str">
        <f t="shared" si="77"/>
        <v>UPDATE COTACAO SET cot_id = 2467, cot_blt_id = 99, cot_pap_id = 37, cot_prc_comum = NULL, cot_prc_min = NULL, cot_prc_max = NULL, cot_prc_med = NULL, cot_prc_mediana = NULL WHERE cot_id = 2467;</v>
      </c>
    </row>
    <row r="2469" spans="1:10" x14ac:dyDescent="0.3">
      <c r="A2469">
        <v>2468</v>
      </c>
      <c r="B2469">
        <f>IF('Boletins Nuppa Site'!A2469&lt;&gt;0,'Boletins Nuppa Site'!A2469,"NULL")</f>
        <v>99</v>
      </c>
      <c r="C2469">
        <v>38</v>
      </c>
      <c r="D2469" t="str">
        <f>IF('Boletins Nuppa Site'!G2469&lt;&gt;0,'Boletins Nuppa Site'!G2469,"NULL")</f>
        <v>NULL</v>
      </c>
      <c r="E2469" s="14" t="str">
        <f>IF('Boletins Nuppa Site'!H2469&lt;&gt;0,'Boletins Nuppa Site'!H2469,"NULL")</f>
        <v>NULL</v>
      </c>
      <c r="F2469" s="14" t="str">
        <f>IF('Boletins Nuppa Site'!I2469&lt;&gt;0,'Boletins Nuppa Site'!I2469,"NULL")</f>
        <v>NULL</v>
      </c>
      <c r="G2469" s="14" t="str">
        <f>IF('Boletins Nuppa Site'!J2469&lt;&gt;0,'Boletins Nuppa Site'!J2469,"NULL")</f>
        <v>NULL</v>
      </c>
      <c r="H2469" s="14" t="str">
        <f>IF('Boletins Nuppa Site'!K2469&lt;&gt;0,'Boletins Nuppa Site'!K2469,"NULL")</f>
        <v>NULL</v>
      </c>
      <c r="I2469" t="str">
        <f t="shared" si="76"/>
        <v>INSERT INTO COTACAO (cot_id, cot_blt_id, cot_pap_id, cot_prc_comum, cot_prc_min, cot_prc_max, cot_prc_med, cot_prc_mediana) VALUES (2468, 99, 38, NULL, NULL, NULL, NULL, NULL);</v>
      </c>
      <c r="J2469" t="str">
        <f t="shared" si="77"/>
        <v>UPDATE COTACAO SET cot_id = 2468, cot_blt_id = 99, cot_pap_id = 38, cot_prc_comum = NULL, cot_prc_min = NULL, cot_prc_max = NULL, cot_prc_med = NULL, cot_prc_mediana = NULL WHERE cot_id = 2468;</v>
      </c>
    </row>
    <row r="2470" spans="1:10" x14ac:dyDescent="0.3">
      <c r="A2470">
        <v>2469</v>
      </c>
      <c r="B2470">
        <f>IF('Boletins Nuppa Site'!A2470&lt;&gt;0,'Boletins Nuppa Site'!A2470,"NULL")</f>
        <v>99</v>
      </c>
      <c r="C2470">
        <v>39</v>
      </c>
      <c r="D2470" t="str">
        <f>IF('Boletins Nuppa Site'!G2470&lt;&gt;0,'Boletins Nuppa Site'!G2470,"NULL")</f>
        <v>NULL</v>
      </c>
      <c r="E2470" s="14" t="str">
        <f>IF('Boletins Nuppa Site'!H2470&lt;&gt;0,'Boletins Nuppa Site'!H2470,"NULL")</f>
        <v>NULL</v>
      </c>
      <c r="F2470" s="14" t="str">
        <f>IF('Boletins Nuppa Site'!I2470&lt;&gt;0,'Boletins Nuppa Site'!I2470,"NULL")</f>
        <v>NULL</v>
      </c>
      <c r="G2470" s="14" t="str">
        <f>IF('Boletins Nuppa Site'!J2470&lt;&gt;0,'Boletins Nuppa Site'!J2470,"NULL")</f>
        <v>NULL</v>
      </c>
      <c r="H2470" s="14" t="str">
        <f>IF('Boletins Nuppa Site'!K2470&lt;&gt;0,'Boletins Nuppa Site'!K2470,"NULL")</f>
        <v>NULL</v>
      </c>
      <c r="I2470" t="str">
        <f t="shared" si="76"/>
        <v>INSERT INTO COTACAO (cot_id, cot_blt_id, cot_pap_id, cot_prc_comum, cot_prc_min, cot_prc_max, cot_prc_med, cot_prc_mediana) VALUES (2469, 99, 39, NULL, NULL, NULL, NULL, NULL);</v>
      </c>
      <c r="J2470" t="str">
        <f t="shared" si="77"/>
        <v>UPDATE COTACAO SET cot_id = 2469, cot_blt_id = 99, cot_pap_id = 39, cot_prc_comum = NULL, cot_prc_min = NULL, cot_prc_max = NULL, cot_prc_med = NULL, cot_prc_mediana = NULL WHERE cot_id = 2469;</v>
      </c>
    </row>
    <row r="2471" spans="1:10" x14ac:dyDescent="0.3">
      <c r="A2471">
        <v>2470</v>
      </c>
      <c r="B2471">
        <f>IF('Boletins Nuppa Site'!A2471&lt;&gt;0,'Boletins Nuppa Site'!A2471,"NULL")</f>
        <v>99</v>
      </c>
      <c r="C2471">
        <v>40</v>
      </c>
      <c r="D2471" t="str">
        <f>IF('Boletins Nuppa Site'!G2471&lt;&gt;0,'Boletins Nuppa Site'!G2471,"NULL")</f>
        <v>NULL</v>
      </c>
      <c r="E2471" s="14" t="str">
        <f>IF('Boletins Nuppa Site'!H2471&lt;&gt;0,'Boletins Nuppa Site'!H2471,"NULL")</f>
        <v>NULL</v>
      </c>
      <c r="F2471" s="14" t="str">
        <f>IF('Boletins Nuppa Site'!I2471&lt;&gt;0,'Boletins Nuppa Site'!I2471,"NULL")</f>
        <v>NULL</v>
      </c>
      <c r="G2471" s="14" t="str">
        <f>IF('Boletins Nuppa Site'!J2471&lt;&gt;0,'Boletins Nuppa Site'!J2471,"NULL")</f>
        <v>NULL</v>
      </c>
      <c r="H2471" s="14" t="str">
        <f>IF('Boletins Nuppa Site'!K2471&lt;&gt;0,'Boletins Nuppa Site'!K2471,"NULL")</f>
        <v>NULL</v>
      </c>
      <c r="I2471" t="str">
        <f t="shared" si="76"/>
        <v>INSERT INTO COTACAO (cot_id, cot_blt_id, cot_pap_id, cot_prc_comum, cot_prc_min, cot_prc_max, cot_prc_med, cot_prc_mediana) VALUES (2470, 99, 40, NULL, NULL, NULL, NULL, NULL);</v>
      </c>
      <c r="J2471" t="str">
        <f t="shared" si="77"/>
        <v>UPDATE COTACAO SET cot_id = 2470, cot_blt_id = 99, cot_pap_id = 40, cot_prc_comum = NULL, cot_prc_min = NULL, cot_prc_max = NULL, cot_prc_med = NULL, cot_prc_mediana = NULL WHERE cot_id = 2470;</v>
      </c>
    </row>
    <row r="2472" spans="1:10" x14ac:dyDescent="0.3">
      <c r="E2472" s="14"/>
      <c r="F2472" s="14"/>
      <c r="G2472" s="14"/>
      <c r="H2472" s="14"/>
    </row>
    <row r="2473" spans="1:10" x14ac:dyDescent="0.3">
      <c r="E2473" s="14"/>
      <c r="F2473" s="14"/>
      <c r="G2473" s="14"/>
      <c r="H2473" s="14"/>
    </row>
    <row r="2474" spans="1:10" x14ac:dyDescent="0.3">
      <c r="E2474" s="14"/>
      <c r="F2474" s="14"/>
      <c r="G2474" s="14"/>
      <c r="H2474" s="14"/>
    </row>
    <row r="2475" spans="1:10" x14ac:dyDescent="0.3">
      <c r="E2475" s="14"/>
      <c r="F2475" s="14"/>
      <c r="G2475" s="14"/>
      <c r="H2475" s="14"/>
    </row>
    <row r="2476" spans="1:10" x14ac:dyDescent="0.3">
      <c r="E2476" s="14"/>
      <c r="F2476" s="14"/>
      <c r="G2476" s="14"/>
      <c r="H2476" s="14"/>
    </row>
    <row r="2477" spans="1:10" x14ac:dyDescent="0.3">
      <c r="E2477" s="14"/>
      <c r="F2477" s="14"/>
      <c r="G2477" s="14"/>
      <c r="H2477" s="14"/>
    </row>
    <row r="2478" spans="1:10" x14ac:dyDescent="0.3">
      <c r="E2478" s="14"/>
      <c r="F2478" s="14"/>
      <c r="G2478" s="14"/>
      <c r="H2478" s="14"/>
    </row>
    <row r="2479" spans="1:10" x14ac:dyDescent="0.3">
      <c r="E2479" s="14"/>
      <c r="F2479" s="14"/>
      <c r="G2479" s="14"/>
      <c r="H2479" s="14"/>
    </row>
    <row r="2480" spans="1:10" x14ac:dyDescent="0.3">
      <c r="E2480" s="14"/>
      <c r="F2480" s="14"/>
      <c r="G2480" s="14"/>
      <c r="H2480" s="14"/>
    </row>
    <row r="2481" spans="5:8" x14ac:dyDescent="0.3">
      <c r="E2481" s="14"/>
      <c r="F2481" s="14"/>
      <c r="G2481" s="14"/>
      <c r="H2481" s="14"/>
    </row>
    <row r="2482" spans="5:8" x14ac:dyDescent="0.3">
      <c r="E2482" s="14"/>
      <c r="F2482" s="14"/>
      <c r="G2482" s="14"/>
      <c r="H2482" s="14"/>
    </row>
    <row r="2483" spans="5:8" x14ac:dyDescent="0.3">
      <c r="E2483" s="14"/>
      <c r="F2483" s="14"/>
      <c r="G2483" s="14"/>
      <c r="H2483" s="14"/>
    </row>
    <row r="2484" spans="5:8" x14ac:dyDescent="0.3">
      <c r="E2484" s="14"/>
      <c r="F2484" s="14"/>
      <c r="G2484" s="14"/>
      <c r="H2484" s="14"/>
    </row>
    <row r="2485" spans="5:8" x14ac:dyDescent="0.3">
      <c r="E2485" s="14"/>
      <c r="F2485" s="14"/>
      <c r="G2485" s="14"/>
      <c r="H2485" s="14"/>
    </row>
    <row r="2486" spans="5:8" x14ac:dyDescent="0.3">
      <c r="E2486" s="14"/>
      <c r="F2486" s="14"/>
      <c r="G2486" s="14"/>
      <c r="H2486" s="14"/>
    </row>
    <row r="2487" spans="5:8" x14ac:dyDescent="0.3">
      <c r="E2487" s="14"/>
      <c r="F2487" s="14"/>
      <c r="G2487" s="14"/>
      <c r="H2487" s="14"/>
    </row>
    <row r="2488" spans="5:8" x14ac:dyDescent="0.3">
      <c r="E2488" s="14"/>
      <c r="F2488" s="14"/>
      <c r="G2488" s="14"/>
      <c r="H2488" s="14"/>
    </row>
    <row r="2489" spans="5:8" x14ac:dyDescent="0.3">
      <c r="E2489" s="14"/>
      <c r="F2489" s="14"/>
      <c r="G2489" s="14"/>
      <c r="H2489" s="14"/>
    </row>
    <row r="2490" spans="5:8" x14ac:dyDescent="0.3">
      <c r="E2490" s="14"/>
      <c r="F2490" s="14"/>
      <c r="G2490" s="14"/>
      <c r="H2490" s="14"/>
    </row>
    <row r="2491" spans="5:8" x14ac:dyDescent="0.3">
      <c r="E2491" s="14"/>
      <c r="F2491" s="14"/>
      <c r="G2491" s="14"/>
      <c r="H2491" s="14"/>
    </row>
    <row r="2492" spans="5:8" x14ac:dyDescent="0.3">
      <c r="E2492" s="14"/>
      <c r="F2492" s="14"/>
      <c r="G2492" s="14"/>
      <c r="H2492" s="14"/>
    </row>
    <row r="2493" spans="5:8" x14ac:dyDescent="0.3">
      <c r="E2493" s="14"/>
      <c r="F2493" s="14"/>
      <c r="G2493" s="14"/>
      <c r="H2493" s="14"/>
    </row>
    <row r="2494" spans="5:8" x14ac:dyDescent="0.3">
      <c r="E2494" s="14"/>
      <c r="F2494" s="14"/>
      <c r="G2494" s="14"/>
      <c r="H2494" s="14"/>
    </row>
    <row r="2495" spans="5:8" x14ac:dyDescent="0.3">
      <c r="E2495" s="14"/>
      <c r="F2495" s="14"/>
      <c r="G2495" s="14"/>
      <c r="H2495" s="14"/>
    </row>
    <row r="2496" spans="5:8" x14ac:dyDescent="0.3">
      <c r="E2496" s="14"/>
      <c r="F2496" s="14"/>
      <c r="G2496" s="14"/>
      <c r="H2496" s="14"/>
    </row>
    <row r="2497" spans="5:8" x14ac:dyDescent="0.3">
      <c r="E2497" s="14"/>
      <c r="F2497" s="14"/>
      <c r="G2497" s="14"/>
      <c r="H2497" s="14"/>
    </row>
    <row r="2498" spans="5:8" x14ac:dyDescent="0.3">
      <c r="E2498" s="14"/>
      <c r="F2498" s="14"/>
      <c r="G2498" s="14"/>
      <c r="H2498" s="14"/>
    </row>
    <row r="2499" spans="5:8" x14ac:dyDescent="0.3">
      <c r="E2499" s="14"/>
      <c r="F2499" s="14"/>
      <c r="G2499" s="14"/>
      <c r="H2499" s="14"/>
    </row>
    <row r="2500" spans="5:8" x14ac:dyDescent="0.3">
      <c r="E2500" s="14"/>
      <c r="F2500" s="14"/>
      <c r="G2500" s="14"/>
      <c r="H2500" s="14"/>
    </row>
    <row r="2501" spans="5:8" x14ac:dyDescent="0.3">
      <c r="E2501" s="14"/>
      <c r="F2501" s="14"/>
      <c r="G2501" s="14"/>
      <c r="H2501" s="14"/>
    </row>
    <row r="2502" spans="5:8" x14ac:dyDescent="0.3">
      <c r="E2502" s="14"/>
      <c r="F2502" s="14"/>
      <c r="G2502" s="14"/>
      <c r="H2502" s="14"/>
    </row>
    <row r="2503" spans="5:8" x14ac:dyDescent="0.3">
      <c r="E2503" s="14"/>
      <c r="F2503" s="14"/>
      <c r="G2503" s="14"/>
      <c r="H2503" s="14"/>
    </row>
    <row r="2504" spans="5:8" x14ac:dyDescent="0.3">
      <c r="E2504" s="14"/>
      <c r="F2504" s="14"/>
      <c r="G2504" s="14"/>
      <c r="H2504" s="14"/>
    </row>
    <row r="2505" spans="5:8" x14ac:dyDescent="0.3">
      <c r="E2505" s="14"/>
      <c r="F2505" s="14"/>
      <c r="G2505" s="14"/>
      <c r="H2505" s="14"/>
    </row>
    <row r="2506" spans="5:8" x14ac:dyDescent="0.3">
      <c r="E2506" s="14"/>
      <c r="F2506" s="14"/>
      <c r="G2506" s="14"/>
      <c r="H2506" s="14"/>
    </row>
    <row r="2507" spans="5:8" x14ac:dyDescent="0.3">
      <c r="E2507" s="14"/>
      <c r="F2507" s="14"/>
      <c r="G2507" s="14"/>
      <c r="H2507" s="14"/>
    </row>
    <row r="2508" spans="5:8" x14ac:dyDescent="0.3">
      <c r="E2508" s="14"/>
      <c r="F2508" s="14"/>
      <c r="G2508" s="14"/>
      <c r="H2508" s="14"/>
    </row>
    <row r="2509" spans="5:8" x14ac:dyDescent="0.3">
      <c r="E2509" s="14"/>
      <c r="F2509" s="14"/>
      <c r="G2509" s="14"/>
      <c r="H2509" s="14"/>
    </row>
    <row r="2510" spans="5:8" x14ac:dyDescent="0.3">
      <c r="E2510" s="14"/>
      <c r="F2510" s="14"/>
      <c r="G2510" s="14"/>
      <c r="H2510" s="14"/>
    </row>
    <row r="2511" spans="5:8" x14ac:dyDescent="0.3">
      <c r="E2511" s="14"/>
      <c r="F2511" s="14"/>
      <c r="G2511" s="14"/>
      <c r="H2511" s="14"/>
    </row>
    <row r="2512" spans="5:8" x14ac:dyDescent="0.3">
      <c r="E2512" s="14"/>
      <c r="F2512" s="14"/>
      <c r="G2512" s="14"/>
      <c r="H2512" s="14"/>
    </row>
    <row r="2513" spans="5:8" x14ac:dyDescent="0.3">
      <c r="E2513" s="14"/>
      <c r="F2513" s="14"/>
      <c r="G2513" s="14"/>
      <c r="H2513" s="14"/>
    </row>
    <row r="2514" spans="5:8" x14ac:dyDescent="0.3">
      <c r="E2514" s="14"/>
      <c r="F2514" s="14"/>
      <c r="G2514" s="14"/>
      <c r="H2514" s="14"/>
    </row>
    <row r="2515" spans="5:8" x14ac:dyDescent="0.3">
      <c r="E2515" s="14"/>
      <c r="F2515" s="14"/>
      <c r="G2515" s="14"/>
      <c r="H2515" s="14"/>
    </row>
    <row r="2516" spans="5:8" x14ac:dyDescent="0.3">
      <c r="E2516" s="14"/>
      <c r="F2516" s="14"/>
      <c r="G2516" s="14"/>
      <c r="H2516" s="14"/>
    </row>
    <row r="2517" spans="5:8" x14ac:dyDescent="0.3">
      <c r="E2517" s="14"/>
      <c r="F2517" s="14"/>
      <c r="G2517" s="14"/>
      <c r="H2517" s="14"/>
    </row>
    <row r="2518" spans="5:8" x14ac:dyDescent="0.3">
      <c r="E2518" s="14"/>
      <c r="F2518" s="14"/>
      <c r="G2518" s="14"/>
      <c r="H2518" s="14"/>
    </row>
    <row r="2519" spans="5:8" x14ac:dyDescent="0.3">
      <c r="E2519" s="14"/>
      <c r="F2519" s="14"/>
      <c r="G2519" s="14"/>
      <c r="H2519" s="14"/>
    </row>
    <row r="2520" spans="5:8" x14ac:dyDescent="0.3">
      <c r="E2520" s="14"/>
      <c r="F2520" s="14"/>
      <c r="G2520" s="14"/>
      <c r="H2520" s="14"/>
    </row>
    <row r="2521" spans="5:8" x14ac:dyDescent="0.3">
      <c r="E2521" s="14"/>
      <c r="F2521" s="14"/>
      <c r="G2521" s="14"/>
      <c r="H2521" s="14"/>
    </row>
    <row r="2522" spans="5:8" x14ac:dyDescent="0.3">
      <c r="E2522" s="14"/>
      <c r="F2522" s="14"/>
      <c r="G2522" s="14"/>
      <c r="H2522" s="14"/>
    </row>
    <row r="2523" spans="5:8" x14ac:dyDescent="0.3">
      <c r="E2523" s="14"/>
      <c r="F2523" s="14"/>
      <c r="G2523" s="14"/>
      <c r="H2523" s="14"/>
    </row>
    <row r="2524" spans="5:8" x14ac:dyDescent="0.3">
      <c r="E2524" s="14"/>
      <c r="F2524" s="14"/>
      <c r="G2524" s="14"/>
      <c r="H2524" s="14"/>
    </row>
    <row r="2525" spans="5:8" x14ac:dyDescent="0.3">
      <c r="E2525" s="14"/>
      <c r="F2525" s="14"/>
      <c r="G2525" s="14"/>
      <c r="H2525" s="14"/>
    </row>
    <row r="2526" spans="5:8" x14ac:dyDescent="0.3">
      <c r="E2526" s="14"/>
      <c r="F2526" s="14"/>
      <c r="G2526" s="14"/>
      <c r="H2526" s="14"/>
    </row>
    <row r="2527" spans="5:8" x14ac:dyDescent="0.3">
      <c r="E2527" s="14"/>
      <c r="F2527" s="14"/>
      <c r="G2527" s="14"/>
      <c r="H2527" s="14"/>
    </row>
    <row r="2528" spans="5:8" x14ac:dyDescent="0.3">
      <c r="E2528" s="14"/>
      <c r="F2528" s="14"/>
      <c r="G2528" s="14"/>
      <c r="H2528" s="14"/>
    </row>
    <row r="2529" spans="5:8" x14ac:dyDescent="0.3">
      <c r="E2529" s="14"/>
      <c r="F2529" s="14"/>
      <c r="G2529" s="14"/>
      <c r="H2529" s="14"/>
    </row>
    <row r="2530" spans="5:8" x14ac:dyDescent="0.3">
      <c r="E2530" s="14"/>
      <c r="F2530" s="14"/>
      <c r="G2530" s="14"/>
      <c r="H2530" s="14"/>
    </row>
    <row r="2531" spans="5:8" x14ac:dyDescent="0.3">
      <c r="E2531" s="14"/>
      <c r="F2531" s="14"/>
      <c r="G2531" s="14"/>
      <c r="H2531" s="14"/>
    </row>
    <row r="2532" spans="5:8" x14ac:dyDescent="0.3">
      <c r="E2532" s="14"/>
      <c r="F2532" s="14"/>
      <c r="G2532" s="14"/>
      <c r="H2532" s="14"/>
    </row>
    <row r="2533" spans="5:8" x14ac:dyDescent="0.3">
      <c r="E2533" s="14"/>
      <c r="F2533" s="14"/>
      <c r="G2533" s="14"/>
      <c r="H2533" s="14"/>
    </row>
    <row r="2534" spans="5:8" x14ac:dyDescent="0.3">
      <c r="E2534" s="14"/>
      <c r="F2534" s="14"/>
      <c r="G2534" s="14"/>
      <c r="H2534" s="14"/>
    </row>
    <row r="2535" spans="5:8" x14ac:dyDescent="0.3">
      <c r="E2535" s="14"/>
      <c r="F2535" s="14"/>
      <c r="G2535" s="14"/>
      <c r="H2535" s="14"/>
    </row>
    <row r="2536" spans="5:8" x14ac:dyDescent="0.3">
      <c r="E2536" s="14"/>
      <c r="F2536" s="14"/>
      <c r="G2536" s="14"/>
      <c r="H2536" s="14"/>
    </row>
    <row r="2537" spans="5:8" x14ac:dyDescent="0.3">
      <c r="E2537" s="14"/>
      <c r="F2537" s="14"/>
      <c r="G2537" s="14"/>
      <c r="H2537" s="14"/>
    </row>
    <row r="2538" spans="5:8" x14ac:dyDescent="0.3">
      <c r="E2538" s="14"/>
      <c r="F2538" s="14"/>
      <c r="G2538" s="14"/>
      <c r="H2538" s="14"/>
    </row>
    <row r="2539" spans="5:8" x14ac:dyDescent="0.3">
      <c r="E2539" s="14"/>
      <c r="F2539" s="14"/>
      <c r="G2539" s="14"/>
      <c r="H2539" s="14"/>
    </row>
    <row r="2540" spans="5:8" x14ac:dyDescent="0.3">
      <c r="E2540" s="14"/>
      <c r="F2540" s="14"/>
      <c r="G2540" s="14"/>
      <c r="H2540" s="14"/>
    </row>
    <row r="2541" spans="5:8" x14ac:dyDescent="0.3">
      <c r="E2541" s="14"/>
      <c r="F2541" s="14"/>
      <c r="G2541" s="14"/>
      <c r="H2541" s="14"/>
    </row>
    <row r="2542" spans="5:8" x14ac:dyDescent="0.3">
      <c r="E2542" s="14"/>
      <c r="F2542" s="14"/>
      <c r="G2542" s="14"/>
      <c r="H2542" s="14"/>
    </row>
    <row r="2543" spans="5:8" x14ac:dyDescent="0.3">
      <c r="E2543" s="14"/>
      <c r="F2543" s="14"/>
      <c r="G2543" s="14"/>
      <c r="H2543" s="14"/>
    </row>
    <row r="2544" spans="5:8" x14ac:dyDescent="0.3">
      <c r="E2544" s="14"/>
      <c r="F2544" s="14"/>
      <c r="G2544" s="14"/>
      <c r="H2544" s="14"/>
    </row>
    <row r="2545" spans="5:8" x14ac:dyDescent="0.3">
      <c r="E2545" s="14"/>
      <c r="F2545" s="14"/>
      <c r="G2545" s="14"/>
      <c r="H2545" s="14"/>
    </row>
    <row r="2546" spans="5:8" x14ac:dyDescent="0.3">
      <c r="E2546" s="14"/>
      <c r="F2546" s="14"/>
      <c r="G2546" s="14"/>
      <c r="H2546" s="14"/>
    </row>
    <row r="2547" spans="5:8" x14ac:dyDescent="0.3">
      <c r="E2547" s="14"/>
      <c r="F2547" s="14"/>
      <c r="G2547" s="14"/>
      <c r="H2547" s="14"/>
    </row>
    <row r="2548" spans="5:8" x14ac:dyDescent="0.3">
      <c r="E2548" s="14"/>
      <c r="F2548" s="14"/>
      <c r="G2548" s="14"/>
      <c r="H2548" s="14"/>
    </row>
    <row r="2549" spans="5:8" x14ac:dyDescent="0.3">
      <c r="E2549" s="14"/>
      <c r="F2549" s="14"/>
      <c r="G2549" s="14"/>
      <c r="H2549" s="14"/>
    </row>
    <row r="2550" spans="5:8" x14ac:dyDescent="0.3">
      <c r="E2550" s="14"/>
      <c r="F2550" s="14"/>
      <c r="G2550" s="14"/>
      <c r="H2550" s="14"/>
    </row>
    <row r="2551" spans="5:8" x14ac:dyDescent="0.3">
      <c r="E2551" s="14"/>
      <c r="F2551" s="14"/>
      <c r="G2551" s="14"/>
      <c r="H2551" s="14"/>
    </row>
    <row r="2552" spans="5:8" x14ac:dyDescent="0.3">
      <c r="E2552" s="14"/>
      <c r="F2552" s="14"/>
      <c r="G2552" s="14"/>
      <c r="H2552" s="14"/>
    </row>
    <row r="2553" spans="5:8" x14ac:dyDescent="0.3">
      <c r="E2553" s="14"/>
      <c r="F2553" s="14"/>
      <c r="G2553" s="14"/>
      <c r="H2553" s="14"/>
    </row>
    <row r="2554" spans="5:8" x14ac:dyDescent="0.3">
      <c r="E2554" s="14"/>
      <c r="F2554" s="14"/>
      <c r="G2554" s="14"/>
      <c r="H2554" s="14"/>
    </row>
    <row r="2555" spans="5:8" x14ac:dyDescent="0.3">
      <c r="E2555" s="14"/>
      <c r="F2555" s="14"/>
      <c r="G2555" s="14"/>
      <c r="H2555" s="14"/>
    </row>
    <row r="2556" spans="5:8" x14ac:dyDescent="0.3">
      <c r="E2556" s="14"/>
      <c r="F2556" s="14"/>
      <c r="G2556" s="14"/>
      <c r="H2556" s="14"/>
    </row>
    <row r="2557" spans="5:8" x14ac:dyDescent="0.3">
      <c r="E2557" s="14"/>
      <c r="F2557" s="14"/>
      <c r="G2557" s="14"/>
      <c r="H2557" s="14"/>
    </row>
    <row r="2558" spans="5:8" x14ac:dyDescent="0.3">
      <c r="E2558" s="14"/>
      <c r="F2558" s="14"/>
      <c r="G2558" s="14"/>
      <c r="H2558" s="14"/>
    </row>
    <row r="2559" spans="5:8" x14ac:dyDescent="0.3">
      <c r="E2559" s="14"/>
      <c r="F2559" s="14"/>
      <c r="G2559" s="14"/>
      <c r="H2559" s="14"/>
    </row>
    <row r="2560" spans="5:8" x14ac:dyDescent="0.3">
      <c r="E2560" s="14"/>
      <c r="F2560" s="14"/>
      <c r="G2560" s="14"/>
      <c r="H2560" s="14"/>
    </row>
    <row r="2561" spans="5:8" x14ac:dyDescent="0.3">
      <c r="E2561" s="14"/>
      <c r="F2561" s="14"/>
      <c r="G2561" s="14"/>
      <c r="H2561" s="14"/>
    </row>
    <row r="2562" spans="5:8" x14ac:dyDescent="0.3">
      <c r="E2562" s="14"/>
      <c r="F2562" s="14"/>
      <c r="G2562" s="14"/>
      <c r="H2562" s="14"/>
    </row>
    <row r="2563" spans="5:8" x14ac:dyDescent="0.3">
      <c r="E2563" s="14"/>
      <c r="F2563" s="14"/>
      <c r="G2563" s="14"/>
      <c r="H2563" s="14"/>
    </row>
    <row r="2564" spans="5:8" x14ac:dyDescent="0.3">
      <c r="E2564" s="14"/>
      <c r="F2564" s="14"/>
      <c r="G2564" s="14"/>
      <c r="H2564" s="14"/>
    </row>
    <row r="2565" spans="5:8" x14ac:dyDescent="0.3">
      <c r="E2565" s="14"/>
      <c r="F2565" s="14"/>
      <c r="G2565" s="14"/>
      <c r="H2565" s="14"/>
    </row>
    <row r="2566" spans="5:8" x14ac:dyDescent="0.3">
      <c r="E2566" s="14"/>
      <c r="F2566" s="14"/>
      <c r="G2566" s="14"/>
      <c r="H2566" s="14"/>
    </row>
    <row r="2567" spans="5:8" x14ac:dyDescent="0.3">
      <c r="E2567" s="14"/>
      <c r="F2567" s="14"/>
      <c r="G2567" s="14"/>
      <c r="H2567" s="14"/>
    </row>
    <row r="2568" spans="5:8" x14ac:dyDescent="0.3">
      <c r="E2568" s="14"/>
      <c r="F2568" s="14"/>
      <c r="G2568" s="14"/>
      <c r="H2568" s="14"/>
    </row>
    <row r="2569" spans="5:8" x14ac:dyDescent="0.3">
      <c r="E2569" s="14"/>
      <c r="F2569" s="14"/>
      <c r="G2569" s="14"/>
      <c r="H2569" s="14"/>
    </row>
    <row r="2570" spans="5:8" x14ac:dyDescent="0.3">
      <c r="E2570" s="14"/>
      <c r="F2570" s="14"/>
      <c r="G2570" s="14"/>
      <c r="H2570" s="14"/>
    </row>
    <row r="2571" spans="5:8" x14ac:dyDescent="0.3">
      <c r="E2571" s="14"/>
      <c r="F2571" s="14"/>
      <c r="G2571" s="14"/>
      <c r="H2571" s="14"/>
    </row>
    <row r="2572" spans="5:8" x14ac:dyDescent="0.3">
      <c r="E2572" s="14"/>
      <c r="F2572" s="14"/>
      <c r="G2572" s="14"/>
      <c r="H2572" s="14"/>
    </row>
    <row r="2573" spans="5:8" x14ac:dyDescent="0.3">
      <c r="E2573" s="14"/>
      <c r="F2573" s="14"/>
      <c r="G2573" s="14"/>
      <c r="H2573" s="14"/>
    </row>
    <row r="2574" spans="5:8" x14ac:dyDescent="0.3">
      <c r="E2574" s="14"/>
      <c r="F2574" s="14"/>
      <c r="G2574" s="14"/>
      <c r="H2574" s="14"/>
    </row>
    <row r="2575" spans="5:8" x14ac:dyDescent="0.3">
      <c r="E2575" s="14"/>
      <c r="F2575" s="14"/>
      <c r="G2575" s="14"/>
      <c r="H2575" s="14"/>
    </row>
    <row r="2576" spans="5:8" x14ac:dyDescent="0.3">
      <c r="E2576" s="14"/>
      <c r="F2576" s="14"/>
      <c r="G2576" s="14"/>
      <c r="H2576" s="14"/>
    </row>
    <row r="2577" spans="5:8" x14ac:dyDescent="0.3">
      <c r="E2577" s="14"/>
      <c r="F2577" s="14"/>
      <c r="G2577" s="14"/>
      <c r="H2577" s="14"/>
    </row>
  </sheetData>
  <autoFilter ref="A1:H2471" xr:uid="{00000000-0009-0000-0000-000002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Boletins Nuppa Site</vt:lpstr>
      <vt:lpstr>Planilha11</vt:lpstr>
      <vt:lpstr>GRUPO_ALIMENTAR</vt:lpstr>
      <vt:lpstr>UNIDADE_MEDIDA</vt:lpstr>
      <vt:lpstr>BOLETIM</vt:lpstr>
      <vt:lpstr>TIPO_APRESENTACAO</vt:lpstr>
      <vt:lpstr>CATEGORIA</vt:lpstr>
      <vt:lpstr>PRODUTO</vt:lpstr>
      <vt:lpstr>PRODUTO_APRESENTACAO</vt:lpstr>
      <vt:lpstr>COTACAO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Shampz</dc:creator>
  <dc:description/>
  <cp:lastModifiedBy>Allan</cp:lastModifiedBy>
  <cp:revision>45</cp:revision>
  <dcterms:created xsi:type="dcterms:W3CDTF">2026-09-01T15:47:40Z</dcterms:created>
  <dcterms:modified xsi:type="dcterms:W3CDTF">2026-09-28T07:12:13Z</dcterms:modified>
  <dc:language>pt-BR</dc:language>
</cp:coreProperties>
</file>